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iau-Im\output9\"/>
    </mc:Choice>
  </mc:AlternateContent>
  <xr:revisionPtr revIDLastSave="0" documentId="13_ncr:1_{17E61C29-93FE-4994-8063-D97FE045C370}" xr6:coauthVersionLast="47" xr6:coauthVersionMax="47" xr10:uidLastSave="{00000000-0000-0000-0000-000000000000}"/>
  <bookViews>
    <workbookView xWindow="-120" yWindow="-120" windowWidth="29040" windowHeight="15720" xr2:uid="{4EA0A38C-B750-42E9-B691-0F234429BA61}"/>
  </bookViews>
  <sheets>
    <sheet name="env" sheetId="10" r:id="rId1"/>
    <sheet name="網頁匯入" sheetId="7" r:id="rId2"/>
    <sheet name="網頁匯入 (有Bug)" sheetId="3" r:id="rId3"/>
    <sheet name="網頁匯入 (2)" sheetId="9" r:id="rId4"/>
    <sheet name="網頁匯入(v0.0.3)" sheetId="2" r:id="rId5"/>
    <sheet name="十五音轉台語音標字典" sheetId="4" r:id="rId6"/>
    <sheet name="聲母對照表" sheetId="5" r:id="rId7"/>
    <sheet name="韻母對照表" sheetId="1" r:id="rId8"/>
    <sheet name="十五音韻母對照表" sheetId="6" r:id="rId9"/>
    <sheet name="聲調對照表" sheetId="8" r:id="rId10"/>
  </sheets>
  <externalReferences>
    <externalReference r:id="rId11"/>
    <externalReference r:id="rId12"/>
  </externalReferences>
  <definedNames>
    <definedName name="_xlnm._FilterDatabase" localSheetId="8" hidden="1">十五音韻母對照表!$B$3:$O$103</definedName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聲母碼">[1]十五音聲母對照表!$F$4:$F$25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7" l="1"/>
  <c r="I15" i="7"/>
  <c r="I16" i="7"/>
  <c r="I17" i="7"/>
  <c r="I18" i="7"/>
  <c r="I19" i="7"/>
  <c r="I20" i="7"/>
  <c r="I4" i="7"/>
  <c r="I5" i="7"/>
  <c r="I6" i="7"/>
  <c r="I7" i="7"/>
  <c r="I8" i="7"/>
  <c r="I9" i="7"/>
  <c r="I10" i="7"/>
  <c r="I11" i="7"/>
  <c r="I12" i="7"/>
  <c r="I13" i="7"/>
  <c r="I2" i="7"/>
  <c r="I3" i="7"/>
  <c r="A13" i="7"/>
  <c r="F668" i="9"/>
  <c r="E668" i="9"/>
  <c r="D668" i="9"/>
  <c r="F667" i="9"/>
  <c r="E667" i="9"/>
  <c r="D667" i="9"/>
  <c r="F666" i="9"/>
  <c r="E666" i="9"/>
  <c r="D666" i="9"/>
  <c r="F665" i="9"/>
  <c r="E665" i="9"/>
  <c r="D665" i="9"/>
  <c r="F664" i="9"/>
  <c r="E664" i="9"/>
  <c r="D664" i="9"/>
  <c r="F663" i="9"/>
  <c r="E663" i="9"/>
  <c r="D663" i="9"/>
  <c r="F662" i="9"/>
  <c r="E662" i="9"/>
  <c r="D662" i="9"/>
  <c r="F661" i="9"/>
  <c r="E661" i="9"/>
  <c r="D661" i="9"/>
  <c r="F660" i="9"/>
  <c r="E660" i="9"/>
  <c r="D660" i="9"/>
  <c r="F659" i="9"/>
  <c r="E659" i="9"/>
  <c r="D659" i="9"/>
  <c r="F658" i="9"/>
  <c r="E658" i="9"/>
  <c r="D658" i="9"/>
  <c r="F657" i="9"/>
  <c r="E657" i="9"/>
  <c r="D657" i="9"/>
  <c r="F656" i="9"/>
  <c r="E656" i="9"/>
  <c r="D656" i="9"/>
  <c r="F655" i="9"/>
  <c r="E655" i="9"/>
  <c r="D655" i="9"/>
  <c r="F654" i="9"/>
  <c r="E654" i="9"/>
  <c r="D654" i="9"/>
  <c r="F653" i="9"/>
  <c r="E653" i="9"/>
  <c r="D653" i="9"/>
  <c r="F652" i="9"/>
  <c r="E652" i="9"/>
  <c r="D652" i="9"/>
  <c r="F651" i="9"/>
  <c r="E651" i="9"/>
  <c r="D651" i="9"/>
  <c r="F650" i="9"/>
  <c r="E650" i="9"/>
  <c r="D650" i="9"/>
  <c r="F649" i="9"/>
  <c r="E649" i="9"/>
  <c r="D649" i="9"/>
  <c r="F648" i="9"/>
  <c r="E648" i="9"/>
  <c r="D648" i="9"/>
  <c r="F647" i="9"/>
  <c r="E647" i="9"/>
  <c r="D647" i="9"/>
  <c r="F646" i="9"/>
  <c r="E646" i="9"/>
  <c r="D646" i="9"/>
  <c r="F645" i="9"/>
  <c r="E645" i="9"/>
  <c r="D645" i="9"/>
  <c r="F644" i="9"/>
  <c r="E644" i="9"/>
  <c r="D644" i="9"/>
  <c r="F643" i="9"/>
  <c r="E643" i="9"/>
  <c r="D643" i="9"/>
  <c r="F642" i="9"/>
  <c r="E642" i="9"/>
  <c r="D642" i="9"/>
  <c r="F641" i="9"/>
  <c r="E641" i="9"/>
  <c r="D641" i="9"/>
  <c r="F640" i="9"/>
  <c r="E640" i="9"/>
  <c r="D640" i="9"/>
  <c r="F639" i="9"/>
  <c r="E639" i="9"/>
  <c r="D639" i="9"/>
  <c r="F638" i="9"/>
  <c r="E638" i="9"/>
  <c r="D638" i="9"/>
  <c r="F637" i="9"/>
  <c r="E637" i="9"/>
  <c r="D637" i="9"/>
  <c r="F636" i="9"/>
  <c r="E636" i="9"/>
  <c r="D636" i="9"/>
  <c r="F635" i="9"/>
  <c r="E635" i="9"/>
  <c r="D635" i="9"/>
  <c r="F634" i="9"/>
  <c r="E634" i="9"/>
  <c r="D634" i="9"/>
  <c r="F633" i="9"/>
  <c r="E633" i="9"/>
  <c r="D633" i="9"/>
  <c r="F632" i="9"/>
  <c r="E632" i="9"/>
  <c r="D632" i="9"/>
  <c r="F631" i="9"/>
  <c r="E631" i="9"/>
  <c r="D631" i="9"/>
  <c r="F630" i="9"/>
  <c r="E630" i="9"/>
  <c r="D630" i="9"/>
  <c r="F629" i="9"/>
  <c r="E629" i="9"/>
  <c r="D629" i="9"/>
  <c r="F628" i="9"/>
  <c r="E628" i="9"/>
  <c r="D628" i="9"/>
  <c r="F627" i="9"/>
  <c r="E627" i="9"/>
  <c r="D627" i="9"/>
  <c r="F626" i="9"/>
  <c r="E626" i="9"/>
  <c r="D626" i="9"/>
  <c r="F625" i="9"/>
  <c r="E625" i="9"/>
  <c r="D625" i="9"/>
  <c r="F624" i="9"/>
  <c r="E624" i="9"/>
  <c r="D624" i="9"/>
  <c r="F623" i="9"/>
  <c r="E623" i="9"/>
  <c r="D623" i="9"/>
  <c r="F622" i="9"/>
  <c r="E622" i="9"/>
  <c r="D622" i="9"/>
  <c r="F621" i="9"/>
  <c r="E621" i="9"/>
  <c r="D621" i="9"/>
  <c r="F620" i="9"/>
  <c r="E620" i="9"/>
  <c r="D620" i="9"/>
  <c r="F619" i="9"/>
  <c r="E619" i="9"/>
  <c r="D619" i="9"/>
  <c r="F618" i="9"/>
  <c r="E618" i="9"/>
  <c r="D618" i="9"/>
  <c r="F617" i="9"/>
  <c r="E617" i="9"/>
  <c r="D617" i="9"/>
  <c r="F616" i="9"/>
  <c r="E616" i="9"/>
  <c r="D616" i="9"/>
  <c r="F615" i="9"/>
  <c r="E615" i="9"/>
  <c r="D615" i="9"/>
  <c r="F614" i="9"/>
  <c r="E614" i="9"/>
  <c r="D614" i="9"/>
  <c r="F613" i="9"/>
  <c r="E613" i="9"/>
  <c r="D613" i="9"/>
  <c r="F612" i="9"/>
  <c r="E612" i="9"/>
  <c r="D612" i="9"/>
  <c r="F611" i="9"/>
  <c r="E611" i="9"/>
  <c r="D611" i="9"/>
  <c r="F610" i="9"/>
  <c r="E610" i="9"/>
  <c r="D610" i="9"/>
  <c r="F609" i="9"/>
  <c r="E609" i="9"/>
  <c r="D609" i="9"/>
  <c r="F608" i="9"/>
  <c r="E608" i="9"/>
  <c r="D608" i="9"/>
  <c r="F607" i="9"/>
  <c r="E607" i="9"/>
  <c r="D607" i="9"/>
  <c r="F606" i="9"/>
  <c r="E606" i="9"/>
  <c r="D606" i="9"/>
  <c r="F605" i="9"/>
  <c r="E605" i="9"/>
  <c r="D605" i="9"/>
  <c r="F604" i="9"/>
  <c r="E604" i="9"/>
  <c r="D604" i="9"/>
  <c r="F603" i="9"/>
  <c r="E603" i="9"/>
  <c r="D603" i="9"/>
  <c r="F602" i="9"/>
  <c r="E602" i="9"/>
  <c r="D602" i="9"/>
  <c r="F601" i="9"/>
  <c r="E601" i="9"/>
  <c r="D601" i="9"/>
  <c r="F600" i="9"/>
  <c r="E600" i="9"/>
  <c r="D600" i="9"/>
  <c r="F599" i="9"/>
  <c r="E599" i="9"/>
  <c r="D599" i="9"/>
  <c r="F598" i="9"/>
  <c r="E598" i="9"/>
  <c r="D598" i="9"/>
  <c r="F597" i="9"/>
  <c r="E597" i="9"/>
  <c r="D597" i="9"/>
  <c r="F596" i="9"/>
  <c r="E596" i="9"/>
  <c r="D596" i="9"/>
  <c r="F595" i="9"/>
  <c r="E595" i="9"/>
  <c r="D595" i="9"/>
  <c r="F594" i="9"/>
  <c r="E594" i="9"/>
  <c r="D594" i="9"/>
  <c r="F593" i="9"/>
  <c r="E593" i="9"/>
  <c r="D593" i="9"/>
  <c r="F592" i="9"/>
  <c r="E592" i="9"/>
  <c r="D592" i="9"/>
  <c r="F591" i="9"/>
  <c r="E591" i="9"/>
  <c r="D591" i="9"/>
  <c r="F590" i="9"/>
  <c r="E590" i="9"/>
  <c r="D590" i="9"/>
  <c r="F589" i="9"/>
  <c r="E589" i="9"/>
  <c r="D589" i="9"/>
  <c r="F588" i="9"/>
  <c r="E588" i="9"/>
  <c r="D588" i="9"/>
  <c r="F587" i="9"/>
  <c r="E587" i="9"/>
  <c r="D587" i="9"/>
  <c r="F586" i="9"/>
  <c r="E586" i="9"/>
  <c r="D586" i="9"/>
  <c r="F585" i="9"/>
  <c r="E585" i="9"/>
  <c r="D585" i="9"/>
  <c r="F584" i="9"/>
  <c r="E584" i="9"/>
  <c r="D584" i="9"/>
  <c r="F583" i="9"/>
  <c r="E583" i="9"/>
  <c r="D583" i="9"/>
  <c r="F582" i="9"/>
  <c r="E582" i="9"/>
  <c r="D582" i="9"/>
  <c r="F581" i="9"/>
  <c r="E581" i="9"/>
  <c r="D581" i="9"/>
  <c r="F580" i="9"/>
  <c r="E580" i="9"/>
  <c r="D580" i="9"/>
  <c r="F579" i="9"/>
  <c r="E579" i="9"/>
  <c r="D579" i="9"/>
  <c r="F578" i="9"/>
  <c r="E578" i="9"/>
  <c r="D578" i="9"/>
  <c r="F577" i="9"/>
  <c r="E577" i="9"/>
  <c r="D577" i="9"/>
  <c r="F576" i="9"/>
  <c r="E576" i="9"/>
  <c r="D576" i="9"/>
  <c r="F575" i="9"/>
  <c r="E575" i="9"/>
  <c r="D575" i="9"/>
  <c r="F574" i="9"/>
  <c r="E574" i="9"/>
  <c r="D574" i="9"/>
  <c r="F573" i="9"/>
  <c r="E573" i="9"/>
  <c r="D573" i="9"/>
  <c r="F572" i="9"/>
  <c r="E572" i="9"/>
  <c r="D572" i="9"/>
  <c r="F571" i="9"/>
  <c r="E571" i="9"/>
  <c r="D571" i="9"/>
  <c r="F570" i="9"/>
  <c r="E570" i="9"/>
  <c r="D570" i="9"/>
  <c r="F569" i="9"/>
  <c r="E569" i="9"/>
  <c r="D569" i="9"/>
  <c r="F568" i="9"/>
  <c r="E568" i="9"/>
  <c r="D568" i="9"/>
  <c r="F567" i="9"/>
  <c r="E567" i="9"/>
  <c r="D567" i="9"/>
  <c r="F566" i="9"/>
  <c r="E566" i="9"/>
  <c r="D566" i="9"/>
  <c r="F565" i="9"/>
  <c r="E565" i="9"/>
  <c r="D565" i="9"/>
  <c r="F564" i="9"/>
  <c r="E564" i="9"/>
  <c r="D564" i="9"/>
  <c r="F563" i="9"/>
  <c r="E563" i="9"/>
  <c r="D563" i="9"/>
  <c r="F562" i="9"/>
  <c r="E562" i="9"/>
  <c r="D562" i="9"/>
  <c r="F561" i="9"/>
  <c r="E561" i="9"/>
  <c r="D561" i="9"/>
  <c r="F560" i="9"/>
  <c r="E560" i="9"/>
  <c r="D560" i="9"/>
  <c r="F559" i="9"/>
  <c r="E559" i="9"/>
  <c r="D559" i="9"/>
  <c r="F558" i="9"/>
  <c r="E558" i="9"/>
  <c r="D558" i="9"/>
  <c r="F557" i="9"/>
  <c r="E557" i="9"/>
  <c r="D557" i="9"/>
  <c r="F556" i="9"/>
  <c r="E556" i="9"/>
  <c r="D556" i="9"/>
  <c r="F555" i="9"/>
  <c r="E555" i="9"/>
  <c r="D555" i="9"/>
  <c r="F554" i="9"/>
  <c r="E554" i="9"/>
  <c r="D554" i="9"/>
  <c r="F553" i="9"/>
  <c r="E553" i="9"/>
  <c r="D553" i="9"/>
  <c r="F552" i="9"/>
  <c r="E552" i="9"/>
  <c r="D552" i="9"/>
  <c r="F551" i="9"/>
  <c r="E551" i="9"/>
  <c r="D551" i="9"/>
  <c r="F550" i="9"/>
  <c r="E550" i="9"/>
  <c r="D550" i="9"/>
  <c r="F549" i="9"/>
  <c r="E549" i="9"/>
  <c r="D549" i="9"/>
  <c r="F548" i="9"/>
  <c r="E548" i="9"/>
  <c r="D548" i="9"/>
  <c r="F547" i="9"/>
  <c r="E547" i="9"/>
  <c r="D547" i="9"/>
  <c r="F546" i="9"/>
  <c r="E546" i="9"/>
  <c r="D546" i="9"/>
  <c r="F545" i="9"/>
  <c r="E545" i="9"/>
  <c r="D545" i="9"/>
  <c r="F544" i="9"/>
  <c r="E544" i="9"/>
  <c r="D544" i="9"/>
  <c r="F543" i="9"/>
  <c r="E543" i="9"/>
  <c r="D543" i="9"/>
  <c r="F542" i="9"/>
  <c r="E542" i="9"/>
  <c r="D542" i="9"/>
  <c r="F541" i="9"/>
  <c r="E541" i="9"/>
  <c r="D541" i="9"/>
  <c r="F540" i="9"/>
  <c r="E540" i="9"/>
  <c r="D540" i="9"/>
  <c r="F539" i="9"/>
  <c r="E539" i="9"/>
  <c r="D539" i="9"/>
  <c r="F538" i="9"/>
  <c r="E538" i="9"/>
  <c r="D538" i="9"/>
  <c r="F537" i="9"/>
  <c r="E537" i="9"/>
  <c r="D537" i="9"/>
  <c r="F536" i="9"/>
  <c r="E536" i="9"/>
  <c r="D536" i="9"/>
  <c r="F535" i="9"/>
  <c r="E535" i="9"/>
  <c r="D535" i="9"/>
  <c r="F534" i="9"/>
  <c r="E534" i="9"/>
  <c r="D534" i="9"/>
  <c r="F533" i="9"/>
  <c r="E533" i="9"/>
  <c r="D533" i="9"/>
  <c r="F532" i="9"/>
  <c r="E532" i="9"/>
  <c r="D532" i="9"/>
  <c r="F531" i="9"/>
  <c r="E531" i="9"/>
  <c r="D531" i="9"/>
  <c r="F530" i="9"/>
  <c r="E530" i="9"/>
  <c r="D530" i="9"/>
  <c r="F529" i="9"/>
  <c r="E529" i="9"/>
  <c r="D529" i="9"/>
  <c r="F528" i="9"/>
  <c r="E528" i="9"/>
  <c r="D528" i="9"/>
  <c r="F527" i="9"/>
  <c r="E527" i="9"/>
  <c r="D527" i="9"/>
  <c r="F526" i="9"/>
  <c r="E526" i="9"/>
  <c r="D526" i="9"/>
  <c r="F525" i="9"/>
  <c r="E525" i="9"/>
  <c r="D525" i="9"/>
  <c r="F524" i="9"/>
  <c r="E524" i="9"/>
  <c r="D524" i="9"/>
  <c r="F523" i="9"/>
  <c r="E523" i="9"/>
  <c r="D523" i="9"/>
  <c r="F522" i="9"/>
  <c r="E522" i="9"/>
  <c r="D522" i="9"/>
  <c r="F521" i="9"/>
  <c r="E521" i="9"/>
  <c r="D521" i="9"/>
  <c r="F520" i="9"/>
  <c r="E520" i="9"/>
  <c r="D520" i="9"/>
  <c r="F519" i="9"/>
  <c r="E519" i="9"/>
  <c r="D519" i="9"/>
  <c r="F518" i="9"/>
  <c r="E518" i="9"/>
  <c r="D518" i="9"/>
  <c r="F517" i="9"/>
  <c r="E517" i="9"/>
  <c r="D517" i="9"/>
  <c r="F516" i="9"/>
  <c r="E516" i="9"/>
  <c r="D516" i="9"/>
  <c r="F515" i="9"/>
  <c r="E515" i="9"/>
  <c r="D515" i="9"/>
  <c r="F514" i="9"/>
  <c r="E514" i="9"/>
  <c r="D514" i="9"/>
  <c r="F513" i="9"/>
  <c r="E513" i="9"/>
  <c r="D513" i="9"/>
  <c r="F512" i="9"/>
  <c r="E512" i="9"/>
  <c r="D512" i="9"/>
  <c r="F511" i="9"/>
  <c r="E511" i="9"/>
  <c r="D511" i="9"/>
  <c r="F510" i="9"/>
  <c r="E510" i="9"/>
  <c r="D510" i="9"/>
  <c r="F509" i="9"/>
  <c r="E509" i="9"/>
  <c r="D509" i="9"/>
  <c r="F508" i="9"/>
  <c r="E508" i="9"/>
  <c r="D508" i="9"/>
  <c r="F507" i="9"/>
  <c r="E507" i="9"/>
  <c r="D507" i="9"/>
  <c r="F506" i="9"/>
  <c r="E506" i="9"/>
  <c r="D506" i="9"/>
  <c r="F505" i="9"/>
  <c r="E505" i="9"/>
  <c r="D505" i="9"/>
  <c r="F504" i="9"/>
  <c r="E504" i="9"/>
  <c r="D504" i="9"/>
  <c r="F503" i="9"/>
  <c r="E503" i="9"/>
  <c r="D503" i="9"/>
  <c r="F502" i="9"/>
  <c r="E502" i="9"/>
  <c r="D502" i="9"/>
  <c r="F501" i="9"/>
  <c r="E501" i="9"/>
  <c r="D501" i="9"/>
  <c r="F500" i="9"/>
  <c r="E500" i="9"/>
  <c r="D500" i="9"/>
  <c r="F499" i="9"/>
  <c r="E499" i="9"/>
  <c r="D499" i="9"/>
  <c r="F498" i="9"/>
  <c r="E498" i="9"/>
  <c r="D498" i="9"/>
  <c r="F497" i="9"/>
  <c r="E497" i="9"/>
  <c r="D497" i="9"/>
  <c r="F496" i="9"/>
  <c r="E496" i="9"/>
  <c r="D496" i="9"/>
  <c r="F495" i="9"/>
  <c r="E495" i="9"/>
  <c r="D495" i="9"/>
  <c r="F494" i="9"/>
  <c r="E494" i="9"/>
  <c r="D494" i="9"/>
  <c r="F493" i="9"/>
  <c r="E493" i="9"/>
  <c r="D493" i="9"/>
  <c r="F492" i="9"/>
  <c r="E492" i="9"/>
  <c r="D492" i="9"/>
  <c r="F491" i="9"/>
  <c r="E491" i="9"/>
  <c r="D491" i="9"/>
  <c r="F490" i="9"/>
  <c r="E490" i="9"/>
  <c r="D490" i="9"/>
  <c r="F489" i="9"/>
  <c r="E489" i="9"/>
  <c r="D489" i="9"/>
  <c r="F488" i="9"/>
  <c r="E488" i="9"/>
  <c r="D488" i="9"/>
  <c r="F487" i="9"/>
  <c r="E487" i="9"/>
  <c r="D487" i="9"/>
  <c r="F486" i="9"/>
  <c r="E486" i="9"/>
  <c r="D486" i="9"/>
  <c r="F485" i="9"/>
  <c r="E485" i="9"/>
  <c r="D485" i="9"/>
  <c r="F484" i="9"/>
  <c r="E484" i="9"/>
  <c r="D484" i="9"/>
  <c r="F483" i="9"/>
  <c r="E483" i="9"/>
  <c r="D483" i="9"/>
  <c r="F482" i="9"/>
  <c r="E482" i="9"/>
  <c r="D482" i="9"/>
  <c r="F481" i="9"/>
  <c r="E481" i="9"/>
  <c r="D481" i="9"/>
  <c r="F480" i="9"/>
  <c r="E480" i="9"/>
  <c r="D480" i="9"/>
  <c r="F479" i="9"/>
  <c r="E479" i="9"/>
  <c r="D479" i="9"/>
  <c r="F478" i="9"/>
  <c r="E478" i="9"/>
  <c r="D478" i="9"/>
  <c r="F477" i="9"/>
  <c r="E477" i="9"/>
  <c r="D477" i="9"/>
  <c r="F476" i="9"/>
  <c r="E476" i="9"/>
  <c r="D476" i="9"/>
  <c r="F475" i="9"/>
  <c r="E475" i="9"/>
  <c r="D475" i="9"/>
  <c r="F474" i="9"/>
  <c r="E474" i="9"/>
  <c r="D474" i="9"/>
  <c r="F473" i="9"/>
  <c r="E473" i="9"/>
  <c r="D473" i="9"/>
  <c r="F472" i="9"/>
  <c r="E472" i="9"/>
  <c r="D472" i="9"/>
  <c r="F471" i="9"/>
  <c r="E471" i="9"/>
  <c r="D471" i="9"/>
  <c r="F470" i="9"/>
  <c r="E470" i="9"/>
  <c r="D470" i="9"/>
  <c r="F469" i="9"/>
  <c r="E469" i="9"/>
  <c r="D469" i="9"/>
  <c r="F468" i="9"/>
  <c r="E468" i="9"/>
  <c r="D468" i="9"/>
  <c r="F467" i="9"/>
  <c r="E467" i="9"/>
  <c r="D467" i="9"/>
  <c r="F466" i="9"/>
  <c r="E466" i="9"/>
  <c r="D466" i="9"/>
  <c r="F465" i="9"/>
  <c r="E465" i="9"/>
  <c r="D465" i="9"/>
  <c r="F464" i="9"/>
  <c r="E464" i="9"/>
  <c r="D464" i="9"/>
  <c r="F463" i="9"/>
  <c r="E463" i="9"/>
  <c r="D463" i="9"/>
  <c r="F462" i="9"/>
  <c r="E462" i="9"/>
  <c r="D462" i="9"/>
  <c r="F461" i="9"/>
  <c r="E461" i="9"/>
  <c r="D461" i="9"/>
  <c r="F460" i="9"/>
  <c r="E460" i="9"/>
  <c r="D460" i="9"/>
  <c r="F459" i="9"/>
  <c r="E459" i="9"/>
  <c r="D459" i="9"/>
  <c r="F458" i="9"/>
  <c r="E458" i="9"/>
  <c r="D458" i="9"/>
  <c r="F457" i="9"/>
  <c r="E457" i="9"/>
  <c r="D457" i="9"/>
  <c r="F456" i="9"/>
  <c r="E456" i="9"/>
  <c r="D456" i="9"/>
  <c r="F455" i="9"/>
  <c r="E455" i="9"/>
  <c r="D455" i="9"/>
  <c r="F454" i="9"/>
  <c r="E454" i="9"/>
  <c r="D454" i="9"/>
  <c r="F453" i="9"/>
  <c r="E453" i="9"/>
  <c r="D453" i="9"/>
  <c r="F452" i="9"/>
  <c r="E452" i="9"/>
  <c r="D452" i="9"/>
  <c r="F451" i="9"/>
  <c r="E451" i="9"/>
  <c r="D451" i="9"/>
  <c r="F450" i="9"/>
  <c r="E450" i="9"/>
  <c r="D450" i="9"/>
  <c r="F449" i="9"/>
  <c r="E449" i="9"/>
  <c r="D449" i="9"/>
  <c r="F448" i="9"/>
  <c r="E448" i="9"/>
  <c r="D448" i="9"/>
  <c r="F447" i="9"/>
  <c r="E447" i="9"/>
  <c r="D447" i="9"/>
  <c r="F446" i="9"/>
  <c r="E446" i="9"/>
  <c r="D446" i="9"/>
  <c r="F445" i="9"/>
  <c r="E445" i="9"/>
  <c r="D445" i="9"/>
  <c r="F444" i="9"/>
  <c r="E444" i="9"/>
  <c r="D444" i="9"/>
  <c r="F443" i="9"/>
  <c r="E443" i="9"/>
  <c r="D443" i="9"/>
  <c r="F442" i="9"/>
  <c r="E442" i="9"/>
  <c r="D442" i="9"/>
  <c r="F441" i="9"/>
  <c r="E441" i="9"/>
  <c r="D441" i="9"/>
  <c r="F440" i="9"/>
  <c r="E440" i="9"/>
  <c r="D440" i="9"/>
  <c r="F439" i="9"/>
  <c r="E439" i="9"/>
  <c r="D439" i="9"/>
  <c r="F438" i="9"/>
  <c r="E438" i="9"/>
  <c r="D438" i="9"/>
  <c r="F437" i="9"/>
  <c r="E437" i="9"/>
  <c r="D437" i="9"/>
  <c r="F436" i="9"/>
  <c r="E436" i="9"/>
  <c r="D436" i="9"/>
  <c r="F435" i="9"/>
  <c r="E435" i="9"/>
  <c r="D435" i="9"/>
  <c r="F434" i="9"/>
  <c r="E434" i="9"/>
  <c r="D434" i="9"/>
  <c r="F433" i="9"/>
  <c r="E433" i="9"/>
  <c r="D433" i="9"/>
  <c r="F432" i="9"/>
  <c r="E432" i="9"/>
  <c r="D432" i="9"/>
  <c r="F431" i="9"/>
  <c r="E431" i="9"/>
  <c r="D431" i="9"/>
  <c r="F430" i="9"/>
  <c r="E430" i="9"/>
  <c r="D430" i="9"/>
  <c r="F429" i="9"/>
  <c r="E429" i="9"/>
  <c r="D429" i="9"/>
  <c r="F428" i="9"/>
  <c r="E428" i="9"/>
  <c r="D428" i="9"/>
  <c r="F427" i="9"/>
  <c r="E427" i="9"/>
  <c r="D427" i="9"/>
  <c r="F426" i="9"/>
  <c r="E426" i="9"/>
  <c r="D426" i="9"/>
  <c r="F425" i="9"/>
  <c r="E425" i="9"/>
  <c r="D425" i="9"/>
  <c r="F424" i="9"/>
  <c r="E424" i="9"/>
  <c r="D424" i="9"/>
  <c r="F423" i="9"/>
  <c r="E423" i="9"/>
  <c r="D423" i="9"/>
  <c r="F422" i="9"/>
  <c r="E422" i="9"/>
  <c r="D422" i="9"/>
  <c r="F421" i="9"/>
  <c r="E421" i="9"/>
  <c r="D421" i="9"/>
  <c r="F420" i="9"/>
  <c r="E420" i="9"/>
  <c r="D420" i="9"/>
  <c r="F419" i="9"/>
  <c r="E419" i="9"/>
  <c r="D419" i="9"/>
  <c r="F418" i="9"/>
  <c r="E418" i="9"/>
  <c r="D418" i="9"/>
  <c r="F417" i="9"/>
  <c r="E417" i="9"/>
  <c r="D417" i="9"/>
  <c r="F416" i="9"/>
  <c r="E416" i="9"/>
  <c r="D416" i="9"/>
  <c r="F415" i="9"/>
  <c r="E415" i="9"/>
  <c r="D415" i="9"/>
  <c r="F414" i="9"/>
  <c r="E414" i="9"/>
  <c r="D414" i="9"/>
  <c r="F413" i="9"/>
  <c r="E413" i="9"/>
  <c r="D413" i="9"/>
  <c r="F412" i="9"/>
  <c r="E412" i="9"/>
  <c r="D412" i="9"/>
  <c r="F411" i="9"/>
  <c r="E411" i="9"/>
  <c r="D411" i="9"/>
  <c r="F410" i="9"/>
  <c r="E410" i="9"/>
  <c r="D410" i="9"/>
  <c r="F409" i="9"/>
  <c r="E409" i="9"/>
  <c r="D409" i="9"/>
  <c r="F408" i="9"/>
  <c r="E408" i="9"/>
  <c r="D408" i="9"/>
  <c r="F407" i="9"/>
  <c r="E407" i="9"/>
  <c r="D407" i="9"/>
  <c r="F406" i="9"/>
  <c r="E406" i="9"/>
  <c r="D406" i="9"/>
  <c r="F405" i="9"/>
  <c r="E405" i="9"/>
  <c r="D405" i="9"/>
  <c r="F404" i="9"/>
  <c r="E404" i="9"/>
  <c r="D404" i="9"/>
  <c r="F403" i="9"/>
  <c r="E403" i="9"/>
  <c r="D403" i="9"/>
  <c r="F402" i="9"/>
  <c r="E402" i="9"/>
  <c r="D402" i="9"/>
  <c r="F401" i="9"/>
  <c r="E401" i="9"/>
  <c r="D401" i="9"/>
  <c r="F400" i="9"/>
  <c r="E400" i="9"/>
  <c r="D400" i="9"/>
  <c r="F399" i="9"/>
  <c r="E399" i="9"/>
  <c r="D399" i="9"/>
  <c r="F398" i="9"/>
  <c r="E398" i="9"/>
  <c r="D398" i="9"/>
  <c r="F397" i="9"/>
  <c r="E397" i="9"/>
  <c r="D397" i="9"/>
  <c r="F396" i="9"/>
  <c r="E396" i="9"/>
  <c r="D396" i="9"/>
  <c r="F395" i="9"/>
  <c r="E395" i="9"/>
  <c r="D395" i="9"/>
  <c r="F394" i="9"/>
  <c r="E394" i="9"/>
  <c r="D394" i="9"/>
  <c r="F393" i="9"/>
  <c r="E393" i="9"/>
  <c r="D393" i="9"/>
  <c r="F392" i="9"/>
  <c r="E392" i="9"/>
  <c r="D392" i="9"/>
  <c r="F391" i="9"/>
  <c r="E391" i="9"/>
  <c r="D391" i="9"/>
  <c r="F390" i="9"/>
  <c r="E390" i="9"/>
  <c r="D390" i="9"/>
  <c r="F389" i="9"/>
  <c r="E389" i="9"/>
  <c r="D389" i="9"/>
  <c r="F388" i="9"/>
  <c r="E388" i="9"/>
  <c r="D388" i="9"/>
  <c r="F387" i="9"/>
  <c r="E387" i="9"/>
  <c r="D387" i="9"/>
  <c r="F386" i="9"/>
  <c r="E386" i="9"/>
  <c r="D386" i="9"/>
  <c r="F385" i="9"/>
  <c r="E385" i="9"/>
  <c r="D385" i="9"/>
  <c r="F384" i="9"/>
  <c r="E384" i="9"/>
  <c r="D384" i="9"/>
  <c r="F383" i="9"/>
  <c r="E383" i="9"/>
  <c r="D383" i="9"/>
  <c r="F382" i="9"/>
  <c r="E382" i="9"/>
  <c r="D382" i="9"/>
  <c r="F381" i="9"/>
  <c r="E381" i="9"/>
  <c r="D381" i="9"/>
  <c r="F380" i="9"/>
  <c r="E380" i="9"/>
  <c r="D380" i="9"/>
  <c r="F379" i="9"/>
  <c r="E379" i="9"/>
  <c r="D379" i="9"/>
  <c r="F378" i="9"/>
  <c r="E378" i="9"/>
  <c r="D378" i="9"/>
  <c r="F377" i="9"/>
  <c r="E377" i="9"/>
  <c r="D377" i="9"/>
  <c r="F376" i="9"/>
  <c r="E376" i="9"/>
  <c r="D376" i="9"/>
  <c r="F375" i="9"/>
  <c r="E375" i="9"/>
  <c r="D375" i="9"/>
  <c r="F374" i="9"/>
  <c r="E374" i="9"/>
  <c r="D374" i="9"/>
  <c r="F373" i="9"/>
  <c r="E373" i="9"/>
  <c r="D373" i="9"/>
  <c r="F372" i="9"/>
  <c r="E372" i="9"/>
  <c r="D372" i="9"/>
  <c r="F371" i="9"/>
  <c r="E371" i="9"/>
  <c r="D371" i="9"/>
  <c r="F370" i="9"/>
  <c r="E370" i="9"/>
  <c r="D370" i="9"/>
  <c r="F369" i="9"/>
  <c r="E369" i="9"/>
  <c r="D369" i="9"/>
  <c r="F368" i="9"/>
  <c r="E368" i="9"/>
  <c r="D368" i="9"/>
  <c r="F367" i="9"/>
  <c r="E367" i="9"/>
  <c r="D367" i="9"/>
  <c r="F366" i="9"/>
  <c r="E366" i="9"/>
  <c r="D366" i="9"/>
  <c r="F365" i="9"/>
  <c r="E365" i="9"/>
  <c r="D365" i="9"/>
  <c r="F364" i="9"/>
  <c r="E364" i="9"/>
  <c r="D364" i="9"/>
  <c r="F363" i="9"/>
  <c r="E363" i="9"/>
  <c r="D363" i="9"/>
  <c r="F362" i="9"/>
  <c r="E362" i="9"/>
  <c r="D362" i="9"/>
  <c r="F361" i="9"/>
  <c r="E361" i="9"/>
  <c r="D361" i="9"/>
  <c r="F360" i="9"/>
  <c r="E360" i="9"/>
  <c r="D360" i="9"/>
  <c r="F359" i="9"/>
  <c r="E359" i="9"/>
  <c r="D359" i="9"/>
  <c r="F358" i="9"/>
  <c r="E358" i="9"/>
  <c r="D358" i="9"/>
  <c r="F357" i="9"/>
  <c r="E357" i="9"/>
  <c r="D357" i="9"/>
  <c r="F356" i="9"/>
  <c r="E356" i="9"/>
  <c r="D356" i="9"/>
  <c r="F355" i="9"/>
  <c r="E355" i="9"/>
  <c r="D355" i="9"/>
  <c r="F354" i="9"/>
  <c r="E354" i="9"/>
  <c r="D354" i="9"/>
  <c r="F353" i="9"/>
  <c r="E353" i="9"/>
  <c r="D353" i="9"/>
  <c r="F352" i="9"/>
  <c r="E352" i="9"/>
  <c r="D352" i="9"/>
  <c r="F351" i="9"/>
  <c r="E351" i="9"/>
  <c r="D351" i="9"/>
  <c r="F350" i="9"/>
  <c r="E350" i="9"/>
  <c r="D350" i="9"/>
  <c r="F349" i="9"/>
  <c r="E349" i="9"/>
  <c r="D349" i="9"/>
  <c r="F348" i="9"/>
  <c r="E348" i="9"/>
  <c r="D348" i="9"/>
  <c r="F347" i="9"/>
  <c r="E347" i="9"/>
  <c r="D347" i="9"/>
  <c r="F346" i="9"/>
  <c r="E346" i="9"/>
  <c r="D346" i="9"/>
  <c r="F345" i="9"/>
  <c r="E345" i="9"/>
  <c r="D345" i="9"/>
  <c r="F344" i="9"/>
  <c r="E344" i="9"/>
  <c r="D344" i="9"/>
  <c r="F343" i="9"/>
  <c r="E343" i="9"/>
  <c r="D343" i="9"/>
  <c r="F342" i="9"/>
  <c r="E342" i="9"/>
  <c r="D342" i="9"/>
  <c r="F341" i="9"/>
  <c r="E341" i="9"/>
  <c r="D341" i="9"/>
  <c r="F340" i="9"/>
  <c r="E340" i="9"/>
  <c r="D340" i="9"/>
  <c r="F339" i="9"/>
  <c r="E339" i="9"/>
  <c r="D339" i="9"/>
  <c r="F338" i="9"/>
  <c r="E338" i="9"/>
  <c r="D338" i="9"/>
  <c r="F337" i="9"/>
  <c r="E337" i="9"/>
  <c r="D337" i="9"/>
  <c r="F336" i="9"/>
  <c r="E336" i="9"/>
  <c r="D336" i="9"/>
  <c r="F335" i="9"/>
  <c r="E335" i="9"/>
  <c r="D335" i="9"/>
  <c r="F334" i="9"/>
  <c r="E334" i="9"/>
  <c r="D334" i="9"/>
  <c r="F333" i="9"/>
  <c r="E333" i="9"/>
  <c r="D333" i="9"/>
  <c r="F332" i="9"/>
  <c r="E332" i="9"/>
  <c r="D332" i="9"/>
  <c r="F331" i="9"/>
  <c r="E331" i="9"/>
  <c r="D331" i="9"/>
  <c r="F330" i="9"/>
  <c r="E330" i="9"/>
  <c r="D330" i="9"/>
  <c r="F329" i="9"/>
  <c r="E329" i="9"/>
  <c r="D329" i="9"/>
  <c r="F328" i="9"/>
  <c r="E328" i="9"/>
  <c r="D328" i="9"/>
  <c r="F327" i="9"/>
  <c r="E327" i="9"/>
  <c r="D327" i="9"/>
  <c r="F326" i="9"/>
  <c r="E326" i="9"/>
  <c r="D326" i="9"/>
  <c r="F325" i="9"/>
  <c r="E325" i="9"/>
  <c r="D325" i="9"/>
  <c r="F324" i="9"/>
  <c r="E324" i="9"/>
  <c r="D324" i="9"/>
  <c r="F323" i="9"/>
  <c r="E323" i="9"/>
  <c r="D323" i="9"/>
  <c r="F322" i="9"/>
  <c r="E322" i="9"/>
  <c r="D322" i="9"/>
  <c r="F321" i="9"/>
  <c r="E321" i="9"/>
  <c r="D321" i="9"/>
  <c r="F320" i="9"/>
  <c r="E320" i="9"/>
  <c r="D320" i="9"/>
  <c r="F319" i="9"/>
  <c r="E319" i="9"/>
  <c r="D319" i="9"/>
  <c r="F318" i="9"/>
  <c r="E318" i="9"/>
  <c r="D318" i="9"/>
  <c r="F317" i="9"/>
  <c r="E317" i="9"/>
  <c r="D317" i="9"/>
  <c r="F316" i="9"/>
  <c r="E316" i="9"/>
  <c r="D316" i="9"/>
  <c r="F315" i="9"/>
  <c r="E315" i="9"/>
  <c r="D315" i="9"/>
  <c r="F314" i="9"/>
  <c r="E314" i="9"/>
  <c r="D314" i="9"/>
  <c r="F313" i="9"/>
  <c r="E313" i="9"/>
  <c r="D313" i="9"/>
  <c r="F312" i="9"/>
  <c r="E312" i="9"/>
  <c r="D312" i="9"/>
  <c r="F311" i="9"/>
  <c r="E311" i="9"/>
  <c r="D311" i="9"/>
  <c r="F310" i="9"/>
  <c r="E310" i="9"/>
  <c r="D310" i="9"/>
  <c r="F309" i="9"/>
  <c r="E309" i="9"/>
  <c r="D309" i="9"/>
  <c r="F308" i="9"/>
  <c r="E308" i="9"/>
  <c r="D308" i="9"/>
  <c r="F307" i="9"/>
  <c r="E307" i="9"/>
  <c r="D307" i="9"/>
  <c r="F306" i="9"/>
  <c r="E306" i="9"/>
  <c r="D306" i="9"/>
  <c r="F305" i="9"/>
  <c r="E305" i="9"/>
  <c r="D305" i="9"/>
  <c r="F304" i="9"/>
  <c r="E304" i="9"/>
  <c r="D304" i="9"/>
  <c r="F303" i="9"/>
  <c r="E303" i="9"/>
  <c r="D303" i="9"/>
  <c r="F302" i="9"/>
  <c r="E302" i="9"/>
  <c r="D302" i="9"/>
  <c r="F301" i="9"/>
  <c r="E301" i="9"/>
  <c r="D301" i="9"/>
  <c r="F300" i="9"/>
  <c r="E300" i="9"/>
  <c r="D300" i="9"/>
  <c r="F299" i="9"/>
  <c r="E299" i="9"/>
  <c r="D299" i="9"/>
  <c r="F298" i="9"/>
  <c r="E298" i="9"/>
  <c r="D298" i="9"/>
  <c r="F297" i="9"/>
  <c r="E297" i="9"/>
  <c r="D297" i="9"/>
  <c r="F296" i="9"/>
  <c r="E296" i="9"/>
  <c r="D296" i="9"/>
  <c r="F295" i="9"/>
  <c r="E295" i="9"/>
  <c r="D295" i="9"/>
  <c r="F294" i="9"/>
  <c r="E294" i="9"/>
  <c r="D294" i="9"/>
  <c r="F293" i="9"/>
  <c r="E293" i="9"/>
  <c r="D293" i="9"/>
  <c r="F292" i="9"/>
  <c r="E292" i="9"/>
  <c r="D292" i="9"/>
  <c r="F291" i="9"/>
  <c r="E291" i="9"/>
  <c r="D291" i="9"/>
  <c r="F290" i="9"/>
  <c r="E290" i="9"/>
  <c r="D290" i="9"/>
  <c r="F289" i="9"/>
  <c r="E289" i="9"/>
  <c r="D289" i="9"/>
  <c r="F288" i="9"/>
  <c r="E288" i="9"/>
  <c r="D288" i="9"/>
  <c r="F287" i="9"/>
  <c r="E287" i="9"/>
  <c r="D287" i="9"/>
  <c r="F286" i="9"/>
  <c r="E286" i="9"/>
  <c r="D286" i="9"/>
  <c r="F285" i="9"/>
  <c r="E285" i="9"/>
  <c r="D285" i="9"/>
  <c r="F284" i="9"/>
  <c r="E284" i="9"/>
  <c r="D284" i="9"/>
  <c r="F283" i="9"/>
  <c r="E283" i="9"/>
  <c r="D283" i="9"/>
  <c r="F282" i="9"/>
  <c r="E282" i="9"/>
  <c r="D282" i="9"/>
  <c r="F281" i="9"/>
  <c r="E281" i="9"/>
  <c r="D281" i="9"/>
  <c r="F280" i="9"/>
  <c r="E280" i="9"/>
  <c r="D280" i="9"/>
  <c r="F279" i="9"/>
  <c r="E279" i="9"/>
  <c r="D279" i="9"/>
  <c r="F278" i="9"/>
  <c r="E278" i="9"/>
  <c r="D278" i="9"/>
  <c r="F277" i="9"/>
  <c r="E277" i="9"/>
  <c r="D277" i="9"/>
  <c r="F276" i="9"/>
  <c r="E276" i="9"/>
  <c r="D276" i="9"/>
  <c r="F275" i="9"/>
  <c r="E275" i="9"/>
  <c r="D275" i="9"/>
  <c r="F274" i="9"/>
  <c r="E274" i="9"/>
  <c r="D274" i="9"/>
  <c r="F273" i="9"/>
  <c r="E273" i="9"/>
  <c r="D273" i="9"/>
  <c r="F272" i="9"/>
  <c r="E272" i="9"/>
  <c r="D272" i="9"/>
  <c r="F271" i="9"/>
  <c r="E271" i="9"/>
  <c r="D271" i="9"/>
  <c r="F270" i="9"/>
  <c r="E270" i="9"/>
  <c r="D270" i="9"/>
  <c r="F269" i="9"/>
  <c r="E269" i="9"/>
  <c r="D269" i="9"/>
  <c r="F268" i="9"/>
  <c r="E268" i="9"/>
  <c r="D268" i="9"/>
  <c r="F267" i="9"/>
  <c r="E267" i="9"/>
  <c r="D267" i="9"/>
  <c r="F266" i="9"/>
  <c r="E266" i="9"/>
  <c r="D266" i="9"/>
  <c r="F265" i="9"/>
  <c r="E265" i="9"/>
  <c r="D265" i="9"/>
  <c r="F264" i="9"/>
  <c r="E264" i="9"/>
  <c r="D264" i="9"/>
  <c r="F263" i="9"/>
  <c r="E263" i="9"/>
  <c r="D263" i="9"/>
  <c r="F262" i="9"/>
  <c r="E262" i="9"/>
  <c r="D262" i="9"/>
  <c r="F261" i="9"/>
  <c r="E261" i="9"/>
  <c r="D261" i="9"/>
  <c r="F260" i="9"/>
  <c r="E260" i="9"/>
  <c r="D260" i="9"/>
  <c r="F259" i="9"/>
  <c r="E259" i="9"/>
  <c r="D259" i="9"/>
  <c r="F258" i="9"/>
  <c r="E258" i="9"/>
  <c r="D258" i="9"/>
  <c r="F257" i="9"/>
  <c r="E257" i="9"/>
  <c r="D257" i="9"/>
  <c r="F256" i="9"/>
  <c r="E256" i="9"/>
  <c r="D256" i="9"/>
  <c r="F255" i="9"/>
  <c r="E255" i="9"/>
  <c r="D255" i="9"/>
  <c r="F254" i="9"/>
  <c r="E254" i="9"/>
  <c r="D254" i="9"/>
  <c r="F253" i="9"/>
  <c r="E253" i="9"/>
  <c r="D253" i="9"/>
  <c r="F252" i="9"/>
  <c r="E252" i="9"/>
  <c r="D252" i="9"/>
  <c r="F251" i="9"/>
  <c r="E251" i="9"/>
  <c r="D251" i="9"/>
  <c r="F250" i="9"/>
  <c r="E250" i="9"/>
  <c r="D250" i="9"/>
  <c r="F249" i="9"/>
  <c r="E249" i="9"/>
  <c r="D249" i="9"/>
  <c r="F248" i="9"/>
  <c r="E248" i="9"/>
  <c r="D248" i="9"/>
  <c r="F247" i="9"/>
  <c r="E247" i="9"/>
  <c r="D247" i="9"/>
  <c r="F246" i="9"/>
  <c r="E246" i="9"/>
  <c r="D246" i="9"/>
  <c r="F245" i="9"/>
  <c r="E245" i="9"/>
  <c r="D245" i="9"/>
  <c r="F244" i="9"/>
  <c r="E244" i="9"/>
  <c r="D244" i="9"/>
  <c r="F243" i="9"/>
  <c r="E243" i="9"/>
  <c r="D243" i="9"/>
  <c r="F242" i="9"/>
  <c r="E242" i="9"/>
  <c r="D242" i="9"/>
  <c r="F241" i="9"/>
  <c r="E241" i="9"/>
  <c r="D241" i="9"/>
  <c r="F240" i="9"/>
  <c r="E240" i="9"/>
  <c r="D240" i="9"/>
  <c r="F239" i="9"/>
  <c r="E239" i="9"/>
  <c r="D239" i="9"/>
  <c r="F238" i="9"/>
  <c r="E238" i="9"/>
  <c r="D238" i="9"/>
  <c r="F237" i="9"/>
  <c r="E237" i="9"/>
  <c r="D237" i="9"/>
  <c r="F236" i="9"/>
  <c r="E236" i="9"/>
  <c r="D236" i="9"/>
  <c r="F235" i="9"/>
  <c r="E235" i="9"/>
  <c r="D235" i="9"/>
  <c r="F234" i="9"/>
  <c r="E234" i="9"/>
  <c r="D234" i="9"/>
  <c r="F233" i="9"/>
  <c r="E233" i="9"/>
  <c r="D233" i="9"/>
  <c r="F232" i="9"/>
  <c r="E232" i="9"/>
  <c r="D232" i="9"/>
  <c r="F231" i="9"/>
  <c r="E231" i="9"/>
  <c r="D231" i="9"/>
  <c r="F230" i="9"/>
  <c r="E230" i="9"/>
  <c r="D230" i="9"/>
  <c r="F229" i="9"/>
  <c r="E229" i="9"/>
  <c r="D229" i="9"/>
  <c r="F228" i="9"/>
  <c r="E228" i="9"/>
  <c r="D228" i="9"/>
  <c r="F227" i="9"/>
  <c r="E227" i="9"/>
  <c r="D227" i="9"/>
  <c r="F226" i="9"/>
  <c r="E226" i="9"/>
  <c r="D226" i="9"/>
  <c r="F225" i="9"/>
  <c r="E225" i="9"/>
  <c r="D225" i="9"/>
  <c r="F224" i="9"/>
  <c r="E224" i="9"/>
  <c r="D224" i="9"/>
  <c r="F223" i="9"/>
  <c r="E223" i="9"/>
  <c r="D223" i="9"/>
  <c r="F222" i="9"/>
  <c r="E222" i="9"/>
  <c r="D222" i="9"/>
  <c r="F221" i="9"/>
  <c r="E221" i="9"/>
  <c r="D221" i="9"/>
  <c r="F220" i="9"/>
  <c r="E220" i="9"/>
  <c r="D220" i="9"/>
  <c r="F219" i="9"/>
  <c r="E219" i="9"/>
  <c r="D219" i="9"/>
  <c r="F218" i="9"/>
  <c r="E218" i="9"/>
  <c r="D218" i="9"/>
  <c r="F217" i="9"/>
  <c r="E217" i="9"/>
  <c r="D217" i="9"/>
  <c r="F216" i="9"/>
  <c r="E216" i="9"/>
  <c r="D216" i="9"/>
  <c r="F215" i="9"/>
  <c r="E215" i="9"/>
  <c r="D215" i="9"/>
  <c r="F214" i="9"/>
  <c r="E214" i="9"/>
  <c r="D214" i="9"/>
  <c r="F213" i="9"/>
  <c r="E213" i="9"/>
  <c r="D213" i="9"/>
  <c r="F212" i="9"/>
  <c r="E212" i="9"/>
  <c r="D212" i="9"/>
  <c r="F211" i="9"/>
  <c r="E211" i="9"/>
  <c r="D211" i="9"/>
  <c r="F210" i="9"/>
  <c r="E210" i="9"/>
  <c r="D210" i="9"/>
  <c r="F209" i="9"/>
  <c r="E209" i="9"/>
  <c r="D209" i="9"/>
  <c r="F208" i="9"/>
  <c r="E208" i="9"/>
  <c r="D208" i="9"/>
  <c r="F207" i="9"/>
  <c r="E207" i="9"/>
  <c r="D207" i="9"/>
  <c r="F206" i="9"/>
  <c r="E206" i="9"/>
  <c r="D206" i="9"/>
  <c r="F205" i="9"/>
  <c r="E205" i="9"/>
  <c r="D205" i="9"/>
  <c r="F204" i="9"/>
  <c r="E204" i="9"/>
  <c r="D204" i="9"/>
  <c r="F203" i="9"/>
  <c r="E203" i="9"/>
  <c r="D203" i="9"/>
  <c r="F202" i="9"/>
  <c r="E202" i="9"/>
  <c r="D202" i="9"/>
  <c r="F201" i="9"/>
  <c r="E201" i="9"/>
  <c r="D201" i="9"/>
  <c r="F200" i="9"/>
  <c r="E200" i="9"/>
  <c r="D200" i="9"/>
  <c r="F199" i="9"/>
  <c r="E199" i="9"/>
  <c r="D199" i="9"/>
  <c r="F198" i="9"/>
  <c r="E198" i="9"/>
  <c r="D198" i="9"/>
  <c r="F197" i="9"/>
  <c r="E197" i="9"/>
  <c r="D197" i="9"/>
  <c r="F196" i="9"/>
  <c r="E196" i="9"/>
  <c r="D196" i="9"/>
  <c r="F195" i="9"/>
  <c r="E195" i="9"/>
  <c r="D195" i="9"/>
  <c r="F194" i="9"/>
  <c r="E194" i="9"/>
  <c r="D194" i="9"/>
  <c r="F193" i="9"/>
  <c r="E193" i="9"/>
  <c r="D193" i="9"/>
  <c r="F192" i="9"/>
  <c r="E192" i="9"/>
  <c r="D192" i="9"/>
  <c r="F191" i="9"/>
  <c r="E191" i="9"/>
  <c r="D191" i="9"/>
  <c r="F190" i="9"/>
  <c r="E190" i="9"/>
  <c r="D190" i="9"/>
  <c r="F189" i="9"/>
  <c r="E189" i="9"/>
  <c r="D189" i="9"/>
  <c r="F188" i="9"/>
  <c r="E188" i="9"/>
  <c r="D188" i="9"/>
  <c r="F187" i="9"/>
  <c r="E187" i="9"/>
  <c r="D187" i="9"/>
  <c r="F186" i="9"/>
  <c r="E186" i="9"/>
  <c r="D186" i="9"/>
  <c r="F185" i="9"/>
  <c r="E185" i="9"/>
  <c r="D185" i="9"/>
  <c r="F184" i="9"/>
  <c r="E184" i="9"/>
  <c r="D184" i="9"/>
  <c r="F183" i="9"/>
  <c r="E183" i="9"/>
  <c r="D183" i="9"/>
  <c r="F182" i="9"/>
  <c r="E182" i="9"/>
  <c r="D182" i="9"/>
  <c r="F181" i="9"/>
  <c r="E181" i="9"/>
  <c r="D181" i="9"/>
  <c r="F180" i="9"/>
  <c r="E180" i="9"/>
  <c r="D180" i="9"/>
  <c r="F179" i="9"/>
  <c r="E179" i="9"/>
  <c r="D179" i="9"/>
  <c r="F178" i="9"/>
  <c r="E178" i="9"/>
  <c r="D178" i="9"/>
  <c r="F177" i="9"/>
  <c r="E177" i="9"/>
  <c r="D177" i="9"/>
  <c r="F176" i="9"/>
  <c r="E176" i="9"/>
  <c r="D176" i="9"/>
  <c r="F175" i="9"/>
  <c r="E175" i="9"/>
  <c r="D175" i="9"/>
  <c r="F174" i="9"/>
  <c r="E174" i="9"/>
  <c r="D174" i="9"/>
  <c r="F173" i="9"/>
  <c r="E173" i="9"/>
  <c r="D173" i="9"/>
  <c r="F172" i="9"/>
  <c r="E172" i="9"/>
  <c r="D172" i="9"/>
  <c r="F171" i="9"/>
  <c r="E171" i="9"/>
  <c r="D171" i="9"/>
  <c r="F170" i="9"/>
  <c r="E170" i="9"/>
  <c r="D170" i="9"/>
  <c r="F169" i="9"/>
  <c r="E169" i="9"/>
  <c r="D169" i="9"/>
  <c r="F168" i="9"/>
  <c r="E168" i="9"/>
  <c r="D168" i="9"/>
  <c r="F167" i="9"/>
  <c r="E167" i="9"/>
  <c r="D167" i="9"/>
  <c r="F166" i="9"/>
  <c r="E166" i="9"/>
  <c r="D166" i="9"/>
  <c r="F165" i="9"/>
  <c r="E165" i="9"/>
  <c r="D165" i="9"/>
  <c r="F164" i="9"/>
  <c r="E164" i="9"/>
  <c r="D164" i="9"/>
  <c r="F163" i="9"/>
  <c r="E163" i="9"/>
  <c r="D163" i="9"/>
  <c r="F162" i="9"/>
  <c r="E162" i="9"/>
  <c r="D162" i="9"/>
  <c r="F161" i="9"/>
  <c r="E161" i="9"/>
  <c r="D161" i="9"/>
  <c r="F160" i="9"/>
  <c r="E160" i="9"/>
  <c r="D160" i="9"/>
  <c r="F159" i="9"/>
  <c r="E159" i="9"/>
  <c r="D159" i="9"/>
  <c r="F158" i="9"/>
  <c r="E158" i="9"/>
  <c r="D158" i="9"/>
  <c r="F157" i="9"/>
  <c r="E157" i="9"/>
  <c r="D157" i="9"/>
  <c r="F156" i="9"/>
  <c r="E156" i="9"/>
  <c r="D156" i="9"/>
  <c r="F155" i="9"/>
  <c r="E155" i="9"/>
  <c r="D155" i="9"/>
  <c r="F154" i="9"/>
  <c r="E154" i="9"/>
  <c r="D154" i="9"/>
  <c r="F153" i="9"/>
  <c r="E153" i="9"/>
  <c r="D153" i="9"/>
  <c r="F152" i="9"/>
  <c r="E152" i="9"/>
  <c r="D152" i="9"/>
  <c r="F151" i="9"/>
  <c r="E151" i="9"/>
  <c r="D151" i="9"/>
  <c r="F150" i="9"/>
  <c r="E150" i="9"/>
  <c r="D150" i="9"/>
  <c r="F149" i="9"/>
  <c r="E149" i="9"/>
  <c r="D149" i="9"/>
  <c r="F148" i="9"/>
  <c r="E148" i="9"/>
  <c r="D148" i="9"/>
  <c r="F147" i="9"/>
  <c r="E147" i="9"/>
  <c r="D147" i="9"/>
  <c r="F146" i="9"/>
  <c r="E146" i="9"/>
  <c r="D146" i="9"/>
  <c r="F145" i="9"/>
  <c r="E145" i="9"/>
  <c r="D145" i="9"/>
  <c r="F144" i="9"/>
  <c r="E144" i="9"/>
  <c r="D144" i="9"/>
  <c r="F143" i="9"/>
  <c r="E143" i="9"/>
  <c r="D143" i="9"/>
  <c r="F142" i="9"/>
  <c r="E142" i="9"/>
  <c r="D142" i="9"/>
  <c r="F141" i="9"/>
  <c r="E141" i="9"/>
  <c r="D141" i="9"/>
  <c r="F140" i="9"/>
  <c r="E140" i="9"/>
  <c r="D140" i="9"/>
  <c r="F139" i="9"/>
  <c r="E139" i="9"/>
  <c r="D139" i="9"/>
  <c r="F138" i="9"/>
  <c r="E138" i="9"/>
  <c r="D138" i="9"/>
  <c r="F137" i="9"/>
  <c r="E137" i="9"/>
  <c r="D137" i="9"/>
  <c r="F136" i="9"/>
  <c r="E136" i="9"/>
  <c r="D136" i="9"/>
  <c r="F135" i="9"/>
  <c r="E135" i="9"/>
  <c r="D135" i="9"/>
  <c r="F134" i="9"/>
  <c r="E134" i="9"/>
  <c r="D134" i="9"/>
  <c r="F133" i="9"/>
  <c r="E133" i="9"/>
  <c r="D133" i="9"/>
  <c r="F132" i="9"/>
  <c r="E132" i="9"/>
  <c r="D132" i="9"/>
  <c r="F131" i="9"/>
  <c r="E131" i="9"/>
  <c r="D131" i="9"/>
  <c r="F130" i="9"/>
  <c r="E130" i="9"/>
  <c r="D130" i="9"/>
  <c r="F129" i="9"/>
  <c r="E129" i="9"/>
  <c r="D129" i="9"/>
  <c r="F128" i="9"/>
  <c r="E128" i="9"/>
  <c r="D128" i="9"/>
  <c r="F127" i="9"/>
  <c r="E127" i="9"/>
  <c r="D127" i="9"/>
  <c r="F126" i="9"/>
  <c r="E126" i="9"/>
  <c r="D126" i="9"/>
  <c r="F125" i="9"/>
  <c r="E125" i="9"/>
  <c r="D125" i="9"/>
  <c r="F124" i="9"/>
  <c r="E124" i="9"/>
  <c r="D124" i="9"/>
  <c r="F123" i="9"/>
  <c r="E123" i="9"/>
  <c r="D123" i="9"/>
  <c r="F122" i="9"/>
  <c r="E122" i="9"/>
  <c r="D122" i="9"/>
  <c r="F121" i="9"/>
  <c r="E121" i="9"/>
  <c r="D121" i="9"/>
  <c r="F120" i="9"/>
  <c r="E120" i="9"/>
  <c r="D120" i="9"/>
  <c r="F119" i="9"/>
  <c r="E119" i="9"/>
  <c r="D119" i="9"/>
  <c r="F118" i="9"/>
  <c r="E118" i="9"/>
  <c r="D118" i="9"/>
  <c r="F117" i="9"/>
  <c r="E117" i="9"/>
  <c r="D117" i="9"/>
  <c r="F116" i="9"/>
  <c r="E116" i="9"/>
  <c r="D116" i="9"/>
  <c r="F115" i="9"/>
  <c r="E115" i="9"/>
  <c r="D115" i="9"/>
  <c r="F114" i="9"/>
  <c r="E114" i="9"/>
  <c r="D114" i="9"/>
  <c r="F113" i="9"/>
  <c r="E113" i="9"/>
  <c r="D113" i="9"/>
  <c r="F112" i="9"/>
  <c r="E112" i="9"/>
  <c r="D112" i="9"/>
  <c r="F111" i="9"/>
  <c r="E111" i="9"/>
  <c r="D111" i="9"/>
  <c r="F110" i="9"/>
  <c r="E110" i="9"/>
  <c r="D110" i="9"/>
  <c r="F109" i="9"/>
  <c r="E109" i="9"/>
  <c r="D109" i="9"/>
  <c r="F108" i="9"/>
  <c r="E108" i="9"/>
  <c r="D108" i="9"/>
  <c r="F107" i="9"/>
  <c r="E107" i="9"/>
  <c r="D107" i="9"/>
  <c r="F106" i="9"/>
  <c r="E106" i="9"/>
  <c r="D106" i="9"/>
  <c r="F105" i="9"/>
  <c r="E105" i="9"/>
  <c r="D105" i="9"/>
  <c r="F104" i="9"/>
  <c r="E104" i="9"/>
  <c r="D104" i="9"/>
  <c r="F103" i="9"/>
  <c r="E103" i="9"/>
  <c r="D103" i="9"/>
  <c r="F102" i="9"/>
  <c r="E102" i="9"/>
  <c r="D102" i="9"/>
  <c r="F101" i="9"/>
  <c r="E101" i="9"/>
  <c r="D101" i="9"/>
  <c r="F100" i="9"/>
  <c r="E100" i="9"/>
  <c r="D100" i="9"/>
  <c r="F99" i="9"/>
  <c r="E99" i="9"/>
  <c r="D99" i="9"/>
  <c r="F98" i="9"/>
  <c r="E98" i="9"/>
  <c r="D98" i="9"/>
  <c r="F97" i="9"/>
  <c r="E97" i="9"/>
  <c r="D97" i="9"/>
  <c r="F96" i="9"/>
  <c r="E96" i="9"/>
  <c r="D96" i="9"/>
  <c r="F95" i="9"/>
  <c r="E95" i="9"/>
  <c r="D95" i="9"/>
  <c r="F94" i="9"/>
  <c r="E94" i="9"/>
  <c r="D94" i="9"/>
  <c r="F93" i="9"/>
  <c r="E93" i="9"/>
  <c r="D93" i="9"/>
  <c r="F92" i="9"/>
  <c r="E92" i="9"/>
  <c r="D92" i="9"/>
  <c r="F91" i="9"/>
  <c r="E91" i="9"/>
  <c r="D91" i="9"/>
  <c r="F90" i="9"/>
  <c r="E90" i="9"/>
  <c r="D90" i="9"/>
  <c r="F89" i="9"/>
  <c r="E89" i="9"/>
  <c r="D89" i="9"/>
  <c r="F88" i="9"/>
  <c r="E88" i="9"/>
  <c r="D88" i="9"/>
  <c r="F87" i="9"/>
  <c r="E87" i="9"/>
  <c r="D87" i="9"/>
  <c r="F86" i="9"/>
  <c r="E86" i="9"/>
  <c r="D86" i="9"/>
  <c r="F85" i="9"/>
  <c r="E85" i="9"/>
  <c r="D85" i="9"/>
  <c r="F84" i="9"/>
  <c r="E84" i="9"/>
  <c r="D84" i="9"/>
  <c r="F83" i="9"/>
  <c r="E83" i="9"/>
  <c r="D83" i="9"/>
  <c r="F82" i="9"/>
  <c r="E82" i="9"/>
  <c r="D82" i="9"/>
  <c r="F81" i="9"/>
  <c r="E81" i="9"/>
  <c r="D81" i="9"/>
  <c r="F80" i="9"/>
  <c r="E80" i="9"/>
  <c r="D80" i="9"/>
  <c r="F79" i="9"/>
  <c r="E79" i="9"/>
  <c r="D79" i="9"/>
  <c r="F78" i="9"/>
  <c r="E78" i="9"/>
  <c r="D78" i="9"/>
  <c r="F77" i="9"/>
  <c r="E77" i="9"/>
  <c r="D77" i="9"/>
  <c r="F76" i="9"/>
  <c r="E76" i="9"/>
  <c r="D76" i="9"/>
  <c r="F75" i="9"/>
  <c r="E75" i="9"/>
  <c r="D75" i="9"/>
  <c r="F74" i="9"/>
  <c r="E74" i="9"/>
  <c r="D74" i="9"/>
  <c r="F73" i="9"/>
  <c r="E73" i="9"/>
  <c r="D73" i="9"/>
  <c r="F72" i="9"/>
  <c r="E72" i="9"/>
  <c r="D72" i="9"/>
  <c r="F71" i="9"/>
  <c r="E71" i="9"/>
  <c r="D71" i="9"/>
  <c r="F70" i="9"/>
  <c r="E70" i="9"/>
  <c r="D70" i="9"/>
  <c r="F69" i="9"/>
  <c r="E69" i="9"/>
  <c r="D69" i="9"/>
  <c r="F68" i="9"/>
  <c r="E68" i="9"/>
  <c r="D68" i="9"/>
  <c r="F67" i="9"/>
  <c r="E67" i="9"/>
  <c r="D67" i="9"/>
  <c r="F66" i="9"/>
  <c r="E66" i="9"/>
  <c r="D66" i="9"/>
  <c r="F65" i="9"/>
  <c r="E65" i="9"/>
  <c r="D65" i="9"/>
  <c r="F64" i="9"/>
  <c r="E64" i="9"/>
  <c r="D64" i="9"/>
  <c r="F63" i="9"/>
  <c r="E63" i="9"/>
  <c r="D63" i="9"/>
  <c r="F62" i="9"/>
  <c r="E62" i="9"/>
  <c r="D62" i="9"/>
  <c r="F61" i="9"/>
  <c r="E61" i="9"/>
  <c r="D61" i="9"/>
  <c r="F60" i="9"/>
  <c r="E60" i="9"/>
  <c r="D60" i="9"/>
  <c r="F59" i="9"/>
  <c r="E59" i="9"/>
  <c r="D59" i="9"/>
  <c r="F58" i="9"/>
  <c r="E58" i="9"/>
  <c r="D58" i="9"/>
  <c r="F57" i="9"/>
  <c r="E57" i="9"/>
  <c r="D57" i="9"/>
  <c r="F56" i="9"/>
  <c r="E56" i="9"/>
  <c r="D56" i="9"/>
  <c r="F55" i="9"/>
  <c r="E55" i="9"/>
  <c r="D55" i="9"/>
  <c r="F54" i="9"/>
  <c r="E54" i="9"/>
  <c r="D54" i="9"/>
  <c r="F53" i="9"/>
  <c r="E53" i="9"/>
  <c r="D53" i="9"/>
  <c r="F52" i="9"/>
  <c r="E52" i="9"/>
  <c r="D52" i="9"/>
  <c r="F51" i="9"/>
  <c r="E51" i="9"/>
  <c r="D51" i="9"/>
  <c r="F50" i="9"/>
  <c r="E50" i="9"/>
  <c r="D50" i="9"/>
  <c r="F49" i="9"/>
  <c r="E49" i="9"/>
  <c r="D49" i="9"/>
  <c r="F48" i="9"/>
  <c r="E48" i="9"/>
  <c r="D48" i="9"/>
  <c r="F47" i="9"/>
  <c r="E47" i="9"/>
  <c r="D47" i="9"/>
  <c r="F46" i="9"/>
  <c r="E46" i="9"/>
  <c r="D46" i="9"/>
  <c r="F45" i="9"/>
  <c r="E45" i="9"/>
  <c r="D45" i="9"/>
  <c r="F44" i="9"/>
  <c r="E44" i="9"/>
  <c r="D44" i="9"/>
  <c r="F43" i="9"/>
  <c r="E43" i="9"/>
  <c r="D43" i="9"/>
  <c r="F42" i="9"/>
  <c r="E42" i="9"/>
  <c r="D42" i="9"/>
  <c r="F41" i="9"/>
  <c r="E41" i="9"/>
  <c r="D41" i="9"/>
  <c r="F40" i="9"/>
  <c r="E40" i="9"/>
  <c r="D40" i="9"/>
  <c r="F39" i="9"/>
  <c r="E39" i="9"/>
  <c r="D39" i="9"/>
  <c r="F38" i="9"/>
  <c r="E38" i="9"/>
  <c r="D38" i="9"/>
  <c r="F37" i="9"/>
  <c r="E37" i="9"/>
  <c r="D37" i="9"/>
  <c r="F36" i="9"/>
  <c r="E36" i="9"/>
  <c r="D36" i="9"/>
  <c r="F35" i="9"/>
  <c r="E35" i="9"/>
  <c r="D35" i="9"/>
  <c r="F34" i="9"/>
  <c r="E34" i="9"/>
  <c r="D34" i="9"/>
  <c r="F33" i="9"/>
  <c r="E33" i="9"/>
  <c r="D33" i="9"/>
  <c r="F32" i="9"/>
  <c r="E32" i="9"/>
  <c r="D32" i="9"/>
  <c r="F31" i="9"/>
  <c r="E31" i="9"/>
  <c r="D31" i="9"/>
  <c r="F30" i="9"/>
  <c r="E30" i="9"/>
  <c r="D30" i="9"/>
  <c r="F29" i="9"/>
  <c r="E29" i="9"/>
  <c r="D29" i="9"/>
  <c r="F28" i="9"/>
  <c r="E28" i="9"/>
  <c r="D28" i="9"/>
  <c r="F27" i="9"/>
  <c r="E27" i="9"/>
  <c r="D27" i="9"/>
  <c r="F26" i="9"/>
  <c r="E26" i="9"/>
  <c r="D26" i="9"/>
  <c r="F25" i="9"/>
  <c r="E25" i="9"/>
  <c r="D25" i="9"/>
  <c r="F24" i="9"/>
  <c r="E24" i="9"/>
  <c r="D24" i="9"/>
  <c r="F23" i="9"/>
  <c r="E23" i="9"/>
  <c r="D23" i="9"/>
  <c r="F22" i="9"/>
  <c r="E22" i="9"/>
  <c r="D22" i="9"/>
  <c r="F21" i="9"/>
  <c r="E21" i="9"/>
  <c r="D21" i="9"/>
  <c r="F20" i="9"/>
  <c r="E20" i="9"/>
  <c r="D20" i="9"/>
  <c r="F19" i="9"/>
  <c r="E19" i="9"/>
  <c r="D19" i="9"/>
  <c r="F18" i="9"/>
  <c r="E18" i="9"/>
  <c r="D18" i="9"/>
  <c r="F17" i="9"/>
  <c r="E17" i="9"/>
  <c r="D17" i="9"/>
  <c r="F16" i="9"/>
  <c r="E16" i="9"/>
  <c r="D16" i="9"/>
  <c r="F15" i="9"/>
  <c r="E15" i="9"/>
  <c r="D15" i="9"/>
  <c r="F14" i="9"/>
  <c r="E14" i="9"/>
  <c r="D14" i="9"/>
  <c r="F13" i="9"/>
  <c r="E13" i="9"/>
  <c r="D13" i="9"/>
  <c r="F12" i="9"/>
  <c r="E12" i="9"/>
  <c r="D12" i="9"/>
  <c r="F11" i="9"/>
  <c r="E11" i="9"/>
  <c r="D11" i="9"/>
  <c r="F10" i="9"/>
  <c r="E10" i="9"/>
  <c r="D10" i="9"/>
  <c r="F9" i="9"/>
  <c r="E9" i="9"/>
  <c r="D9" i="9"/>
  <c r="F8" i="9"/>
  <c r="E8" i="9"/>
  <c r="D8" i="9"/>
  <c r="F7" i="9"/>
  <c r="E7" i="9"/>
  <c r="D7" i="9"/>
  <c r="F6" i="9"/>
  <c r="E6" i="9"/>
  <c r="D6" i="9"/>
  <c r="F5" i="9"/>
  <c r="E5" i="9"/>
  <c r="D5" i="9"/>
  <c r="F4" i="9"/>
  <c r="E4" i="9"/>
  <c r="D4" i="9"/>
  <c r="F3" i="9"/>
  <c r="D3" i="9"/>
  <c r="F2" i="9"/>
  <c r="D2" i="9"/>
  <c r="J10" i="8"/>
  <c r="I10" i="8"/>
  <c r="H10" i="8"/>
  <c r="J9" i="8"/>
  <c r="I9" i="8"/>
  <c r="H9" i="8"/>
  <c r="J8" i="8"/>
  <c r="I8" i="8"/>
  <c r="H8" i="8"/>
  <c r="J7" i="8"/>
  <c r="I7" i="8"/>
  <c r="H7" i="8"/>
  <c r="J6" i="8"/>
  <c r="H6" i="8"/>
  <c r="J5" i="8"/>
  <c r="I5" i="8"/>
  <c r="H5" i="8"/>
  <c r="J4" i="8"/>
  <c r="I4" i="8"/>
  <c r="H4" i="8"/>
  <c r="J3" i="8"/>
  <c r="H3" i="8"/>
  <c r="F10" i="8"/>
  <c r="E10" i="8"/>
  <c r="F9" i="8"/>
  <c r="E9" i="8"/>
  <c r="F8" i="8"/>
  <c r="E8" i="8"/>
  <c r="F7" i="8"/>
  <c r="E7" i="8"/>
  <c r="F6" i="8"/>
  <c r="E6" i="8"/>
  <c r="F5" i="8"/>
  <c r="E5" i="8"/>
  <c r="F4" i="8"/>
  <c r="E4" i="8"/>
  <c r="F3" i="8"/>
  <c r="E3" i="8"/>
  <c r="B4" i="8"/>
  <c r="B5" i="8"/>
  <c r="B6" i="8"/>
  <c r="B7" i="8"/>
  <c r="B8" i="8"/>
  <c r="B9" i="8"/>
  <c r="B10" i="8"/>
  <c r="B3" i="8"/>
  <c r="O103" i="6"/>
  <c r="AF102" i="6"/>
  <c r="O102" i="6"/>
  <c r="M102" i="6"/>
  <c r="AF101" i="6"/>
  <c r="O101" i="6"/>
  <c r="M101" i="6"/>
  <c r="AF100" i="6"/>
  <c r="O100" i="6"/>
  <c r="M100" i="6"/>
  <c r="O99" i="6"/>
  <c r="AF98" i="6"/>
  <c r="O98" i="6"/>
  <c r="M98" i="6"/>
  <c r="AF97" i="6"/>
  <c r="O97" i="6"/>
  <c r="M97" i="6"/>
  <c r="AF96" i="6"/>
  <c r="O96" i="6"/>
  <c r="M96" i="6"/>
  <c r="AF95" i="6"/>
  <c r="O95" i="6"/>
  <c r="M95" i="6"/>
  <c r="AF94" i="6"/>
  <c r="O94" i="6"/>
  <c r="M94" i="6"/>
  <c r="O93" i="6"/>
  <c r="AF92" i="6"/>
  <c r="O92" i="6"/>
  <c r="M92" i="6"/>
  <c r="AF91" i="6"/>
  <c r="O91" i="6"/>
  <c r="M91" i="6"/>
  <c r="AF90" i="6"/>
  <c r="O90" i="6"/>
  <c r="M90" i="6"/>
  <c r="AF89" i="6"/>
  <c r="O89" i="6"/>
  <c r="M89" i="6"/>
  <c r="AF88" i="6"/>
  <c r="O88" i="6"/>
  <c r="M88" i="6"/>
  <c r="O87" i="6"/>
  <c r="AF86" i="6"/>
  <c r="O86" i="6"/>
  <c r="M86" i="6"/>
  <c r="O85" i="6"/>
  <c r="AF84" i="6"/>
  <c r="O84" i="6"/>
  <c r="M84" i="6"/>
  <c r="O83" i="6"/>
  <c r="AF82" i="6"/>
  <c r="O82" i="6"/>
  <c r="M82" i="6"/>
  <c r="AF81" i="6"/>
  <c r="O81" i="6"/>
  <c r="M81" i="6"/>
  <c r="AF80" i="6"/>
  <c r="O80" i="6"/>
  <c r="M80" i="6"/>
  <c r="O79" i="6"/>
  <c r="AF78" i="6"/>
  <c r="O78" i="6"/>
  <c r="M78" i="6"/>
  <c r="O77" i="6"/>
  <c r="AF76" i="6"/>
  <c r="O76" i="6"/>
  <c r="M76" i="6"/>
  <c r="O75" i="6"/>
  <c r="AF74" i="6"/>
  <c r="O74" i="6"/>
  <c r="M74" i="6"/>
  <c r="O73" i="6"/>
  <c r="AF72" i="6"/>
  <c r="O72" i="6"/>
  <c r="M72" i="6"/>
  <c r="AF71" i="6"/>
  <c r="O71" i="6"/>
  <c r="M71" i="6"/>
  <c r="AF70" i="6"/>
  <c r="O70" i="6"/>
  <c r="M70" i="6"/>
  <c r="AF69" i="6"/>
  <c r="O69" i="6"/>
  <c r="M69" i="6"/>
  <c r="AF68" i="6"/>
  <c r="O68" i="6"/>
  <c r="M68" i="6"/>
  <c r="O67" i="6"/>
  <c r="AF66" i="6"/>
  <c r="O66" i="6"/>
  <c r="M66" i="6"/>
  <c r="AF65" i="6"/>
  <c r="O65" i="6"/>
  <c r="M65" i="6"/>
  <c r="AF64" i="6"/>
  <c r="O64" i="6"/>
  <c r="M64" i="6"/>
  <c r="O63" i="6"/>
  <c r="AF62" i="6"/>
  <c r="O62" i="6"/>
  <c r="M62" i="6"/>
  <c r="AF61" i="6"/>
  <c r="O61" i="6"/>
  <c r="M61" i="6"/>
  <c r="AF60" i="6"/>
  <c r="O60" i="6"/>
  <c r="M60" i="6"/>
  <c r="AF59" i="6"/>
  <c r="O59" i="6"/>
  <c r="M59" i="6"/>
  <c r="AF58" i="6"/>
  <c r="O58" i="6"/>
  <c r="M58" i="6"/>
  <c r="AF57" i="6"/>
  <c r="O57" i="6"/>
  <c r="M57" i="6"/>
  <c r="AF56" i="6"/>
  <c r="O56" i="6"/>
  <c r="M56" i="6"/>
  <c r="AF55" i="6"/>
  <c r="O55" i="6"/>
  <c r="M55" i="6"/>
  <c r="AF54" i="6"/>
  <c r="O54" i="6"/>
  <c r="M54" i="6"/>
  <c r="AF53" i="6"/>
  <c r="O53" i="6"/>
  <c r="M53" i="6"/>
  <c r="AF52" i="6"/>
  <c r="O52" i="6"/>
  <c r="M52" i="6"/>
  <c r="AF51" i="6"/>
  <c r="O51" i="6"/>
  <c r="M51" i="6"/>
  <c r="AF50" i="6"/>
  <c r="O50" i="6"/>
  <c r="M50" i="6"/>
  <c r="AF49" i="6"/>
  <c r="O49" i="6"/>
  <c r="M49" i="6"/>
  <c r="AF48" i="6"/>
  <c r="O48" i="6"/>
  <c r="M48" i="6"/>
  <c r="AF47" i="6"/>
  <c r="O47" i="6"/>
  <c r="M47" i="6"/>
  <c r="AF46" i="6"/>
  <c r="O46" i="6"/>
  <c r="M46" i="6"/>
  <c r="AF45" i="6"/>
  <c r="O45" i="6"/>
  <c r="M45" i="6"/>
  <c r="AF44" i="6"/>
  <c r="O44" i="6"/>
  <c r="M44" i="6"/>
  <c r="AF43" i="6"/>
  <c r="O43" i="6"/>
  <c r="M43" i="6"/>
  <c r="AF42" i="6"/>
  <c r="O42" i="6"/>
  <c r="M42" i="6"/>
  <c r="AF41" i="6"/>
  <c r="O41" i="6"/>
  <c r="M41" i="6"/>
  <c r="AF40" i="6"/>
  <c r="O40" i="6"/>
  <c r="M40" i="6"/>
  <c r="AF39" i="6"/>
  <c r="O39" i="6"/>
  <c r="M39" i="6"/>
  <c r="AF38" i="6"/>
  <c r="O38" i="6"/>
  <c r="M38" i="6"/>
  <c r="AF37" i="6"/>
  <c r="O37" i="6"/>
  <c r="M37" i="6"/>
  <c r="AF36" i="6"/>
  <c r="O36" i="6"/>
  <c r="M36" i="6"/>
  <c r="O35" i="6"/>
  <c r="AF34" i="6"/>
  <c r="O34" i="6"/>
  <c r="M34" i="6"/>
  <c r="AF33" i="6"/>
  <c r="O33" i="6"/>
  <c r="M33" i="6"/>
  <c r="AF32" i="6"/>
  <c r="O32" i="6"/>
  <c r="M32" i="6"/>
  <c r="AF31" i="6"/>
  <c r="O31" i="6"/>
  <c r="M31" i="6"/>
  <c r="AF30" i="6"/>
  <c r="O30" i="6"/>
  <c r="M30" i="6"/>
  <c r="O29" i="6"/>
  <c r="AF28" i="6"/>
  <c r="O28" i="6"/>
  <c r="M28" i="6"/>
  <c r="AF27" i="6"/>
  <c r="O27" i="6"/>
  <c r="M27" i="6"/>
  <c r="AF26" i="6"/>
  <c r="O26" i="6"/>
  <c r="M26" i="6"/>
  <c r="O25" i="6"/>
  <c r="AF24" i="6"/>
  <c r="O24" i="6"/>
  <c r="M24" i="6"/>
  <c r="AF23" i="6"/>
  <c r="O23" i="6"/>
  <c r="M23" i="6"/>
  <c r="AF22" i="6"/>
  <c r="O22" i="6"/>
  <c r="M22" i="6"/>
  <c r="AF21" i="6"/>
  <c r="O21" i="6"/>
  <c r="M21" i="6"/>
  <c r="AF20" i="6"/>
  <c r="O20" i="6"/>
  <c r="M20" i="6"/>
  <c r="AF19" i="6"/>
  <c r="O19" i="6"/>
  <c r="M19" i="6"/>
  <c r="AF18" i="6"/>
  <c r="O18" i="6"/>
  <c r="M18" i="6"/>
  <c r="AF17" i="6"/>
  <c r="O17" i="6"/>
  <c r="M17" i="6"/>
  <c r="AF16" i="6"/>
  <c r="O16" i="6"/>
  <c r="M16" i="6"/>
  <c r="AF15" i="6"/>
  <c r="O15" i="6"/>
  <c r="M15" i="6"/>
  <c r="AF14" i="6"/>
  <c r="O14" i="6"/>
  <c r="M14" i="6"/>
  <c r="AF13" i="6"/>
  <c r="O13" i="6"/>
  <c r="M13" i="6"/>
  <c r="AF12" i="6"/>
  <c r="O12" i="6"/>
  <c r="M12" i="6"/>
  <c r="O11" i="6"/>
  <c r="AF10" i="6"/>
  <c r="O10" i="6"/>
  <c r="M10" i="6"/>
  <c r="AF9" i="6"/>
  <c r="O9" i="6"/>
  <c r="M9" i="6"/>
  <c r="AF8" i="6"/>
  <c r="O8" i="6"/>
  <c r="M8" i="6"/>
  <c r="AF7" i="6"/>
  <c r="O7" i="6"/>
  <c r="M7" i="6"/>
  <c r="AF6" i="6"/>
  <c r="O6" i="6"/>
  <c r="M6" i="6"/>
  <c r="AF5" i="6"/>
  <c r="O5" i="6"/>
  <c r="M5" i="6"/>
  <c r="AF4" i="6"/>
  <c r="O4" i="6"/>
  <c r="M4" i="6"/>
  <c r="O1" i="6" a="1"/>
  <c r="O1" i="6" s="1"/>
  <c r="N1" i="6" a="1"/>
  <c r="N1" i="6" s="1"/>
  <c r="M1" i="6" a="1"/>
  <c r="M1" i="6" s="1"/>
  <c r="L1" i="6" a="1"/>
  <c r="L1" i="6" s="1"/>
  <c r="K1" i="6" a="1"/>
  <c r="K1" i="6" s="1"/>
  <c r="J1" i="6" a="1"/>
  <c r="J1" i="6" s="1"/>
  <c r="I1" i="6" a="1"/>
  <c r="I1" i="6" s="1"/>
  <c r="H1" i="6" a="1"/>
  <c r="H1" i="6" s="1"/>
  <c r="G1" i="6" a="1"/>
  <c r="G1" i="6" s="1"/>
  <c r="F1" i="6" a="1"/>
  <c r="F1" i="6" s="1"/>
  <c r="E1" i="6" a="1"/>
  <c r="E1" i="6" s="1"/>
  <c r="D1" i="6" a="1"/>
  <c r="D1" i="6" s="1"/>
  <c r="C1" i="6" a="1"/>
  <c r="C1" i="6" s="1"/>
  <c r="B1" i="6" a="1"/>
  <c r="B1" i="6" s="1"/>
  <c r="D2" i="7" a="1"/>
  <c r="D2" i="7" l="1"/>
  <c r="AH3" i="6" a="1"/>
  <c r="AH3" i="6" s="1"/>
  <c r="Q3" i="6" a="1"/>
  <c r="Q3" i="6" s="1"/>
  <c r="E2" i="9" l="1" a="1"/>
  <c r="E2" i="9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# 1. 讀取 B 欄範圍 (2-668)
df_input = xl(%P2%, headers=False)
# 2. 聲母字典 (查最後一個字)
sheng_mu_dict = {
    "邊": "p", "頗": "ph", "門": "b", "毛": "m", "地": "t", "他": "th",
    "耐": "n", "柳": "l", "曾": "z", "出": "c", "時": "s", "入": "j",
    "求": "k", "去": "kh", "語": "g", "雅": "ng", "喜": "h", "英": ""
}
# 3. 韻母字典 (查第一個字)
yun_mu_dict = {
    "君": ["un", "ut"], "堅": ["ian", "iat"], "金": ["im", "ip"], "規": ["ui", ""],
    "嘉": ["ee", "eeh"], "干": ["an", "at"], "公": ["ong", "ok"], "乖": ["uai", "uaih"],
    "經": ["ing", "ik"], "觀": ["uan", "uat"], "沽": ["oo", ""], "嬌": ["iau", "iauh"],
    "稽": ["ei", ""], "恭": ["iong", "iok"], "高": ["o", "oh"], "皆": ["ai", ""],
    "巾": ["in", "it"], "姜": ["iang", "iak"], "甘": ["am", "ap"], "瓜": ["ua", "uah"],
    "江": ["ang", "ak"], "兼": ["iam", "iap"], "交": ["au", "auh"], "迦": ["ia", "iah"],
    "檜": ["ue", "ueh"], "監": ["ann", "ahnn"], "艍": ["u", "uh"], "膠": ["a", "ah"],
    "居": ["i", "ih"], "丩": ["iu", ""], "更": ["enn", "ehnn"], "褌": ["uinn", ""],
    "茄": ["io", "ioh"], "梔": ["inn", "ihnn"], "薑": ["ionn", ""], "驚": ["iann", ""],
    "官": ["uann", ""], "鋼": ["ng", ""], "伽": ["e", "eh"], "閒": ["ainn", ""],
    "姑": ["oonn", ""], "姆": ["m", ""], "光": ["uang", "uak"], "閂": ["uainn", "uaihnn"],
    "糜": ["uenn", ""], "嘄": ["iaunn", "iauhnn"], "箴": ["om", "op"], "爻": ["aunn", ""],
    "扛": ["onn", "ohnn"], "牛": ["iunn", ""],
}
# 4. 調號映射 (查中間的字)
tone_map = {"一": 1, "二": 2, "三": 3, "四": 4, "五": 5, "六": 6, "七": 7, "八": 8}
results = []
# 5. 執行切割與過濾邏輯
for val in df_input[0]:
    s = str(val).strip() if val is not None else ""
    # 確保字串長度至少為 3 (韻+調+聲)
    if s and len(s) &gt;= 3:
        y_char = s[0]  # 第一個字：韻
        t_char = s[1]  # 中間個字：調
        s_char = s[2]  # 最後一個字：聲
        t_num = tone_map.get(t_char, "")
        # 將原本的 "N/A" 改為 "" (空字串)
        s_code = sheng_mu_dict.get(s_char, "")
        # 判斷舒促聲 (4, 8 聲取索引 1)
        idx = 1 if t_num in [4, 8] else 0
        y_code = yun_mu_dict.get(y_char, ["", ""])[idx]
        results.append([s_code, y_code, t_num])
    else:
        # 當 B 欄為空或僅有標點符號 (如《、》) 時，回傳全空
        results.append(["", "", ""])
results</code>
    </pythonScript>
    <pythonScript>
      <code># 1. 讀取 Excel 範圍並強制不使用標題 (確保與 B2/F2 對齊)
pinyin_df = xl(%P2%, headers=False)
tone_df = xl(%P3%, headers=False)
# 2. 定義韻母字典 (依您提供的內容)
yun_mu_dict = {
    "君": ["un", "ut"], "堅": ["ian", "iat"], "金": ["im", "ip"], "規": ["ui", ""],
    "嘉": ["ee", "eeh"], "干": ["an", "at"], "公": ["ong", "ok"], "乖": ["uai", "uaih"],
    "經": ["ing", "ik"], "觀": ["uan", "uat"], "沽": ["oo", ""], "嬌": ["iau", "iauh"],
    "稽": ["ei", ""], "恭": ["iong", "iok"], "高": ["o", "oh"], "皆": ["ai", ""],
    "巾": ["in", "it"], "姜": ["iang", "iak"], "甘": ["am", "ap"], "瓜": ["ua", "uah"],
    "江": ["ang", "ak"], "兼": ["iam", "iap"], "交": ["au", "auh"], "迦": ["ia", "iah"],
    "檜": ["ue", "ueh"], "監": ["ann", "ahnn"], "艍": ["u", "uh"], "膠": ["a", "ah"],
    "居": ["i", "ih"], "丩": ["iu", ""], "更": ["enn", "ehnn"], "褌": ["uinn", ""],
    "茄": ["io", "ioh"], "梔": ["inn", "ihnn"], "薑": ["ionn", ""], "驚": ["iann", ""],
    "官": ["uann", ""], "鋼": ["ng", ""], "伽": ["e", "eh"], "閒": ["ainn", ""],
    "姑": ["oonn", ""], "姆": ["m", ""], "光": ["uang", "uak"], "閂": ["uainn", "uaihnn"],
    "糜": ["uenn", ""], "嘄": ["iaunn", "iauhnn"], "箴": ["om", "op"], "爻": ["aunn", ""],
    "扛": ["onn", "ohnn"], "牛": ["iunn", ""],
}
results = []
# 3. 逐列處理資料
for i in range(len(pinyin_df)):
    try:
        # 使用 iloc[i, 0] 安全獲取單一儲存格值
        p_val = pinyin_df.iloc[i, 0]
        t_val = tone_df.iloc[i, 0]
        if p_val and t_val is not None:
            # 取得標音字串的第一個字作為 Key (例如「堅五曾」取「堅」)
            p_str = str(p_val)
            yun_key = p_str[0]
            # 核心邏輯：4, 8 聲為「促聲」(索引 1)，其餘為「舒聲」(索引 0)
            idx = 1 if int(t_val) in [4, 8] else 0
            # 從字典取出對應韻母
            results.append(yun_mu_dict.get(yun_key, ["", ""])[idx])
        else:
            results.append("")
    except:
        results.append("")
# 回傳整欄結果
results</code>
    </pythonScript>
  </pythonScripts>
</python>
</file>

<file path=xl/sharedStrings.xml><?xml version="1.0" encoding="utf-8"?>
<sst xmlns="http://schemas.openxmlformats.org/spreadsheetml/2006/main" count="11448" uniqueCount="1885">
  <si>
    <t>漢字</t>
  </si>
  <si>
    <t>漢字標音</t>
  </si>
  <si>
    <t>《</t>
  </si>
  <si>
    <t>前</t>
  </si>
  <si>
    <t>堅五曾</t>
  </si>
  <si>
    <t>赤</t>
  </si>
  <si>
    <t>經四出</t>
  </si>
  <si>
    <t>壁</t>
  </si>
  <si>
    <t>經四邊</t>
  </si>
  <si>
    <t>賦</t>
  </si>
  <si>
    <t>艍三喜</t>
  </si>
  <si>
    <t>》</t>
  </si>
  <si>
    <t>北</t>
  </si>
  <si>
    <t>公四邊</t>
  </si>
  <si>
    <t>宋</t>
  </si>
  <si>
    <t>公三時</t>
  </si>
  <si>
    <t>：</t>
  </si>
  <si>
    <t>蘇</t>
  </si>
  <si>
    <t>沽一時</t>
  </si>
  <si>
    <t>軾</t>
  </si>
  <si>
    <t>經四時</t>
  </si>
  <si>
    <t>壬</t>
  </si>
  <si>
    <t>金五入</t>
  </si>
  <si>
    <t>戌</t>
  </si>
  <si>
    <t>君四時</t>
  </si>
  <si>
    <t>之</t>
  </si>
  <si>
    <t>居一曾</t>
  </si>
  <si>
    <t>秋</t>
  </si>
  <si>
    <t>丩一出</t>
  </si>
  <si>
    <t>，</t>
  </si>
  <si>
    <t>七</t>
  </si>
  <si>
    <t>巾四出</t>
  </si>
  <si>
    <t>月</t>
  </si>
  <si>
    <t>觀八語</t>
  </si>
  <si>
    <t>既</t>
  </si>
  <si>
    <t>居三求</t>
  </si>
  <si>
    <t>望</t>
  </si>
  <si>
    <t>恭七門</t>
  </si>
  <si>
    <t>子</t>
  </si>
  <si>
    <t>艍二曾</t>
  </si>
  <si>
    <t>與</t>
  </si>
  <si>
    <t>艍二英</t>
  </si>
  <si>
    <t>客</t>
  </si>
  <si>
    <t>經四去</t>
  </si>
  <si>
    <t>泛</t>
  </si>
  <si>
    <t>觀三喜</t>
  </si>
  <si>
    <t>舟</t>
  </si>
  <si>
    <t>丩一曾</t>
  </si>
  <si>
    <t>遊</t>
  </si>
  <si>
    <t>丩五英</t>
  </si>
  <si>
    <t>於</t>
  </si>
  <si>
    <t>艍一英</t>
  </si>
  <si>
    <t>下</t>
  </si>
  <si>
    <t>膠二喜</t>
  </si>
  <si>
    <t>。</t>
  </si>
  <si>
    <t>清</t>
  </si>
  <si>
    <t>經一出</t>
  </si>
  <si>
    <t>風</t>
  </si>
  <si>
    <t>恭一喜</t>
  </si>
  <si>
    <t>徐</t>
  </si>
  <si>
    <t>艍五時</t>
  </si>
  <si>
    <t>來</t>
  </si>
  <si>
    <t>皆五柳</t>
  </si>
  <si>
    <t>水</t>
  </si>
  <si>
    <t>規二時</t>
  </si>
  <si>
    <t>波</t>
  </si>
  <si>
    <t>高一頗</t>
  </si>
  <si>
    <t>不</t>
  </si>
  <si>
    <t>君四邊</t>
  </si>
  <si>
    <t>興</t>
  </si>
  <si>
    <t>經一喜</t>
  </si>
  <si>
    <t>舉</t>
  </si>
  <si>
    <t>艍二求</t>
  </si>
  <si>
    <t>酒</t>
  </si>
  <si>
    <t>丩二曾</t>
  </si>
  <si>
    <t>屬</t>
  </si>
  <si>
    <t>恭四曾</t>
  </si>
  <si>
    <t>誦</t>
  </si>
  <si>
    <t>恭七時</t>
  </si>
  <si>
    <t>明</t>
  </si>
  <si>
    <t>經五門</t>
  </si>
  <si>
    <t>詩</t>
  </si>
  <si>
    <t>居一時</t>
  </si>
  <si>
    <t>歌</t>
  </si>
  <si>
    <t>高一求</t>
  </si>
  <si>
    <t>窈</t>
  </si>
  <si>
    <t>嬌二英</t>
  </si>
  <si>
    <t>窕</t>
  </si>
  <si>
    <t>嬌二地</t>
  </si>
  <si>
    <t>章</t>
  </si>
  <si>
    <t>恭一曾</t>
  </si>
  <si>
    <t>少</t>
  </si>
  <si>
    <t>嬌二時</t>
  </si>
  <si>
    <t>焉</t>
  </si>
  <si>
    <t>堅一英</t>
  </si>
  <si>
    <t>出</t>
  </si>
  <si>
    <t>規三出</t>
  </si>
  <si>
    <t>東</t>
  </si>
  <si>
    <t>公一地</t>
  </si>
  <si>
    <t>山</t>
  </si>
  <si>
    <t>干一時</t>
  </si>
  <si>
    <t>上</t>
  </si>
  <si>
    <t>恭二時</t>
  </si>
  <si>
    <t>徘</t>
  </si>
  <si>
    <t>皆五邊</t>
  </si>
  <si>
    <t>徊</t>
  </si>
  <si>
    <t>檜五喜</t>
  </si>
  <si>
    <t>斗</t>
  </si>
  <si>
    <t>沽二地</t>
  </si>
  <si>
    <t>牛</t>
  </si>
  <si>
    <t>艍五語</t>
  </si>
  <si>
    <t>間</t>
  </si>
  <si>
    <t>干一求</t>
  </si>
  <si>
    <t>白</t>
  </si>
  <si>
    <t>經八邊</t>
  </si>
  <si>
    <t>露</t>
  </si>
  <si>
    <t>沽七柳</t>
  </si>
  <si>
    <t>橫</t>
  </si>
  <si>
    <t>江</t>
  </si>
  <si>
    <t>江一求</t>
  </si>
  <si>
    <t>光</t>
  </si>
  <si>
    <t>公一求</t>
  </si>
  <si>
    <t>接</t>
  </si>
  <si>
    <t>兼四曾</t>
  </si>
  <si>
    <t>天</t>
  </si>
  <si>
    <t>堅一他</t>
  </si>
  <si>
    <t>；</t>
  </si>
  <si>
    <t>縱</t>
  </si>
  <si>
    <t>一</t>
  </si>
  <si>
    <t>巾四英</t>
  </si>
  <si>
    <t>葦</t>
  </si>
  <si>
    <t>規二英</t>
  </si>
  <si>
    <t>所</t>
  </si>
  <si>
    <t>沽二時</t>
  </si>
  <si>
    <t>如</t>
  </si>
  <si>
    <t>艍五入</t>
  </si>
  <si>
    <t>凌</t>
  </si>
  <si>
    <t>經五柳</t>
  </si>
  <si>
    <t>萬</t>
  </si>
  <si>
    <t>觀七門</t>
  </si>
  <si>
    <t>頃</t>
  </si>
  <si>
    <t>經一去</t>
  </si>
  <si>
    <t>茫</t>
  </si>
  <si>
    <t>公五門</t>
  </si>
  <si>
    <t>然</t>
  </si>
  <si>
    <t>堅五入</t>
  </si>
  <si>
    <t>浩</t>
  </si>
  <si>
    <t>高二喜</t>
  </si>
  <si>
    <t>乎</t>
  </si>
  <si>
    <t>沽五喜</t>
  </si>
  <si>
    <t>居五入</t>
  </si>
  <si>
    <t>馮</t>
  </si>
  <si>
    <t>經五邊</t>
  </si>
  <si>
    <t>虛</t>
  </si>
  <si>
    <t>艍一喜</t>
  </si>
  <si>
    <t>御</t>
  </si>
  <si>
    <t>艍七語</t>
  </si>
  <si>
    <t>而</t>
  </si>
  <si>
    <t>知</t>
  </si>
  <si>
    <t>居一地</t>
  </si>
  <si>
    <t>其</t>
  </si>
  <si>
    <t>居五求</t>
  </si>
  <si>
    <t>止</t>
  </si>
  <si>
    <t>居二曾</t>
  </si>
  <si>
    <t>飄</t>
  </si>
  <si>
    <t>嬌一頗</t>
  </si>
  <si>
    <t>遺</t>
  </si>
  <si>
    <t>規五英</t>
  </si>
  <si>
    <t>世</t>
  </si>
  <si>
    <t>伽三時</t>
  </si>
  <si>
    <t>獨</t>
  </si>
  <si>
    <t>公八地</t>
  </si>
  <si>
    <t>立</t>
  </si>
  <si>
    <t>金八柳</t>
  </si>
  <si>
    <t>羽</t>
  </si>
  <si>
    <t>化</t>
  </si>
  <si>
    <t>瓜三喜</t>
  </si>
  <si>
    <t>登</t>
  </si>
  <si>
    <t>經一地</t>
  </si>
  <si>
    <t>仙</t>
  </si>
  <si>
    <t>堅一時</t>
  </si>
  <si>
    <t>是</t>
  </si>
  <si>
    <t>居二時</t>
  </si>
  <si>
    <t>飲</t>
  </si>
  <si>
    <t>金二英</t>
  </si>
  <si>
    <t>樂</t>
  </si>
  <si>
    <t>公八柳</t>
  </si>
  <si>
    <t>甚</t>
  </si>
  <si>
    <t>金二時</t>
  </si>
  <si>
    <t>扣</t>
  </si>
  <si>
    <t>沽三去</t>
  </si>
  <si>
    <t>舷</t>
  </si>
  <si>
    <t>堅五喜</t>
  </si>
  <si>
    <t>曰</t>
  </si>
  <si>
    <t>觀八英</t>
  </si>
  <si>
    <t xml:space="preserve"> </t>
  </si>
  <si>
    <t>「</t>
  </si>
  <si>
    <t>桂</t>
  </si>
  <si>
    <t>檜三求</t>
  </si>
  <si>
    <t>棹</t>
  </si>
  <si>
    <t>交七曾</t>
  </si>
  <si>
    <t>兮</t>
  </si>
  <si>
    <t>伽五喜</t>
  </si>
  <si>
    <t>蘭</t>
  </si>
  <si>
    <t>干五柳</t>
  </si>
  <si>
    <t>槳</t>
  </si>
  <si>
    <t>恭二曾</t>
  </si>
  <si>
    <t>擊</t>
  </si>
  <si>
    <t>經四求</t>
  </si>
  <si>
    <t>空</t>
  </si>
  <si>
    <t>公一去</t>
  </si>
  <si>
    <t>泝</t>
  </si>
  <si>
    <t>沽三時</t>
  </si>
  <si>
    <t>流</t>
  </si>
  <si>
    <t>丩五柳</t>
  </si>
  <si>
    <t>渺</t>
  </si>
  <si>
    <t>嬌二門</t>
  </si>
  <si>
    <t>予</t>
  </si>
  <si>
    <t>艍五英</t>
  </si>
  <si>
    <t>懷</t>
  </si>
  <si>
    <t>乖五喜</t>
  </si>
  <si>
    <t>恭五門</t>
  </si>
  <si>
    <t>美</t>
  </si>
  <si>
    <t>居二門</t>
  </si>
  <si>
    <t>人</t>
  </si>
  <si>
    <t>巾五入</t>
  </si>
  <si>
    <t>方</t>
  </si>
  <si>
    <t>恭五喜</t>
  </si>
  <si>
    <t>」</t>
  </si>
  <si>
    <t>有</t>
  </si>
  <si>
    <t>丩二英</t>
  </si>
  <si>
    <t>吹</t>
  </si>
  <si>
    <t>規一出</t>
  </si>
  <si>
    <t>洞</t>
  </si>
  <si>
    <t>公五地</t>
  </si>
  <si>
    <t>簫</t>
  </si>
  <si>
    <t>嬌一時</t>
  </si>
  <si>
    <t>者</t>
  </si>
  <si>
    <t>迦二曾</t>
  </si>
  <si>
    <t>倚</t>
  </si>
  <si>
    <t>居二英</t>
  </si>
  <si>
    <t>和</t>
  </si>
  <si>
    <t>高五喜</t>
  </si>
  <si>
    <t>聲</t>
  </si>
  <si>
    <t>經一時</t>
  </si>
  <si>
    <t>嗚</t>
  </si>
  <si>
    <t>沽一英</t>
  </si>
  <si>
    <t>怨</t>
  </si>
  <si>
    <t>觀一英</t>
  </si>
  <si>
    <t>慕</t>
  </si>
  <si>
    <t>沽七門</t>
  </si>
  <si>
    <t>泣</t>
  </si>
  <si>
    <t>金四去</t>
  </si>
  <si>
    <t>訴</t>
  </si>
  <si>
    <t>餘</t>
  </si>
  <si>
    <t>音</t>
  </si>
  <si>
    <t>金一英</t>
  </si>
  <si>
    <t>嫋</t>
  </si>
  <si>
    <t>嬌二柳</t>
  </si>
  <si>
    <t>絕</t>
  </si>
  <si>
    <t>觀八曾</t>
  </si>
  <si>
    <t>縷</t>
  </si>
  <si>
    <t>艍二柳</t>
  </si>
  <si>
    <t>舞</t>
  </si>
  <si>
    <t>艍二門</t>
  </si>
  <si>
    <t>幽</t>
  </si>
  <si>
    <t>丩一英</t>
  </si>
  <si>
    <t>壑</t>
  </si>
  <si>
    <t>公四喜</t>
  </si>
  <si>
    <t>潛</t>
  </si>
  <si>
    <t>兼五曾</t>
  </si>
  <si>
    <t>蛟</t>
  </si>
  <si>
    <t>交一求</t>
  </si>
  <si>
    <t>孤</t>
  </si>
  <si>
    <t>沽一求</t>
  </si>
  <si>
    <t>嫠</t>
  </si>
  <si>
    <t>居五柳</t>
  </si>
  <si>
    <t>婦</t>
  </si>
  <si>
    <t>艍七喜</t>
  </si>
  <si>
    <t>愀</t>
  </si>
  <si>
    <t>嬌二出</t>
  </si>
  <si>
    <t>正</t>
  </si>
  <si>
    <t>經三曾</t>
  </si>
  <si>
    <t>襟</t>
  </si>
  <si>
    <t>金一求</t>
  </si>
  <si>
    <t>危</t>
  </si>
  <si>
    <t>規五語</t>
  </si>
  <si>
    <t>坐</t>
  </si>
  <si>
    <t>高二曾</t>
  </si>
  <si>
    <t>問</t>
  </si>
  <si>
    <t>君七門</t>
  </si>
  <si>
    <t>何</t>
  </si>
  <si>
    <t>為</t>
  </si>
  <si>
    <t>規七英</t>
  </si>
  <si>
    <t>也</t>
  </si>
  <si>
    <t>迦二英</t>
  </si>
  <si>
    <t>？</t>
  </si>
  <si>
    <t>『</t>
  </si>
  <si>
    <t>星</t>
  </si>
  <si>
    <t>稀</t>
  </si>
  <si>
    <t>居一喜</t>
  </si>
  <si>
    <t>烏</t>
  </si>
  <si>
    <t>鵲</t>
  </si>
  <si>
    <t>恭四出</t>
  </si>
  <si>
    <t>南</t>
  </si>
  <si>
    <t>甘五柳</t>
  </si>
  <si>
    <t>飛</t>
  </si>
  <si>
    <t>規一喜</t>
  </si>
  <si>
    <t>』</t>
  </si>
  <si>
    <t>此</t>
  </si>
  <si>
    <t>艍二出</t>
  </si>
  <si>
    <t>非</t>
  </si>
  <si>
    <t>曹</t>
  </si>
  <si>
    <t>高五曾</t>
  </si>
  <si>
    <t>孟</t>
  </si>
  <si>
    <t>經七門</t>
  </si>
  <si>
    <t>德</t>
  </si>
  <si>
    <t>經四地</t>
  </si>
  <si>
    <t>西</t>
  </si>
  <si>
    <t>伽一時</t>
  </si>
  <si>
    <t>夏</t>
  </si>
  <si>
    <t>口</t>
  </si>
  <si>
    <t>沽二去</t>
  </si>
  <si>
    <t>武</t>
  </si>
  <si>
    <t>昌</t>
  </si>
  <si>
    <t>恭一出</t>
  </si>
  <si>
    <t>川</t>
  </si>
  <si>
    <t>觀一出</t>
  </si>
  <si>
    <t>相</t>
  </si>
  <si>
    <t>恭一時</t>
  </si>
  <si>
    <t>繆</t>
  </si>
  <si>
    <t>丩五門</t>
  </si>
  <si>
    <t>鬱</t>
  </si>
  <si>
    <t>君四英</t>
  </si>
  <si>
    <t>蒼</t>
  </si>
  <si>
    <t>公一出</t>
  </si>
  <si>
    <t>困</t>
  </si>
  <si>
    <t>君三去</t>
  </si>
  <si>
    <t>周</t>
  </si>
  <si>
    <t>郎</t>
  </si>
  <si>
    <t>公五柳</t>
  </si>
  <si>
    <t>破</t>
  </si>
  <si>
    <t>高三頗</t>
  </si>
  <si>
    <t>荊</t>
  </si>
  <si>
    <t>經一求</t>
  </si>
  <si>
    <t>州</t>
  </si>
  <si>
    <t>陵</t>
  </si>
  <si>
    <t>順</t>
  </si>
  <si>
    <t>君七時</t>
  </si>
  <si>
    <t>舳</t>
  </si>
  <si>
    <t>恭八地</t>
  </si>
  <si>
    <t>艫</t>
  </si>
  <si>
    <t>沽五柳</t>
  </si>
  <si>
    <t>千</t>
  </si>
  <si>
    <t>堅一出</t>
  </si>
  <si>
    <t>里</t>
  </si>
  <si>
    <t>居二柳</t>
  </si>
  <si>
    <t>旌</t>
  </si>
  <si>
    <t>經一曾</t>
  </si>
  <si>
    <t>旗</t>
  </si>
  <si>
    <t>蔽</t>
  </si>
  <si>
    <t>伽三邊</t>
  </si>
  <si>
    <t>釃</t>
  </si>
  <si>
    <t>艍一時</t>
  </si>
  <si>
    <t>臨</t>
  </si>
  <si>
    <t>金五柳</t>
  </si>
  <si>
    <t>經五喜</t>
  </si>
  <si>
    <t>槊</t>
  </si>
  <si>
    <t>公四時</t>
  </si>
  <si>
    <t>固</t>
  </si>
  <si>
    <t>沽三求</t>
  </si>
  <si>
    <t>雄</t>
  </si>
  <si>
    <t>今</t>
  </si>
  <si>
    <t>安</t>
  </si>
  <si>
    <t>干一英</t>
  </si>
  <si>
    <t>在</t>
  </si>
  <si>
    <t>皆二曾</t>
  </si>
  <si>
    <t>哉</t>
  </si>
  <si>
    <t>皆一曾</t>
  </si>
  <si>
    <t>況</t>
  </si>
  <si>
    <t>公三喜</t>
  </si>
  <si>
    <t>吾</t>
  </si>
  <si>
    <t>沽五語</t>
  </si>
  <si>
    <t>漁</t>
  </si>
  <si>
    <t>樵</t>
  </si>
  <si>
    <t>嬌五曾</t>
  </si>
  <si>
    <t>渚</t>
  </si>
  <si>
    <t>侶</t>
  </si>
  <si>
    <t>艍七柳</t>
  </si>
  <si>
    <t>魚</t>
  </si>
  <si>
    <t>蝦</t>
  </si>
  <si>
    <t>嘉五喜</t>
  </si>
  <si>
    <t>友</t>
  </si>
  <si>
    <t>麋</t>
  </si>
  <si>
    <t>居五門</t>
  </si>
  <si>
    <t>鹿</t>
  </si>
  <si>
    <t>駕</t>
  </si>
  <si>
    <t>膠三求</t>
  </si>
  <si>
    <t>葉</t>
  </si>
  <si>
    <t>兼八英</t>
  </si>
  <si>
    <t>扁</t>
  </si>
  <si>
    <t>堅一頗</t>
  </si>
  <si>
    <t>擧</t>
  </si>
  <si>
    <t>匏</t>
  </si>
  <si>
    <t>交五邊</t>
  </si>
  <si>
    <t>樽</t>
  </si>
  <si>
    <t>君一曾</t>
  </si>
  <si>
    <t>以</t>
  </si>
  <si>
    <t>寄</t>
  </si>
  <si>
    <t>蜉</t>
  </si>
  <si>
    <t>艍五喜</t>
  </si>
  <si>
    <t>蝣</t>
  </si>
  <si>
    <t>地</t>
  </si>
  <si>
    <t>居七地</t>
  </si>
  <si>
    <t>滄</t>
  </si>
  <si>
    <t>海</t>
  </si>
  <si>
    <t>皆二喜</t>
  </si>
  <si>
    <t>粟</t>
  </si>
  <si>
    <t>恭四時</t>
  </si>
  <si>
    <t>哀</t>
  </si>
  <si>
    <t>皆一英</t>
  </si>
  <si>
    <t>生</t>
  </si>
  <si>
    <t>須</t>
  </si>
  <si>
    <t>臾</t>
  </si>
  <si>
    <t>羨</t>
  </si>
  <si>
    <t>堅七時</t>
  </si>
  <si>
    <t>長</t>
  </si>
  <si>
    <t>恭五地</t>
  </si>
  <si>
    <t>無</t>
  </si>
  <si>
    <t>艍五門</t>
  </si>
  <si>
    <t>窮</t>
  </si>
  <si>
    <t>恭五求</t>
  </si>
  <si>
    <t>挾</t>
  </si>
  <si>
    <t>堅八喜</t>
  </si>
  <si>
    <t>遨</t>
  </si>
  <si>
    <t>高五語</t>
  </si>
  <si>
    <t>抱</t>
  </si>
  <si>
    <t>高二邊</t>
  </si>
  <si>
    <t>終</t>
  </si>
  <si>
    <t>可</t>
  </si>
  <si>
    <t>高二去</t>
  </si>
  <si>
    <t>驟</t>
  </si>
  <si>
    <t>沽七曾</t>
  </si>
  <si>
    <t>得</t>
  </si>
  <si>
    <t>託</t>
  </si>
  <si>
    <t>公四他</t>
  </si>
  <si>
    <t>響</t>
  </si>
  <si>
    <t>恭二喜</t>
  </si>
  <si>
    <t>悲</t>
  </si>
  <si>
    <t>居一邊</t>
  </si>
  <si>
    <t>亦</t>
  </si>
  <si>
    <t>經八英</t>
  </si>
  <si>
    <t>夫</t>
  </si>
  <si>
    <t>逝</t>
  </si>
  <si>
    <t>伽七時</t>
  </si>
  <si>
    <t>斯</t>
  </si>
  <si>
    <t>未</t>
  </si>
  <si>
    <t>規七門</t>
  </si>
  <si>
    <t>嘗</t>
  </si>
  <si>
    <t>恭五時</t>
  </si>
  <si>
    <t>往</t>
  </si>
  <si>
    <t>恭二英</t>
  </si>
  <si>
    <t>盈</t>
  </si>
  <si>
    <t>經五英</t>
  </si>
  <si>
    <t>彼</t>
  </si>
  <si>
    <t>居二邊</t>
  </si>
  <si>
    <t>卒</t>
  </si>
  <si>
    <t>君四曾</t>
  </si>
  <si>
    <t>莫</t>
  </si>
  <si>
    <t>公八門</t>
  </si>
  <si>
    <t>消</t>
  </si>
  <si>
    <t>蓋</t>
  </si>
  <si>
    <t>皆三求</t>
  </si>
  <si>
    <t>將</t>
  </si>
  <si>
    <t>自</t>
  </si>
  <si>
    <t>艍七曾</t>
  </si>
  <si>
    <t>變</t>
  </si>
  <si>
    <t>堅三邊</t>
  </si>
  <si>
    <t>觀</t>
  </si>
  <si>
    <t>觀一求</t>
  </si>
  <si>
    <t>則</t>
  </si>
  <si>
    <t>經四曾</t>
  </si>
  <si>
    <t>稽七地</t>
  </si>
  <si>
    <t>曾</t>
  </si>
  <si>
    <t>能</t>
  </si>
  <si>
    <t>瞬</t>
  </si>
  <si>
    <t>君三時</t>
  </si>
  <si>
    <t>觀三邊</t>
  </si>
  <si>
    <t>物</t>
  </si>
  <si>
    <t>君八門</t>
  </si>
  <si>
    <t>我</t>
  </si>
  <si>
    <t>扛二語</t>
  </si>
  <si>
    <t>皆</t>
  </si>
  <si>
    <t>皆一求</t>
  </si>
  <si>
    <t>盡</t>
  </si>
  <si>
    <t>巾二曾</t>
  </si>
  <si>
    <t>又</t>
  </si>
  <si>
    <t>丩七英</t>
  </si>
  <si>
    <t>且</t>
  </si>
  <si>
    <t>驚二出</t>
  </si>
  <si>
    <t>各</t>
  </si>
  <si>
    <t>公四求</t>
  </si>
  <si>
    <t>主</t>
  </si>
  <si>
    <t>苟</t>
  </si>
  <si>
    <t>沽二求</t>
  </si>
  <si>
    <t>雖</t>
  </si>
  <si>
    <t>規一時</t>
  </si>
  <si>
    <t>毫</t>
  </si>
  <si>
    <t>取</t>
  </si>
  <si>
    <t>惟</t>
  </si>
  <si>
    <t>耳</t>
  </si>
  <si>
    <t>目</t>
  </si>
  <si>
    <t>恭八門</t>
  </si>
  <si>
    <t>遇</t>
  </si>
  <si>
    <t>成</t>
  </si>
  <si>
    <t>經五時</t>
  </si>
  <si>
    <t>色</t>
  </si>
  <si>
    <t>禁</t>
  </si>
  <si>
    <t>用</t>
  </si>
  <si>
    <t>恭七英</t>
  </si>
  <si>
    <t>竭</t>
  </si>
  <si>
    <t>堅八求</t>
  </si>
  <si>
    <t>造</t>
  </si>
  <si>
    <t>藏</t>
  </si>
  <si>
    <t>公五曾</t>
  </si>
  <si>
    <t>扛五語</t>
  </si>
  <si>
    <t>共</t>
  </si>
  <si>
    <t>恭一求</t>
  </si>
  <si>
    <t>適</t>
  </si>
  <si>
    <t>喜</t>
  </si>
  <si>
    <t>居二喜</t>
  </si>
  <si>
    <t>笑</t>
  </si>
  <si>
    <t>嬌三時</t>
  </si>
  <si>
    <t>洗</t>
  </si>
  <si>
    <t>伽二時</t>
  </si>
  <si>
    <t>盞</t>
  </si>
  <si>
    <t>干二曾</t>
  </si>
  <si>
    <t>更</t>
  </si>
  <si>
    <t>酌</t>
  </si>
  <si>
    <t>肴</t>
  </si>
  <si>
    <t>交五喜</t>
  </si>
  <si>
    <t>核</t>
  </si>
  <si>
    <t>君八喜</t>
  </si>
  <si>
    <t>杯</t>
  </si>
  <si>
    <t>檜一邊</t>
  </si>
  <si>
    <t>盤</t>
  </si>
  <si>
    <t>觀五邊</t>
  </si>
  <si>
    <t>狼</t>
  </si>
  <si>
    <t>籍</t>
  </si>
  <si>
    <t>經八曾</t>
  </si>
  <si>
    <t>枕</t>
  </si>
  <si>
    <t>金二曾</t>
  </si>
  <si>
    <t>藉</t>
  </si>
  <si>
    <t>迦七曾</t>
  </si>
  <si>
    <t>中</t>
  </si>
  <si>
    <t>恭一地</t>
  </si>
  <si>
    <t>台語音標</t>
  </si>
  <si>
    <t>台語音標之聲</t>
  </si>
  <si>
    <t>台語音標之韻</t>
  </si>
  <si>
    <t>台語音標之調</t>
  </si>
  <si>
    <t>zian5</t>
  </si>
  <si>
    <t>z</t>
  </si>
  <si>
    <t>ian</t>
  </si>
  <si>
    <t>cik4</t>
  </si>
  <si>
    <t>c</t>
  </si>
  <si>
    <t>ik</t>
  </si>
  <si>
    <t>pik4</t>
  </si>
  <si>
    <t>p</t>
  </si>
  <si>
    <t>hu3</t>
  </si>
  <si>
    <t>h</t>
  </si>
  <si>
    <t>u</t>
  </si>
  <si>
    <t>pok4</t>
  </si>
  <si>
    <t>ok</t>
  </si>
  <si>
    <t>song3</t>
  </si>
  <si>
    <t>s</t>
  </si>
  <si>
    <t>ong</t>
  </si>
  <si>
    <t>soo1</t>
  </si>
  <si>
    <t>oo</t>
  </si>
  <si>
    <t>sik4</t>
  </si>
  <si>
    <t>jim5</t>
  </si>
  <si>
    <t>j</t>
  </si>
  <si>
    <t>im</t>
  </si>
  <si>
    <t>sut4</t>
  </si>
  <si>
    <t>ut</t>
  </si>
  <si>
    <t>zi1</t>
  </si>
  <si>
    <t>i</t>
  </si>
  <si>
    <t>ciu1</t>
  </si>
  <si>
    <t>iu</t>
  </si>
  <si>
    <t>cit4</t>
  </si>
  <si>
    <t>it</t>
  </si>
  <si>
    <t>guat8</t>
  </si>
  <si>
    <t>g</t>
  </si>
  <si>
    <t>uat</t>
  </si>
  <si>
    <t>ki3</t>
  </si>
  <si>
    <t>k</t>
  </si>
  <si>
    <t>bong7</t>
  </si>
  <si>
    <t>b</t>
  </si>
  <si>
    <t>zu2</t>
  </si>
  <si>
    <t>qu2</t>
  </si>
  <si>
    <t>q</t>
  </si>
  <si>
    <t>khik4</t>
  </si>
  <si>
    <t>kh</t>
  </si>
  <si>
    <t>huan3</t>
  </si>
  <si>
    <t>uan</t>
  </si>
  <si>
    <t>ziu1</t>
  </si>
  <si>
    <t>qiu5</t>
  </si>
  <si>
    <t>qu1</t>
  </si>
  <si>
    <t>hee7</t>
  </si>
  <si>
    <t>ee</t>
  </si>
  <si>
    <t>cing1</t>
  </si>
  <si>
    <t>ing</t>
  </si>
  <si>
    <t>hiong1</t>
  </si>
  <si>
    <t>iong</t>
  </si>
  <si>
    <t>su5</t>
  </si>
  <si>
    <t>lai5</t>
  </si>
  <si>
    <t>l</t>
  </si>
  <si>
    <t>ai</t>
  </si>
  <si>
    <t>sui2</t>
  </si>
  <si>
    <t>ui</t>
  </si>
  <si>
    <t>pho1</t>
  </si>
  <si>
    <t>ph</t>
  </si>
  <si>
    <t>o</t>
  </si>
  <si>
    <t>put4</t>
  </si>
  <si>
    <t>hing1</t>
  </si>
  <si>
    <t>ki2</t>
  </si>
  <si>
    <t>ziu2</t>
  </si>
  <si>
    <t>ziok4</t>
  </si>
  <si>
    <t>iok</t>
  </si>
  <si>
    <t>siong7</t>
  </si>
  <si>
    <t>bing5</t>
  </si>
  <si>
    <t>si1</t>
  </si>
  <si>
    <t>ko1</t>
  </si>
  <si>
    <t>qiau2</t>
  </si>
  <si>
    <t>iau</t>
  </si>
  <si>
    <t>tiau2</t>
  </si>
  <si>
    <t>t</t>
  </si>
  <si>
    <t>ziong1</t>
  </si>
  <si>
    <t>siau2</t>
  </si>
  <si>
    <t>qian1</t>
  </si>
  <si>
    <t>cui3</t>
  </si>
  <si>
    <t>tong1</t>
  </si>
  <si>
    <t>san1</t>
  </si>
  <si>
    <t>an</t>
  </si>
  <si>
    <t>siong2</t>
  </si>
  <si>
    <t>pai5</t>
  </si>
  <si>
    <t>hue5</t>
  </si>
  <si>
    <t>ue</t>
  </si>
  <si>
    <t>too2</t>
  </si>
  <si>
    <t>ngiunn5</t>
  </si>
  <si>
    <t>ng</t>
  </si>
  <si>
    <t>iunn</t>
  </si>
  <si>
    <t>kan1</t>
  </si>
  <si>
    <t>pik8</t>
  </si>
  <si>
    <t>loo7</t>
  </si>
  <si>
    <t>kang1</t>
  </si>
  <si>
    <t>ang</t>
  </si>
  <si>
    <t>kong1</t>
  </si>
  <si>
    <t>ziap4</t>
  </si>
  <si>
    <t>iap</t>
  </si>
  <si>
    <t>thian1</t>
  </si>
  <si>
    <t>th</t>
  </si>
  <si>
    <t>qit4</t>
  </si>
  <si>
    <t>qui2</t>
  </si>
  <si>
    <t>soo2</t>
  </si>
  <si>
    <t>ji5</t>
  </si>
  <si>
    <t>ling5</t>
  </si>
  <si>
    <t>ban7</t>
  </si>
  <si>
    <t>khing1</t>
  </si>
  <si>
    <t>bong5</t>
  </si>
  <si>
    <t>jian5</t>
  </si>
  <si>
    <t>ho2</t>
  </si>
  <si>
    <t>hoo5</t>
  </si>
  <si>
    <t>ping5</t>
  </si>
  <si>
    <t>hu1</t>
  </si>
  <si>
    <t>gee7</t>
  </si>
  <si>
    <t>ti1</t>
  </si>
  <si>
    <t>ki5</t>
  </si>
  <si>
    <t>zi2</t>
  </si>
  <si>
    <t>phiau1</t>
  </si>
  <si>
    <t>qui5</t>
  </si>
  <si>
    <t>si3</t>
  </si>
  <si>
    <t>tok8</t>
  </si>
  <si>
    <t>lip8</t>
  </si>
  <si>
    <t>ip</t>
  </si>
  <si>
    <t>hua3</t>
  </si>
  <si>
    <t>ua</t>
  </si>
  <si>
    <t>ting1</t>
  </si>
  <si>
    <t>sian1</t>
  </si>
  <si>
    <t>si2</t>
  </si>
  <si>
    <t>qim2</t>
  </si>
  <si>
    <t>lok8</t>
  </si>
  <si>
    <t>sim2</t>
  </si>
  <si>
    <t>khoo3</t>
  </si>
  <si>
    <t>hian5</t>
  </si>
  <si>
    <t>quat8</t>
  </si>
  <si>
    <t>kue3</t>
  </si>
  <si>
    <t>zau7</t>
  </si>
  <si>
    <t>au</t>
  </si>
  <si>
    <t>hei5</t>
  </si>
  <si>
    <t>ei</t>
  </si>
  <si>
    <t>lan5</t>
  </si>
  <si>
    <t>ziong2</t>
  </si>
  <si>
    <t>kik4</t>
  </si>
  <si>
    <t>khong1</t>
  </si>
  <si>
    <t>soo3</t>
  </si>
  <si>
    <t>liu5</t>
  </si>
  <si>
    <t>biau2</t>
  </si>
  <si>
    <t>qu5</t>
  </si>
  <si>
    <t>huai5</t>
  </si>
  <si>
    <t>uai</t>
  </si>
  <si>
    <t>bi2</t>
  </si>
  <si>
    <t>jin5</t>
  </si>
  <si>
    <t>in</t>
  </si>
  <si>
    <t>hiong5</t>
  </si>
  <si>
    <t>qiu2</t>
  </si>
  <si>
    <t>cui1</t>
  </si>
  <si>
    <t>tong5</t>
  </si>
  <si>
    <t>siau1</t>
  </si>
  <si>
    <t>zia2</t>
  </si>
  <si>
    <t>ia</t>
  </si>
  <si>
    <t>qi2</t>
  </si>
  <si>
    <t>ho5</t>
  </si>
  <si>
    <t>sing1</t>
  </si>
  <si>
    <t>qoo1</t>
  </si>
  <si>
    <t>quan1</t>
  </si>
  <si>
    <t>boo7</t>
  </si>
  <si>
    <t>khip4</t>
  </si>
  <si>
    <t>qim1</t>
  </si>
  <si>
    <t>liau2</t>
  </si>
  <si>
    <t>zuat8</t>
  </si>
  <si>
    <t>li2</t>
  </si>
  <si>
    <t>bu2</t>
  </si>
  <si>
    <t>qiu1</t>
  </si>
  <si>
    <t>hok4</t>
  </si>
  <si>
    <t>ziam5</t>
  </si>
  <si>
    <t>iam</t>
  </si>
  <si>
    <t>kau1</t>
  </si>
  <si>
    <t>koo1</t>
  </si>
  <si>
    <t>li5</t>
  </si>
  <si>
    <t>hu7</t>
  </si>
  <si>
    <t>ciau2</t>
  </si>
  <si>
    <t>zing3</t>
  </si>
  <si>
    <t>kim1</t>
  </si>
  <si>
    <t>gui5</t>
  </si>
  <si>
    <t>zo2</t>
  </si>
  <si>
    <t>bun7</t>
  </si>
  <si>
    <t>un</t>
  </si>
  <si>
    <t>qui7</t>
  </si>
  <si>
    <t>qia2</t>
  </si>
  <si>
    <t>hi1</t>
  </si>
  <si>
    <t>ciok4</t>
  </si>
  <si>
    <t>lam5</t>
  </si>
  <si>
    <t>am</t>
  </si>
  <si>
    <t>hui1</t>
  </si>
  <si>
    <t>cu2</t>
  </si>
  <si>
    <t>zo5</t>
  </si>
  <si>
    <t>bing7</t>
  </si>
  <si>
    <t>tik4</t>
  </si>
  <si>
    <t>se1</t>
  </si>
  <si>
    <t>e</t>
  </si>
  <si>
    <t>khoo2</t>
  </si>
  <si>
    <t>ciong1</t>
  </si>
  <si>
    <t>cuan1</t>
  </si>
  <si>
    <t>siong1</t>
  </si>
  <si>
    <t>biu5</t>
  </si>
  <si>
    <t>qut4</t>
  </si>
  <si>
    <t>cong1</t>
  </si>
  <si>
    <t>khun3</t>
  </si>
  <si>
    <t>long5</t>
  </si>
  <si>
    <t>pho3</t>
  </si>
  <si>
    <t>king1</t>
  </si>
  <si>
    <t>sun7</t>
  </si>
  <si>
    <t>tiok8</t>
  </si>
  <si>
    <t>loo5</t>
  </si>
  <si>
    <t>cian1</t>
  </si>
  <si>
    <t>zing1</t>
  </si>
  <si>
    <t>pei3</t>
  </si>
  <si>
    <t>su1</t>
  </si>
  <si>
    <t>lim5</t>
  </si>
  <si>
    <t>hing5</t>
  </si>
  <si>
    <t>sok4</t>
  </si>
  <si>
    <t>koo3</t>
  </si>
  <si>
    <t>qan1</t>
  </si>
  <si>
    <t>zai2</t>
  </si>
  <si>
    <t>zai1</t>
  </si>
  <si>
    <t>hong3</t>
  </si>
  <si>
    <t>goo5</t>
  </si>
  <si>
    <t>gi5</t>
  </si>
  <si>
    <t>ziau5</t>
  </si>
  <si>
    <t>li7</t>
  </si>
  <si>
    <t>hee5</t>
  </si>
  <si>
    <t>bi5</t>
  </si>
  <si>
    <t>kee3</t>
  </si>
  <si>
    <t>qiap8</t>
  </si>
  <si>
    <t>phian1</t>
  </si>
  <si>
    <t>pau5</t>
  </si>
  <si>
    <t>zun1</t>
  </si>
  <si>
    <t>hu5</t>
  </si>
  <si>
    <t>ti7</t>
  </si>
  <si>
    <t>hai2</t>
  </si>
  <si>
    <t>siok4</t>
  </si>
  <si>
    <t>qai1</t>
  </si>
  <si>
    <t>sian7</t>
  </si>
  <si>
    <t>tiong5</t>
  </si>
  <si>
    <t>bu5</t>
  </si>
  <si>
    <t>kiong5</t>
  </si>
  <si>
    <t>hiat8</t>
  </si>
  <si>
    <t>iat</t>
  </si>
  <si>
    <t>go5</t>
  </si>
  <si>
    <t>po2</t>
  </si>
  <si>
    <t>kho2</t>
  </si>
  <si>
    <t>zoo7</t>
  </si>
  <si>
    <t>thok4</t>
  </si>
  <si>
    <t>hiong2</t>
  </si>
  <si>
    <t>pi1</t>
  </si>
  <si>
    <t>qik8</t>
  </si>
  <si>
    <t>si7</t>
  </si>
  <si>
    <t>bi7</t>
  </si>
  <si>
    <t>siong5</t>
  </si>
  <si>
    <t>qiong2</t>
  </si>
  <si>
    <t>qing5</t>
  </si>
  <si>
    <t>pi2</t>
  </si>
  <si>
    <t>zut4</t>
  </si>
  <si>
    <t>bok8</t>
  </si>
  <si>
    <t>kai3</t>
  </si>
  <si>
    <t>zu7</t>
  </si>
  <si>
    <t>pian3</t>
  </si>
  <si>
    <t>kuan1</t>
  </si>
  <si>
    <t>zik4</t>
  </si>
  <si>
    <t>tei7</t>
  </si>
  <si>
    <t>sun3</t>
  </si>
  <si>
    <t>puan3</t>
  </si>
  <si>
    <t>but8</t>
  </si>
  <si>
    <t>ngonn2</t>
  </si>
  <si>
    <t>onn</t>
  </si>
  <si>
    <t>kai1</t>
  </si>
  <si>
    <t>zin2</t>
  </si>
  <si>
    <t>qiu7</t>
  </si>
  <si>
    <t>ciann2</t>
  </si>
  <si>
    <t>iann</t>
  </si>
  <si>
    <t>kok4</t>
  </si>
  <si>
    <t>koo2</t>
  </si>
  <si>
    <t>sui1</t>
  </si>
  <si>
    <t>gi7</t>
  </si>
  <si>
    <t>sing5</t>
  </si>
  <si>
    <t>qiong7</t>
  </si>
  <si>
    <t>kiat8</t>
  </si>
  <si>
    <t>zong5</t>
  </si>
  <si>
    <t>kiong1</t>
  </si>
  <si>
    <t>hi2</t>
  </si>
  <si>
    <t>siau3</t>
  </si>
  <si>
    <t>sian2</t>
  </si>
  <si>
    <t>zan2</t>
  </si>
  <si>
    <t>hau5</t>
  </si>
  <si>
    <t>hut8</t>
  </si>
  <si>
    <t>pue1</t>
  </si>
  <si>
    <t>puan5</t>
  </si>
  <si>
    <t>zik8</t>
  </si>
  <si>
    <t>zim2</t>
  </si>
  <si>
    <t>zia7</t>
  </si>
  <si>
    <t>tiong1</t>
  </si>
  <si>
    <t>"君" : ["un", "ut"],</t>
  </si>
  <si>
    <t>"堅" : ["ian", "iat"],</t>
  </si>
  <si>
    <t>"金" : ["im", "ip"],</t>
  </si>
  <si>
    <t>"規" : ["ui", ""],</t>
  </si>
  <si>
    <t>"嘉" : ["ee", "eeh"],</t>
  </si>
  <si>
    <t>"干" : ["an", "at"],</t>
  </si>
  <si>
    <t>"公" : ["ong", "ok"],</t>
  </si>
  <si>
    <t>"乖" : ["uai", "uaih"],</t>
  </si>
  <si>
    <t>"經" : ["ing", "ik"],</t>
  </si>
  <si>
    <t>"觀" : ["uan", "uat"],</t>
  </si>
  <si>
    <t>"沽" : ["oo", ""],</t>
  </si>
  <si>
    <t>"嬌" : ["iau", "iauh"],</t>
  </si>
  <si>
    <t>"稽" : ["ei", ""],</t>
  </si>
  <si>
    <t>"恭" : ["iong", "iok"],</t>
  </si>
  <si>
    <t>"高" : ["o", "oh"],</t>
  </si>
  <si>
    <t>"皆" : ["ai", ""],</t>
  </si>
  <si>
    <t>"巾" : ["in", "it"],</t>
  </si>
  <si>
    <t>"姜" : ["iang", "iak"],</t>
  </si>
  <si>
    <t>"甘" : ["am", "ap"],</t>
  </si>
  <si>
    <t>"瓜" : ["ua", "uah"],</t>
  </si>
  <si>
    <t>"江" : ["ang", "ak"],</t>
  </si>
  <si>
    <t>"兼" : ["iam", "iap"],</t>
  </si>
  <si>
    <t>"交" : ["au", "auh"],</t>
  </si>
  <si>
    <t>"迦" : ["ia", "iah"],</t>
  </si>
  <si>
    <t>"檜" : ["ue", "ueh"],</t>
  </si>
  <si>
    <t>"監" : ["ann", "ahnn"],</t>
  </si>
  <si>
    <t>"艍" : ["u", "uh"],</t>
  </si>
  <si>
    <t>"膠" : ["a", "ah"],</t>
  </si>
  <si>
    <t>"居" : ["i", "ih"],</t>
  </si>
  <si>
    <t>"丩" : ["iu", ""],</t>
  </si>
  <si>
    <t>"更" : ["enn", "ehnn"],</t>
  </si>
  <si>
    <t>"褌" : ["uinn", ""],</t>
  </si>
  <si>
    <t>"茄" : ["io", "ioh"],</t>
  </si>
  <si>
    <t>"梔" : ["inn", "ihnn"],</t>
  </si>
  <si>
    <t>"薑" : ["ionn", ""],</t>
  </si>
  <si>
    <t>"驚" : ["iann", ""],</t>
  </si>
  <si>
    <t>"官" : ["uann", ""],</t>
  </si>
  <si>
    <t>"鋼" : ["ng", ""],</t>
  </si>
  <si>
    <t>"伽" : ["e", "eh"],</t>
  </si>
  <si>
    <t>"閒" : ["ainn", ""],</t>
  </si>
  <si>
    <t>"姑" : ["oonn", ""],</t>
  </si>
  <si>
    <t>"姆" : ["m", ""],</t>
  </si>
  <si>
    <t>"光" : ["uang", "uak"],</t>
  </si>
  <si>
    <t>"閂" : ["uainn", "uaihnn"],</t>
  </si>
  <si>
    <t>"糜" : ["uenn", ""],</t>
  </si>
  <si>
    <t>"嘄" : ["iaunn", "iauhnn"],</t>
  </si>
  <si>
    <t>"箴" : ["om", "op"],</t>
  </si>
  <si>
    <t>"爻" : ["aunn", ""],</t>
  </si>
  <si>
    <t>"扛" : ["onn", "ohnn"],</t>
  </si>
  <si>
    <t>"牛" : ["iunn", ""],</t>
  </si>
  <si>
    <t xml:space="preserve">"邊" : "p", </t>
  </si>
  <si>
    <t xml:space="preserve">"頗" : "ph", </t>
  </si>
  <si>
    <t xml:space="preserve">"門" : "b", </t>
  </si>
  <si>
    <t xml:space="preserve">"毛" : "m", </t>
  </si>
  <si>
    <t xml:space="preserve">"地" : "t", </t>
  </si>
  <si>
    <t xml:space="preserve">"他" : "th", </t>
  </si>
  <si>
    <t xml:space="preserve">"耐" : "n", </t>
  </si>
  <si>
    <t xml:space="preserve">"柳" : "l", </t>
  </si>
  <si>
    <t xml:space="preserve">"曾" : "z", </t>
  </si>
  <si>
    <t xml:space="preserve">"出" : "c", </t>
  </si>
  <si>
    <t xml:space="preserve">"時" : "s", </t>
  </si>
  <si>
    <t xml:space="preserve">"入" : "j", </t>
  </si>
  <si>
    <t xml:space="preserve">"求" : "k", </t>
  </si>
  <si>
    <t xml:space="preserve">"去" : "kh", </t>
  </si>
  <si>
    <t xml:space="preserve">"語" : "g", </t>
  </si>
  <si>
    <t xml:space="preserve">"雅" : "ng", </t>
  </si>
  <si>
    <t xml:space="preserve">"喜" : "h", </t>
  </si>
  <si>
    <t xml:space="preserve">"英" : "Ø", </t>
  </si>
  <si>
    <t>堅</t>
  </si>
  <si>
    <t>經</t>
  </si>
  <si>
    <t>邊</t>
  </si>
  <si>
    <t>艍</t>
  </si>
  <si>
    <t>公</t>
  </si>
  <si>
    <t>時</t>
  </si>
  <si>
    <t>沽</t>
  </si>
  <si>
    <t>入</t>
  </si>
  <si>
    <t>金</t>
  </si>
  <si>
    <t>君</t>
  </si>
  <si>
    <t>居</t>
  </si>
  <si>
    <t>丩</t>
  </si>
  <si>
    <t>巾</t>
  </si>
  <si>
    <t>語</t>
  </si>
  <si>
    <t>求</t>
  </si>
  <si>
    <t>門</t>
  </si>
  <si>
    <t>恭</t>
  </si>
  <si>
    <t>u2</t>
  </si>
  <si>
    <t>英</t>
  </si>
  <si>
    <t>去</t>
  </si>
  <si>
    <t>iu5</t>
  </si>
  <si>
    <t>u1</t>
  </si>
  <si>
    <t>ha2</t>
  </si>
  <si>
    <t>膠</t>
  </si>
  <si>
    <t>柳</t>
  </si>
  <si>
    <t>規</t>
  </si>
  <si>
    <t>頗</t>
  </si>
  <si>
    <t>高</t>
  </si>
  <si>
    <t>ku2</t>
  </si>
  <si>
    <t>iau2</t>
  </si>
  <si>
    <t>嬌</t>
  </si>
  <si>
    <t>ian1</t>
  </si>
  <si>
    <t>干</t>
  </si>
  <si>
    <t>檜</t>
  </si>
  <si>
    <t>gu5</t>
  </si>
  <si>
    <t>兼</t>
  </si>
  <si>
    <t>他</t>
  </si>
  <si>
    <t>it4</t>
  </si>
  <si>
    <t>ui2</t>
  </si>
  <si>
    <t>ju5</t>
  </si>
  <si>
    <t>buan7</t>
  </si>
  <si>
    <t>gu7</t>
  </si>
  <si>
    <t>ui5</t>
  </si>
  <si>
    <t>se3</t>
  </si>
  <si>
    <t>伽</t>
  </si>
  <si>
    <t>瓜</t>
  </si>
  <si>
    <t>im2</t>
  </si>
  <si>
    <t>uat8</t>
  </si>
  <si>
    <t>交</t>
  </si>
  <si>
    <t>he5</t>
  </si>
  <si>
    <t>u5</t>
  </si>
  <si>
    <t>乖</t>
  </si>
  <si>
    <t>iu2</t>
  </si>
  <si>
    <t>迦</t>
  </si>
  <si>
    <t>i2</t>
  </si>
  <si>
    <t>oo1</t>
  </si>
  <si>
    <t>uan1</t>
  </si>
  <si>
    <t>im1</t>
  </si>
  <si>
    <t>lu2</t>
  </si>
  <si>
    <t>iu1</t>
  </si>
  <si>
    <t>ui7</t>
  </si>
  <si>
    <t>ia2</t>
  </si>
  <si>
    <t>甘</t>
  </si>
  <si>
    <t>ut4</t>
  </si>
  <si>
    <t>pe3</t>
  </si>
  <si>
    <t>an1</t>
  </si>
  <si>
    <t>lu7</t>
  </si>
  <si>
    <t>嘉</t>
  </si>
  <si>
    <t>ka3</t>
  </si>
  <si>
    <t>iap8</t>
  </si>
  <si>
    <t>ai1</t>
  </si>
  <si>
    <t>ik8</t>
  </si>
  <si>
    <t>se7</t>
  </si>
  <si>
    <t>bui7</t>
  </si>
  <si>
    <t>ing5</t>
  </si>
  <si>
    <t>稽</t>
  </si>
  <si>
    <t>gonn2</t>
  </si>
  <si>
    <t>扛</t>
  </si>
  <si>
    <t>iu7</t>
  </si>
  <si>
    <t>驚</t>
  </si>
  <si>
    <t>iong7</t>
  </si>
  <si>
    <t>gonn5</t>
  </si>
  <si>
    <t>se2</t>
  </si>
  <si>
    <t>國際音標</t>
  </si>
  <si>
    <t>注音符號</t>
  </si>
  <si>
    <t>漢字範例</t>
  </si>
  <si>
    <t xml:space="preserve"> p</t>
  </si>
  <si>
    <t>ㄅ</t>
  </si>
  <si>
    <t xml:space="preserve"> pʰ</t>
  </si>
  <si>
    <t>ㄆ</t>
  </si>
  <si>
    <t xml:space="preserve"> b</t>
  </si>
  <si>
    <t>bb</t>
  </si>
  <si>
    <t>ㆠ</t>
  </si>
  <si>
    <t xml:space="preserve"> m</t>
  </si>
  <si>
    <t>m</t>
  </si>
  <si>
    <t>ㄇ</t>
  </si>
  <si>
    <t>毛</t>
  </si>
  <si>
    <t xml:space="preserve"> t</t>
  </si>
  <si>
    <t>d</t>
  </si>
  <si>
    <t>ㄉ</t>
  </si>
  <si>
    <t xml:space="preserve"> tʰ</t>
  </si>
  <si>
    <t>ㄊ</t>
  </si>
  <si>
    <t xml:space="preserve"> n</t>
  </si>
  <si>
    <t>n</t>
  </si>
  <si>
    <t>ㄋ</t>
  </si>
  <si>
    <t>耐</t>
  </si>
  <si>
    <t xml:space="preserve"> l</t>
  </si>
  <si>
    <t>ㄌ</t>
  </si>
  <si>
    <t xml:space="preserve"> ʦ</t>
  </si>
  <si>
    <t>ㄗ</t>
  </si>
  <si>
    <t xml:space="preserve"> ʦʰ</t>
  </si>
  <si>
    <t>ㄘ</t>
  </si>
  <si>
    <t xml:space="preserve"> s</t>
  </si>
  <si>
    <t>ㄙ</t>
  </si>
  <si>
    <t xml:space="preserve"> ʥ</t>
  </si>
  <si>
    <t>jj(i)</t>
  </si>
  <si>
    <t>ㆢ</t>
  </si>
  <si>
    <t xml:space="preserve"> ɕ</t>
  </si>
  <si>
    <t>sh(i)</t>
  </si>
  <si>
    <t>ㄒ</t>
  </si>
  <si>
    <t xml:space="preserve"> k</t>
  </si>
  <si>
    <t>ㄍ</t>
  </si>
  <si>
    <t xml:space="preserve"> kʰ</t>
  </si>
  <si>
    <t>ㄎ</t>
  </si>
  <si>
    <t xml:space="preserve"> g</t>
  </si>
  <si>
    <t>gg</t>
  </si>
  <si>
    <t>ㆣ</t>
  </si>
  <si>
    <t xml:space="preserve"> ŋ</t>
  </si>
  <si>
    <t>ㄫ</t>
  </si>
  <si>
    <t>雅</t>
  </si>
  <si>
    <t xml:space="preserve"> h</t>
  </si>
  <si>
    <t>ㄏ</t>
  </si>
  <si>
    <t>ʔ</t>
  </si>
  <si>
    <t>Ø</t>
  </si>
  <si>
    <t>台語音標</t>
    <phoneticPr fontId="4" type="noConversion"/>
  </si>
  <si>
    <t>識別號</t>
  </si>
  <si>
    <t>漢字例</t>
  </si>
  <si>
    <t>十五音</t>
  </si>
  <si>
    <t>方音符號</t>
  </si>
  <si>
    <t>台羅拼音</t>
  </si>
  <si>
    <t>白話字</t>
  </si>
  <si>
    <t>閩拼方案</t>
  </si>
  <si>
    <t>注音二式</t>
  </si>
  <si>
    <t>舒促聲</t>
  </si>
  <si>
    <t>十五音識別碼</t>
  </si>
  <si>
    <t>十五音韻母序</t>
  </si>
  <si>
    <t>55</t>
  </si>
  <si>
    <t>些</t>
  </si>
  <si>
    <t>a</t>
  </si>
  <si>
    <t>ㄚ</t>
  </si>
  <si>
    <t>舒聲</t>
  </si>
  <si>
    <t>膠舒</t>
  </si>
  <si>
    <t>28</t>
  </si>
  <si>
    <t>56</t>
  </si>
  <si>
    <t>百</t>
  </si>
  <si>
    <t>a?</t>
  </si>
  <si>
    <t>ㄚㆷ</t>
  </si>
  <si>
    <t>ah</t>
  </si>
  <si>
    <t>促聲</t>
  </si>
  <si>
    <t>膠促</t>
  </si>
  <si>
    <t>52</t>
  </si>
  <si>
    <t>含</t>
  </si>
  <si>
    <t>ã?</t>
  </si>
  <si>
    <t>監</t>
  </si>
  <si>
    <t>ㆩㆷ</t>
  </si>
  <si>
    <t>ahnn</t>
  </si>
  <si>
    <t>annh</t>
  </si>
  <si>
    <t>aⁿh</t>
  </si>
  <si>
    <t>nah</t>
  </si>
  <si>
    <t>監促</t>
  </si>
  <si>
    <t>26</t>
  </si>
  <si>
    <t>31</t>
  </si>
  <si>
    <t>埃</t>
  </si>
  <si>
    <t>ㄞ</t>
  </si>
  <si>
    <t>皆舒</t>
  </si>
  <si>
    <t>16</t>
  </si>
  <si>
    <t>79</t>
  </si>
  <si>
    <t>挨</t>
  </si>
  <si>
    <t>ãi</t>
  </si>
  <si>
    <t>閒</t>
  </si>
  <si>
    <t>ㆮ</t>
  </si>
  <si>
    <t>ainn</t>
  </si>
  <si>
    <t>aiⁿ</t>
  </si>
  <si>
    <t>nai</t>
  </si>
  <si>
    <t>閒舒</t>
  </si>
  <si>
    <t>40</t>
  </si>
  <si>
    <t>42</t>
  </si>
  <si>
    <t>角</t>
  </si>
  <si>
    <t>ak̚</t>
  </si>
  <si>
    <t>ㄚㆻ</t>
  </si>
  <si>
    <t>ak</t>
  </si>
  <si>
    <t>江促</t>
  </si>
  <si>
    <t>21</t>
  </si>
  <si>
    <t>37</t>
  </si>
  <si>
    <t>堪</t>
  </si>
  <si>
    <t>ㆰ</t>
  </si>
  <si>
    <t>甘舒</t>
  </si>
  <si>
    <t>19</t>
  </si>
  <si>
    <t>11</t>
  </si>
  <si>
    <t>ㄢ</t>
  </si>
  <si>
    <t>干舒</t>
  </si>
  <si>
    <t>6</t>
  </si>
  <si>
    <t>41</t>
  </si>
  <si>
    <t>邦</t>
  </si>
  <si>
    <t>aŋ</t>
  </si>
  <si>
    <t>ㄤ</t>
  </si>
  <si>
    <t>江舒</t>
  </si>
  <si>
    <t>51</t>
  </si>
  <si>
    <t>聽</t>
  </si>
  <si>
    <t>ã</t>
  </si>
  <si>
    <t>ㆩ</t>
  </si>
  <si>
    <t>ann</t>
  </si>
  <si>
    <t>aⁿ</t>
  </si>
  <si>
    <t>na</t>
  </si>
  <si>
    <t>監舒</t>
  </si>
  <si>
    <t>38</t>
  </si>
  <si>
    <t>答</t>
  </si>
  <si>
    <t>ap̚</t>
  </si>
  <si>
    <t>ㄚㆴ</t>
  </si>
  <si>
    <t>ap</t>
  </si>
  <si>
    <t>甘促</t>
  </si>
  <si>
    <t>12</t>
  </si>
  <si>
    <t>識</t>
  </si>
  <si>
    <t>at̚</t>
  </si>
  <si>
    <t>ㄚㆵ</t>
  </si>
  <si>
    <t>at</t>
  </si>
  <si>
    <t>干促</t>
  </si>
  <si>
    <t>45</t>
  </si>
  <si>
    <t>鬧</t>
  </si>
  <si>
    <t>ㄠ</t>
  </si>
  <si>
    <t>ao</t>
  </si>
  <si>
    <t>交舒</t>
  </si>
  <si>
    <t>23</t>
  </si>
  <si>
    <t>46</t>
  </si>
  <si>
    <t>暴</t>
  </si>
  <si>
    <t>au?</t>
  </si>
  <si>
    <t>ㄠㆷ</t>
  </si>
  <si>
    <t>auh</t>
  </si>
  <si>
    <t>aoh</t>
  </si>
  <si>
    <t>交促</t>
  </si>
  <si>
    <t>95</t>
  </si>
  <si>
    <t>懸</t>
  </si>
  <si>
    <t>ãu</t>
  </si>
  <si>
    <t>爻</t>
  </si>
  <si>
    <t>ㆯ</t>
  </si>
  <si>
    <t>aunn</t>
  </si>
  <si>
    <t>auⁿ</t>
  </si>
  <si>
    <t>nao</t>
  </si>
  <si>
    <t>爻舒</t>
  </si>
  <si>
    <t>48</t>
  </si>
  <si>
    <t>77</t>
  </si>
  <si>
    <t>會</t>
  </si>
  <si>
    <t>ㆤ</t>
  </si>
  <si>
    <t>伽舒</t>
  </si>
  <si>
    <t>39</t>
  </si>
  <si>
    <t>9</t>
  </si>
  <si>
    <t>家</t>
  </si>
  <si>
    <t>ɛ</t>
  </si>
  <si>
    <t>ㄝ</t>
  </si>
  <si>
    <t>嘉舒</t>
  </si>
  <si>
    <t>5</t>
  </si>
  <si>
    <t>10</t>
  </si>
  <si>
    <t>八</t>
  </si>
  <si>
    <t>ɛ?</t>
  </si>
  <si>
    <t>ㄝㆷ</t>
  </si>
  <si>
    <t>eeh</t>
  </si>
  <si>
    <t>0</t>
  </si>
  <si>
    <t>eh</t>
  </si>
  <si>
    <t>嘉促</t>
  </si>
  <si>
    <t>78</t>
  </si>
  <si>
    <t>伯</t>
  </si>
  <si>
    <t>e?</t>
  </si>
  <si>
    <t>ㆤㆷ</t>
  </si>
  <si>
    <t>伽促</t>
  </si>
  <si>
    <t>62</t>
  </si>
  <si>
    <t>ɛ̃?</t>
  </si>
  <si>
    <t>ㆥㆷ</t>
  </si>
  <si>
    <t>ehnn</t>
  </si>
  <si>
    <t>ennh</t>
  </si>
  <si>
    <t>eⁿh</t>
  </si>
  <si>
    <t>neh</t>
  </si>
  <si>
    <t>更促</t>
  </si>
  <si>
    <t>25</t>
  </si>
  <si>
    <t>遞</t>
  </si>
  <si>
    <t>稽舒</t>
  </si>
  <si>
    <t>13</t>
  </si>
  <si>
    <t>61</t>
  </si>
  <si>
    <t>爭</t>
  </si>
  <si>
    <t>ɛ̃</t>
  </si>
  <si>
    <t>ㆥ</t>
  </si>
  <si>
    <t>enn</t>
  </si>
  <si>
    <t>eⁿ</t>
  </si>
  <si>
    <t>ne</t>
  </si>
  <si>
    <t>更舒</t>
  </si>
  <si>
    <t>57</t>
  </si>
  <si>
    <t>爾</t>
  </si>
  <si>
    <t>ㄧ</t>
  </si>
  <si>
    <t>居舒</t>
  </si>
  <si>
    <t>29</t>
  </si>
  <si>
    <t>47</t>
  </si>
  <si>
    <t>名</t>
  </si>
  <si>
    <t>ㄧㄚ</t>
  </si>
  <si>
    <t>迦舒</t>
  </si>
  <si>
    <t>24</t>
  </si>
  <si>
    <t>ia?</t>
  </si>
  <si>
    <t>ㄧㄚㆷ</t>
  </si>
  <si>
    <t>iah</t>
  </si>
  <si>
    <t>迦促</t>
  </si>
  <si>
    <t>36</t>
  </si>
  <si>
    <t>爆</t>
  </si>
  <si>
    <t>iak̚</t>
  </si>
  <si>
    <t>姜</t>
  </si>
  <si>
    <t>ㄧㄚㆻ</t>
  </si>
  <si>
    <t>iak</t>
  </si>
  <si>
    <t>姜促</t>
  </si>
  <si>
    <t>18</t>
  </si>
  <si>
    <t>43</t>
  </si>
  <si>
    <t>尖</t>
  </si>
  <si>
    <t>ㄧㆰ</t>
  </si>
  <si>
    <t>兼舒</t>
  </si>
  <si>
    <t>22</t>
  </si>
  <si>
    <t>3</t>
  </si>
  <si>
    <t>掀</t>
  </si>
  <si>
    <t>ㄧㄢ</t>
  </si>
  <si>
    <t>堅舒</t>
  </si>
  <si>
    <t>2</t>
  </si>
  <si>
    <t>35</t>
  </si>
  <si>
    <t>iaŋ</t>
  </si>
  <si>
    <t>ㄧㄤ</t>
  </si>
  <si>
    <t>iang</t>
  </si>
  <si>
    <t>姜舒</t>
  </si>
  <si>
    <t>71</t>
  </si>
  <si>
    <t>iã</t>
  </si>
  <si>
    <t>ㄧㆩ</t>
  </si>
  <si>
    <t>iannh</t>
  </si>
  <si>
    <t>iaⁿ</t>
  </si>
  <si>
    <t>nia</t>
  </si>
  <si>
    <t>驚舒</t>
  </si>
  <si>
    <t>44</t>
  </si>
  <si>
    <t>iap̚</t>
  </si>
  <si>
    <t>ㄧㄚㆴ</t>
  </si>
  <si>
    <t>兼促</t>
  </si>
  <si>
    <t>4</t>
  </si>
  <si>
    <t>別</t>
  </si>
  <si>
    <t>iat̚</t>
  </si>
  <si>
    <t>ㄧㄚㆵ</t>
  </si>
  <si>
    <t>堅促</t>
  </si>
  <si>
    <t>遙</t>
  </si>
  <si>
    <t>ㄧㄠ</t>
  </si>
  <si>
    <t>iao</t>
  </si>
  <si>
    <t>嬌舒</t>
  </si>
  <si>
    <t>噭</t>
  </si>
  <si>
    <t>iau?</t>
  </si>
  <si>
    <t>ㄧㄠㆷ</t>
  </si>
  <si>
    <t>iauh</t>
  </si>
  <si>
    <t>iaoh</t>
  </si>
  <si>
    <t>嬌促</t>
  </si>
  <si>
    <t>92</t>
  </si>
  <si>
    <t>◯</t>
  </si>
  <si>
    <t>iãu?</t>
  </si>
  <si>
    <t>嘄</t>
  </si>
  <si>
    <t>ㄧㆯㆷ</t>
  </si>
  <si>
    <t>iauhnn</t>
  </si>
  <si>
    <t>iaunnh</t>
  </si>
  <si>
    <t>iauⁿh</t>
  </si>
  <si>
    <t>niaoh</t>
  </si>
  <si>
    <t>嘄促</t>
  </si>
  <si>
    <t>91</t>
  </si>
  <si>
    <t>鳥</t>
  </si>
  <si>
    <t>iãu</t>
  </si>
  <si>
    <t>ㄧㆯ</t>
  </si>
  <si>
    <t>iaunn</t>
  </si>
  <si>
    <t>iauⁿ</t>
  </si>
  <si>
    <t>niao</t>
  </si>
  <si>
    <t>嘄舒</t>
  </si>
  <si>
    <t>58</t>
  </si>
  <si>
    <t>逼</t>
  </si>
  <si>
    <t>i?</t>
  </si>
  <si>
    <t>ㄧㆷ</t>
  </si>
  <si>
    <t>ih</t>
  </si>
  <si>
    <t>居促</t>
  </si>
  <si>
    <t>68</t>
  </si>
  <si>
    <t>欷</t>
  </si>
  <si>
    <t>ĩ?</t>
  </si>
  <si>
    <t>梔</t>
  </si>
  <si>
    <t>ㆪㆷ</t>
  </si>
  <si>
    <t>ihnn</t>
  </si>
  <si>
    <t>innh</t>
  </si>
  <si>
    <t>iⁿh</t>
  </si>
  <si>
    <t>nih</t>
  </si>
  <si>
    <t>梔促</t>
  </si>
  <si>
    <t>34</t>
  </si>
  <si>
    <t>益</t>
  </si>
  <si>
    <t>ik̚</t>
  </si>
  <si>
    <t>ㄧㆻ</t>
  </si>
  <si>
    <t>ek</t>
  </si>
  <si>
    <t>經促</t>
  </si>
  <si>
    <t>深</t>
  </si>
  <si>
    <t>ㄧㆬ</t>
  </si>
  <si>
    <t>金舒</t>
  </si>
  <si>
    <t>33</t>
  </si>
  <si>
    <t>恩</t>
  </si>
  <si>
    <t>ㄧㄣ</t>
  </si>
  <si>
    <t>巾舒</t>
  </si>
  <si>
    <t>17</t>
  </si>
  <si>
    <t>情</t>
  </si>
  <si>
    <t>iŋ</t>
  </si>
  <si>
    <t>ㄧㄥ</t>
  </si>
  <si>
    <t>eng</t>
  </si>
  <si>
    <t>經舒</t>
  </si>
  <si>
    <t>67</t>
  </si>
  <si>
    <t>庚</t>
  </si>
  <si>
    <t>ĩ</t>
  </si>
  <si>
    <t>ㆪ</t>
  </si>
  <si>
    <t>inn</t>
  </si>
  <si>
    <t>iⁿ</t>
  </si>
  <si>
    <t>ni</t>
  </si>
  <si>
    <t>梔舒</t>
  </si>
  <si>
    <t>65</t>
  </si>
  <si>
    <t>io</t>
  </si>
  <si>
    <t>茄</t>
  </si>
  <si>
    <t>ㄧㄜ</t>
  </si>
  <si>
    <t>ior</t>
  </si>
  <si>
    <t>茄舒</t>
  </si>
  <si>
    <t>66</t>
  </si>
  <si>
    <t>著</t>
  </si>
  <si>
    <t>io?</t>
  </si>
  <si>
    <t>ㄧㄜㆷ</t>
  </si>
  <si>
    <t>ioh</t>
  </si>
  <si>
    <t>iorh</t>
  </si>
  <si>
    <t>茄促</t>
  </si>
  <si>
    <t>俗</t>
  </si>
  <si>
    <t>iɔk̚</t>
  </si>
  <si>
    <t>ㄧㆦㆻ</t>
  </si>
  <si>
    <t>恭促</t>
  </si>
  <si>
    <t>14</t>
  </si>
  <si>
    <t>27</t>
  </si>
  <si>
    <t>iɔŋ</t>
  </si>
  <si>
    <t>ㄧㆲ</t>
  </si>
  <si>
    <t>恭舒</t>
  </si>
  <si>
    <t>69</t>
  </si>
  <si>
    <t>腔</t>
  </si>
  <si>
    <t>iɔ̃</t>
  </si>
  <si>
    <t>薑</t>
  </si>
  <si>
    <t>ㄧㆧ</t>
  </si>
  <si>
    <t>ionn</t>
  </si>
  <si>
    <t>ioⁿ</t>
  </si>
  <si>
    <t>nioo</t>
  </si>
  <si>
    <t>ioonn</t>
  </si>
  <si>
    <t>薑舒</t>
  </si>
  <si>
    <t>蟄</t>
  </si>
  <si>
    <t>ip̚</t>
  </si>
  <si>
    <t>一ㆴ</t>
  </si>
  <si>
    <t>金促</t>
  </si>
  <si>
    <t>it̚</t>
  </si>
  <si>
    <t>ㄧㆵ</t>
  </si>
  <si>
    <t>巾促</t>
  </si>
  <si>
    <t>59</t>
  </si>
  <si>
    <t>油</t>
  </si>
  <si>
    <t>ㄧㄨ</t>
  </si>
  <si>
    <t>丩舒</t>
  </si>
  <si>
    <t>30</t>
  </si>
  <si>
    <t>99</t>
  </si>
  <si>
    <t>香</t>
  </si>
  <si>
    <t>ĩu</t>
  </si>
  <si>
    <t>ㄧㆫ</t>
  </si>
  <si>
    <t>iuⁿ</t>
  </si>
  <si>
    <t>niu</t>
  </si>
  <si>
    <t>牛舒</t>
  </si>
  <si>
    <t>50</t>
  </si>
  <si>
    <t>83</t>
  </si>
  <si>
    <t>姆</t>
  </si>
  <si>
    <t>m̩</t>
  </si>
  <si>
    <t>ㆬ</t>
  </si>
  <si>
    <t>姆舒</t>
  </si>
  <si>
    <t>75</t>
  </si>
  <si>
    <t>床</t>
  </si>
  <si>
    <t>ŋ̍</t>
  </si>
  <si>
    <t>鋼</t>
  </si>
  <si>
    <t>ㆭ</t>
  </si>
  <si>
    <t>鋼舒</t>
  </si>
  <si>
    <t>果</t>
  </si>
  <si>
    <t>ㄜ</t>
  </si>
  <si>
    <t>or</t>
  </si>
  <si>
    <t>高舒</t>
  </si>
  <si>
    <t>15</t>
  </si>
  <si>
    <t>卜</t>
  </si>
  <si>
    <t>o?</t>
  </si>
  <si>
    <t>ㄜㆷ</t>
  </si>
  <si>
    <t>oh</t>
  </si>
  <si>
    <t>orh</t>
  </si>
  <si>
    <t>高促</t>
  </si>
  <si>
    <t>98</t>
  </si>
  <si>
    <t>õʔ</t>
  </si>
  <si>
    <t>ㆧㆷ</t>
  </si>
  <si>
    <t>ohnn</t>
  </si>
  <si>
    <t>onnh</t>
  </si>
  <si>
    <t>onh</t>
  </si>
  <si>
    <t>nooh</t>
  </si>
  <si>
    <t>uenn</t>
  </si>
  <si>
    <t>扛促</t>
  </si>
  <si>
    <t>49</t>
  </si>
  <si>
    <t>福</t>
  </si>
  <si>
    <t>ɔk̚</t>
  </si>
  <si>
    <t>ㆦㆻ</t>
  </si>
  <si>
    <t>公促</t>
  </si>
  <si>
    <t>7</t>
  </si>
  <si>
    <t>93</t>
  </si>
  <si>
    <t>丼</t>
  </si>
  <si>
    <t>ɔm</t>
  </si>
  <si>
    <t>箴</t>
  </si>
  <si>
    <t>ㆱ</t>
  </si>
  <si>
    <t>om</t>
  </si>
  <si>
    <t>oom</t>
  </si>
  <si>
    <t>箴舒</t>
  </si>
  <si>
    <t>ɔŋ</t>
  </si>
  <si>
    <t>ㆲ</t>
  </si>
  <si>
    <t>公舒</t>
  </si>
  <si>
    <t>97</t>
  </si>
  <si>
    <t>呼</t>
  </si>
  <si>
    <t>õ</t>
  </si>
  <si>
    <t>ㆧ</t>
  </si>
  <si>
    <t>on</t>
  </si>
  <si>
    <t>noo</t>
  </si>
  <si>
    <t>ornn</t>
  </si>
  <si>
    <t>扛舒</t>
  </si>
  <si>
    <t>捕</t>
  </si>
  <si>
    <t>ou</t>
  </si>
  <si>
    <t>ㆦ</t>
  </si>
  <si>
    <t>o͘</t>
  </si>
  <si>
    <t>沽舒</t>
  </si>
  <si>
    <t>81</t>
  </si>
  <si>
    <t>張</t>
  </si>
  <si>
    <t>õu</t>
  </si>
  <si>
    <t>姑</t>
  </si>
  <si>
    <t>oonn</t>
  </si>
  <si>
    <t>oⁿ</t>
  </si>
  <si>
    <t>姑舒</t>
  </si>
  <si>
    <t>94</t>
  </si>
  <si>
    <t>吷</t>
  </si>
  <si>
    <t>ɔp̚</t>
  </si>
  <si>
    <t>ㆦㆴ</t>
  </si>
  <si>
    <t>op</t>
  </si>
  <si>
    <t>oop</t>
  </si>
  <si>
    <t>箴促</t>
  </si>
  <si>
    <t>53</t>
  </si>
  <si>
    <t>ㄨ</t>
  </si>
  <si>
    <t>艍舒</t>
  </si>
  <si>
    <t>花</t>
  </si>
  <si>
    <t>ㄨㄚ</t>
  </si>
  <si>
    <t>oa</t>
  </si>
  <si>
    <t>瓜舒</t>
  </si>
  <si>
    <t>20</t>
  </si>
  <si>
    <t>缽</t>
  </si>
  <si>
    <t>ua?</t>
  </si>
  <si>
    <t>ㄨㄚㆷ</t>
  </si>
  <si>
    <t>uah</t>
  </si>
  <si>
    <t>oah</t>
  </si>
  <si>
    <t>瓜促</t>
  </si>
  <si>
    <t>怪</t>
  </si>
  <si>
    <t>ㄨㄞ</t>
  </si>
  <si>
    <t>oai</t>
  </si>
  <si>
    <t>乖舒</t>
  </si>
  <si>
    <t>8</t>
  </si>
  <si>
    <t>uai?</t>
  </si>
  <si>
    <t>ㄨㄞㆷ</t>
  </si>
  <si>
    <t>uaih</t>
  </si>
  <si>
    <t>oaih</t>
  </si>
  <si>
    <t>乖促</t>
  </si>
  <si>
    <t>88</t>
  </si>
  <si>
    <t>蹶</t>
  </si>
  <si>
    <t>uãi?</t>
  </si>
  <si>
    <t>閂</t>
  </si>
  <si>
    <t>ㄨㆮㆷ</t>
  </si>
  <si>
    <t>uaihnn</t>
  </si>
  <si>
    <t>uainnh</t>
  </si>
  <si>
    <t>oaiⁿh</t>
  </si>
  <si>
    <t>nuaih</t>
  </si>
  <si>
    <t>閂促</t>
  </si>
  <si>
    <t>87</t>
  </si>
  <si>
    <t>檨</t>
  </si>
  <si>
    <t>uãi</t>
  </si>
  <si>
    <t>ㄨㆮ</t>
  </si>
  <si>
    <t>uainn</t>
  </si>
  <si>
    <t>oaiⁿ</t>
  </si>
  <si>
    <t>nuai</t>
  </si>
  <si>
    <t>閂舒</t>
  </si>
  <si>
    <t>86</t>
  </si>
  <si>
    <t>伏</t>
  </si>
  <si>
    <t>uak̚</t>
  </si>
  <si>
    <t>ㄨㄚㆻ</t>
  </si>
  <si>
    <t>uak</t>
  </si>
  <si>
    <t>oak</t>
  </si>
  <si>
    <t>光促</t>
  </si>
  <si>
    <t>猿</t>
  </si>
  <si>
    <t>ㄨㄢ</t>
  </si>
  <si>
    <t>oan</t>
  </si>
  <si>
    <t>觀舒</t>
  </si>
  <si>
    <t>85</t>
  </si>
  <si>
    <t>闖</t>
  </si>
  <si>
    <t>uaŋ</t>
  </si>
  <si>
    <t>ㄨㄤ</t>
  </si>
  <si>
    <t>uang</t>
  </si>
  <si>
    <t>oang</t>
  </si>
  <si>
    <t>光舒</t>
  </si>
  <si>
    <t>73</t>
  </si>
  <si>
    <t>肝</t>
  </si>
  <si>
    <t>uã</t>
  </si>
  <si>
    <t>官</t>
  </si>
  <si>
    <t>ㄨㆩ</t>
  </si>
  <si>
    <t>uann</t>
  </si>
  <si>
    <t>oaⁿ</t>
  </si>
  <si>
    <t>nua</t>
  </si>
  <si>
    <t>官舒</t>
  </si>
  <si>
    <t>說</t>
  </si>
  <si>
    <t>uat̚</t>
  </si>
  <si>
    <t>ㄨㄚㆵ</t>
  </si>
  <si>
    <t>oat</t>
  </si>
  <si>
    <t>觀促</t>
  </si>
  <si>
    <t>話</t>
  </si>
  <si>
    <t>uei</t>
  </si>
  <si>
    <t>ㄨㆤ</t>
  </si>
  <si>
    <t>oe</t>
  </si>
  <si>
    <t>檜舒</t>
  </si>
  <si>
    <t>拔</t>
  </si>
  <si>
    <t>uei?</t>
  </si>
  <si>
    <t>ㄨㆤㆷ</t>
  </si>
  <si>
    <t>ueh</t>
  </si>
  <si>
    <t>oeh</t>
  </si>
  <si>
    <t>檜促</t>
  </si>
  <si>
    <t>89</t>
  </si>
  <si>
    <t>uẽi</t>
  </si>
  <si>
    <t>糜</t>
  </si>
  <si>
    <t>ㄨㆥ</t>
  </si>
  <si>
    <t>oeⁿ</t>
  </si>
  <si>
    <t>nue</t>
  </si>
  <si>
    <t>糜舒</t>
  </si>
  <si>
    <t>54</t>
  </si>
  <si>
    <t>勃</t>
  </si>
  <si>
    <t>u?</t>
  </si>
  <si>
    <t>ㄨㆷ</t>
  </si>
  <si>
    <t>uh</t>
  </si>
  <si>
    <t>艍促</t>
  </si>
  <si>
    <t>歸</t>
  </si>
  <si>
    <t>ㄨㄧ</t>
  </si>
  <si>
    <t>規舒</t>
  </si>
  <si>
    <t>63</t>
  </si>
  <si>
    <t>荒</t>
  </si>
  <si>
    <t>uĩ</t>
  </si>
  <si>
    <t>褌</t>
  </si>
  <si>
    <t>ㄨㆪ</t>
  </si>
  <si>
    <t>uinn</t>
  </si>
  <si>
    <t>uiⁿ</t>
  </si>
  <si>
    <t>nui</t>
  </si>
  <si>
    <t>褌舒</t>
  </si>
  <si>
    <t>32</t>
  </si>
  <si>
    <t>1</t>
  </si>
  <si>
    <t>汾</t>
  </si>
  <si>
    <t>ㄨㄣ</t>
  </si>
  <si>
    <t>君舒</t>
  </si>
  <si>
    <t>ut̚</t>
  </si>
  <si>
    <t>ㄨㆵ</t>
  </si>
  <si>
    <t>君促</t>
  </si>
  <si>
    <t>識別號</t>
    <phoneticPr fontId="14" type="noConversion"/>
  </si>
  <si>
    <t>漢字例</t>
    <phoneticPr fontId="4" type="noConversion"/>
  </si>
  <si>
    <t>國際音標</t>
    <phoneticPr fontId="14" type="noConversion"/>
  </si>
  <si>
    <t>十五音</t>
    <phoneticPr fontId="14" type="noConversion"/>
  </si>
  <si>
    <t>方音符號</t>
    <phoneticPr fontId="14" type="noConversion"/>
  </si>
  <si>
    <t>台語音標</t>
    <phoneticPr fontId="14" type="noConversion"/>
  </si>
  <si>
    <t>台羅拼音</t>
    <phoneticPr fontId="14" type="noConversion"/>
  </si>
  <si>
    <t>白話字</t>
    <phoneticPr fontId="14" type="noConversion"/>
  </si>
  <si>
    <t>閩拼方案</t>
    <phoneticPr fontId="14" type="noConversion"/>
  </si>
  <si>
    <t>注音二式</t>
    <phoneticPr fontId="4" type="noConversion"/>
  </si>
  <si>
    <t>舒促聲</t>
    <phoneticPr fontId="14" type="noConversion"/>
  </si>
  <si>
    <t>十五音識別碼</t>
    <phoneticPr fontId="17" type="noConversion"/>
  </si>
  <si>
    <t>十五音韻母序</t>
    <phoneticPr fontId="14" type="noConversion"/>
  </si>
  <si>
    <t>字長</t>
  </si>
  <si>
    <t>python_dict</t>
    <phoneticPr fontId="4" type="noConversion"/>
  </si>
  <si>
    <t>un</t>
    <phoneticPr fontId="4" type="noConversion"/>
  </si>
  <si>
    <r>
      <t xml:space="preserve">舒聲
</t>
    </r>
    <r>
      <rPr>
        <sz val="11"/>
        <rFont val="Noto Sans TC Medium"/>
        <family val="2"/>
        <charset val="136"/>
      </rPr>
      <t>（平/上/去）</t>
    </r>
    <phoneticPr fontId="17" type="noConversion"/>
  </si>
  <si>
    <t>不</t>
    <phoneticPr fontId="4" type="noConversion"/>
  </si>
  <si>
    <t>ut</t>
    <phoneticPr fontId="4" type="noConversion"/>
  </si>
  <si>
    <r>
      <t xml:space="preserve">促聲
</t>
    </r>
    <r>
      <rPr>
        <sz val="11"/>
        <rFont val="Noto Sans TC Medium"/>
        <family val="2"/>
        <charset val="136"/>
      </rPr>
      <t>（入）</t>
    </r>
    <phoneticPr fontId="17" type="noConversion"/>
  </si>
  <si>
    <t>掀</t>
    <phoneticPr fontId="4" type="noConversion"/>
  </si>
  <si>
    <t>ian</t>
    <phoneticPr fontId="4" type="noConversion"/>
  </si>
  <si>
    <t>別</t>
    <phoneticPr fontId="4" type="noConversion"/>
  </si>
  <si>
    <t>iat</t>
    <phoneticPr fontId="4" type="noConversion"/>
  </si>
  <si>
    <t>im</t>
    <phoneticPr fontId="4" type="noConversion"/>
  </si>
  <si>
    <t>蟄</t>
    <phoneticPr fontId="4" type="noConversion"/>
  </si>
  <si>
    <t>ip</t>
    <phoneticPr fontId="4" type="noConversion"/>
  </si>
  <si>
    <t>ui</t>
    <phoneticPr fontId="4" type="noConversion"/>
  </si>
  <si>
    <t>家</t>
    <phoneticPr fontId="4" type="noConversion"/>
  </si>
  <si>
    <r>
      <rPr>
        <sz val="24"/>
        <color rgb="FFFF0000"/>
        <rFont val="Noto Serif TC Black"/>
        <family val="1"/>
        <charset val="136"/>
      </rPr>
      <t>ɛ</t>
    </r>
  </si>
  <si>
    <t>e</t>
    <phoneticPr fontId="17" type="noConversion"/>
  </si>
  <si>
    <t>ee</t>
    <phoneticPr fontId="17" type="noConversion"/>
  </si>
  <si>
    <t>e</t>
    <phoneticPr fontId="4" type="noConversion"/>
  </si>
  <si>
    <t>八</t>
    <phoneticPr fontId="4" type="noConversion"/>
  </si>
  <si>
    <r>
      <rPr>
        <sz val="24"/>
        <color rgb="FFFF0000"/>
        <rFont val="MS Gothic"/>
        <family val="3"/>
        <charset val="128"/>
      </rPr>
      <t>ɛ</t>
    </r>
    <r>
      <rPr>
        <sz val="24"/>
        <color rgb="FFFF0000"/>
        <rFont val="Times New Roman"/>
        <family val="1"/>
      </rPr>
      <t>?</t>
    </r>
    <phoneticPr fontId="17" type="noConversion"/>
  </si>
  <si>
    <t>eh</t>
    <phoneticPr fontId="4" type="noConversion"/>
  </si>
  <si>
    <t>an</t>
    <phoneticPr fontId="4" type="noConversion"/>
  </si>
  <si>
    <t>識</t>
    <phoneticPr fontId="4" type="noConversion"/>
  </si>
  <si>
    <t>at</t>
    <phoneticPr fontId="4" type="noConversion"/>
  </si>
  <si>
    <t>風</t>
    <phoneticPr fontId="4" type="noConversion"/>
  </si>
  <si>
    <r>
      <rPr>
        <sz val="24"/>
        <color rgb="FFFF0000"/>
        <rFont val="Noto Serif TC Black"/>
        <family val="1"/>
        <charset val="136"/>
      </rPr>
      <t>ɔŋ</t>
    </r>
  </si>
  <si>
    <t>ong</t>
    <phoneticPr fontId="4" type="noConversion"/>
  </si>
  <si>
    <t>福</t>
    <phoneticPr fontId="4" type="noConversion"/>
  </si>
  <si>
    <r>
      <rPr>
        <sz val="24"/>
        <color rgb="FFFF0000"/>
        <rFont val="Noto Serif TC Black"/>
        <family val="1"/>
        <charset val="136"/>
      </rPr>
      <t>ɔ</t>
    </r>
    <r>
      <rPr>
        <sz val="24"/>
        <color rgb="FFFF0000"/>
        <rFont val="Times New Roman"/>
        <family val="1"/>
      </rPr>
      <t>k̚</t>
    </r>
  </si>
  <si>
    <t>ok</t>
    <phoneticPr fontId="4" type="noConversion"/>
  </si>
  <si>
    <t>uai</t>
    <phoneticPr fontId="4" type="noConversion"/>
  </si>
  <si>
    <t>uaih</t>
    <phoneticPr fontId="4" type="noConversion"/>
  </si>
  <si>
    <r>
      <t>i</t>
    </r>
    <r>
      <rPr>
        <sz val="24"/>
        <color rgb="FFFF0000"/>
        <rFont val="Noto Serif TC Black"/>
        <family val="1"/>
        <charset val="136"/>
      </rPr>
      <t>ŋ</t>
    </r>
  </si>
  <si>
    <t>ing</t>
    <phoneticPr fontId="4" type="noConversion"/>
  </si>
  <si>
    <t>益</t>
    <phoneticPr fontId="4" type="noConversion"/>
  </si>
  <si>
    <t>ik</t>
    <phoneticPr fontId="4" type="noConversion"/>
  </si>
  <si>
    <t>uan</t>
    <phoneticPr fontId="4" type="noConversion"/>
  </si>
  <si>
    <t>說</t>
    <phoneticPr fontId="4" type="noConversion"/>
  </si>
  <si>
    <t>uat</t>
    <phoneticPr fontId="4" type="noConversion"/>
  </si>
  <si>
    <t>捕</t>
    <phoneticPr fontId="4" type="noConversion"/>
  </si>
  <si>
    <t>ou</t>
    <phoneticPr fontId="17" type="noConversion"/>
  </si>
  <si>
    <t>oo</t>
    <phoneticPr fontId="4" type="noConversion"/>
  </si>
  <si>
    <t>iau</t>
    <phoneticPr fontId="4" type="noConversion"/>
  </si>
  <si>
    <t>噭</t>
    <phoneticPr fontId="4" type="noConversion"/>
  </si>
  <si>
    <t>iauh</t>
    <phoneticPr fontId="4" type="noConversion"/>
  </si>
  <si>
    <t>ㆤ</t>
    <phoneticPr fontId="17" type="noConversion"/>
  </si>
  <si>
    <t>中</t>
    <phoneticPr fontId="4" type="noConversion"/>
  </si>
  <si>
    <r>
      <t>i</t>
    </r>
    <r>
      <rPr>
        <sz val="24"/>
        <color rgb="FFFF0000"/>
        <rFont val="Noto Serif TC Black"/>
        <family val="1"/>
        <charset val="136"/>
      </rPr>
      <t>ɔŋ</t>
    </r>
  </si>
  <si>
    <t>iong</t>
    <phoneticPr fontId="4" type="noConversion"/>
  </si>
  <si>
    <t>俗</t>
    <phoneticPr fontId="4" type="noConversion"/>
  </si>
  <si>
    <r>
      <t>i</t>
    </r>
    <r>
      <rPr>
        <sz val="24"/>
        <color rgb="FFFF0000"/>
        <rFont val="Noto Serif TC Black"/>
        <family val="1"/>
        <charset val="136"/>
      </rPr>
      <t>ɔ</t>
    </r>
    <r>
      <rPr>
        <sz val="24"/>
        <color rgb="FFFF0000"/>
        <rFont val="Times New Roman"/>
        <family val="1"/>
      </rPr>
      <t>k̚</t>
    </r>
  </si>
  <si>
    <t>iok</t>
    <phoneticPr fontId="4" type="noConversion"/>
  </si>
  <si>
    <t>o</t>
    <phoneticPr fontId="17" type="noConversion"/>
  </si>
  <si>
    <t>or</t>
    <phoneticPr fontId="4" type="noConversion"/>
  </si>
  <si>
    <t>卜</t>
    <phoneticPr fontId="4" type="noConversion"/>
  </si>
  <si>
    <t>o?</t>
    <phoneticPr fontId="17" type="noConversion"/>
  </si>
  <si>
    <t>orh</t>
    <phoneticPr fontId="4" type="noConversion"/>
  </si>
  <si>
    <t>ai</t>
    <phoneticPr fontId="4" type="noConversion"/>
  </si>
  <si>
    <t>in</t>
    <phoneticPr fontId="4" type="noConversion"/>
  </si>
  <si>
    <t>一</t>
    <phoneticPr fontId="4" type="noConversion"/>
  </si>
  <si>
    <t>it</t>
    <phoneticPr fontId="4" type="noConversion"/>
  </si>
  <si>
    <t>將</t>
    <phoneticPr fontId="4" type="noConversion"/>
  </si>
  <si>
    <r>
      <t>ia</t>
    </r>
    <r>
      <rPr>
        <sz val="24"/>
        <color rgb="FFFF0000"/>
        <rFont val="Noto Serif TC Black"/>
        <family val="1"/>
        <charset val="136"/>
      </rPr>
      <t>ŋ</t>
    </r>
  </si>
  <si>
    <t>iang</t>
    <phoneticPr fontId="4" type="noConversion"/>
  </si>
  <si>
    <t>爆</t>
    <phoneticPr fontId="4" type="noConversion"/>
  </si>
  <si>
    <t>iak</t>
    <phoneticPr fontId="4" type="noConversion"/>
  </si>
  <si>
    <t>am</t>
    <phoneticPr fontId="4" type="noConversion"/>
  </si>
  <si>
    <t>答</t>
    <phoneticPr fontId="4" type="noConversion"/>
  </si>
  <si>
    <t>ap</t>
    <phoneticPr fontId="4" type="noConversion"/>
  </si>
  <si>
    <t>ua</t>
    <phoneticPr fontId="4" type="noConversion"/>
  </si>
  <si>
    <t>缽</t>
    <phoneticPr fontId="4" type="noConversion"/>
  </si>
  <si>
    <t>uah</t>
    <phoneticPr fontId="4" type="noConversion"/>
  </si>
  <si>
    <t>邦</t>
    <phoneticPr fontId="4" type="noConversion"/>
  </si>
  <si>
    <r>
      <t>a</t>
    </r>
    <r>
      <rPr>
        <sz val="24"/>
        <color rgb="FFFF0000"/>
        <rFont val="Noto Serif TC Black"/>
        <family val="1"/>
        <charset val="136"/>
      </rPr>
      <t>ŋ</t>
    </r>
  </si>
  <si>
    <t>ang</t>
    <phoneticPr fontId="4" type="noConversion"/>
  </si>
  <si>
    <t>角</t>
    <phoneticPr fontId="4" type="noConversion"/>
  </si>
  <si>
    <t>ak</t>
    <phoneticPr fontId="4" type="noConversion"/>
  </si>
  <si>
    <t>尖</t>
    <phoneticPr fontId="4" type="noConversion"/>
  </si>
  <si>
    <t>iam</t>
    <phoneticPr fontId="4" type="noConversion"/>
  </si>
  <si>
    <t>接</t>
    <phoneticPr fontId="4" type="noConversion"/>
  </si>
  <si>
    <t>iap</t>
    <phoneticPr fontId="4" type="noConversion"/>
  </si>
  <si>
    <t>au</t>
    <phoneticPr fontId="4" type="noConversion"/>
  </si>
  <si>
    <t>暴</t>
    <phoneticPr fontId="4" type="noConversion"/>
  </si>
  <si>
    <t>auh</t>
    <phoneticPr fontId="4" type="noConversion"/>
  </si>
  <si>
    <t>名</t>
    <phoneticPr fontId="4" type="noConversion"/>
  </si>
  <si>
    <t>ia</t>
    <phoneticPr fontId="4" type="noConversion"/>
  </si>
  <si>
    <t>壁</t>
    <phoneticPr fontId="4" type="noConversion"/>
  </si>
  <si>
    <t>iah</t>
    <phoneticPr fontId="4" type="noConversion"/>
  </si>
  <si>
    <t>話</t>
    <phoneticPr fontId="4" type="noConversion"/>
  </si>
  <si>
    <t>uei</t>
    <phoneticPr fontId="17" type="noConversion"/>
  </si>
  <si>
    <t>ue</t>
    <phoneticPr fontId="4" type="noConversion"/>
  </si>
  <si>
    <t>拔</t>
    <phoneticPr fontId="4" type="noConversion"/>
  </si>
  <si>
    <t>uei?</t>
    <phoneticPr fontId="17" type="noConversion"/>
  </si>
  <si>
    <t>ueh</t>
    <phoneticPr fontId="4" type="noConversion"/>
  </si>
  <si>
    <t>聽</t>
    <phoneticPr fontId="4" type="noConversion"/>
  </si>
  <si>
    <r>
      <t>a</t>
    </r>
    <r>
      <rPr>
        <sz val="24"/>
        <rFont val="Noto Sans TC Black"/>
        <family val="2"/>
        <charset val="136"/>
      </rPr>
      <t>ⁿ</t>
    </r>
  </si>
  <si>
    <t>ann</t>
    <phoneticPr fontId="4" type="noConversion"/>
  </si>
  <si>
    <t>含</t>
    <phoneticPr fontId="4" type="noConversion"/>
  </si>
  <si>
    <r>
      <t>a</t>
    </r>
    <r>
      <rPr>
        <sz val="24"/>
        <rFont val="Noto Sans TC Black"/>
        <family val="2"/>
        <charset val="136"/>
      </rPr>
      <t>ⁿ</t>
    </r>
    <r>
      <rPr>
        <sz val="24"/>
        <rFont val="Times New Roman"/>
        <family val="1"/>
      </rPr>
      <t>h</t>
    </r>
  </si>
  <si>
    <t>annh</t>
    <phoneticPr fontId="4" type="noConversion"/>
  </si>
  <si>
    <t>u</t>
    <phoneticPr fontId="4" type="noConversion"/>
  </si>
  <si>
    <t>勃</t>
    <phoneticPr fontId="4" type="noConversion"/>
  </si>
  <si>
    <t>uh</t>
    <phoneticPr fontId="4" type="noConversion"/>
  </si>
  <si>
    <t>a</t>
    <phoneticPr fontId="4" type="noConversion"/>
  </si>
  <si>
    <t>百</t>
    <phoneticPr fontId="4" type="noConversion"/>
  </si>
  <si>
    <t>ah</t>
    <phoneticPr fontId="4" type="noConversion"/>
  </si>
  <si>
    <t>爾</t>
    <phoneticPr fontId="4" type="noConversion"/>
  </si>
  <si>
    <t>i</t>
    <phoneticPr fontId="4" type="noConversion"/>
  </si>
  <si>
    <t>ih</t>
    <phoneticPr fontId="4" type="noConversion"/>
  </si>
  <si>
    <t>油</t>
    <phoneticPr fontId="4" type="noConversion"/>
  </si>
  <si>
    <t>iu</t>
    <phoneticPr fontId="4" type="noConversion"/>
  </si>
  <si>
    <t>爭</t>
    <phoneticPr fontId="4" type="noConversion"/>
  </si>
  <si>
    <t>ɛ̃</t>
    <phoneticPr fontId="17" type="noConversion"/>
  </si>
  <si>
    <r>
      <t>e</t>
    </r>
    <r>
      <rPr>
        <sz val="24"/>
        <rFont val="Noto Sans TC Black"/>
        <family val="2"/>
        <charset val="136"/>
      </rPr>
      <t>ⁿ</t>
    </r>
  </si>
  <si>
    <t>enn</t>
    <phoneticPr fontId="4" type="noConversion"/>
  </si>
  <si>
    <t>挾</t>
    <phoneticPr fontId="4" type="noConversion"/>
  </si>
  <si>
    <t>ɛ̃?</t>
    <phoneticPr fontId="17" type="noConversion"/>
  </si>
  <si>
    <r>
      <t>e</t>
    </r>
    <r>
      <rPr>
        <sz val="24"/>
        <rFont val="Noto Sans TC Black"/>
        <family val="2"/>
        <charset val="136"/>
      </rPr>
      <t>ⁿ</t>
    </r>
    <r>
      <rPr>
        <sz val="24"/>
        <rFont val="Times New Roman"/>
        <family val="1"/>
      </rPr>
      <t>h</t>
    </r>
  </si>
  <si>
    <t>ennh</t>
    <phoneticPr fontId="4" type="noConversion"/>
  </si>
  <si>
    <r>
      <t>ui</t>
    </r>
    <r>
      <rPr>
        <sz val="24"/>
        <rFont val="Noto Sans TC Black"/>
        <family val="2"/>
        <charset val="136"/>
      </rPr>
      <t>ⁿ</t>
    </r>
  </si>
  <si>
    <t>uinn</t>
    <phoneticPr fontId="4" type="noConversion"/>
  </si>
  <si>
    <t>io</t>
    <phoneticPr fontId="17" type="noConversion"/>
  </si>
  <si>
    <t>ior</t>
    <phoneticPr fontId="4" type="noConversion"/>
  </si>
  <si>
    <t>著</t>
    <phoneticPr fontId="4" type="noConversion"/>
  </si>
  <si>
    <t>io?</t>
    <phoneticPr fontId="17" type="noConversion"/>
  </si>
  <si>
    <t>iorh</t>
    <phoneticPr fontId="4" type="noConversion"/>
  </si>
  <si>
    <t>庚</t>
    <phoneticPr fontId="4" type="noConversion"/>
  </si>
  <si>
    <r>
      <t>i</t>
    </r>
    <r>
      <rPr>
        <sz val="24"/>
        <rFont val="Noto Sans TC Black"/>
        <family val="2"/>
        <charset val="136"/>
      </rPr>
      <t>ⁿ</t>
    </r>
  </si>
  <si>
    <t>inn</t>
    <phoneticPr fontId="4" type="noConversion"/>
  </si>
  <si>
    <r>
      <t>i</t>
    </r>
    <r>
      <rPr>
        <sz val="24"/>
        <rFont val="Noto Sans TC Black"/>
        <family val="2"/>
        <charset val="136"/>
      </rPr>
      <t>ⁿ</t>
    </r>
    <r>
      <rPr>
        <sz val="24"/>
        <rFont val="Times New Roman"/>
        <family val="1"/>
      </rPr>
      <t>h</t>
    </r>
  </si>
  <si>
    <t>innh</t>
    <phoneticPr fontId="4" type="noConversion"/>
  </si>
  <si>
    <t>腔</t>
    <phoneticPr fontId="4" type="noConversion"/>
  </si>
  <si>
    <r>
      <t>i</t>
    </r>
    <r>
      <rPr>
        <sz val="24"/>
        <color rgb="FFFF0000"/>
        <rFont val="Times New Roman"/>
        <family val="3"/>
        <charset val="136"/>
      </rPr>
      <t>ɔ</t>
    </r>
    <r>
      <rPr>
        <sz val="24"/>
        <color rgb="FFFF0000"/>
        <rFont val="Times New Roman"/>
        <family val="1"/>
      </rPr>
      <t>̃</t>
    </r>
    <phoneticPr fontId="17" type="noConversion"/>
  </si>
  <si>
    <r>
      <t>io</t>
    </r>
    <r>
      <rPr>
        <sz val="24"/>
        <rFont val="Noto Sans TC Black"/>
        <family val="2"/>
        <charset val="136"/>
      </rPr>
      <t>ⁿ</t>
    </r>
  </si>
  <si>
    <t>ioonn</t>
    <phoneticPr fontId="4" type="noConversion"/>
  </si>
  <si>
    <r>
      <t>ia</t>
    </r>
    <r>
      <rPr>
        <sz val="24"/>
        <rFont val="Noto Sans TC Black"/>
        <family val="2"/>
        <charset val="136"/>
      </rPr>
      <t>ⁿ</t>
    </r>
  </si>
  <si>
    <t>iann</t>
    <phoneticPr fontId="4" type="noConversion"/>
  </si>
  <si>
    <t>肝</t>
    <phoneticPr fontId="4" type="noConversion"/>
  </si>
  <si>
    <t>uã</t>
    <phoneticPr fontId="17" type="noConversion"/>
  </si>
  <si>
    <r>
      <t>oa</t>
    </r>
    <r>
      <rPr>
        <sz val="24"/>
        <rFont val="Noto Sans TC Black"/>
        <family val="2"/>
        <charset val="136"/>
      </rPr>
      <t>ⁿ</t>
    </r>
  </si>
  <si>
    <t>uann</t>
    <phoneticPr fontId="4" type="noConversion"/>
  </si>
  <si>
    <r>
      <rPr>
        <sz val="24"/>
        <color rgb="FFFF0000"/>
        <rFont val="Noto Serif TC Black"/>
        <family val="1"/>
        <charset val="136"/>
      </rPr>
      <t>ŋ</t>
    </r>
    <r>
      <rPr>
        <sz val="24"/>
        <color rgb="FFFF0000"/>
        <rFont val="Times New Roman"/>
        <family val="1"/>
      </rPr>
      <t>̍</t>
    </r>
  </si>
  <si>
    <t>ng</t>
    <phoneticPr fontId="4" type="noConversion"/>
  </si>
  <si>
    <t>會</t>
    <phoneticPr fontId="4" type="noConversion"/>
  </si>
  <si>
    <t>伯</t>
    <phoneticPr fontId="4" type="noConversion"/>
  </si>
  <si>
    <t>挨</t>
    <phoneticPr fontId="4" type="noConversion"/>
  </si>
  <si>
    <t>ãi</t>
    <phoneticPr fontId="17" type="noConversion"/>
  </si>
  <si>
    <r>
      <t>ai</t>
    </r>
    <r>
      <rPr>
        <sz val="24"/>
        <rFont val="Noto Sans TC Black"/>
        <family val="2"/>
        <charset val="136"/>
      </rPr>
      <t>ⁿ</t>
    </r>
  </si>
  <si>
    <t>ainn</t>
    <phoneticPr fontId="4" type="noConversion"/>
  </si>
  <si>
    <t>張</t>
    <phoneticPr fontId="4" type="noConversion"/>
  </si>
  <si>
    <t>õu</t>
    <phoneticPr fontId="17" type="noConversion"/>
  </si>
  <si>
    <t>onn</t>
    <phoneticPr fontId="17" type="noConversion"/>
  </si>
  <si>
    <r>
      <t>o</t>
    </r>
    <r>
      <rPr>
        <sz val="24"/>
        <rFont val="Noto Sans TC Black"/>
        <family val="2"/>
        <charset val="136"/>
      </rPr>
      <t>ⁿ</t>
    </r>
  </si>
  <si>
    <t>oonn</t>
    <phoneticPr fontId="4" type="noConversion"/>
  </si>
  <si>
    <t>m</t>
    <phoneticPr fontId="4" type="noConversion"/>
  </si>
  <si>
    <r>
      <t>ua</t>
    </r>
    <r>
      <rPr>
        <sz val="24"/>
        <color rgb="FFFF0000"/>
        <rFont val="Noto Serif TC Black"/>
        <family val="1"/>
        <charset val="136"/>
      </rPr>
      <t>ŋ</t>
    </r>
  </si>
  <si>
    <t>uang</t>
    <phoneticPr fontId="4" type="noConversion"/>
  </si>
  <si>
    <t>伏</t>
    <phoneticPr fontId="4" type="noConversion"/>
  </si>
  <si>
    <t>uak</t>
    <phoneticPr fontId="4" type="noConversion"/>
  </si>
  <si>
    <t>uãi</t>
    <phoneticPr fontId="17" type="noConversion"/>
  </si>
  <si>
    <r>
      <t>oai</t>
    </r>
    <r>
      <rPr>
        <sz val="24"/>
        <rFont val="Noto Sans TC Black"/>
        <family val="2"/>
        <charset val="136"/>
      </rPr>
      <t>ⁿ</t>
    </r>
  </si>
  <si>
    <t>uainn</t>
    <phoneticPr fontId="4" type="noConversion"/>
  </si>
  <si>
    <t>蹶</t>
    <phoneticPr fontId="4" type="noConversion"/>
  </si>
  <si>
    <t>uãi?</t>
    <phoneticPr fontId="17" type="noConversion"/>
  </si>
  <si>
    <r>
      <t>oai</t>
    </r>
    <r>
      <rPr>
        <sz val="24"/>
        <rFont val="Noto Sans TC Black"/>
        <family val="2"/>
        <charset val="136"/>
      </rPr>
      <t>ⁿ</t>
    </r>
    <r>
      <rPr>
        <sz val="24"/>
        <rFont val="Times New Roman"/>
        <family val="1"/>
      </rPr>
      <t>h</t>
    </r>
  </si>
  <si>
    <t>uainnh</t>
    <phoneticPr fontId="4" type="noConversion"/>
  </si>
  <si>
    <t>uẽi</t>
    <phoneticPr fontId="17" type="noConversion"/>
  </si>
  <si>
    <r>
      <t>oe</t>
    </r>
    <r>
      <rPr>
        <sz val="24"/>
        <rFont val="Noto Sans TC Black"/>
        <family val="2"/>
        <charset val="136"/>
      </rPr>
      <t>ⁿ</t>
    </r>
  </si>
  <si>
    <t>uenn</t>
    <phoneticPr fontId="4" type="noConversion"/>
  </si>
  <si>
    <t>uẽi?</t>
    <phoneticPr fontId="17" type="noConversion"/>
  </si>
  <si>
    <t>iãu</t>
    <phoneticPr fontId="17" type="noConversion"/>
  </si>
  <si>
    <r>
      <t>iau</t>
    </r>
    <r>
      <rPr>
        <sz val="24"/>
        <rFont val="Noto Sans TC Black"/>
        <family val="2"/>
        <charset val="136"/>
      </rPr>
      <t>ⁿ</t>
    </r>
  </si>
  <si>
    <t>iaunn</t>
    <phoneticPr fontId="4" type="noConversion"/>
  </si>
  <si>
    <t>iãu?</t>
    <phoneticPr fontId="17" type="noConversion"/>
  </si>
  <si>
    <r>
      <t>iau</t>
    </r>
    <r>
      <rPr>
        <sz val="24"/>
        <rFont val="Noto Sans TC Black"/>
        <family val="2"/>
        <charset val="136"/>
      </rPr>
      <t>ⁿ</t>
    </r>
    <r>
      <rPr>
        <sz val="24"/>
        <rFont val="Times New Roman"/>
        <family val="1"/>
      </rPr>
      <t>h</t>
    </r>
  </si>
  <si>
    <t>iaunnh</t>
    <phoneticPr fontId="4" type="noConversion"/>
  </si>
  <si>
    <t>丼</t>
    <phoneticPr fontId="4" type="noConversion"/>
  </si>
  <si>
    <r>
      <rPr>
        <sz val="24"/>
        <color rgb="FFFF0000"/>
        <rFont val="Noto Serif TC Black"/>
        <family val="1"/>
        <charset val="136"/>
      </rPr>
      <t>ɔ</t>
    </r>
    <r>
      <rPr>
        <sz val="24"/>
        <color rgb="FFFF0000"/>
        <rFont val="Times New Roman"/>
        <family val="1"/>
      </rPr>
      <t>m</t>
    </r>
  </si>
  <si>
    <t>oom</t>
    <phoneticPr fontId="4" type="noConversion"/>
  </si>
  <si>
    <t>吷</t>
    <phoneticPr fontId="4" type="noConversion"/>
  </si>
  <si>
    <r>
      <rPr>
        <sz val="24"/>
        <color rgb="FFFF0000"/>
        <rFont val="Noto Serif TC Black"/>
        <family val="1"/>
        <charset val="136"/>
      </rPr>
      <t>ɔ</t>
    </r>
    <r>
      <rPr>
        <sz val="24"/>
        <color rgb="FFFF0000"/>
        <rFont val="Times New Roman"/>
        <family val="1"/>
      </rPr>
      <t>p̚</t>
    </r>
  </si>
  <si>
    <t>oop</t>
    <phoneticPr fontId="4" type="noConversion"/>
  </si>
  <si>
    <t>懸</t>
    <phoneticPr fontId="4" type="noConversion"/>
  </si>
  <si>
    <t>ãu</t>
    <phoneticPr fontId="17" type="noConversion"/>
  </si>
  <si>
    <r>
      <t>au</t>
    </r>
    <r>
      <rPr>
        <sz val="24"/>
        <rFont val="Noto Sans TC Black"/>
        <family val="2"/>
        <charset val="136"/>
      </rPr>
      <t>ⁿ</t>
    </r>
  </si>
  <si>
    <t>aunn</t>
    <phoneticPr fontId="4" type="noConversion"/>
  </si>
  <si>
    <t>呼</t>
    <phoneticPr fontId="4" type="noConversion"/>
  </si>
  <si>
    <t>ㆧ</t>
    <phoneticPr fontId="4" type="noConversion"/>
  </si>
  <si>
    <t>onn</t>
    <phoneticPr fontId="4" type="noConversion"/>
  </si>
  <si>
    <r>
      <rPr>
        <strike/>
        <sz val="24"/>
        <color rgb="FFFF0000"/>
        <rFont val="Times New Roman"/>
        <family val="1"/>
      </rPr>
      <t>o</t>
    </r>
    <r>
      <rPr>
        <strike/>
        <vertAlign val="superscript"/>
        <sz val="24"/>
        <color rgb="FFFF0000"/>
        <rFont val="Times New Roman"/>
        <family val="1"/>
      </rPr>
      <t>n</t>
    </r>
    <phoneticPr fontId="4" type="noConversion"/>
  </si>
  <si>
    <t>noo</t>
    <phoneticPr fontId="4" type="noConversion"/>
  </si>
  <si>
    <t>ornn</t>
    <phoneticPr fontId="4" type="noConversion"/>
  </si>
  <si>
    <t>ㆧㆷ</t>
    <phoneticPr fontId="4" type="noConversion"/>
  </si>
  <si>
    <t>ohnn</t>
    <phoneticPr fontId="4" type="noConversion"/>
  </si>
  <si>
    <t>onnh</t>
    <phoneticPr fontId="4" type="noConversion"/>
  </si>
  <si>
    <r>
      <rPr>
        <strike/>
        <sz val="24"/>
        <color rgb="FFFF0000"/>
        <rFont val="Times New Roman"/>
        <family val="1"/>
      </rPr>
      <t>o</t>
    </r>
    <r>
      <rPr>
        <strike/>
        <vertAlign val="superscript"/>
        <sz val="24"/>
        <color rgb="FFFF0000"/>
        <rFont val="Times New Roman"/>
        <family val="1"/>
      </rPr>
      <t>n</t>
    </r>
    <r>
      <rPr>
        <strike/>
        <sz val="24"/>
        <color rgb="FFFF0000"/>
        <rFont val="Times New Roman"/>
        <family val="1"/>
      </rPr>
      <t>h</t>
    </r>
    <phoneticPr fontId="4" type="noConversion"/>
  </si>
  <si>
    <t>nooh</t>
    <phoneticPr fontId="4" type="noConversion"/>
  </si>
  <si>
    <t>香</t>
    <phoneticPr fontId="4" type="noConversion"/>
  </si>
  <si>
    <t>ĩu</t>
    <phoneticPr fontId="17" type="noConversion"/>
  </si>
  <si>
    <r>
      <t>iu</t>
    </r>
    <r>
      <rPr>
        <sz val="24"/>
        <rFont val="Noto Sans TC Black"/>
        <family val="2"/>
        <charset val="136"/>
      </rPr>
      <t>ⁿ</t>
    </r>
  </si>
  <si>
    <t>iunn</t>
    <phoneticPr fontId="4" type="noConversion"/>
  </si>
  <si>
    <t>公七門</t>
    <phoneticPr fontId="1" type="noConversion"/>
  </si>
  <si>
    <t>bong7</t>
    <phoneticPr fontId="1" type="noConversion"/>
  </si>
  <si>
    <t>公一喜</t>
    <phoneticPr fontId="1" type="noConversion"/>
  </si>
  <si>
    <t>hong1</t>
    <phoneticPr fontId="1" type="noConversion"/>
  </si>
  <si>
    <r>
      <rPr>
        <sz val="16"/>
        <color rgb="FFFF0000"/>
        <rFont val="Microsoft YaHei"/>
        <family val="2"/>
        <charset val="134"/>
      </rPr>
      <t>艍</t>
    </r>
    <r>
      <rPr>
        <sz val="16"/>
        <color rgb="FFFF0000"/>
        <rFont val="Noto Sans TC Medium"/>
        <family val="2"/>
      </rPr>
      <t>五入</t>
    </r>
    <phoneticPr fontId="1" type="noConversion"/>
  </si>
  <si>
    <t>ju5</t>
    <phoneticPr fontId="1" type="noConversion"/>
  </si>
  <si>
    <t>風五喜</t>
    <phoneticPr fontId="1" type="noConversion"/>
  </si>
  <si>
    <t>hong5</t>
    <phoneticPr fontId="1" type="noConversion"/>
  </si>
  <si>
    <r>
      <rPr>
        <sz val="16"/>
        <color rgb="FFFF0000"/>
        <rFont val="Microsoft YaHei"/>
        <family val="2"/>
        <charset val="134"/>
      </rPr>
      <t>丩</t>
    </r>
    <r>
      <rPr>
        <sz val="16"/>
        <color rgb="FFFF0000"/>
        <rFont val="Noto Sans TC Medium"/>
        <family val="2"/>
      </rPr>
      <t>二出</t>
    </r>
    <phoneticPr fontId="1" type="noConversion"/>
  </si>
  <si>
    <t>ciu2</t>
    <phoneticPr fontId="1" type="noConversion"/>
  </si>
  <si>
    <t>公五喜</t>
    <phoneticPr fontId="1" type="noConversion"/>
  </si>
  <si>
    <r>
      <rPr>
        <sz val="16"/>
        <color rgb="FFFF0000"/>
        <rFont val="Microsoft YaHei"/>
        <family val="2"/>
        <charset val="134"/>
      </rPr>
      <t>艍</t>
    </r>
    <r>
      <rPr>
        <sz val="16"/>
        <color rgb="FFFF0000"/>
        <rFont val="Noto Sans TC Medium"/>
        <family val="2"/>
      </rPr>
      <t>二曾</t>
    </r>
    <phoneticPr fontId="1" type="noConversion"/>
  </si>
  <si>
    <t>zu2</t>
    <phoneticPr fontId="1" type="noConversion"/>
  </si>
  <si>
    <t>稽七地</t>
    <phoneticPr fontId="1" type="noConversion"/>
  </si>
  <si>
    <t>te7</t>
    <phoneticPr fontId="1" type="noConversion"/>
  </si>
  <si>
    <t>風一喜</t>
    <phoneticPr fontId="1" type="noConversion"/>
  </si>
  <si>
    <t>公二英</t>
    <phoneticPr fontId="1" type="noConversion"/>
  </si>
  <si>
    <t>ong2</t>
    <phoneticPr fontId="1" type="noConversion"/>
  </si>
  <si>
    <t>堅三邊</t>
    <phoneticPr fontId="1" type="noConversion"/>
  </si>
  <si>
    <t>pian3</t>
    <phoneticPr fontId="1" type="noConversion"/>
  </si>
  <si>
    <t>公八門</t>
    <phoneticPr fontId="1" type="noConversion"/>
  </si>
  <si>
    <t>bok8</t>
    <phoneticPr fontId="1" type="noConversion"/>
  </si>
  <si>
    <t>十五音</t>
    <phoneticPr fontId="1" type="noConversion"/>
  </si>
  <si>
    <t>注音二式</t>
    <phoneticPr fontId="1" type="noConversion"/>
  </si>
  <si>
    <t>閩拼八聲調</t>
    <phoneticPr fontId="48" type="noConversion"/>
  </si>
  <si>
    <t>傳統八聲調</t>
    <phoneticPr fontId="1" type="noConversion"/>
  </si>
  <si>
    <t>十五音調號</t>
    <phoneticPr fontId="1" type="noConversion"/>
  </si>
  <si>
    <t>雅俗通調名</t>
    <phoneticPr fontId="48" type="noConversion"/>
  </si>
  <si>
    <t>台羅調名</t>
    <phoneticPr fontId="48" type="noConversion"/>
  </si>
  <si>
    <t>調名</t>
    <phoneticPr fontId="48" type="noConversion"/>
  </si>
  <si>
    <t>上（陰）平</t>
    <phoneticPr fontId="48" type="noConversion"/>
  </si>
  <si>
    <t>上（陰）上</t>
    <phoneticPr fontId="48" type="noConversion"/>
  </si>
  <si>
    <t>上（陰）去</t>
    <phoneticPr fontId="48" type="noConversion"/>
  </si>
  <si>
    <t>上（陰）入</t>
    <phoneticPr fontId="48" type="noConversion"/>
  </si>
  <si>
    <t>下（陽）平</t>
    <phoneticPr fontId="48" type="noConversion"/>
  </si>
  <si>
    <t>下（陽）上</t>
    <phoneticPr fontId="48" type="noConversion"/>
  </si>
  <si>
    <t>下（陽）去</t>
    <phoneticPr fontId="48" type="noConversion"/>
  </si>
  <si>
    <t>下（陽）入</t>
    <phoneticPr fontId="48" type="noConversion"/>
  </si>
  <si>
    <t>方音符號調符</t>
    <phoneticPr fontId="48" type="noConversion"/>
  </si>
  <si>
    <t>白話字調符編碼</t>
    <phoneticPr fontId="17" type="noConversion"/>
  </si>
  <si>
    <t>白話字調符</t>
    <phoneticPr fontId="17" type="noConversion"/>
  </si>
  <si>
    <t>堅五曾</t>
    <phoneticPr fontId="1" type="noConversion"/>
  </si>
  <si>
    <t>====》</t>
    <phoneticPr fontId="1" type="noConversion"/>
  </si>
  <si>
    <t>Key</t>
    <phoneticPr fontId="48" type="noConversion"/>
  </si>
  <si>
    <t>Value</t>
    <phoneticPr fontId="48" type="noConversion"/>
  </si>
  <si>
    <t>格式版本</t>
    <phoneticPr fontId="4" type="noConversion"/>
  </si>
  <si>
    <t>文件版本</t>
    <phoneticPr fontId="57" type="noConversion"/>
  </si>
  <si>
    <t>0.0.0.1</t>
    <phoneticPr fontId="4" type="noConversion"/>
  </si>
  <si>
    <t>INPUT_FILE_PATH</t>
  </si>
  <si>
    <t>C:\\work\\Piau-Im</t>
  </si>
  <si>
    <t>FILE_NAME</t>
  </si>
  <si>
    <t>【河洛文讀注音-閩拼調號】《歸去來辭》.xlsx</t>
    <phoneticPr fontId="4" type="noConversion"/>
  </si>
  <si>
    <t>TITLE</t>
  </si>
  <si>
    <t>歸去來辭</t>
    <phoneticPr fontId="4" type="noConversion"/>
  </si>
  <si>
    <t>IMAGE_URL</t>
  </si>
  <si>
    <t>Gui-Ku-Lai-Su.png</t>
    <phoneticPr fontId="4" type="noConversion"/>
  </si>
  <si>
    <t>OUTPUT_PATH</t>
  </si>
  <si>
    <t>output7</t>
  </si>
  <si>
    <t>章節序號</t>
    <phoneticPr fontId="57" type="noConversion"/>
  </si>
  <si>
    <t>None</t>
  </si>
  <si>
    <t>顯示注音輸入</t>
    <phoneticPr fontId="57" type="noConversion"/>
  </si>
  <si>
    <t>每頁總列數</t>
    <phoneticPr fontId="57" type="noConversion"/>
  </si>
  <si>
    <t>每列總字數</t>
    <phoneticPr fontId="57" type="noConversion"/>
  </si>
  <si>
    <t>語音類型</t>
    <phoneticPr fontId="57" type="noConversion"/>
  </si>
  <si>
    <t>文讀音</t>
  </si>
  <si>
    <t>漢字庫</t>
    <phoneticPr fontId="57" type="noConversion"/>
  </si>
  <si>
    <t>河洛話</t>
  </si>
  <si>
    <t>標音方法</t>
    <phoneticPr fontId="57" type="noConversion"/>
  </si>
  <si>
    <t>閩拼調號</t>
  </si>
  <si>
    <t>網頁格式</t>
    <phoneticPr fontId="57" type="noConversion"/>
  </si>
  <si>
    <t>無預設</t>
  </si>
  <si>
    <t>標音方式</t>
    <phoneticPr fontId="57" type="noConversion"/>
  </si>
  <si>
    <t>上及右</t>
  </si>
  <si>
    <t>上邊標音</t>
    <phoneticPr fontId="57" type="noConversion"/>
  </si>
  <si>
    <t>右邊標音</t>
    <phoneticPr fontId="57" type="noConversion"/>
  </si>
  <si>
    <t>網頁每列字數</t>
    <phoneticPr fontId="57" type="noConversion"/>
  </si>
  <si>
    <t>雅俗通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</si>
</sst>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[ &quot;@&quot; ]&quot;"/>
    <numFmt numFmtId="177" formatCode="General;\-General;;@"/>
  </numFmts>
  <fonts count="65">
    <font>
      <sz val="16"/>
      <color theme="1"/>
      <name val="Noto Sans TC Medium"/>
      <family val="2"/>
      <charset val="136"/>
    </font>
    <font>
      <sz val="9"/>
      <name val="Noto Sans TC Medium"/>
      <family val="2"/>
      <charset val="136"/>
    </font>
    <font>
      <sz val="16"/>
      <color theme="1"/>
      <name val="Noto Sans TC Medium"/>
      <family val="2"/>
      <charset val="136"/>
    </font>
    <font>
      <sz val="16"/>
      <color rgb="FFFF0000"/>
      <name val="Noto Sans TC Medium"/>
      <family val="2"/>
      <charset val="136"/>
    </font>
    <font>
      <sz val="9"/>
      <name val="新細明體"/>
      <family val="2"/>
      <charset val="136"/>
      <scheme val="minor"/>
    </font>
    <font>
      <sz val="24"/>
      <color theme="1"/>
      <name val="Arial"/>
      <family val="2"/>
    </font>
    <font>
      <sz val="24"/>
      <color rgb="FF0070C0"/>
      <name val="霞鶩文楷 TC"/>
      <family val="1"/>
      <charset val="136"/>
    </font>
    <font>
      <sz val="36"/>
      <color rgb="FFC00000"/>
      <name val="吳守禮標楷台語注音"/>
      <family val="3"/>
      <charset val="136"/>
    </font>
    <font>
      <sz val="10"/>
      <color rgb="FF000000"/>
      <name val="Linux Libertine G"/>
      <family val="2"/>
    </font>
    <font>
      <sz val="12"/>
      <color rgb="FFFFFF00"/>
      <name val="Noto Sans TC Medium"/>
      <family val="2"/>
    </font>
    <font>
      <sz val="16"/>
      <color rgb="FF000000"/>
      <name val="Noto Sans TC Medium"/>
      <family val="2"/>
      <charset val="136"/>
    </font>
    <font>
      <sz val="12"/>
      <color theme="1"/>
      <name val="新細明體"/>
      <family val="2"/>
      <charset val="136"/>
      <scheme val="minor"/>
    </font>
    <font>
      <sz val="16"/>
      <color theme="0" tint="-0.249977111117893"/>
      <name val="Arial"/>
      <family val="2"/>
    </font>
    <font>
      <b/>
      <sz val="16"/>
      <color rgb="FFFFFFFF"/>
      <name val="Noto Sans TC Black"/>
      <family val="2"/>
      <charset val="136"/>
    </font>
    <font>
      <sz val="9"/>
      <name val="cwTeX 仿宋體"/>
      <family val="3"/>
      <charset val="136"/>
    </font>
    <font>
      <b/>
      <sz val="16"/>
      <color rgb="FFFFFF00"/>
      <name val="Noto Sans TC Black"/>
      <family val="2"/>
      <charset val="136"/>
    </font>
    <font>
      <b/>
      <sz val="12"/>
      <color rgb="FFFFFF00"/>
      <name val="Noto Sans TC Black"/>
      <family val="2"/>
      <charset val="136"/>
    </font>
    <font>
      <sz val="9"/>
      <name val="Noto Sans TC"/>
      <family val="2"/>
      <charset val="136"/>
    </font>
    <font>
      <sz val="16"/>
      <color rgb="FFFFFF00"/>
      <name val="Noto Sans TC Medium"/>
      <family val="2"/>
      <charset val="136"/>
    </font>
    <font>
      <sz val="24"/>
      <name val="Noto Sans TC Medium"/>
      <family val="2"/>
      <charset val="136"/>
    </font>
    <font>
      <sz val="28"/>
      <name val="吳守禮細明台語注音"/>
      <family val="1"/>
      <charset val="136"/>
    </font>
    <font>
      <sz val="24"/>
      <color rgb="FFFF0000"/>
      <name val="Times New Roman"/>
      <family val="1"/>
    </font>
    <font>
      <sz val="28"/>
      <name val="Noto Serif TC Black"/>
      <family val="1"/>
      <charset val="136"/>
    </font>
    <font>
      <sz val="24"/>
      <name val="Times New Roman"/>
      <family val="1"/>
    </font>
    <font>
      <sz val="20"/>
      <name val="Noto Sans TC Medium"/>
      <family val="2"/>
      <charset val="136"/>
    </font>
    <font>
      <sz val="11"/>
      <name val="Noto Sans TC Medium"/>
      <family val="2"/>
      <charset val="136"/>
    </font>
    <font>
      <sz val="28"/>
      <name val="Noto Sans TC Medium"/>
      <family val="2"/>
      <charset val="136"/>
    </font>
    <font>
      <sz val="28"/>
      <name val="吳守禮細明台語破音02"/>
      <family val="1"/>
      <charset val="136"/>
    </font>
    <font>
      <sz val="28"/>
      <color rgb="FFFF0000"/>
      <name val="吳守禮細明台語破音01"/>
      <family val="1"/>
      <charset val="136"/>
    </font>
    <font>
      <sz val="24"/>
      <color rgb="FFFF0000"/>
      <name val="Noto Serif TC Black"/>
      <family val="1"/>
      <charset val="136"/>
    </font>
    <font>
      <sz val="24"/>
      <color rgb="FFFF0000"/>
      <name val="MS Gothic"/>
      <family val="3"/>
      <charset val="128"/>
    </font>
    <font>
      <sz val="28"/>
      <name val="吳守禮細明台語破音01"/>
      <family val="1"/>
      <charset val="136"/>
    </font>
    <font>
      <strike/>
      <sz val="24"/>
      <color rgb="FFFF0000"/>
      <name val="Times New Roman"/>
      <family val="1"/>
    </font>
    <font>
      <sz val="28"/>
      <name val="字咍源雲明體 方音 L"/>
      <family val="1"/>
      <charset val="136"/>
    </font>
    <font>
      <sz val="28"/>
      <name val="吳守禮細明台語破音03"/>
      <family val="1"/>
      <charset val="136"/>
    </font>
    <font>
      <sz val="24"/>
      <name val="Noto Sans TC Black"/>
      <family val="2"/>
      <charset val="136"/>
    </font>
    <font>
      <sz val="28"/>
      <name val="吳守禮細明台語破音06"/>
      <family val="1"/>
      <charset val="136"/>
    </font>
    <font>
      <sz val="28"/>
      <name val="吳守禮細明台語破音04"/>
      <family val="1"/>
      <charset val="136"/>
    </font>
    <font>
      <sz val="24"/>
      <color rgb="FFFF0000"/>
      <name val="Times New Roman"/>
      <family val="3"/>
      <charset val="136"/>
    </font>
    <font>
      <sz val="24"/>
      <color rgb="FFFF0000"/>
      <name val="Times New Roman"/>
      <family val="1"/>
      <charset val="136"/>
    </font>
    <font>
      <strike/>
      <vertAlign val="superscript"/>
      <sz val="24"/>
      <color rgb="FFFF0000"/>
      <name val="Times New Roman"/>
      <family val="1"/>
    </font>
    <font>
      <sz val="16"/>
      <color theme="1"/>
      <name val="Noto Sans TC"/>
      <family val="2"/>
      <charset val="136"/>
    </font>
    <font>
      <sz val="16"/>
      <color rgb="FFFF0000"/>
      <name val="Noto Sans TC Medium"/>
      <family val="2"/>
    </font>
    <font>
      <sz val="16"/>
      <color rgb="FFFF0000"/>
      <name val="Microsoft YaHei"/>
      <family val="2"/>
      <charset val="134"/>
    </font>
    <font>
      <sz val="16"/>
      <color rgb="FFFF0000"/>
      <name val="Noto Sans TC Medium"/>
      <family val="2"/>
      <charset val="134"/>
    </font>
    <font>
      <b/>
      <sz val="12"/>
      <color theme="3"/>
      <name val="Noto Serif TC Black"/>
      <family val="1"/>
      <charset val="136"/>
    </font>
    <font>
      <sz val="18"/>
      <color theme="1"/>
      <name val="黒体-繁"/>
      <family val="2"/>
      <charset val="136"/>
    </font>
    <font>
      <b/>
      <sz val="16"/>
      <color theme="0"/>
      <name val="Noto Sans TC"/>
      <family val="2"/>
    </font>
    <font>
      <sz val="9"/>
      <name val="黒体-繁"/>
      <family val="2"/>
      <charset val="136"/>
    </font>
    <font>
      <sz val="18"/>
      <color theme="1"/>
      <name val="Noto Sans TC"/>
      <family val="2"/>
    </font>
    <font>
      <b/>
      <sz val="18"/>
      <color theme="3" tint="0.749992370372631"/>
      <name val="Noto Sans TC"/>
      <family val="2"/>
    </font>
    <font>
      <sz val="10"/>
      <color rgb="FF000000"/>
      <name val="新細明體"/>
      <family val="1"/>
      <charset val="136"/>
      <scheme val="minor"/>
    </font>
    <font>
      <sz val="18"/>
      <color theme="1"/>
      <name val="字咍芫荽 台羅 R"/>
      <family val="1"/>
      <charset val="136"/>
    </font>
    <font>
      <b/>
      <sz val="18"/>
      <color theme="3" tint="0.749992370372631"/>
      <name val="字咍芫荽 台羅 R"/>
      <family val="1"/>
      <charset val="136"/>
    </font>
    <font>
      <b/>
      <sz val="18"/>
      <color theme="4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8"/>
      <color theme="1"/>
      <name val="微軟正黑體"/>
      <family val="2"/>
      <charset val="136"/>
    </font>
    <font>
      <sz val="9"/>
      <name val="新細明體"/>
      <family val="1"/>
      <charset val="136"/>
      <scheme val="minor"/>
    </font>
    <font>
      <sz val="18"/>
      <color theme="1"/>
      <name val="Arial"/>
      <family val="2"/>
    </font>
    <font>
      <sz val="18"/>
      <color theme="1"/>
      <name val="新細明體"/>
      <family val="1"/>
      <charset val="136"/>
    </font>
    <font>
      <u/>
      <sz val="12"/>
      <color theme="10"/>
      <name val="新細明體"/>
      <family val="2"/>
      <charset val="136"/>
      <scheme val="minor"/>
    </font>
    <font>
      <u/>
      <sz val="18"/>
      <color theme="10"/>
      <name val="新細明體"/>
      <family val="2"/>
      <charset val="136"/>
      <scheme val="minor"/>
    </font>
    <font>
      <sz val="18"/>
      <color rgb="FFFF0000"/>
      <name val="微軟正黑體"/>
      <family val="2"/>
      <charset val="136"/>
    </font>
    <font>
      <sz val="16"/>
      <color rgb="FF000000"/>
      <name val="新細明體"/>
      <family val="1"/>
      <charset val="136"/>
      <scheme val="minor"/>
    </font>
    <font>
      <sz val="18"/>
      <color theme="1"/>
      <name val="Noto Serif TC Black"/>
      <family val="1"/>
      <charset val="136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45818E"/>
        <bgColor rgb="FF45818E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8">
    <xf numFmtId="0" fontId="0" fillId="0" borderId="0">
      <alignment vertical="center"/>
    </xf>
    <xf numFmtId="0" fontId="8" fillId="0" borderId="0"/>
    <xf numFmtId="0" fontId="11" fillId="0" borderId="0">
      <alignment vertical="center"/>
    </xf>
    <xf numFmtId="0" fontId="41" fillId="0" borderId="0">
      <alignment vertical="center"/>
    </xf>
    <xf numFmtId="0" fontId="51" fillId="0" borderId="0"/>
    <xf numFmtId="0" fontId="46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63" fillId="0" borderId="0"/>
  </cellStyleXfs>
  <cellXfs count="95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3" fillId="0" borderId="0" xfId="0" applyFont="1">
      <alignment vertical="center"/>
    </xf>
    <xf numFmtId="0" fontId="5" fillId="0" borderId="1" xfId="0" applyFont="1" applyBorder="1" applyAlignment="1">
      <alignment horizontal="left" vertical="center" indent="2"/>
    </xf>
    <xf numFmtId="0" fontId="6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left" vertical="center"/>
    </xf>
    <xf numFmtId="0" fontId="9" fillId="4" borderId="2" xfId="1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10" fillId="0" borderId="7" xfId="1" applyFont="1" applyBorder="1" applyAlignment="1">
      <alignment horizontal="center" vertical="center"/>
    </xf>
    <xf numFmtId="0" fontId="10" fillId="0" borderId="8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0" fillId="0" borderId="0" xfId="1" applyFont="1" applyAlignment="1">
      <alignment horizontal="center"/>
    </xf>
    <xf numFmtId="0" fontId="10" fillId="0" borderId="0" xfId="1" applyFont="1" applyAlignment="1">
      <alignment horizontal="right" vertical="center" indent="1"/>
    </xf>
    <xf numFmtId="0" fontId="10" fillId="0" borderId="0" xfId="1" applyFont="1"/>
    <xf numFmtId="0" fontId="10" fillId="0" borderId="0" xfId="1" applyFont="1" applyAlignment="1">
      <alignment horizontal="left" vertical="center" indent="1"/>
    </xf>
    <xf numFmtId="0" fontId="10" fillId="0" borderId="0" xfId="1" applyFont="1" applyAlignment="1">
      <alignment horizontal="left" indent="1"/>
    </xf>
    <xf numFmtId="0" fontId="18" fillId="4" borderId="1" xfId="1" applyFont="1" applyFill="1" applyBorder="1"/>
    <xf numFmtId="0" fontId="10" fillId="0" borderId="1" xfId="1" applyFont="1" applyBorder="1"/>
    <xf numFmtId="177" fontId="20" fillId="0" borderId="1" xfId="1" applyNumberFormat="1" applyFont="1" applyBorder="1" applyAlignment="1">
      <alignment horizontal="center" vertical="center"/>
    </xf>
    <xf numFmtId="177" fontId="21" fillId="0" borderId="1" xfId="1" applyNumberFormat="1" applyFont="1" applyBorder="1" applyAlignment="1">
      <alignment horizontal="left" vertical="center" indent="1"/>
    </xf>
    <xf numFmtId="177" fontId="22" fillId="0" borderId="1" xfId="1" applyNumberFormat="1" applyFont="1" applyBorder="1" applyAlignment="1">
      <alignment horizontal="center" vertical="center"/>
    </xf>
    <xf numFmtId="177" fontId="19" fillId="0" borderId="1" xfId="1" applyNumberFormat="1" applyFont="1" applyBorder="1" applyAlignment="1">
      <alignment horizontal="left" vertical="center" indent="1"/>
    </xf>
    <xf numFmtId="177" fontId="2" fillId="0" borderId="1" xfId="1" applyNumberFormat="1" applyFont="1" applyBorder="1" applyAlignment="1">
      <alignment horizontal="left" vertical="center" indent="1"/>
    </xf>
    <xf numFmtId="177" fontId="23" fillId="0" borderId="1" xfId="1" applyNumberFormat="1" applyFont="1" applyBorder="1" applyAlignment="1">
      <alignment horizontal="left" vertical="center" indent="1"/>
    </xf>
    <xf numFmtId="177" fontId="24" fillId="0" borderId="1" xfId="1" applyNumberFormat="1" applyFont="1" applyBorder="1" applyAlignment="1">
      <alignment horizontal="center" vertical="center" wrapText="1"/>
    </xf>
    <xf numFmtId="177" fontId="26" fillId="0" borderId="1" xfId="1" applyNumberFormat="1" applyFont="1" applyBorder="1" applyAlignment="1">
      <alignment horizontal="center" vertical="center"/>
    </xf>
    <xf numFmtId="177" fontId="19" fillId="0" borderId="1" xfId="1" applyNumberFormat="1" applyFont="1" applyBorder="1" applyAlignment="1">
      <alignment horizontal="center" vertical="center"/>
    </xf>
    <xf numFmtId="0" fontId="2" fillId="0" borderId="10" xfId="1" applyFont="1" applyBorder="1" applyAlignment="1">
      <alignment horizontal="left" vertical="center" indent="1"/>
    </xf>
    <xf numFmtId="177" fontId="3" fillId="0" borderId="1" xfId="1" applyNumberFormat="1" applyFont="1" applyBorder="1" applyAlignment="1">
      <alignment horizontal="left" vertical="center" indent="1"/>
    </xf>
    <xf numFmtId="0" fontId="3" fillId="0" borderId="10" xfId="1" applyFont="1" applyBorder="1" applyAlignment="1">
      <alignment horizontal="left" vertical="center" indent="1"/>
    </xf>
    <xf numFmtId="177" fontId="27" fillId="0" borderId="1" xfId="1" applyNumberFormat="1" applyFont="1" applyBorder="1" applyAlignment="1">
      <alignment horizontal="center" vertical="center"/>
    </xf>
    <xf numFmtId="177" fontId="23" fillId="7" borderId="1" xfId="1" applyNumberFormat="1" applyFont="1" applyFill="1" applyBorder="1" applyAlignment="1">
      <alignment horizontal="left" vertical="center" indent="1"/>
    </xf>
    <xf numFmtId="177" fontId="21" fillId="7" borderId="1" xfId="1" applyNumberFormat="1" applyFont="1" applyFill="1" applyBorder="1" applyAlignment="1">
      <alignment horizontal="left" vertical="center" indent="1"/>
    </xf>
    <xf numFmtId="177" fontId="28" fillId="2" borderId="1" xfId="1" applyNumberFormat="1" applyFont="1" applyFill="1" applyBorder="1" applyAlignment="1">
      <alignment horizontal="center" vertical="center"/>
    </xf>
    <xf numFmtId="177" fontId="31" fillId="0" borderId="1" xfId="1" applyNumberFormat="1" applyFont="1" applyBorder="1" applyAlignment="1">
      <alignment horizontal="center" vertical="center"/>
    </xf>
    <xf numFmtId="177" fontId="32" fillId="0" borderId="1" xfId="1" applyNumberFormat="1" applyFont="1" applyBorder="1" applyAlignment="1">
      <alignment horizontal="left" vertical="center" indent="1"/>
    </xf>
    <xf numFmtId="177" fontId="33" fillId="0" borderId="1" xfId="1" applyNumberFormat="1" applyFont="1" applyBorder="1" applyAlignment="1">
      <alignment horizontal="center" vertical="center"/>
    </xf>
    <xf numFmtId="177" fontId="19" fillId="7" borderId="1" xfId="1" applyNumberFormat="1" applyFont="1" applyFill="1" applyBorder="1" applyAlignment="1">
      <alignment horizontal="left" vertical="center" indent="1"/>
    </xf>
    <xf numFmtId="177" fontId="34" fillId="0" borderId="1" xfId="1" applyNumberFormat="1" applyFont="1" applyBorder="1" applyAlignment="1">
      <alignment horizontal="center" vertical="center"/>
    </xf>
    <xf numFmtId="177" fontId="36" fillId="0" borderId="1" xfId="1" applyNumberFormat="1" applyFont="1" applyBorder="1" applyAlignment="1">
      <alignment horizontal="center" vertical="center"/>
    </xf>
    <xf numFmtId="177" fontId="37" fillId="0" borderId="1" xfId="1" applyNumberFormat="1" applyFont="1" applyBorder="1" applyAlignment="1">
      <alignment horizontal="center" vertical="center"/>
    </xf>
    <xf numFmtId="177" fontId="32" fillId="8" borderId="1" xfId="1" applyNumberFormat="1" applyFont="1" applyFill="1" applyBorder="1" applyAlignment="1">
      <alignment horizontal="left" vertical="center" indent="1"/>
    </xf>
    <xf numFmtId="177" fontId="23" fillId="9" borderId="1" xfId="1" applyNumberFormat="1" applyFont="1" applyFill="1" applyBorder="1" applyAlignment="1">
      <alignment horizontal="left" vertical="center" indent="1"/>
    </xf>
    <xf numFmtId="177" fontId="39" fillId="0" borderId="1" xfId="1" applyNumberFormat="1" applyFont="1" applyBorder="1" applyAlignment="1">
      <alignment horizontal="left" vertical="center" indent="1"/>
    </xf>
    <xf numFmtId="0" fontId="11" fillId="0" borderId="0" xfId="2">
      <alignment vertical="center"/>
    </xf>
    <xf numFmtId="0" fontId="41" fillId="0" borderId="0" xfId="3">
      <alignment vertical="center"/>
    </xf>
    <xf numFmtId="0" fontId="42" fillId="2" borderId="0" xfId="0" applyFont="1" applyFill="1">
      <alignment vertical="center"/>
    </xf>
    <xf numFmtId="0" fontId="44" fillId="2" borderId="0" xfId="0" applyFont="1" applyFill="1">
      <alignment vertical="center"/>
    </xf>
    <xf numFmtId="0" fontId="7" fillId="0" borderId="6" xfId="0" applyFont="1" applyBorder="1" applyAlignment="1">
      <alignment horizontal="center" vertical="center"/>
    </xf>
    <xf numFmtId="176" fontId="5" fillId="0" borderId="8" xfId="0" applyNumberFormat="1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 indent="2"/>
    </xf>
    <xf numFmtId="0" fontId="6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45" fillId="3" borderId="3" xfId="0" applyFont="1" applyFill="1" applyBorder="1" applyAlignment="1">
      <alignment horizontal="center" vertical="center"/>
    </xf>
    <xf numFmtId="0" fontId="45" fillId="3" borderId="4" xfId="0" applyFont="1" applyFill="1" applyBorder="1" applyAlignment="1">
      <alignment horizontal="center" vertical="center"/>
    </xf>
    <xf numFmtId="177" fontId="19" fillId="0" borderId="13" xfId="1" applyNumberFormat="1" applyFont="1" applyBorder="1" applyAlignment="1">
      <alignment horizontal="right" vertical="center" indent="1"/>
    </xf>
    <xf numFmtId="0" fontId="13" fillId="6" borderId="11" xfId="1" applyFont="1" applyFill="1" applyBorder="1" applyAlignment="1">
      <alignment horizontal="center" vertical="center"/>
    </xf>
    <xf numFmtId="0" fontId="13" fillId="6" borderId="12" xfId="1" applyFont="1" applyFill="1" applyBorder="1" applyAlignment="1">
      <alignment horizontal="center" vertical="center"/>
    </xf>
    <xf numFmtId="0" fontId="15" fillId="6" borderId="12" xfId="1" applyFont="1" applyFill="1" applyBorder="1" applyAlignment="1">
      <alignment horizontal="center" vertical="center"/>
    </xf>
    <xf numFmtId="0" fontId="16" fillId="6" borderId="12" xfId="1" applyFont="1" applyFill="1" applyBorder="1" applyAlignment="1">
      <alignment horizontal="center" vertical="center"/>
    </xf>
    <xf numFmtId="0" fontId="13" fillId="6" borderId="10" xfId="1" applyFont="1" applyFill="1" applyBorder="1" applyAlignment="1">
      <alignment horizontal="center" vertical="center"/>
    </xf>
    <xf numFmtId="177" fontId="19" fillId="0" borderId="14" xfId="1" applyNumberFormat="1" applyFont="1" applyBorder="1" applyAlignment="1">
      <alignment horizontal="right" vertical="center" indent="1"/>
    </xf>
    <xf numFmtId="177" fontId="23" fillId="7" borderId="15" xfId="1" applyNumberFormat="1" applyFont="1" applyFill="1" applyBorder="1" applyAlignment="1">
      <alignment horizontal="left" vertical="center" indent="1"/>
    </xf>
    <xf numFmtId="177" fontId="21" fillId="7" borderId="15" xfId="1" applyNumberFormat="1" applyFont="1" applyFill="1" applyBorder="1" applyAlignment="1">
      <alignment horizontal="left" vertical="center" indent="1"/>
    </xf>
    <xf numFmtId="177" fontId="19" fillId="7" borderId="15" xfId="1" applyNumberFormat="1" applyFont="1" applyFill="1" applyBorder="1" applyAlignment="1">
      <alignment horizontal="left" vertical="center" indent="1"/>
    </xf>
    <xf numFmtId="0" fontId="0" fillId="0" borderId="0" xfId="0" applyBorder="1" applyAlignment="1">
      <alignment horizontal="center" vertical="center"/>
    </xf>
    <xf numFmtId="0" fontId="47" fillId="10" borderId="0" xfId="2" applyFont="1" applyFill="1" applyBorder="1" applyAlignment="1">
      <alignment horizontal="center" vertical="center"/>
    </xf>
    <xf numFmtId="0" fontId="49" fillId="5" borderId="0" xfId="2" applyFont="1" applyFill="1" applyBorder="1" applyAlignment="1">
      <alignment horizontal="center" vertical="center"/>
    </xf>
    <xf numFmtId="0" fontId="2" fillId="5" borderId="0" xfId="4" applyFont="1" applyFill="1" applyBorder="1" applyAlignment="1">
      <alignment horizontal="center" vertical="center"/>
    </xf>
    <xf numFmtId="0" fontId="52" fillId="5" borderId="0" xfId="2" applyFont="1" applyFill="1" applyBorder="1" applyAlignment="1">
      <alignment horizontal="center" vertical="center"/>
    </xf>
    <xf numFmtId="0" fontId="49" fillId="0" borderId="0" xfId="2" applyFont="1" applyBorder="1" applyAlignment="1">
      <alignment horizontal="center" vertical="center"/>
    </xf>
    <xf numFmtId="0" fontId="2" fillId="0" borderId="0" xfId="4" applyFont="1" applyBorder="1" applyAlignment="1">
      <alignment horizontal="center" vertical="center"/>
    </xf>
    <xf numFmtId="0" fontId="52" fillId="0" borderId="0" xfId="2" applyFont="1" applyBorder="1" applyAlignment="1">
      <alignment horizontal="center" vertical="center"/>
    </xf>
    <xf numFmtId="0" fontId="50" fillId="3" borderId="0" xfId="2" applyFont="1" applyFill="1" applyBorder="1" applyAlignment="1">
      <alignment horizontal="center" vertical="center"/>
    </xf>
    <xf numFmtId="0" fontId="53" fillId="3" borderId="0" xfId="2" applyFont="1" applyFill="1" applyBorder="1" applyAlignment="1">
      <alignment horizontal="center" vertical="center"/>
    </xf>
    <xf numFmtId="0" fontId="0" fillId="0" borderId="0" xfId="0" quotePrefix="1">
      <alignment vertical="center"/>
    </xf>
    <xf numFmtId="0" fontId="54" fillId="11" borderId="0" xfId="5" applyFont="1" applyFill="1">
      <alignment vertical="center"/>
    </xf>
    <xf numFmtId="0" fontId="46" fillId="0" borderId="0" xfId="5">
      <alignment vertical="center"/>
    </xf>
    <xf numFmtId="0" fontId="55" fillId="0" borderId="0" xfId="5" applyFont="1">
      <alignment vertical="center"/>
    </xf>
    <xf numFmtId="0" fontId="56" fillId="0" borderId="0" xfId="5" applyFont="1" applyAlignment="1">
      <alignment horizontal="left" vertical="center"/>
    </xf>
    <xf numFmtId="0" fontId="56" fillId="0" borderId="0" xfId="5" quotePrefix="1" applyFont="1" applyAlignment="1">
      <alignment horizontal="left" vertical="center"/>
    </xf>
    <xf numFmtId="0" fontId="56" fillId="0" borderId="0" xfId="5" applyFont="1">
      <alignment vertical="center"/>
    </xf>
    <xf numFmtId="0" fontId="58" fillId="0" borderId="0" xfId="5" applyFont="1">
      <alignment vertical="center"/>
    </xf>
    <xf numFmtId="0" fontId="59" fillId="0" borderId="0" xfId="5" applyFont="1">
      <alignment vertical="center"/>
    </xf>
    <xf numFmtId="0" fontId="61" fillId="2" borderId="0" xfId="6" applyFont="1" applyFill="1" applyAlignment="1">
      <alignment vertical="center" readingOrder="1"/>
    </xf>
    <xf numFmtId="0" fontId="46" fillId="2" borderId="0" xfId="5" applyFill="1" applyAlignment="1">
      <alignment vertical="center" readingOrder="1"/>
    </xf>
    <xf numFmtId="0" fontId="62" fillId="0" borderId="0" xfId="5" applyFont="1" applyAlignment="1">
      <alignment horizontal="left" vertical="center"/>
    </xf>
    <xf numFmtId="0" fontId="10" fillId="0" borderId="0" xfId="7" applyFont="1" applyAlignment="1">
      <alignment horizontal="left" vertical="center"/>
    </xf>
    <xf numFmtId="0" fontId="64" fillId="0" borderId="0" xfId="5" applyFont="1">
      <alignment vertical="center"/>
    </xf>
    <xf numFmtId="0" fontId="64" fillId="0" borderId="0" xfId="5" applyFont="1" applyAlignment="1">
      <alignment horizontal="left" vertical="center"/>
    </xf>
  </cellXfs>
  <cellStyles count="8">
    <cellStyle name="一般" xfId="0" builtinId="0"/>
    <cellStyle name="一般 2" xfId="1" xr:uid="{A28A5BDB-0C03-4325-8E09-BAF0A8E9EAB9}"/>
    <cellStyle name="一般 2 2" xfId="5" xr:uid="{BBB769FF-9650-407F-BF23-3324CAF974C0}"/>
    <cellStyle name="一般 3" xfId="2" xr:uid="{DA59B3FE-4340-46DB-A8AA-2BD0AC521D34}"/>
    <cellStyle name="一般 3 2" xfId="3" xr:uid="{A603E59B-0476-4B36-95A2-715F17227FF1}"/>
    <cellStyle name="一般 3 3" xfId="7" xr:uid="{150FCE76-B0A5-4E65-9EC9-91823F937715}"/>
    <cellStyle name="一般 4" xfId="4" xr:uid="{E4FC2E84-ED70-4C3C-AA55-D65F67A07D3A}"/>
    <cellStyle name="超連結 2" xfId="6" xr:uid="{1DBD26DE-009C-487E-91A1-6629279129DB}"/>
  </cellStyles>
  <dxfs count="35">
    <dxf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Noto Sans T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Noto Sans TC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rgb="FFC00000"/>
        <name val="吳守禮標楷台語注音"/>
        <family val="3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rgb="FFC00000"/>
        <name val="吳守禮標楷台語注音"/>
        <family val="3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Noto Serif TC Black"/>
        <family val="1"/>
        <charset val="136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rgb="FF0070C0"/>
        <name val="霞鶩文楷 TC"/>
        <family val="1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Arial"/>
        <family val="2"/>
        <scheme val="none"/>
      </font>
      <alignment horizontal="left" vertical="center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Arial"/>
        <family val="2"/>
        <scheme val="none"/>
      </font>
      <alignment horizontal="left" vertical="center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Arial"/>
        <family val="2"/>
        <scheme val="none"/>
      </font>
      <numFmt numFmtId="176" formatCode="&quot;[ &quot;@&quot; ]&quot;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Noto Sans TC Medium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00"/>
        <name val="Noto Sans TC Medium"/>
        <family val="2"/>
        <scheme val="none"/>
      </font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21" Type="http://schemas.microsoft.com/office/2017/06/relationships/rdSupportingPropertyBag" Target="richData/rdsupportingpropertybag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microsoft.com/office/2017/06/relationships/rdSupportingPropertyBagStructure" Target="richData/rdsupportingpropertybag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microsoft.com/office/2023/09/relationships/Python" Target="python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microsoft.com/office/2017/06/relationships/rdArray" Target="richData/rdarray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cuments/&#38313;&#21335;&#35486;&#27880;&#38899;&#20108;&#24335;/&#21488;&#35486;&#27880;&#38899;&#20108;&#24335;.xlsx" TargetMode="External"/><Relationship Id="rId2" Type="http://schemas.openxmlformats.org/officeDocument/2006/relationships/externalLinkPath" Target="file:///C:\work\Piau-Im\Documents\&#38313;&#21335;&#35486;&#27880;&#38899;&#20108;&#24335;\&#21488;&#35486;&#27880;&#38899;&#20108;&#24335;.xlsx" TargetMode="External"/><Relationship Id="rId1" Type="http://schemas.openxmlformats.org/officeDocument/2006/relationships/externalLinkPath" Target="/work/Piau-Im/Documents/&#38313;&#21335;&#35486;&#27880;&#38899;&#20108;&#24335;/&#21488;&#35486;&#27880;&#38899;&#20108;&#24335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853628f16e3ee33/D110_&#24409;&#38598;&#38597;&#20439;&#36890;&#21313;&#20116;&#38899;&#23383;&#20856;.xlsx" TargetMode="External"/><Relationship Id="rId1" Type="http://schemas.openxmlformats.org/officeDocument/2006/relationships/externalLinkPath" Target="https://d.docs.live.net/e853628f16e3ee33/D110_&#24409;&#38598;&#38597;&#20439;&#36890;&#21313;&#20116;&#38899;&#23383;&#2085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聲母"/>
      <sheetName val="韻母"/>
      <sheetName val="聲母列表"/>
      <sheetName val="聲母列表 (2)"/>
      <sheetName val="韻母列表"/>
      <sheetName val="十五音聲母對照表"/>
      <sheetName val="台羅音節表"/>
      <sheetName val="十五音韻母對照表"/>
      <sheetName val="聲調對照表"/>
      <sheetName val="台語注音二式-音節表"/>
      <sheetName val="台語注音二式編碼表"/>
      <sheetName val="聲母與韻母清單【台語注音二式】"/>
      <sheetName val="方音符號-音節表"/>
      <sheetName val="廣韻聲母對照表"/>
      <sheetName val="廣韻韻母對照表"/>
      <sheetName val="廣韻韻母清單"/>
      <sheetName val="36字母表"/>
      <sheetName val="工作表7"/>
    </sheetNames>
    <sheetDataSet>
      <sheetData sheetId="0"/>
      <sheetData sheetId="1"/>
      <sheetData sheetId="2"/>
      <sheetData sheetId="3"/>
      <sheetData sheetId="4"/>
      <sheetData sheetId="5">
        <row r="4">
          <cell r="F4" t="str">
            <v>l</v>
          </cell>
        </row>
        <row r="5">
          <cell r="F5" t="str">
            <v>p</v>
          </cell>
        </row>
        <row r="6">
          <cell r="F6" t="str">
            <v>k</v>
          </cell>
        </row>
        <row r="7">
          <cell r="F7" t="str">
            <v>kh</v>
          </cell>
        </row>
        <row r="8">
          <cell r="F8" t="str">
            <v>t</v>
          </cell>
        </row>
        <row r="9">
          <cell r="F9" t="str">
            <v>ph</v>
          </cell>
        </row>
        <row r="10">
          <cell r="F10" t="str">
            <v>th</v>
          </cell>
        </row>
        <row r="11">
          <cell r="F11" t="str">
            <v>z</v>
          </cell>
        </row>
        <row r="12">
          <cell r="F12" t="str">
            <v>j</v>
          </cell>
        </row>
        <row r="13">
          <cell r="F13" t="str">
            <v>s</v>
          </cell>
        </row>
        <row r="14">
          <cell r="F14" t="str">
            <v>Ø</v>
          </cell>
        </row>
        <row r="15">
          <cell r="F15" t="str">
            <v>b</v>
          </cell>
        </row>
        <row r="16">
          <cell r="F16" t="str">
            <v>g</v>
          </cell>
        </row>
        <row r="17">
          <cell r="F17" t="str">
            <v>c</v>
          </cell>
        </row>
        <row r="18">
          <cell r="F18" t="str">
            <v>h</v>
          </cell>
        </row>
        <row r="19">
          <cell r="F19" t="str">
            <v>m</v>
          </cell>
        </row>
        <row r="20">
          <cell r="F20" t="str">
            <v>n</v>
          </cell>
        </row>
        <row r="21">
          <cell r="F21" t="str">
            <v>ng</v>
          </cell>
        </row>
        <row r="22">
          <cell r="F22" t="str">
            <v>ji</v>
          </cell>
        </row>
        <row r="23">
          <cell r="F23" t="str">
            <v>zi</v>
          </cell>
        </row>
        <row r="24">
          <cell r="F24" t="str">
            <v>ci</v>
          </cell>
        </row>
        <row r="25">
          <cell r="F25" t="str">
            <v>si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漢字查音"/>
      <sheetName val="漢字查音 (多字)"/>
      <sheetName val="十五音查詢 (PY)"/>
      <sheetName val="十五音查詢"/>
      <sheetName val="彙集雅俗通字典"/>
      <sheetName val="聲母對照表"/>
      <sheetName val="韻母對照表"/>
      <sheetName val="聲調表"/>
      <sheetName val="設定"/>
      <sheetName val="【聲母】十五音對照表"/>
      <sheetName val="【韻母】十五音對照表"/>
      <sheetName val="【韻母】韻腹排序對照表"/>
      <sheetName val="【韻母】《漳州閩拼》對照表"/>
      <sheetName val="閩拼-聲調"/>
      <sheetName val="元音舌位圖"/>
      <sheetName val="【韻母】元音及韻化輔音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11">
    <v t="s"/>
    <v t="s">ian</v>
    <v t="s">ik</v>
    <v t="s">ik</v>
    <v t="s">u</v>
    <v t="s">...</v>
    <v t="s">ing</v>
    <v t="s">uan</v>
    <v t="s">ing</v>
    <v t="s">i</v>
    <v t="s">ong</v>
  </a>
</arrayData>
</file>

<file path=xl/richData/rdrichvalue.xml><?xml version="1.0" encoding="utf-8"?>
<rvData xmlns="http://schemas.microsoft.com/office/spreadsheetml/2017/richdata" count="3">
  <rv s="0">
    <v>0</v>
  </rv>
  <rv s="1">
    <v>list</v>
    <v>1</v>
    <v>0</v>
  </rv>
  <rv s="2">
    <v>&lt;class 'list'&gt;</v>
    <v>list</v>
    <v>['', 'ian', 'ik', 'ik', 'u', '', 'ok', 'ong', '', 'oo', 'ik', 'im', 'ut', 'i', 'iu', '', 'it', 'uat', 'i', 'ong', '', 'oo', 'u', 'u', 'ik', 'uan', 'iu', 'iu', 'u', 'ik', 'ik', 'i', 'a', '', 'ing', 'ong', 'u', 'ai', '', 'ui', 'o', 'ut', 'ing', '', 'u', ...</v>
    <v>1</v>
    <v>2</v>
  </rv>
</rvData>
</file>

<file path=xl/richData/rdrichvaluestructure.xml><?xml version="1.0" encoding="utf-8"?>
<rvStructures xmlns="http://schemas.microsoft.com/office/spreadsheetml/2017/richdata" count="3"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3">
    <spb s="0">
      <v>102</v>
      <v>1</v>
      <v>list</v>
      <v>arrayPreview</v>
    </spb>
    <spb s="1">
      <v>0</v>
    </spb>
    <spb s="2">
      <v>https://www.anaconda.com/excel</v>
      <v>https://res.cdn.office.net/officepysvc/prod-service/anacondalogo.png</v>
      <v>Python 由 Anaconda 提供</v>
    </spb>
  </spbData>
</supportingPropertyBags>
</file>

<file path=xl/richData/rdsupportingpropertybagstructure.xml><?xml version="1.0" encoding="utf-8"?>
<spbStructures xmlns="http://schemas.microsoft.com/office/spreadsheetml/2017/richdata2" count="3">
  <s>
    <k n="drw" t="i"/>
    <k n="dcol" t="i"/>
    <k n="name" t="s"/>
    <k n="array" t="s"/>
  </s>
  <s>
    <k n="ArrayCardInfo" t="spb"/>
  </s>
  <s>
    <k n="link" t="s"/>
    <k n="logo" t="s"/>
    <k n="name" t="s"/>
  </s>
</spb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0E75B9B-6006-4C47-8682-8D377397210A}" name="聲母對照表" displayName="聲母對照表" ref="B2:G21" totalsRowShown="0" headerRowDxfId="9" headerRowBorderDxfId="15" tableBorderDxfId="16" totalsRowBorderDxfId="14">
  <autoFilter ref="B2:G21" xr:uid="{50E75B9B-6006-4C47-8682-8D377397210A}"/>
  <tableColumns count="6">
    <tableColumn id="6" xr3:uid="{6E9F4198-0D78-4CAA-A7CB-47B310890DF9}" name="漢字範例" dataDxfId="8"/>
    <tableColumn id="7" xr3:uid="{672E5D55-952A-4699-A747-F97D8E347D2F}" name="十五音" dataDxfId="7"/>
    <tableColumn id="2" xr3:uid="{84F74546-7EC0-4A6A-9983-9EC7436F559D}" name="國際音標" dataDxfId="13"/>
    <tableColumn id="3" xr3:uid="{59351CDE-8860-4F47-B3CF-D1CA6A51D66D}" name="台語音標" dataDxfId="12"/>
    <tableColumn id="4" xr3:uid="{81B884F9-A992-406C-84AD-ED0F04B43E35}" name="注音二式" dataDxfId="11"/>
    <tableColumn id="5" xr3:uid="{9CC18F46-6CA8-4ADB-B15F-1EAAAFD331D7}" name="注音符號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94B38E-4233-4EB0-98EE-2F10A8145748}" name="韻母對照表" displayName="韻母對照表" ref="B2:N86" totalsRowShown="0" headerRowDxfId="34" dataDxfId="33" headerRowBorderDxfId="31" tableBorderDxfId="32" totalsRowBorderDxfId="30" headerRowCellStyle="一般 2" dataCellStyle="一般 2">
  <sortState xmlns:xlrd2="http://schemas.microsoft.com/office/spreadsheetml/2017/richdata2" ref="B3:N86">
    <sortCondition ref="G2:G85"/>
  </sortState>
  <tableColumns count="13">
    <tableColumn id="1" xr3:uid="{05E3A69A-1B0F-4541-B059-FBDEE795CD24}" name="識別號" dataDxfId="29" dataCellStyle="一般 2"/>
    <tableColumn id="2" xr3:uid="{2E6986E0-B5AA-430E-A0C0-92FB298F19E4}" name="漢字例" dataDxfId="28" dataCellStyle="一般 2"/>
    <tableColumn id="3" xr3:uid="{83524A35-9B8D-436B-95AC-DC30D1D9385D}" name="國際音標" dataDxfId="27" dataCellStyle="一般 2"/>
    <tableColumn id="4" xr3:uid="{D99B8EB5-9DCF-4F57-AB54-D1287D0FAFED}" name="十五音" dataDxfId="26" dataCellStyle="一般 2"/>
    <tableColumn id="5" xr3:uid="{FCF6EC2B-DA3C-43C3-8C80-C65E3D78A892}" name="方音符號" dataDxfId="25" dataCellStyle="一般 2"/>
    <tableColumn id="6" xr3:uid="{97F87A79-5F87-4F32-A166-B4CAEFF24F9A}" name="台語音標" dataDxfId="24" dataCellStyle="一般 2"/>
    <tableColumn id="7" xr3:uid="{49257A80-93B8-4E68-B6A2-3B91AACF2F08}" name="台羅拼音" dataDxfId="23" dataCellStyle="一般 2"/>
    <tableColumn id="8" xr3:uid="{5F07667B-1DBC-49DC-A6DD-7E3EB7D2539B}" name="白話字" dataDxfId="22" dataCellStyle="一般 2"/>
    <tableColumn id="9" xr3:uid="{B2CD8120-9F29-4790-A400-71224F29CC43}" name="閩拼方案" dataDxfId="21" dataCellStyle="一般 2"/>
    <tableColumn id="10" xr3:uid="{740DC473-FE7E-4D6B-A59F-C101460F2D0D}" name="注音二式" dataDxfId="20" dataCellStyle="一般 2"/>
    <tableColumn id="11" xr3:uid="{8EAE33C7-A2E9-4332-BCF1-79908C58C20A}" name="舒促聲" dataDxfId="19" dataCellStyle="一般 2"/>
    <tableColumn id="12" xr3:uid="{68A280B0-32F7-4CB5-8F74-C72B39572F2F}" name="十五音識別碼" dataDxfId="18" dataCellStyle="一般 2"/>
    <tableColumn id="13" xr3:uid="{794E1DB7-2BA9-4161-952B-BC24D790B930}" name="十五音韻母序" dataDxfId="17" dataCellStyle="一般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10605F2-805C-4EEF-A8FE-D467B829B4FC}" name="聲調對照表" displayName="聲調對照表" ref="B2:J10" totalsRowShown="0" headerRowDxfId="6" headerRowCellStyle="一般 3">
  <autoFilter ref="B2:J10" xr:uid="{D10605F2-805C-4EEF-A8FE-D467B829B4FC}"/>
  <tableColumns count="9">
    <tableColumn id="1" xr3:uid="{5D33BE42-50FC-4C8D-9990-949462DC5D13}" name="十五音調號" dataDxfId="5">
      <calculatedColumnFormula xml:space="preserve"> TEXT(C3, "[DBNum1][$-zh-TW]G/通用格式")</calculatedColumnFormula>
    </tableColumn>
    <tableColumn id="2" xr3:uid="{C938AE4D-AA4C-4AC7-98C0-D6E8C274AFC0}" name="傳統八聲調" dataDxfId="4"/>
    <tableColumn id="3" xr3:uid="{38697451-8B9A-488D-B182-D21A3242F747}" name="閩拼八聲調"/>
    <tableColumn id="4" xr3:uid="{5A52E330-70BC-4FDC-9659-6D9F7B6254A9}" name="雅俗通調名" dataDxfId="3" dataCellStyle="一般 4">
      <calculatedColumnFormula xml:space="preserve"> _xlfn.CONCAT( LEFT(G3), RIGHT(G3))</calculatedColumnFormula>
    </tableColumn>
    <tableColumn id="5" xr3:uid="{E962B60E-7038-4DD0-8730-F8D1A83BA3BD}" name="台羅調名" dataDxfId="2" dataCellStyle="一般 4">
      <calculatedColumnFormula xml:space="preserve"> _xlfn.CONCAT( MID(G3,3,1), RIGHT(G3))</calculatedColumnFormula>
    </tableColumn>
    <tableColumn id="6" xr3:uid="{042B83A7-8EB3-47D4-82EE-78020275227F}" name="調名" dataDxfId="1" dataCellStyle="一般 3"/>
    <tableColumn id="7" xr3:uid="{53724B1D-246E-47DF-B897-FFC0200083FD}" name="方音符號調符"/>
    <tableColumn id="8" xr3:uid="{9B0ECEB9-79BA-4B37-87CA-6CEBDC424915}" name="白話字調符編碼"/>
    <tableColumn id="9" xr3:uid="{71EB15DC-FE87-4F22-94CA-4C261D557E74}" name="白話字調符">
      <calculatedColumnFormula xml:space="preserve"> _xlfn.CONCAT("◌", [2]!聲調表[[#This Row],[白話字調符編碼]])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BFEE-39B3-4253-A649-777E40BC92A9}">
  <sheetPr>
    <tabColor rgb="FFFF0000"/>
  </sheetPr>
  <dimension ref="B1:K20"/>
  <sheetViews>
    <sheetView showFormulas="1" tabSelected="1" zoomScale="80" zoomScaleNormal="80" workbookViewId="0">
      <selection activeCell="D18" sqref="D18"/>
    </sheetView>
  </sheetViews>
  <sheetFormatPr defaultColWidth="10" defaultRowHeight="25.5"/>
  <cols>
    <col min="1" max="1" width="3.08203125" style="82" customWidth="1"/>
    <col min="2" max="2" width="11.5" style="82" customWidth="1"/>
    <col min="3" max="3" width="25.6640625" style="82" customWidth="1"/>
    <col min="4" max="16384" width="10" style="82"/>
  </cols>
  <sheetData>
    <row r="1" spans="2:11" ht="26.25">
      <c r="B1" s="81" t="s">
        <v>1851</v>
      </c>
      <c r="C1" s="81" t="s">
        <v>1852</v>
      </c>
    </row>
    <row r="2" spans="2:11" ht="30">
      <c r="B2" s="83" t="s">
        <v>1853</v>
      </c>
      <c r="C2" s="84">
        <v>1</v>
      </c>
    </row>
    <row r="3" spans="2:11" ht="30">
      <c r="B3" s="83" t="s">
        <v>1854</v>
      </c>
      <c r="C3" s="85" t="s">
        <v>1855</v>
      </c>
    </row>
    <row r="4" spans="2:11">
      <c r="B4" s="86" t="s">
        <v>1856</v>
      </c>
      <c r="C4" s="87" t="s">
        <v>1857</v>
      </c>
    </row>
    <row r="5" spans="2:11">
      <c r="B5" s="86" t="s">
        <v>1858</v>
      </c>
      <c r="C5" s="87" t="s">
        <v>1859</v>
      </c>
    </row>
    <row r="6" spans="2:11">
      <c r="B6" s="86" t="s">
        <v>1860</v>
      </c>
      <c r="C6" s="88" t="s">
        <v>1861</v>
      </c>
    </row>
    <row r="7" spans="2:11">
      <c r="B7" s="86" t="s">
        <v>1862</v>
      </c>
      <c r="C7" s="89" t="s">
        <v>1863</v>
      </c>
      <c r="D7" s="90"/>
      <c r="E7" s="90"/>
      <c r="F7" s="90"/>
      <c r="G7" s="90"/>
      <c r="H7" s="90"/>
      <c r="I7" s="90"/>
      <c r="J7" s="90"/>
      <c r="K7" s="90"/>
    </row>
    <row r="8" spans="2:11">
      <c r="B8" s="86" t="s">
        <v>1864</v>
      </c>
      <c r="C8" s="91" t="s">
        <v>1865</v>
      </c>
    </row>
    <row r="9" spans="2:11" ht="30">
      <c r="B9" s="83" t="s">
        <v>1866</v>
      </c>
      <c r="C9" s="84" t="s">
        <v>1867</v>
      </c>
    </row>
    <row r="10" spans="2:11">
      <c r="B10" s="92" t="s">
        <v>1868</v>
      </c>
      <c r="C10" s="84" t="b">
        <v>1</v>
      </c>
    </row>
    <row r="11" spans="2:11" ht="30">
      <c r="B11" s="83" t="s">
        <v>1869</v>
      </c>
      <c r="C11" s="84">
        <v>34</v>
      </c>
    </row>
    <row r="12" spans="2:11" ht="30">
      <c r="B12" s="83" t="s">
        <v>1870</v>
      </c>
      <c r="C12" s="84">
        <v>15</v>
      </c>
    </row>
    <row r="13" spans="2:11" ht="30">
      <c r="B13" s="83" t="s">
        <v>1871</v>
      </c>
      <c r="C13" s="93" t="s">
        <v>1872</v>
      </c>
    </row>
    <row r="14" spans="2:11" ht="30">
      <c r="B14" s="83" t="s">
        <v>1873</v>
      </c>
      <c r="C14" s="93" t="s">
        <v>1874</v>
      </c>
    </row>
    <row r="15" spans="2:11" ht="30">
      <c r="B15" s="83" t="s">
        <v>1875</v>
      </c>
      <c r="C15" s="93" t="s">
        <v>1876</v>
      </c>
    </row>
    <row r="16" spans="2:11" ht="30">
      <c r="B16" s="83" t="s">
        <v>1877</v>
      </c>
      <c r="C16" s="93" t="s">
        <v>1878</v>
      </c>
    </row>
    <row r="17" spans="2:3" ht="30">
      <c r="B17" s="83" t="s">
        <v>1879</v>
      </c>
      <c r="C17" s="93" t="s">
        <v>1880</v>
      </c>
    </row>
    <row r="18" spans="2:3" ht="30">
      <c r="B18" s="83" t="s">
        <v>1881</v>
      </c>
      <c r="C18" s="93" t="s">
        <v>1884</v>
      </c>
    </row>
    <row r="19" spans="2:3" ht="30">
      <c r="B19" s="83" t="s">
        <v>1882</v>
      </c>
      <c r="C19" s="93" t="s">
        <v>1067</v>
      </c>
    </row>
    <row r="20" spans="2:3" ht="30">
      <c r="B20" s="83" t="s">
        <v>1883</v>
      </c>
      <c r="C20" s="94">
        <v>0</v>
      </c>
    </row>
  </sheetData>
  <phoneticPr fontId="1" type="noConversion"/>
  <dataValidations count="6">
    <dataValidation type="list" showInputMessage="1" showErrorMessage="1" sqref="C18:C19 C15" xr:uid="{1E265A3A-D741-4F58-8C09-37513ECA645F}">
      <formula1>" ,十五音, 雅俗通,方音符號,台語音標, 注音二式, 白話字, 台羅拼音,閩拼調號, 閩拼調符"</formula1>
    </dataValidation>
    <dataValidation type="list" allowBlank="1" showInputMessage="1" showErrorMessage="1" sqref="C10" xr:uid="{F693AA7E-1D1B-4608-B163-F646EAB7B7D1}">
      <formula1>"TRUE, FALSE"</formula1>
    </dataValidation>
    <dataValidation type="list" allowBlank="1" showInputMessage="1" showErrorMessage="1" sqref="C13" xr:uid="{B3A0A42D-AFFA-4B84-A14C-163487B93C0C}">
      <formula1>"白話音, 文讀音"</formula1>
    </dataValidation>
    <dataValidation type="list" allowBlank="1" showInputMessage="1" showErrorMessage="1" sqref="C14" xr:uid="{BE218927-D632-4E86-AF53-90865F6948F2}">
      <formula1>"河洛話, 廣韻"</formula1>
    </dataValidation>
    <dataValidation type="list" allowBlank="1" showInputMessage="1" showErrorMessage="1" sqref="C16" xr:uid="{F8868C6B-269B-46B3-A143-7EE13F603648}">
      <formula1>"無預設, SNI, TPS, POJ, TL, BP, TLPA_Plus, DBL"</formula1>
    </dataValidation>
    <dataValidation type="list" allowBlank="1" showInputMessage="1" showErrorMessage="1" sqref="C17" xr:uid="{2B195EA0-F066-4B82-9C68-550678682E6E}">
      <formula1>"預設,上,右,上及右"</formula1>
    </dataValidation>
  </dataValidation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95D7C-605C-4924-946D-BB8403B949FA}">
  <dimension ref="A1:I669"/>
  <sheetViews>
    <sheetView workbookViewId="0">
      <selection activeCell="B3" sqref="B3"/>
    </sheetView>
  </sheetViews>
  <sheetFormatPr defaultRowHeight="25.5"/>
  <cols>
    <col min="1" max="1" width="4.6640625" bestFit="1" customWidth="1"/>
    <col min="2" max="3" width="8.1640625" bestFit="1" customWidth="1"/>
    <col min="4" max="6" width="11.83203125" bestFit="1" customWidth="1"/>
    <col min="8" max="8" width="9.08203125" bestFit="1" customWidth="1"/>
    <col min="9" max="9" width="39.83203125" customWidth="1"/>
  </cols>
  <sheetData>
    <row r="1" spans="1:9">
      <c r="A1" t="s">
        <v>0</v>
      </c>
      <c r="B1" t="s">
        <v>1</v>
      </c>
      <c r="C1" t="s">
        <v>556</v>
      </c>
      <c r="D1" t="s">
        <v>557</v>
      </c>
      <c r="E1" t="s">
        <v>558</v>
      </c>
      <c r="F1" t="s">
        <v>559</v>
      </c>
    </row>
    <row r="2" spans="1:9">
      <c r="A2" t="s">
        <v>2</v>
      </c>
      <c r="D2" t="str" cm="1">
        <f t="array" ref="D2:F669">_xlfn._xlws.PY(0,0,B2:B669)</f>
        <v/>
      </c>
      <c r="E2" t="str">
        <v/>
      </c>
      <c r="F2" t="str">
        <v/>
      </c>
      <c r="H2" s="80" t="s">
        <v>1850</v>
      </c>
      <c r="I2" t="str">
        <f xml:space="preserve"> IF(B2="", A2, _xlfn.CONCAT("&lt;ruby&gt;", A2, "&lt;rt&gt;", B2, "&lt;/rt&gt;", "&lt;/ruby&gt;"))</f>
        <v>《</v>
      </c>
    </row>
    <row r="3" spans="1:9">
      <c r="A3" t="s">
        <v>3</v>
      </c>
      <c r="B3" t="s">
        <v>1849</v>
      </c>
      <c r="C3" t="s">
        <v>560</v>
      </c>
      <c r="D3" t="str">
        <v>z</v>
      </c>
      <c r="E3" t="str">
        <v>ian</v>
      </c>
      <c r="F3">
        <v>5</v>
      </c>
      <c r="H3" s="80" t="s">
        <v>1850</v>
      </c>
      <c r="I3" t="str">
        <f xml:space="preserve"> IF(B3="", A3, _xlfn.CONCAT("&lt;ruby&gt;", A3, "&lt;rt&gt;", B3, "&lt;/rt&gt;", "&lt;/ruby&gt;"))</f>
        <v>&lt;ruby&gt;前&lt;rt&gt;堅五曾&lt;/rt&gt;&lt;/ruby&gt;</v>
      </c>
    </row>
    <row r="4" spans="1:9">
      <c r="A4" t="s">
        <v>5</v>
      </c>
      <c r="B4" t="s">
        <v>6</v>
      </c>
      <c r="C4" t="s">
        <v>563</v>
      </c>
      <c r="D4" t="str">
        <v>c</v>
      </c>
      <c r="E4" t="str">
        <v>ik</v>
      </c>
      <c r="F4">
        <v>4</v>
      </c>
      <c r="H4" s="80" t="s">
        <v>1850</v>
      </c>
      <c r="I4" t="str">
        <f t="shared" ref="I4:I13" si="0" xml:space="preserve"> IF(B4="", A4, _xlfn.CONCAT("&lt;ruby&gt;", A4, "&lt;rt&gt;", B4, "&lt;/rt&gt;", "&lt;/ruby&gt;"))</f>
        <v>&lt;ruby&gt;赤&lt;rt&gt;經四出&lt;/rt&gt;&lt;/ruby&gt;</v>
      </c>
    </row>
    <row r="5" spans="1:9">
      <c r="A5" t="s">
        <v>7</v>
      </c>
      <c r="B5" t="s">
        <v>8</v>
      </c>
      <c r="C5" t="s">
        <v>566</v>
      </c>
      <c r="D5" t="str">
        <v>p</v>
      </c>
      <c r="E5" t="str">
        <v>ik</v>
      </c>
      <c r="F5">
        <v>4</v>
      </c>
      <c r="H5" s="80" t="s">
        <v>1850</v>
      </c>
      <c r="I5" t="str">
        <f t="shared" si="0"/>
        <v>&lt;ruby&gt;壁&lt;rt&gt;經四邊&lt;/rt&gt;&lt;/ruby&gt;</v>
      </c>
    </row>
    <row r="6" spans="1:9">
      <c r="A6" t="s">
        <v>9</v>
      </c>
      <c r="B6" t="s">
        <v>10</v>
      </c>
      <c r="C6" t="s">
        <v>568</v>
      </c>
      <c r="D6" t="str">
        <v>h</v>
      </c>
      <c r="E6" t="str">
        <v>u</v>
      </c>
      <c r="F6">
        <v>3</v>
      </c>
      <c r="H6" s="80" t="s">
        <v>1850</v>
      </c>
      <c r="I6" t="str">
        <f t="shared" si="0"/>
        <v>&lt;ruby&gt;賦&lt;rt&gt;艍三喜&lt;/rt&gt;&lt;/ruby&gt;</v>
      </c>
    </row>
    <row r="7" spans="1:9">
      <c r="A7" t="s">
        <v>11</v>
      </c>
      <c r="D7" t="str">
        <v/>
      </c>
      <c r="E7" t="str">
        <v/>
      </c>
      <c r="F7" t="str">
        <v/>
      </c>
      <c r="H7" s="80" t="s">
        <v>1850</v>
      </c>
      <c r="I7" t="str">
        <f t="shared" si="0"/>
        <v>》</v>
      </c>
    </row>
    <row r="8" spans="1:9">
      <c r="A8" t="s">
        <v>12</v>
      </c>
      <c r="B8" t="s">
        <v>13</v>
      </c>
      <c r="C8" t="s">
        <v>571</v>
      </c>
      <c r="D8" t="str">
        <v>p</v>
      </c>
      <c r="E8" t="str">
        <v>ok</v>
      </c>
      <c r="F8">
        <v>4</v>
      </c>
      <c r="H8" s="80" t="s">
        <v>1850</v>
      </c>
      <c r="I8" t="str">
        <f t="shared" si="0"/>
        <v>&lt;ruby&gt;北&lt;rt&gt;公四邊&lt;/rt&gt;&lt;/ruby&gt;</v>
      </c>
    </row>
    <row r="9" spans="1:9">
      <c r="A9" t="s">
        <v>14</v>
      </c>
      <c r="B9" t="s">
        <v>15</v>
      </c>
      <c r="C9" t="s">
        <v>573</v>
      </c>
      <c r="D9" t="str">
        <v>s</v>
      </c>
      <c r="E9" t="str">
        <v>ong</v>
      </c>
      <c r="F9">
        <v>3</v>
      </c>
      <c r="H9" s="80" t="s">
        <v>1850</v>
      </c>
      <c r="I9" t="str">
        <f t="shared" si="0"/>
        <v>&lt;ruby&gt;宋&lt;rt&gt;公三時&lt;/rt&gt;&lt;/ruby&gt;</v>
      </c>
    </row>
    <row r="10" spans="1:9">
      <c r="A10" t="s">
        <v>16</v>
      </c>
      <c r="D10" t="str">
        <v/>
      </c>
      <c r="E10" t="str">
        <v/>
      </c>
      <c r="F10" t="str">
        <v/>
      </c>
      <c r="H10" s="80" t="s">
        <v>1850</v>
      </c>
      <c r="I10" t="str">
        <f t="shared" si="0"/>
        <v>：</v>
      </c>
    </row>
    <row r="11" spans="1:9">
      <c r="A11" t="s">
        <v>17</v>
      </c>
      <c r="B11" t="s">
        <v>18</v>
      </c>
      <c r="C11" t="s">
        <v>576</v>
      </c>
      <c r="D11" t="str">
        <v>s</v>
      </c>
      <c r="E11" t="str">
        <v>oo</v>
      </c>
      <c r="F11">
        <v>1</v>
      </c>
      <c r="H11" s="80" t="s">
        <v>1850</v>
      </c>
      <c r="I11" t="str">
        <f t="shared" si="0"/>
        <v>&lt;ruby&gt;蘇&lt;rt&gt;沽一時&lt;/rt&gt;&lt;/ruby&gt;</v>
      </c>
    </row>
    <row r="12" spans="1:9">
      <c r="A12" t="s">
        <v>19</v>
      </c>
      <c r="B12" t="s">
        <v>20</v>
      </c>
      <c r="C12" t="s">
        <v>578</v>
      </c>
      <c r="D12" t="str">
        <v>s</v>
      </c>
      <c r="E12" t="str">
        <v>ik</v>
      </c>
      <c r="F12">
        <v>4</v>
      </c>
      <c r="H12" s="80" t="s">
        <v>1850</v>
      </c>
      <c r="I12" t="str">
        <f t="shared" si="0"/>
        <v>&lt;ruby&gt;軾&lt;rt&gt;經四時&lt;/rt&gt;&lt;/ruby&gt;</v>
      </c>
    </row>
    <row r="13" spans="1:9">
      <c r="A13" t="str">
        <f xml:space="preserve"> CHAR(10)</f>
        <v xml:space="preserve">
</v>
      </c>
      <c r="D13" t="str">
        <v/>
      </c>
      <c r="E13" t="str">
        <v/>
      </c>
      <c r="F13" t="str">
        <v/>
      </c>
      <c r="H13" s="80" t="s">
        <v>1850</v>
      </c>
      <c r="I13" t="str">
        <f t="shared" si="0"/>
        <v xml:space="preserve">
</v>
      </c>
    </row>
    <row r="14" spans="1:9">
      <c r="A14" t="s">
        <v>21</v>
      </c>
      <c r="B14" t="s">
        <v>22</v>
      </c>
      <c r="C14" t="s">
        <v>579</v>
      </c>
      <c r="D14" t="str">
        <v>j</v>
      </c>
      <c r="E14" t="str">
        <v>im</v>
      </c>
      <c r="F14">
        <v>5</v>
      </c>
      <c r="H14" s="80" t="s">
        <v>1850</v>
      </c>
      <c r="I14" t="str">
        <f xml:space="preserve"> IF(B14="", A14, _xlfn.CONCAT("&lt;ruby&gt;", A14, "&lt;rt&gt;", B14, "&lt;/rt&gt;", "&lt;/ruby&gt;"))</f>
        <v>&lt;ruby&gt;壬&lt;rt&gt;金五入&lt;/rt&gt;&lt;/ruby&gt;</v>
      </c>
    </row>
    <row r="15" spans="1:9">
      <c r="A15" t="s">
        <v>23</v>
      </c>
      <c r="B15" t="s">
        <v>24</v>
      </c>
      <c r="C15" t="s">
        <v>582</v>
      </c>
      <c r="D15" t="str">
        <v>s</v>
      </c>
      <c r="E15" t="str">
        <v>ut</v>
      </c>
      <c r="F15">
        <v>4</v>
      </c>
      <c r="H15" s="80" t="s">
        <v>1850</v>
      </c>
      <c r="I15" t="str">
        <f xml:space="preserve"> IF(B15="", A15, _xlfn.CONCAT("&lt;ruby&gt;", A15, "&lt;rt&gt;", B15, "&lt;/rt&gt;", "&lt;/ruby&gt;"))</f>
        <v>&lt;ruby&gt;戌&lt;rt&gt;君四時&lt;/rt&gt;&lt;/ruby&gt;</v>
      </c>
    </row>
    <row r="16" spans="1:9">
      <c r="A16" t="s">
        <v>25</v>
      </c>
      <c r="B16" t="s">
        <v>26</v>
      </c>
      <c r="C16" t="s">
        <v>584</v>
      </c>
      <c r="D16" t="str">
        <v>z</v>
      </c>
      <c r="E16" t="str">
        <v>i</v>
      </c>
      <c r="F16">
        <v>1</v>
      </c>
      <c r="H16" s="80" t="s">
        <v>1850</v>
      </c>
      <c r="I16" t="str">
        <f t="shared" ref="I16:I20" si="1" xml:space="preserve"> IF(B16="", A16, _xlfn.CONCAT("&lt;ruby&gt;", A16, "&lt;rt&gt;", B16, "&lt;/rt&gt;", "&lt;/ruby&gt;"))</f>
        <v>&lt;ruby&gt;之&lt;rt&gt;居一曾&lt;/rt&gt;&lt;/ruby&gt;</v>
      </c>
    </row>
    <row r="17" spans="1:9">
      <c r="A17" t="s">
        <v>27</v>
      </c>
      <c r="B17" t="s">
        <v>28</v>
      </c>
      <c r="C17" t="s">
        <v>586</v>
      </c>
      <c r="D17" t="str">
        <v>c</v>
      </c>
      <c r="E17" t="str">
        <v>iu</v>
      </c>
      <c r="F17">
        <v>1</v>
      </c>
      <c r="H17" s="80" t="s">
        <v>1850</v>
      </c>
      <c r="I17" t="str">
        <f t="shared" si="1"/>
        <v>&lt;ruby&gt;秋&lt;rt&gt;丩一出&lt;/rt&gt;&lt;/ruby&gt;</v>
      </c>
    </row>
    <row r="18" spans="1:9">
      <c r="A18" t="s">
        <v>29</v>
      </c>
      <c r="D18" t="str">
        <v/>
      </c>
      <c r="E18" t="str">
        <v/>
      </c>
      <c r="F18" t="str">
        <v/>
      </c>
      <c r="H18" s="80" t="s">
        <v>1850</v>
      </c>
      <c r="I18" t="str">
        <f t="shared" si="1"/>
        <v>，</v>
      </c>
    </row>
    <row r="19" spans="1:9">
      <c r="A19" t="s">
        <v>30</v>
      </c>
      <c r="B19" t="s">
        <v>31</v>
      </c>
      <c r="C19" t="s">
        <v>588</v>
      </c>
      <c r="D19" t="str">
        <v>c</v>
      </c>
      <c r="E19" t="str">
        <v>it</v>
      </c>
      <c r="F19">
        <v>4</v>
      </c>
      <c r="H19" s="80" t="s">
        <v>1850</v>
      </c>
      <c r="I19" t="str">
        <f t="shared" si="1"/>
        <v>&lt;ruby&gt;七&lt;rt&gt;巾四出&lt;/rt&gt;&lt;/ruby&gt;</v>
      </c>
    </row>
    <row r="20" spans="1:9">
      <c r="A20" t="s">
        <v>32</v>
      </c>
      <c r="B20" t="s">
        <v>33</v>
      </c>
      <c r="C20" t="s">
        <v>590</v>
      </c>
      <c r="D20" t="str">
        <v>g</v>
      </c>
      <c r="E20" t="str">
        <v>uat</v>
      </c>
      <c r="F20">
        <v>8</v>
      </c>
      <c r="H20" s="80" t="s">
        <v>1850</v>
      </c>
      <c r="I20" t="str">
        <f t="shared" si="1"/>
        <v>&lt;ruby&gt;月&lt;rt&gt;觀八語&lt;/rt&gt;&lt;/ruby&gt;</v>
      </c>
    </row>
    <row r="21" spans="1:9">
      <c r="A21" t="s">
        <v>34</v>
      </c>
      <c r="B21" t="s">
        <v>35</v>
      </c>
      <c r="C21" t="s">
        <v>593</v>
      </c>
      <c r="D21" t="str">
        <v>k</v>
      </c>
      <c r="E21" t="str">
        <v>i</v>
      </c>
      <c r="F21">
        <v>3</v>
      </c>
    </row>
    <row r="22" spans="1:9">
      <c r="A22" t="s">
        <v>36</v>
      </c>
      <c r="B22" s="51" t="s">
        <v>1808</v>
      </c>
      <c r="C22" s="51" t="s">
        <v>1809</v>
      </c>
      <c r="D22" t="str">
        <v>b</v>
      </c>
      <c r="E22" t="str">
        <v>ong</v>
      </c>
      <c r="F22">
        <v>7</v>
      </c>
    </row>
    <row r="23" spans="1:9">
      <c r="A23" t="s">
        <v>29</v>
      </c>
      <c r="D23" t="str">
        <v/>
      </c>
      <c r="E23" t="str">
        <v/>
      </c>
      <c r="F23" t="str">
        <v/>
      </c>
    </row>
    <row r="24" spans="1:9">
      <c r="A24" t="s">
        <v>17</v>
      </c>
      <c r="B24" t="s">
        <v>18</v>
      </c>
      <c r="C24" t="s">
        <v>576</v>
      </c>
      <c r="D24" t="str">
        <v>s</v>
      </c>
      <c r="E24" t="str">
        <v>oo</v>
      </c>
      <c r="F24">
        <v>1</v>
      </c>
    </row>
    <row r="25" spans="1:9">
      <c r="A25" t="s">
        <v>38</v>
      </c>
      <c r="B25" t="s">
        <v>39</v>
      </c>
      <c r="C25" t="s">
        <v>597</v>
      </c>
      <c r="D25" t="str">
        <v>z</v>
      </c>
      <c r="E25" t="str">
        <v>u</v>
      </c>
      <c r="F25">
        <v>2</v>
      </c>
    </row>
    <row r="26" spans="1:9">
      <c r="A26" t="s">
        <v>40</v>
      </c>
      <c r="B26" t="s">
        <v>41</v>
      </c>
      <c r="C26" t="s">
        <v>946</v>
      </c>
      <c r="D26" t="str">
        <v/>
      </c>
      <c r="E26" t="str">
        <v>u</v>
      </c>
      <c r="F26">
        <v>2</v>
      </c>
    </row>
    <row r="27" spans="1:9">
      <c r="A27" t="s">
        <v>42</v>
      </c>
      <c r="B27" t="s">
        <v>43</v>
      </c>
      <c r="C27" t="s">
        <v>600</v>
      </c>
      <c r="D27" t="str">
        <v>kh</v>
      </c>
      <c r="E27" t="str">
        <v>ik</v>
      </c>
      <c r="F27">
        <v>4</v>
      </c>
    </row>
    <row r="28" spans="1:9">
      <c r="A28" t="s">
        <v>44</v>
      </c>
      <c r="B28" t="s">
        <v>45</v>
      </c>
      <c r="C28" t="s">
        <v>602</v>
      </c>
      <c r="D28" t="str">
        <v>h</v>
      </c>
      <c r="E28" t="str">
        <v>uan</v>
      </c>
      <c r="F28">
        <v>3</v>
      </c>
    </row>
    <row r="29" spans="1:9">
      <c r="A29" t="s">
        <v>46</v>
      </c>
      <c r="B29" t="s">
        <v>47</v>
      </c>
      <c r="C29" t="s">
        <v>604</v>
      </c>
      <c r="D29" t="str">
        <v>z</v>
      </c>
      <c r="E29" t="str">
        <v>iu</v>
      </c>
      <c r="F29">
        <v>1</v>
      </c>
    </row>
    <row r="30" spans="1:9">
      <c r="A30" t="s">
        <v>48</v>
      </c>
      <c r="B30" t="s">
        <v>49</v>
      </c>
      <c r="C30" t="s">
        <v>949</v>
      </c>
      <c r="D30" t="str">
        <v/>
      </c>
      <c r="E30" t="str">
        <v>iu</v>
      </c>
      <c r="F30">
        <v>5</v>
      </c>
    </row>
    <row r="31" spans="1:9">
      <c r="A31" t="s">
        <v>50</v>
      </c>
      <c r="B31" t="s">
        <v>51</v>
      </c>
      <c r="C31" t="s">
        <v>950</v>
      </c>
      <c r="D31" t="str">
        <v/>
      </c>
      <c r="E31" t="str">
        <v>u</v>
      </c>
      <c r="F31">
        <v>1</v>
      </c>
    </row>
    <row r="32" spans="1:9">
      <c r="A32" t="s">
        <v>5</v>
      </c>
      <c r="B32" t="s">
        <v>6</v>
      </c>
      <c r="C32" t="s">
        <v>563</v>
      </c>
      <c r="D32" t="str">
        <v>c</v>
      </c>
      <c r="E32" t="str">
        <v>ik</v>
      </c>
      <c r="F32">
        <v>4</v>
      </c>
    </row>
    <row r="33" spans="1:6">
      <c r="A33" t="s">
        <v>7</v>
      </c>
      <c r="B33" t="s">
        <v>8</v>
      </c>
      <c r="C33" t="s">
        <v>566</v>
      </c>
      <c r="D33" t="str">
        <v>p</v>
      </c>
      <c r="E33" t="str">
        <v>ik</v>
      </c>
      <c r="F33">
        <v>4</v>
      </c>
    </row>
    <row r="34" spans="1:6">
      <c r="A34" t="s">
        <v>25</v>
      </c>
      <c r="B34" t="s">
        <v>26</v>
      </c>
      <c r="C34" t="s">
        <v>584</v>
      </c>
      <c r="D34" t="str">
        <v>z</v>
      </c>
      <c r="E34" t="str">
        <v>i</v>
      </c>
      <c r="F34">
        <v>1</v>
      </c>
    </row>
    <row r="35" spans="1:6">
      <c r="A35" t="s">
        <v>52</v>
      </c>
      <c r="B35" t="s">
        <v>53</v>
      </c>
      <c r="C35" t="s">
        <v>951</v>
      </c>
      <c r="D35" t="str">
        <v>h</v>
      </c>
      <c r="E35" t="str">
        <v>a</v>
      </c>
      <c r="F35">
        <v>2</v>
      </c>
    </row>
    <row r="36" spans="1:6">
      <c r="A36" t="s">
        <v>54</v>
      </c>
      <c r="D36" t="str">
        <v/>
      </c>
      <c r="E36" t="str">
        <v/>
      </c>
      <c r="F36" t="str">
        <v/>
      </c>
    </row>
    <row r="37" spans="1:6">
      <c r="A37" t="s">
        <v>55</v>
      </c>
      <c r="B37" t="s">
        <v>56</v>
      </c>
      <c r="C37" t="s">
        <v>609</v>
      </c>
      <c r="D37" t="str">
        <v>c</v>
      </c>
      <c r="E37" t="str">
        <v>ing</v>
      </c>
      <c r="F37">
        <v>1</v>
      </c>
    </row>
    <row r="38" spans="1:6">
      <c r="A38" t="s">
        <v>57</v>
      </c>
      <c r="B38" s="51" t="s">
        <v>1810</v>
      </c>
      <c r="C38" s="51" t="s">
        <v>1811</v>
      </c>
      <c r="D38" t="str">
        <v>h</v>
      </c>
      <c r="E38" t="str">
        <v>ong</v>
      </c>
      <c r="F38">
        <v>1</v>
      </c>
    </row>
    <row r="39" spans="1:6">
      <c r="A39" t="s">
        <v>59</v>
      </c>
      <c r="B39" t="s">
        <v>60</v>
      </c>
      <c r="C39" t="s">
        <v>613</v>
      </c>
      <c r="D39" t="str">
        <v>s</v>
      </c>
      <c r="E39" t="str">
        <v>u</v>
      </c>
      <c r="F39">
        <v>5</v>
      </c>
    </row>
    <row r="40" spans="1:6">
      <c r="A40" t="s">
        <v>61</v>
      </c>
      <c r="B40" t="s">
        <v>62</v>
      </c>
      <c r="C40" t="s">
        <v>614</v>
      </c>
      <c r="D40" t="str">
        <v>l</v>
      </c>
      <c r="E40" t="str">
        <v>ai</v>
      </c>
      <c r="F40">
        <v>5</v>
      </c>
    </row>
    <row r="41" spans="1:6">
      <c r="A41" t="s">
        <v>29</v>
      </c>
      <c r="D41" t="str">
        <v/>
      </c>
      <c r="E41" t="str">
        <v/>
      </c>
      <c r="F41" t="str">
        <v/>
      </c>
    </row>
    <row r="42" spans="1:6">
      <c r="A42" t="s">
        <v>63</v>
      </c>
      <c r="B42" t="s">
        <v>64</v>
      </c>
      <c r="C42" t="s">
        <v>617</v>
      </c>
      <c r="D42" t="str">
        <v>s</v>
      </c>
      <c r="E42" t="str">
        <v>ui</v>
      </c>
      <c r="F42">
        <v>2</v>
      </c>
    </row>
    <row r="43" spans="1:6">
      <c r="A43" t="s">
        <v>65</v>
      </c>
      <c r="B43" t="s">
        <v>66</v>
      </c>
      <c r="C43" t="s">
        <v>619</v>
      </c>
      <c r="D43" t="str">
        <v>ph</v>
      </c>
      <c r="E43" t="str">
        <v>o</v>
      </c>
      <c r="F43">
        <v>1</v>
      </c>
    </row>
    <row r="44" spans="1:6">
      <c r="A44" t="s">
        <v>67</v>
      </c>
      <c r="B44" t="s">
        <v>68</v>
      </c>
      <c r="C44" t="s">
        <v>622</v>
      </c>
      <c r="D44" t="str">
        <v>p</v>
      </c>
      <c r="E44" t="str">
        <v>ut</v>
      </c>
      <c r="F44">
        <v>4</v>
      </c>
    </row>
    <row r="45" spans="1:6">
      <c r="A45" t="s">
        <v>69</v>
      </c>
      <c r="B45" t="s">
        <v>70</v>
      </c>
      <c r="C45" t="s">
        <v>623</v>
      </c>
      <c r="D45" t="str">
        <v>h</v>
      </c>
      <c r="E45" t="str">
        <v>ing</v>
      </c>
      <c r="F45">
        <v>1</v>
      </c>
    </row>
    <row r="46" spans="1:6">
      <c r="A46" t="s">
        <v>29</v>
      </c>
      <c r="D46" t="str">
        <v/>
      </c>
      <c r="E46" t="str">
        <v/>
      </c>
      <c r="F46" t="str">
        <v/>
      </c>
    </row>
    <row r="47" spans="1:6">
      <c r="A47" t="s">
        <v>71</v>
      </c>
      <c r="B47" t="s">
        <v>72</v>
      </c>
      <c r="C47" t="s">
        <v>957</v>
      </c>
      <c r="D47" t="str">
        <v>k</v>
      </c>
      <c r="E47" t="str">
        <v>u</v>
      </c>
      <c r="F47">
        <v>2</v>
      </c>
    </row>
    <row r="48" spans="1:6">
      <c r="A48" t="s">
        <v>73</v>
      </c>
      <c r="B48" t="s">
        <v>74</v>
      </c>
      <c r="C48" t="s">
        <v>625</v>
      </c>
      <c r="D48" t="str">
        <v>z</v>
      </c>
      <c r="E48" t="str">
        <v>iu</v>
      </c>
      <c r="F48">
        <v>2</v>
      </c>
    </row>
    <row r="49" spans="1:6">
      <c r="A49" t="s">
        <v>75</v>
      </c>
      <c r="B49" t="s">
        <v>76</v>
      </c>
      <c r="C49" t="s">
        <v>626</v>
      </c>
      <c r="D49" t="str">
        <v>z</v>
      </c>
      <c r="E49" t="str">
        <v>iok</v>
      </c>
      <c r="F49">
        <v>4</v>
      </c>
    </row>
    <row r="50" spans="1:6">
      <c r="A50" t="s">
        <v>42</v>
      </c>
      <c r="B50" t="s">
        <v>43</v>
      </c>
      <c r="C50" t="s">
        <v>600</v>
      </c>
      <c r="D50" t="str">
        <v>kh</v>
      </c>
      <c r="E50" t="str">
        <v>ik</v>
      </c>
      <c r="F50">
        <v>4</v>
      </c>
    </row>
    <row r="51" spans="1:6">
      <c r="A51" t="s">
        <v>29</v>
      </c>
      <c r="D51" t="str">
        <v/>
      </c>
      <c r="E51" t="str">
        <v/>
      </c>
      <c r="F51" t="str">
        <v/>
      </c>
    </row>
    <row r="52" spans="1:6">
      <c r="A52" t="s">
        <v>77</v>
      </c>
      <c r="B52" t="s">
        <v>78</v>
      </c>
      <c r="C52" t="s">
        <v>628</v>
      </c>
      <c r="D52" t="str">
        <v>s</v>
      </c>
      <c r="E52" t="str">
        <v>iong</v>
      </c>
      <c r="F52">
        <v>7</v>
      </c>
    </row>
    <row r="53" spans="1:6">
      <c r="A53" t="s">
        <v>79</v>
      </c>
      <c r="B53" t="s">
        <v>80</v>
      </c>
      <c r="C53" t="s">
        <v>629</v>
      </c>
      <c r="D53" t="str">
        <v>b</v>
      </c>
      <c r="E53" t="str">
        <v>ing</v>
      </c>
      <c r="F53">
        <v>5</v>
      </c>
    </row>
    <row r="54" spans="1:6">
      <c r="A54" t="s">
        <v>32</v>
      </c>
      <c r="B54" t="s">
        <v>33</v>
      </c>
      <c r="C54" t="s">
        <v>590</v>
      </c>
      <c r="D54" t="str">
        <v>g</v>
      </c>
      <c r="E54" t="str">
        <v>uat</v>
      </c>
      <c r="F54">
        <v>8</v>
      </c>
    </row>
    <row r="55" spans="1:6">
      <c r="A55" t="s">
        <v>25</v>
      </c>
      <c r="B55" t="s">
        <v>26</v>
      </c>
      <c r="C55" t="s">
        <v>584</v>
      </c>
      <c r="D55" t="str">
        <v>z</v>
      </c>
      <c r="E55" t="str">
        <v>i</v>
      </c>
      <c r="F55">
        <v>1</v>
      </c>
    </row>
    <row r="56" spans="1:6">
      <c r="A56" t="s">
        <v>81</v>
      </c>
      <c r="B56" t="s">
        <v>82</v>
      </c>
      <c r="C56" t="s">
        <v>630</v>
      </c>
      <c r="D56" t="str">
        <v>s</v>
      </c>
      <c r="E56" t="str">
        <v>i</v>
      </c>
      <c r="F56">
        <v>1</v>
      </c>
    </row>
    <row r="57" spans="1:6">
      <c r="A57" t="s">
        <v>29</v>
      </c>
      <c r="D57" t="str">
        <v/>
      </c>
      <c r="E57" t="str">
        <v/>
      </c>
      <c r="F57" t="str">
        <v/>
      </c>
    </row>
    <row r="58" spans="1:6">
      <c r="A58" t="s">
        <v>83</v>
      </c>
      <c r="B58" t="s">
        <v>84</v>
      </c>
      <c r="C58" t="s">
        <v>631</v>
      </c>
      <c r="D58" t="str">
        <v>k</v>
      </c>
      <c r="E58" t="str">
        <v>o</v>
      </c>
      <c r="F58">
        <v>1</v>
      </c>
    </row>
    <row r="59" spans="1:6">
      <c r="A59" t="s">
        <v>85</v>
      </c>
      <c r="B59" t="s">
        <v>86</v>
      </c>
      <c r="C59" t="s">
        <v>958</v>
      </c>
      <c r="D59" t="str">
        <v/>
      </c>
      <c r="E59" t="str">
        <v>iau</v>
      </c>
      <c r="F59">
        <v>2</v>
      </c>
    </row>
    <row r="60" spans="1:6">
      <c r="A60" t="s">
        <v>87</v>
      </c>
      <c r="B60" t="s">
        <v>88</v>
      </c>
      <c r="C60" t="s">
        <v>634</v>
      </c>
      <c r="D60" t="str">
        <v>t</v>
      </c>
      <c r="E60" t="str">
        <v>iau</v>
      </c>
      <c r="F60">
        <v>2</v>
      </c>
    </row>
    <row r="61" spans="1:6">
      <c r="A61" t="s">
        <v>25</v>
      </c>
      <c r="B61" t="s">
        <v>26</v>
      </c>
      <c r="C61" t="s">
        <v>584</v>
      </c>
      <c r="D61" t="str">
        <v>z</v>
      </c>
      <c r="E61" t="str">
        <v>i</v>
      </c>
      <c r="F61">
        <v>1</v>
      </c>
    </row>
    <row r="62" spans="1:6">
      <c r="A62" t="s">
        <v>89</v>
      </c>
      <c r="B62" t="s">
        <v>90</v>
      </c>
      <c r="C62" t="s">
        <v>636</v>
      </c>
      <c r="D62" t="str">
        <v>z</v>
      </c>
      <c r="E62" t="str">
        <v>iong</v>
      </c>
      <c r="F62">
        <v>1</v>
      </c>
    </row>
    <row r="63" spans="1:6">
      <c r="A63" t="s">
        <v>54</v>
      </c>
      <c r="D63" t="str">
        <v/>
      </c>
      <c r="E63" t="str">
        <v/>
      </c>
      <c r="F63" t="str">
        <v/>
      </c>
    </row>
    <row r="64" spans="1:6">
      <c r="A64" t="s">
        <v>91</v>
      </c>
      <c r="B64" t="s">
        <v>92</v>
      </c>
      <c r="C64" t="s">
        <v>637</v>
      </c>
      <c r="D64" t="str">
        <v>s</v>
      </c>
      <c r="E64" t="str">
        <v>iau</v>
      </c>
      <c r="F64">
        <v>2</v>
      </c>
    </row>
    <row r="65" spans="1:6">
      <c r="A65" t="s">
        <v>93</v>
      </c>
      <c r="B65" t="s">
        <v>94</v>
      </c>
      <c r="C65" t="s">
        <v>960</v>
      </c>
      <c r="D65" t="str">
        <v/>
      </c>
      <c r="E65" t="str">
        <v>ian</v>
      </c>
      <c r="F65">
        <v>1</v>
      </c>
    </row>
    <row r="66" spans="1:6">
      <c r="A66" t="s">
        <v>29</v>
      </c>
      <c r="D66" t="str">
        <v/>
      </c>
      <c r="E66" t="str">
        <v/>
      </c>
      <c r="F66" t="str">
        <v/>
      </c>
    </row>
    <row r="67" spans="1:6">
      <c r="A67" t="s">
        <v>32</v>
      </c>
      <c r="B67" t="s">
        <v>33</v>
      </c>
      <c r="C67" t="s">
        <v>590</v>
      </c>
      <c r="D67" t="str">
        <v>g</v>
      </c>
      <c r="E67" t="str">
        <v>uat</v>
      </c>
      <c r="F67">
        <v>8</v>
      </c>
    </row>
    <row r="68" spans="1:6">
      <c r="A68" t="s">
        <v>95</v>
      </c>
      <c r="B68" t="s">
        <v>96</v>
      </c>
      <c r="C68" t="s">
        <v>639</v>
      </c>
      <c r="D68" t="str">
        <v>c</v>
      </c>
      <c r="E68" t="str">
        <v>ui</v>
      </c>
      <c r="F68">
        <v>3</v>
      </c>
    </row>
    <row r="69" spans="1:6">
      <c r="A69" t="s">
        <v>50</v>
      </c>
      <c r="B69" t="s">
        <v>51</v>
      </c>
      <c r="C69" t="s">
        <v>950</v>
      </c>
      <c r="D69" t="str">
        <v/>
      </c>
      <c r="E69" t="str">
        <v>u</v>
      </c>
      <c r="F69">
        <v>1</v>
      </c>
    </row>
    <row r="70" spans="1:6">
      <c r="A70" t="s">
        <v>97</v>
      </c>
      <c r="B70" t="s">
        <v>98</v>
      </c>
      <c r="C70" t="s">
        <v>640</v>
      </c>
      <c r="D70" t="str">
        <v>t</v>
      </c>
      <c r="E70" t="str">
        <v>ong</v>
      </c>
      <c r="F70">
        <v>1</v>
      </c>
    </row>
    <row r="71" spans="1:6">
      <c r="A71" t="s">
        <v>99</v>
      </c>
      <c r="B71" t="s">
        <v>100</v>
      </c>
      <c r="C71" t="s">
        <v>641</v>
      </c>
      <c r="D71" t="str">
        <v>s</v>
      </c>
      <c r="E71" t="str">
        <v>an</v>
      </c>
      <c r="F71">
        <v>1</v>
      </c>
    </row>
    <row r="72" spans="1:6">
      <c r="A72" t="s">
        <v>25</v>
      </c>
      <c r="B72" t="s">
        <v>26</v>
      </c>
      <c r="C72" t="s">
        <v>584</v>
      </c>
      <c r="D72" t="str">
        <v>z</v>
      </c>
      <c r="E72" t="str">
        <v>i</v>
      </c>
      <c r="F72">
        <v>1</v>
      </c>
    </row>
    <row r="73" spans="1:6">
      <c r="A73" t="s">
        <v>101</v>
      </c>
      <c r="B73" t="s">
        <v>102</v>
      </c>
      <c r="C73" t="s">
        <v>643</v>
      </c>
      <c r="D73" t="str">
        <v>s</v>
      </c>
      <c r="E73" t="str">
        <v>iong</v>
      </c>
      <c r="F73">
        <v>2</v>
      </c>
    </row>
    <row r="74" spans="1:6">
      <c r="A74" t="s">
        <v>29</v>
      </c>
      <c r="D74" t="str">
        <v/>
      </c>
      <c r="E74" t="str">
        <v/>
      </c>
      <c r="F74" t="str">
        <v/>
      </c>
    </row>
    <row r="75" spans="1:6">
      <c r="A75" t="s">
        <v>103</v>
      </c>
      <c r="B75" t="s">
        <v>104</v>
      </c>
      <c r="C75" t="s">
        <v>644</v>
      </c>
      <c r="D75" t="str">
        <v>p</v>
      </c>
      <c r="E75" t="str">
        <v>ai</v>
      </c>
      <c r="F75">
        <v>5</v>
      </c>
    </row>
    <row r="76" spans="1:6">
      <c r="A76" t="s">
        <v>105</v>
      </c>
      <c r="B76" t="s">
        <v>106</v>
      </c>
      <c r="C76" t="s">
        <v>645</v>
      </c>
      <c r="D76" t="str">
        <v>h</v>
      </c>
      <c r="E76" t="str">
        <v>ue</v>
      </c>
      <c r="F76">
        <v>5</v>
      </c>
    </row>
    <row r="77" spans="1:6">
      <c r="A77" t="s">
        <v>50</v>
      </c>
      <c r="B77" t="s">
        <v>51</v>
      </c>
      <c r="C77" t="s">
        <v>950</v>
      </c>
      <c r="D77" t="str">
        <v/>
      </c>
      <c r="E77" t="str">
        <v>u</v>
      </c>
      <c r="F77">
        <v>1</v>
      </c>
    </row>
    <row r="78" spans="1:6">
      <c r="A78" t="s">
        <v>107</v>
      </c>
      <c r="B78" t="s">
        <v>108</v>
      </c>
      <c r="C78" t="s">
        <v>647</v>
      </c>
      <c r="D78" t="str">
        <v>t</v>
      </c>
      <c r="E78" t="str">
        <v>oo</v>
      </c>
      <c r="F78">
        <v>2</v>
      </c>
    </row>
    <row r="79" spans="1:6">
      <c r="A79" t="s">
        <v>109</v>
      </c>
      <c r="B79" t="s">
        <v>110</v>
      </c>
      <c r="C79" t="s">
        <v>963</v>
      </c>
      <c r="D79" t="str">
        <v>g</v>
      </c>
      <c r="E79" t="str">
        <v>u</v>
      </c>
      <c r="F79">
        <v>5</v>
      </c>
    </row>
    <row r="80" spans="1:6">
      <c r="A80" t="s">
        <v>25</v>
      </c>
      <c r="B80" t="s">
        <v>26</v>
      </c>
      <c r="C80" t="s">
        <v>584</v>
      </c>
      <c r="D80" t="str">
        <v>z</v>
      </c>
      <c r="E80" t="str">
        <v>i</v>
      </c>
      <c r="F80">
        <v>1</v>
      </c>
    </row>
    <row r="81" spans="1:6">
      <c r="A81" t="s">
        <v>111</v>
      </c>
      <c r="B81" t="s">
        <v>112</v>
      </c>
      <c r="C81" t="s">
        <v>651</v>
      </c>
      <c r="D81" t="str">
        <v>k</v>
      </c>
      <c r="E81" t="str">
        <v>an</v>
      </c>
      <c r="F81">
        <v>1</v>
      </c>
    </row>
    <row r="82" spans="1:6">
      <c r="A82" t="s">
        <v>29</v>
      </c>
      <c r="D82" t="str">
        <v/>
      </c>
      <c r="E82" t="str">
        <v/>
      </c>
      <c r="F82" t="str">
        <v/>
      </c>
    </row>
    <row r="83" spans="1:6">
      <c r="A83" t="s">
        <v>113</v>
      </c>
      <c r="B83" t="s">
        <v>114</v>
      </c>
      <c r="C83" t="s">
        <v>652</v>
      </c>
      <c r="D83" t="str">
        <v>p</v>
      </c>
      <c r="E83" t="str">
        <v>ik</v>
      </c>
      <c r="F83">
        <v>8</v>
      </c>
    </row>
    <row r="84" spans="1:6">
      <c r="A84" t="s">
        <v>115</v>
      </c>
      <c r="B84" t="s">
        <v>116</v>
      </c>
      <c r="C84" t="s">
        <v>653</v>
      </c>
      <c r="D84" t="str">
        <v>l</v>
      </c>
      <c r="E84" t="str">
        <v>oo</v>
      </c>
      <c r="F84">
        <v>7</v>
      </c>
    </row>
    <row r="85" spans="1:6">
      <c r="A85" t="s">
        <v>117</v>
      </c>
      <c r="B85" t="s">
        <v>70</v>
      </c>
      <c r="C85" t="s">
        <v>623</v>
      </c>
      <c r="D85" t="str">
        <v>h</v>
      </c>
      <c r="E85" t="str">
        <v>ing</v>
      </c>
      <c r="F85">
        <v>1</v>
      </c>
    </row>
    <row r="86" spans="1:6">
      <c r="A86" t="s">
        <v>118</v>
      </c>
      <c r="B86" t="s">
        <v>119</v>
      </c>
      <c r="C86" t="s">
        <v>654</v>
      </c>
      <c r="D86" t="str">
        <v>k</v>
      </c>
      <c r="E86" t="str">
        <v>ang</v>
      </c>
      <c r="F86">
        <v>1</v>
      </c>
    </row>
    <row r="87" spans="1:6">
      <c r="A87" t="s">
        <v>29</v>
      </c>
      <c r="D87" t="str">
        <v/>
      </c>
      <c r="E87" t="str">
        <v/>
      </c>
      <c r="F87" t="str">
        <v/>
      </c>
    </row>
    <row r="88" spans="1:6">
      <c r="A88" t="s">
        <v>63</v>
      </c>
      <c r="B88" t="s">
        <v>64</v>
      </c>
      <c r="C88" t="s">
        <v>617</v>
      </c>
      <c r="D88" t="str">
        <v>s</v>
      </c>
      <c r="E88" t="str">
        <v>ui</v>
      </c>
      <c r="F88">
        <v>2</v>
      </c>
    </row>
    <row r="89" spans="1:6">
      <c r="A89" t="s">
        <v>120</v>
      </c>
      <c r="B89" t="s">
        <v>121</v>
      </c>
      <c r="C89" t="s">
        <v>656</v>
      </c>
      <c r="D89" t="str">
        <v>k</v>
      </c>
      <c r="E89" t="str">
        <v>ong</v>
      </c>
      <c r="F89">
        <v>1</v>
      </c>
    </row>
    <row r="90" spans="1:6">
      <c r="A90" t="s">
        <v>122</v>
      </c>
      <c r="B90" t="s">
        <v>123</v>
      </c>
      <c r="C90" t="s">
        <v>657</v>
      </c>
      <c r="D90" t="str">
        <v>z</v>
      </c>
      <c r="E90" t="str">
        <v>iap</v>
      </c>
      <c r="F90">
        <v>4</v>
      </c>
    </row>
    <row r="91" spans="1:6">
      <c r="A91" t="s">
        <v>124</v>
      </c>
      <c r="B91" t="s">
        <v>125</v>
      </c>
      <c r="C91" t="s">
        <v>659</v>
      </c>
      <c r="D91" t="str">
        <v>th</v>
      </c>
      <c r="E91" t="str">
        <v>ian</v>
      </c>
      <c r="F91">
        <v>1</v>
      </c>
    </row>
    <row r="92" spans="1:6">
      <c r="A92" t="s">
        <v>126</v>
      </c>
      <c r="D92" t="str">
        <v/>
      </c>
      <c r="E92" t="str">
        <v/>
      </c>
      <c r="F92" t="str">
        <v/>
      </c>
    </row>
    <row r="93" spans="1:6">
      <c r="A93" t="s">
        <v>127</v>
      </c>
      <c r="B93" t="s">
        <v>90</v>
      </c>
      <c r="C93" t="s">
        <v>636</v>
      </c>
      <c r="D93" t="str">
        <v>z</v>
      </c>
      <c r="E93" t="str">
        <v>iong</v>
      </c>
      <c r="F93">
        <v>1</v>
      </c>
    </row>
    <row r="94" spans="1:6">
      <c r="A94" t="s">
        <v>128</v>
      </c>
      <c r="B94" t="s">
        <v>129</v>
      </c>
      <c r="C94" t="s">
        <v>966</v>
      </c>
      <c r="D94" t="str">
        <v/>
      </c>
      <c r="E94" t="str">
        <v>it</v>
      </c>
      <c r="F94">
        <v>4</v>
      </c>
    </row>
    <row r="95" spans="1:6">
      <c r="A95" t="s">
        <v>130</v>
      </c>
      <c r="B95" t="s">
        <v>131</v>
      </c>
      <c r="C95" t="s">
        <v>967</v>
      </c>
      <c r="D95" t="str">
        <v/>
      </c>
      <c r="E95" t="str">
        <v>ui</v>
      </c>
      <c r="F95">
        <v>2</v>
      </c>
    </row>
    <row r="96" spans="1:6">
      <c r="A96" t="s">
        <v>25</v>
      </c>
      <c r="B96" t="s">
        <v>26</v>
      </c>
      <c r="C96" t="s">
        <v>584</v>
      </c>
      <c r="D96" t="str">
        <v>z</v>
      </c>
      <c r="E96" t="str">
        <v>i</v>
      </c>
      <c r="F96">
        <v>1</v>
      </c>
    </row>
    <row r="97" spans="1:6">
      <c r="A97" t="s">
        <v>132</v>
      </c>
      <c r="B97" t="s">
        <v>133</v>
      </c>
      <c r="C97" t="s">
        <v>663</v>
      </c>
      <c r="D97" t="str">
        <v>s</v>
      </c>
      <c r="E97" t="str">
        <v>oo</v>
      </c>
      <c r="F97">
        <v>2</v>
      </c>
    </row>
    <row r="98" spans="1:6">
      <c r="A98" t="s">
        <v>134</v>
      </c>
      <c r="B98" t="s">
        <v>135</v>
      </c>
      <c r="C98" t="s">
        <v>968</v>
      </c>
      <c r="D98" t="str">
        <v>j</v>
      </c>
      <c r="E98" t="str">
        <v>u</v>
      </c>
      <c r="F98">
        <v>5</v>
      </c>
    </row>
    <row r="99" spans="1:6">
      <c r="A99" t="s">
        <v>29</v>
      </c>
      <c r="D99" t="str">
        <v/>
      </c>
      <c r="E99" t="str">
        <v/>
      </c>
      <c r="F99" t="str">
        <v/>
      </c>
    </row>
    <row r="100" spans="1:6">
      <c r="A100" t="s">
        <v>136</v>
      </c>
      <c r="B100" t="s">
        <v>137</v>
      </c>
      <c r="C100" t="s">
        <v>665</v>
      </c>
      <c r="D100" t="str">
        <v>l</v>
      </c>
      <c r="E100" t="str">
        <v>ing</v>
      </c>
      <c r="F100">
        <v>5</v>
      </c>
    </row>
    <row r="101" spans="1:6">
      <c r="A101" t="s">
        <v>138</v>
      </c>
      <c r="B101" t="s">
        <v>139</v>
      </c>
      <c r="C101" t="s">
        <v>969</v>
      </c>
      <c r="D101" t="str">
        <v>b</v>
      </c>
      <c r="E101" t="str">
        <v>uan</v>
      </c>
      <c r="F101">
        <v>7</v>
      </c>
    </row>
    <row r="102" spans="1:6">
      <c r="A102" t="s">
        <v>140</v>
      </c>
      <c r="B102" t="s">
        <v>141</v>
      </c>
      <c r="C102" t="s">
        <v>667</v>
      </c>
      <c r="D102" t="str">
        <v>kh</v>
      </c>
      <c r="E102" t="str">
        <v>ing</v>
      </c>
      <c r="F102">
        <v>1</v>
      </c>
    </row>
    <row r="103" spans="1:6">
      <c r="A103" t="s">
        <v>25</v>
      </c>
      <c r="B103" t="s">
        <v>26</v>
      </c>
      <c r="C103" t="s">
        <v>584</v>
      </c>
      <c r="D103" t="str">
        <v>z</v>
      </c>
      <c r="E103" t="str">
        <v>i</v>
      </c>
      <c r="F103">
        <v>1</v>
      </c>
    </row>
    <row r="104" spans="1:6">
      <c r="A104" t="s">
        <v>142</v>
      </c>
      <c r="B104" t="s">
        <v>143</v>
      </c>
      <c r="C104" t="s">
        <v>668</v>
      </c>
      <c r="D104" t="str">
        <v>b</v>
      </c>
      <c r="E104" t="str">
        <v>ong</v>
      </c>
      <c r="F104">
        <v>5</v>
      </c>
    </row>
    <row r="105" spans="1:6">
      <c r="A105" t="s">
        <v>144</v>
      </c>
      <c r="B105" t="s">
        <v>145</v>
      </c>
      <c r="C105" t="s">
        <v>669</v>
      </c>
      <c r="D105" t="str">
        <v>j</v>
      </c>
      <c r="E105" t="str">
        <v>ian</v>
      </c>
      <c r="F105">
        <v>5</v>
      </c>
    </row>
    <row r="106" spans="1:6">
      <c r="A106" t="s">
        <v>54</v>
      </c>
      <c r="D106" t="str">
        <v/>
      </c>
      <c r="E106" t="str">
        <v/>
      </c>
      <c r="F106" t="str">
        <v/>
      </c>
    </row>
    <row r="107" spans="1:6">
      <c r="A107" t="s">
        <v>146</v>
      </c>
      <c r="B107" t="s">
        <v>147</v>
      </c>
      <c r="C107" t="s">
        <v>670</v>
      </c>
      <c r="D107" t="str">
        <v>h</v>
      </c>
      <c r="E107" t="str">
        <v>o</v>
      </c>
      <c r="F107">
        <v>2</v>
      </c>
    </row>
    <row r="108" spans="1:6">
      <c r="A108" t="s">
        <v>146</v>
      </c>
      <c r="B108" t="s">
        <v>147</v>
      </c>
      <c r="C108" t="s">
        <v>670</v>
      </c>
      <c r="D108" t="str">
        <v>h</v>
      </c>
      <c r="E108" t="str">
        <v>o</v>
      </c>
      <c r="F108">
        <v>2</v>
      </c>
    </row>
    <row r="109" spans="1:6">
      <c r="A109" t="s">
        <v>148</v>
      </c>
      <c r="B109" t="s">
        <v>149</v>
      </c>
      <c r="C109" t="s">
        <v>671</v>
      </c>
      <c r="D109" t="str">
        <v>h</v>
      </c>
      <c r="E109" t="str">
        <v>oo</v>
      </c>
      <c r="F109">
        <v>5</v>
      </c>
    </row>
    <row r="110" spans="1:6">
      <c r="A110" t="s">
        <v>134</v>
      </c>
      <c r="B110" s="52" t="s">
        <v>1812</v>
      </c>
      <c r="C110" s="51" t="s">
        <v>1813</v>
      </c>
      <c r="D110" t="str">
        <v>j</v>
      </c>
      <c r="E110" t="str">
        <v>u</v>
      </c>
      <c r="F110">
        <v>5</v>
      </c>
    </row>
    <row r="111" spans="1:6">
      <c r="A111" t="s">
        <v>151</v>
      </c>
      <c r="B111" t="s">
        <v>152</v>
      </c>
      <c r="C111" t="s">
        <v>672</v>
      </c>
      <c r="D111" t="str">
        <v>p</v>
      </c>
      <c r="E111" t="str">
        <v>ing</v>
      </c>
      <c r="F111">
        <v>5</v>
      </c>
    </row>
    <row r="112" spans="1:6">
      <c r="A112" t="s">
        <v>153</v>
      </c>
      <c r="B112" t="s">
        <v>154</v>
      </c>
      <c r="C112" t="s">
        <v>673</v>
      </c>
      <c r="D112" t="str">
        <v>h</v>
      </c>
      <c r="E112" t="str">
        <v>u</v>
      </c>
      <c r="F112">
        <v>1</v>
      </c>
    </row>
    <row r="113" spans="1:6">
      <c r="A113" t="s">
        <v>155</v>
      </c>
      <c r="B113" t="s">
        <v>156</v>
      </c>
      <c r="C113" t="s">
        <v>970</v>
      </c>
      <c r="D113" t="str">
        <v>g</v>
      </c>
      <c r="E113" t="str">
        <v>u</v>
      </c>
      <c r="F113">
        <v>7</v>
      </c>
    </row>
    <row r="114" spans="1:6">
      <c r="A114" t="s">
        <v>57</v>
      </c>
      <c r="B114" s="51" t="s">
        <v>1810</v>
      </c>
      <c r="C114" s="51" t="s">
        <v>1811</v>
      </c>
      <c r="D114" t="str">
        <v>h</v>
      </c>
      <c r="E114" t="str">
        <v>ong</v>
      </c>
      <c r="F114">
        <v>1</v>
      </c>
    </row>
    <row r="115" spans="1:6">
      <c r="A115" t="s">
        <v>29</v>
      </c>
      <c r="D115" t="str">
        <v/>
      </c>
      <c r="E115" t="str">
        <v/>
      </c>
      <c r="F115" t="str">
        <v/>
      </c>
    </row>
    <row r="116" spans="1:6">
      <c r="A116" t="s">
        <v>157</v>
      </c>
      <c r="B116" t="s">
        <v>150</v>
      </c>
      <c r="C116" t="s">
        <v>664</v>
      </c>
      <c r="D116" t="str">
        <v>j</v>
      </c>
      <c r="E116" t="str">
        <v>i</v>
      </c>
      <c r="F116">
        <v>5</v>
      </c>
    </row>
    <row r="117" spans="1:6">
      <c r="A117" t="s">
        <v>67</v>
      </c>
      <c r="B117" t="s">
        <v>68</v>
      </c>
      <c r="C117" t="s">
        <v>622</v>
      </c>
      <c r="D117" t="str">
        <v>p</v>
      </c>
      <c r="E117" t="str">
        <v>ut</v>
      </c>
      <c r="F117">
        <v>4</v>
      </c>
    </row>
    <row r="118" spans="1:6">
      <c r="A118" t="s">
        <v>158</v>
      </c>
      <c r="B118" t="s">
        <v>159</v>
      </c>
      <c r="C118" t="s">
        <v>675</v>
      </c>
      <c r="D118" t="str">
        <v>t</v>
      </c>
      <c r="E118" t="str">
        <v>i</v>
      </c>
      <c r="F118">
        <v>1</v>
      </c>
    </row>
    <row r="119" spans="1:6">
      <c r="A119" t="s">
        <v>160</v>
      </c>
      <c r="B119" t="s">
        <v>161</v>
      </c>
      <c r="C119" t="s">
        <v>676</v>
      </c>
      <c r="D119" t="str">
        <v>k</v>
      </c>
      <c r="E119" t="str">
        <v>i</v>
      </c>
      <c r="F119">
        <v>5</v>
      </c>
    </row>
    <row r="120" spans="1:6">
      <c r="A120" t="s">
        <v>132</v>
      </c>
      <c r="B120" t="s">
        <v>133</v>
      </c>
      <c r="C120" t="s">
        <v>663</v>
      </c>
      <c r="D120" t="str">
        <v>s</v>
      </c>
      <c r="E120" t="str">
        <v>oo</v>
      </c>
      <c r="F120">
        <v>2</v>
      </c>
    </row>
    <row r="121" spans="1:6">
      <c r="A121" t="s">
        <v>162</v>
      </c>
      <c r="B121" t="s">
        <v>163</v>
      </c>
      <c r="C121" t="s">
        <v>677</v>
      </c>
      <c r="D121" t="str">
        <v>z</v>
      </c>
      <c r="E121" t="str">
        <v>i</v>
      </c>
      <c r="F121">
        <v>2</v>
      </c>
    </row>
    <row r="122" spans="1:6">
      <c r="A122" t="s">
        <v>126</v>
      </c>
      <c r="D122" t="str">
        <v/>
      </c>
      <c r="E122" t="str">
        <v/>
      </c>
      <c r="F122" t="str">
        <v/>
      </c>
    </row>
    <row r="123" spans="1:6">
      <c r="A123" t="s">
        <v>164</v>
      </c>
      <c r="B123" t="s">
        <v>165</v>
      </c>
      <c r="C123" t="s">
        <v>678</v>
      </c>
      <c r="D123" t="str">
        <v>ph</v>
      </c>
      <c r="E123" t="str">
        <v>iau</v>
      </c>
      <c r="F123">
        <v>1</v>
      </c>
    </row>
    <row r="124" spans="1:6">
      <c r="A124" t="s">
        <v>164</v>
      </c>
      <c r="B124" t="s">
        <v>165</v>
      </c>
      <c r="C124" t="s">
        <v>678</v>
      </c>
      <c r="D124" t="str">
        <v>ph</v>
      </c>
      <c r="E124" t="str">
        <v>iau</v>
      </c>
      <c r="F124">
        <v>1</v>
      </c>
    </row>
    <row r="125" spans="1:6">
      <c r="A125" t="s">
        <v>148</v>
      </c>
      <c r="B125" t="s">
        <v>149</v>
      </c>
      <c r="C125" t="s">
        <v>671</v>
      </c>
      <c r="D125" t="str">
        <v>h</v>
      </c>
      <c r="E125" t="str">
        <v>oo</v>
      </c>
      <c r="F125">
        <v>5</v>
      </c>
    </row>
    <row r="126" spans="1:6">
      <c r="A126" t="s">
        <v>134</v>
      </c>
      <c r="B126" t="s">
        <v>135</v>
      </c>
      <c r="C126" t="s">
        <v>968</v>
      </c>
      <c r="D126" t="str">
        <v>j</v>
      </c>
      <c r="E126" t="str">
        <v>u</v>
      </c>
      <c r="F126">
        <v>5</v>
      </c>
    </row>
    <row r="127" spans="1:6">
      <c r="A127" t="s">
        <v>166</v>
      </c>
      <c r="B127" t="s">
        <v>167</v>
      </c>
      <c r="C127" t="s">
        <v>971</v>
      </c>
      <c r="D127" t="str">
        <v/>
      </c>
      <c r="E127" t="str">
        <v>ui</v>
      </c>
      <c r="F127">
        <v>5</v>
      </c>
    </row>
    <row r="128" spans="1:6">
      <c r="A128" t="s">
        <v>168</v>
      </c>
      <c r="B128" t="s">
        <v>169</v>
      </c>
      <c r="C128" t="s">
        <v>972</v>
      </c>
      <c r="D128" t="str">
        <v>s</v>
      </c>
      <c r="E128" t="str">
        <v>e</v>
      </c>
      <c r="F128">
        <v>3</v>
      </c>
    </row>
    <row r="129" spans="1:6">
      <c r="A129" t="s">
        <v>170</v>
      </c>
      <c r="B129" t="s">
        <v>171</v>
      </c>
      <c r="C129" t="s">
        <v>681</v>
      </c>
      <c r="D129" t="str">
        <v>t</v>
      </c>
      <c r="E129" t="str">
        <v>ok</v>
      </c>
      <c r="F129">
        <v>8</v>
      </c>
    </row>
    <row r="130" spans="1:6">
      <c r="A130" t="s">
        <v>172</v>
      </c>
      <c r="B130" t="s">
        <v>173</v>
      </c>
      <c r="C130" t="s">
        <v>682</v>
      </c>
      <c r="D130" t="str">
        <v>l</v>
      </c>
      <c r="E130" t="str">
        <v>ip</v>
      </c>
      <c r="F130">
        <v>8</v>
      </c>
    </row>
    <row r="131" spans="1:6">
      <c r="A131" t="s">
        <v>29</v>
      </c>
      <c r="D131" t="str">
        <v/>
      </c>
      <c r="E131" t="str">
        <v/>
      </c>
      <c r="F131" t="str">
        <v/>
      </c>
    </row>
    <row r="132" spans="1:6">
      <c r="A132" t="s">
        <v>174</v>
      </c>
      <c r="B132" t="s">
        <v>41</v>
      </c>
      <c r="C132" t="s">
        <v>946</v>
      </c>
      <c r="D132" t="str">
        <v/>
      </c>
      <c r="E132" t="str">
        <v>u</v>
      </c>
      <c r="F132">
        <v>2</v>
      </c>
    </row>
    <row r="133" spans="1:6">
      <c r="A133" t="s">
        <v>175</v>
      </c>
      <c r="B133" t="s">
        <v>176</v>
      </c>
      <c r="C133" t="s">
        <v>684</v>
      </c>
      <c r="D133" t="str">
        <v>h</v>
      </c>
      <c r="E133" t="str">
        <v>ua</v>
      </c>
      <c r="F133">
        <v>3</v>
      </c>
    </row>
    <row r="134" spans="1:6">
      <c r="A134" t="s">
        <v>157</v>
      </c>
      <c r="B134" t="s">
        <v>150</v>
      </c>
      <c r="C134" t="s">
        <v>664</v>
      </c>
      <c r="D134" t="str">
        <v>j</v>
      </c>
      <c r="E134" t="str">
        <v>i</v>
      </c>
      <c r="F134">
        <v>5</v>
      </c>
    </row>
    <row r="135" spans="1:6">
      <c r="A135" t="s">
        <v>177</v>
      </c>
      <c r="B135" t="s">
        <v>178</v>
      </c>
      <c r="C135" t="s">
        <v>686</v>
      </c>
      <c r="D135" t="str">
        <v>t</v>
      </c>
      <c r="E135" t="str">
        <v>ing</v>
      </c>
      <c r="F135">
        <v>1</v>
      </c>
    </row>
    <row r="136" spans="1:6">
      <c r="A136" t="s">
        <v>179</v>
      </c>
      <c r="B136" t="s">
        <v>180</v>
      </c>
      <c r="C136" t="s">
        <v>687</v>
      </c>
      <c r="D136" t="str">
        <v>s</v>
      </c>
      <c r="E136" t="str">
        <v>ian</v>
      </c>
      <c r="F136">
        <v>1</v>
      </c>
    </row>
    <row r="137" spans="1:6">
      <c r="A137" t="s">
        <v>54</v>
      </c>
      <c r="D137" t="str">
        <v/>
      </c>
      <c r="E137" t="str">
        <v/>
      </c>
      <c r="F137" t="str">
        <v/>
      </c>
    </row>
    <row r="138" spans="1:6">
      <c r="A138" t="s">
        <v>50</v>
      </c>
      <c r="B138" t="s">
        <v>51</v>
      </c>
      <c r="C138" t="s">
        <v>950</v>
      </c>
      <c r="D138" t="str">
        <v/>
      </c>
      <c r="E138" t="str">
        <v>u</v>
      </c>
      <c r="F138">
        <v>1</v>
      </c>
    </row>
    <row r="139" spans="1:6">
      <c r="A139" t="s">
        <v>181</v>
      </c>
      <c r="B139" t="s">
        <v>182</v>
      </c>
      <c r="C139" t="s">
        <v>688</v>
      </c>
      <c r="D139" t="str">
        <v>s</v>
      </c>
      <c r="E139" t="str">
        <v>i</v>
      </c>
      <c r="F139">
        <v>2</v>
      </c>
    </row>
    <row r="140" spans="1:6">
      <c r="A140" t="s">
        <v>183</v>
      </c>
      <c r="B140" t="s">
        <v>184</v>
      </c>
      <c r="C140" t="s">
        <v>975</v>
      </c>
      <c r="D140" t="str">
        <v/>
      </c>
      <c r="E140" t="str">
        <v>im</v>
      </c>
      <c r="F140">
        <v>2</v>
      </c>
    </row>
    <row r="141" spans="1:6">
      <c r="A141" t="s">
        <v>73</v>
      </c>
      <c r="B141" t="s">
        <v>74</v>
      </c>
      <c r="C141" t="s">
        <v>625</v>
      </c>
      <c r="D141" t="str">
        <v>z</v>
      </c>
      <c r="E141" t="str">
        <v>iu</v>
      </c>
      <c r="F141">
        <v>2</v>
      </c>
    </row>
    <row r="142" spans="1:6">
      <c r="A142" t="s">
        <v>185</v>
      </c>
      <c r="B142" t="s">
        <v>186</v>
      </c>
      <c r="C142" t="s">
        <v>690</v>
      </c>
      <c r="D142" t="str">
        <v>l</v>
      </c>
      <c r="E142" t="str">
        <v>ok</v>
      </c>
      <c r="F142">
        <v>8</v>
      </c>
    </row>
    <row r="143" spans="1:6">
      <c r="A143" t="s">
        <v>187</v>
      </c>
      <c r="B143" t="s">
        <v>188</v>
      </c>
      <c r="C143" t="s">
        <v>691</v>
      </c>
      <c r="D143" t="str">
        <v>s</v>
      </c>
      <c r="E143" t="str">
        <v>im</v>
      </c>
      <c r="F143">
        <v>2</v>
      </c>
    </row>
    <row r="144" spans="1:6">
      <c r="A144" t="s">
        <v>29</v>
      </c>
      <c r="D144" t="str">
        <v/>
      </c>
      <c r="E144" t="str">
        <v/>
      </c>
      <c r="F144" t="str">
        <v/>
      </c>
    </row>
    <row r="145" spans="1:6">
      <c r="A145" t="s">
        <v>189</v>
      </c>
      <c r="B145" t="s">
        <v>190</v>
      </c>
      <c r="C145" t="s">
        <v>692</v>
      </c>
      <c r="D145" t="str">
        <v>kh</v>
      </c>
      <c r="E145" t="str">
        <v>oo</v>
      </c>
      <c r="F145">
        <v>3</v>
      </c>
    </row>
    <row r="146" spans="1:6">
      <c r="A146" t="s">
        <v>191</v>
      </c>
      <c r="B146" t="s">
        <v>192</v>
      </c>
      <c r="C146" t="s">
        <v>693</v>
      </c>
      <c r="D146" t="str">
        <v>h</v>
      </c>
      <c r="E146" t="str">
        <v>ian</v>
      </c>
      <c r="F146">
        <v>5</v>
      </c>
    </row>
    <row r="147" spans="1:6">
      <c r="A147" t="s">
        <v>157</v>
      </c>
      <c r="B147" t="s">
        <v>150</v>
      </c>
      <c r="C147" t="s">
        <v>664</v>
      </c>
      <c r="D147" t="str">
        <v>j</v>
      </c>
      <c r="E147" t="str">
        <v>i</v>
      </c>
      <c r="F147">
        <v>5</v>
      </c>
    </row>
    <row r="148" spans="1:6">
      <c r="A148" t="s">
        <v>83</v>
      </c>
      <c r="B148" t="s">
        <v>84</v>
      </c>
      <c r="C148" t="s">
        <v>631</v>
      </c>
      <c r="D148" t="str">
        <v>k</v>
      </c>
      <c r="E148" t="str">
        <v>o</v>
      </c>
      <c r="F148">
        <v>1</v>
      </c>
    </row>
    <row r="149" spans="1:6">
      <c r="A149" t="s">
        <v>25</v>
      </c>
      <c r="B149" t="s">
        <v>26</v>
      </c>
      <c r="C149" t="s">
        <v>584</v>
      </c>
      <c r="D149" t="str">
        <v>z</v>
      </c>
      <c r="E149" t="str">
        <v>i</v>
      </c>
      <c r="F149">
        <v>1</v>
      </c>
    </row>
    <row r="150" spans="1:6">
      <c r="A150" t="s">
        <v>54</v>
      </c>
      <c r="D150" t="str">
        <v/>
      </c>
      <c r="E150" t="str">
        <v/>
      </c>
      <c r="F150" t="str">
        <v/>
      </c>
    </row>
    <row r="151" spans="1:6">
      <c r="A151" t="s">
        <v>83</v>
      </c>
      <c r="B151" t="s">
        <v>84</v>
      </c>
      <c r="C151" t="s">
        <v>631</v>
      </c>
      <c r="D151" t="str">
        <v>k</v>
      </c>
      <c r="E151" t="str">
        <v>o</v>
      </c>
      <c r="F151">
        <v>1</v>
      </c>
    </row>
    <row r="152" spans="1:6">
      <c r="A152" t="s">
        <v>193</v>
      </c>
      <c r="B152" t="s">
        <v>194</v>
      </c>
      <c r="C152" t="s">
        <v>976</v>
      </c>
      <c r="D152" t="str">
        <v/>
      </c>
      <c r="E152" t="str">
        <v>uat</v>
      </c>
      <c r="F152">
        <v>8</v>
      </c>
    </row>
    <row r="153" spans="1:6">
      <c r="A153" t="s">
        <v>16</v>
      </c>
      <c r="D153" t="str">
        <v/>
      </c>
      <c r="E153" t="str">
        <v/>
      </c>
      <c r="F153" t="str">
        <v/>
      </c>
    </row>
    <row r="154" spans="1:6">
      <c r="A154" t="s">
        <v>195</v>
      </c>
      <c r="D154" t="str">
        <v/>
      </c>
      <c r="E154" t="str">
        <v/>
      </c>
      <c r="F154" t="str">
        <v/>
      </c>
    </row>
    <row r="155" spans="1:6">
      <c r="A155" t="s">
        <v>196</v>
      </c>
      <c r="D155" t="str">
        <v/>
      </c>
      <c r="E155" t="str">
        <v/>
      </c>
      <c r="F155" t="str">
        <v/>
      </c>
    </row>
    <row r="156" spans="1:6">
      <c r="A156" t="s">
        <v>197</v>
      </c>
      <c r="B156" t="s">
        <v>198</v>
      </c>
      <c r="C156" t="s">
        <v>695</v>
      </c>
      <c r="D156" t="str">
        <v>k</v>
      </c>
      <c r="E156" t="str">
        <v>ue</v>
      </c>
      <c r="F156">
        <v>3</v>
      </c>
    </row>
    <row r="157" spans="1:6">
      <c r="A157" t="s">
        <v>199</v>
      </c>
      <c r="B157" t="s">
        <v>200</v>
      </c>
      <c r="C157" t="s">
        <v>696</v>
      </c>
      <c r="D157" t="str">
        <v>z</v>
      </c>
      <c r="E157" t="str">
        <v>au</v>
      </c>
      <c r="F157">
        <v>7</v>
      </c>
    </row>
    <row r="158" spans="1:6">
      <c r="A158" t="s">
        <v>201</v>
      </c>
      <c r="B158" t="s">
        <v>202</v>
      </c>
      <c r="C158" t="s">
        <v>978</v>
      </c>
      <c r="D158" t="str">
        <v>h</v>
      </c>
      <c r="E158" t="str">
        <v>e</v>
      </c>
      <c r="F158">
        <v>5</v>
      </c>
    </row>
    <row r="159" spans="1:6">
      <c r="A159" t="s">
        <v>203</v>
      </c>
      <c r="B159" t="s">
        <v>204</v>
      </c>
      <c r="C159" t="s">
        <v>700</v>
      </c>
      <c r="D159" t="str">
        <v>l</v>
      </c>
      <c r="E159" t="str">
        <v>an</v>
      </c>
      <c r="F159">
        <v>5</v>
      </c>
    </row>
    <row r="160" spans="1:6">
      <c r="A160" t="s">
        <v>205</v>
      </c>
      <c r="B160" t="s">
        <v>206</v>
      </c>
      <c r="C160" t="s">
        <v>701</v>
      </c>
      <c r="D160" t="str">
        <v>z</v>
      </c>
      <c r="E160" t="str">
        <v>iong</v>
      </c>
      <c r="F160">
        <v>2</v>
      </c>
    </row>
    <row r="161" spans="1:6">
      <c r="A161" t="s">
        <v>29</v>
      </c>
      <c r="D161" t="str">
        <v/>
      </c>
      <c r="E161" t="str">
        <v/>
      </c>
      <c r="F161" t="str">
        <v/>
      </c>
    </row>
    <row r="162" spans="1:6">
      <c r="A162" t="s">
        <v>207</v>
      </c>
      <c r="B162" t="s">
        <v>208</v>
      </c>
      <c r="C162" t="s">
        <v>702</v>
      </c>
      <c r="D162" t="str">
        <v>k</v>
      </c>
      <c r="E162" t="str">
        <v>ik</v>
      </c>
      <c r="F162">
        <v>4</v>
      </c>
    </row>
    <row r="163" spans="1:6">
      <c r="A163" t="s">
        <v>209</v>
      </c>
      <c r="B163" t="s">
        <v>210</v>
      </c>
      <c r="C163" t="s">
        <v>703</v>
      </c>
      <c r="D163" t="str">
        <v>kh</v>
      </c>
      <c r="E163" t="str">
        <v>ong</v>
      </c>
      <c r="F163">
        <v>1</v>
      </c>
    </row>
    <row r="164" spans="1:6">
      <c r="A164" t="s">
        <v>79</v>
      </c>
      <c r="B164" t="s">
        <v>80</v>
      </c>
      <c r="C164" t="s">
        <v>629</v>
      </c>
      <c r="D164" t="str">
        <v>b</v>
      </c>
      <c r="E164" t="str">
        <v>ing</v>
      </c>
      <c r="F164">
        <v>5</v>
      </c>
    </row>
    <row r="165" spans="1:6">
      <c r="A165" t="s">
        <v>201</v>
      </c>
      <c r="B165" t="s">
        <v>202</v>
      </c>
      <c r="C165" t="s">
        <v>978</v>
      </c>
      <c r="D165" t="str">
        <v>h</v>
      </c>
      <c r="E165" t="str">
        <v>e</v>
      </c>
      <c r="F165">
        <v>5</v>
      </c>
    </row>
    <row r="166" spans="1:6">
      <c r="A166" t="s">
        <v>211</v>
      </c>
      <c r="B166" t="s">
        <v>212</v>
      </c>
      <c r="C166" t="s">
        <v>704</v>
      </c>
      <c r="D166" t="str">
        <v>s</v>
      </c>
      <c r="E166" t="str">
        <v>oo</v>
      </c>
      <c r="F166">
        <v>3</v>
      </c>
    </row>
    <row r="167" spans="1:6">
      <c r="A167" t="s">
        <v>213</v>
      </c>
      <c r="B167" t="s">
        <v>214</v>
      </c>
      <c r="C167" t="s">
        <v>705</v>
      </c>
      <c r="D167" t="str">
        <v>l</v>
      </c>
      <c r="E167" t="str">
        <v>iu</v>
      </c>
      <c r="F167">
        <v>5</v>
      </c>
    </row>
    <row r="168" spans="1:6">
      <c r="A168" t="s">
        <v>120</v>
      </c>
      <c r="B168" t="s">
        <v>121</v>
      </c>
      <c r="C168" t="s">
        <v>656</v>
      </c>
      <c r="D168" t="str">
        <v>k</v>
      </c>
      <c r="E168" t="str">
        <v>ong</v>
      </c>
      <c r="F168">
        <v>1</v>
      </c>
    </row>
    <row r="169" spans="1:6">
      <c r="A169" t="s">
        <v>54</v>
      </c>
      <c r="D169" t="str">
        <v/>
      </c>
      <c r="E169" t="str">
        <v/>
      </c>
      <c r="F169" t="str">
        <v/>
      </c>
    </row>
    <row r="170" spans="1:6">
      <c r="A170" t="s">
        <v>215</v>
      </c>
      <c r="B170" t="s">
        <v>216</v>
      </c>
      <c r="C170" t="s">
        <v>706</v>
      </c>
      <c r="D170" t="str">
        <v>b</v>
      </c>
      <c r="E170" t="str">
        <v>iau</v>
      </c>
      <c r="F170">
        <v>2</v>
      </c>
    </row>
    <row r="171" spans="1:6">
      <c r="A171" t="s">
        <v>215</v>
      </c>
      <c r="B171" t="s">
        <v>216</v>
      </c>
      <c r="C171" t="s">
        <v>706</v>
      </c>
      <c r="D171" t="str">
        <v>b</v>
      </c>
      <c r="E171" t="str">
        <v>iau</v>
      </c>
      <c r="F171">
        <v>2</v>
      </c>
    </row>
    <row r="172" spans="1:6">
      <c r="A172" t="s">
        <v>201</v>
      </c>
      <c r="B172" t="s">
        <v>202</v>
      </c>
      <c r="C172" t="s">
        <v>978</v>
      </c>
      <c r="D172" t="str">
        <v>h</v>
      </c>
      <c r="E172" t="str">
        <v>e</v>
      </c>
      <c r="F172">
        <v>5</v>
      </c>
    </row>
    <row r="173" spans="1:6">
      <c r="A173" t="s">
        <v>217</v>
      </c>
      <c r="B173" t="s">
        <v>218</v>
      </c>
      <c r="C173" t="s">
        <v>979</v>
      </c>
      <c r="D173" t="str">
        <v/>
      </c>
      <c r="E173" t="str">
        <v>u</v>
      </c>
      <c r="F173">
        <v>5</v>
      </c>
    </row>
    <row r="174" spans="1:6">
      <c r="A174" t="s">
        <v>219</v>
      </c>
      <c r="B174" t="s">
        <v>220</v>
      </c>
      <c r="C174" t="s">
        <v>708</v>
      </c>
      <c r="D174" t="str">
        <v>h</v>
      </c>
      <c r="E174" t="str">
        <v>uai</v>
      </c>
      <c r="F174">
        <v>5</v>
      </c>
    </row>
    <row r="175" spans="1:6">
      <c r="A175" t="s">
        <v>29</v>
      </c>
      <c r="D175" t="str">
        <v/>
      </c>
      <c r="E175" t="str">
        <v/>
      </c>
      <c r="F175" t="str">
        <v/>
      </c>
    </row>
    <row r="176" spans="1:6">
      <c r="A176" t="s">
        <v>36</v>
      </c>
      <c r="B176" s="51" t="s">
        <v>1808</v>
      </c>
      <c r="C176" s="51" t="s">
        <v>1809</v>
      </c>
      <c r="D176" t="str">
        <v>b</v>
      </c>
      <c r="E176" t="str">
        <v>ong</v>
      </c>
      <c r="F176">
        <v>7</v>
      </c>
    </row>
    <row r="177" spans="1:6">
      <c r="A177" t="s">
        <v>222</v>
      </c>
      <c r="B177" t="s">
        <v>223</v>
      </c>
      <c r="C177" t="s">
        <v>710</v>
      </c>
      <c r="D177" t="str">
        <v>b</v>
      </c>
      <c r="E177" t="str">
        <v>i</v>
      </c>
      <c r="F177">
        <v>2</v>
      </c>
    </row>
    <row r="178" spans="1:6">
      <c r="A178" t="s">
        <v>224</v>
      </c>
      <c r="B178" t="s">
        <v>225</v>
      </c>
      <c r="C178" t="s">
        <v>711</v>
      </c>
      <c r="D178" t="str">
        <v>j</v>
      </c>
      <c r="E178" t="str">
        <v>in</v>
      </c>
      <c r="F178">
        <v>5</v>
      </c>
    </row>
    <row r="179" spans="1:6">
      <c r="A179" t="s">
        <v>201</v>
      </c>
      <c r="B179" t="s">
        <v>202</v>
      </c>
      <c r="C179" t="s">
        <v>978</v>
      </c>
      <c r="D179" t="str">
        <v>h</v>
      </c>
      <c r="E179" t="str">
        <v>e</v>
      </c>
      <c r="F179">
        <v>5</v>
      </c>
    </row>
    <row r="180" spans="1:6">
      <c r="A180" t="s">
        <v>124</v>
      </c>
      <c r="B180" t="s">
        <v>125</v>
      </c>
      <c r="C180" t="s">
        <v>659</v>
      </c>
      <c r="D180" t="str">
        <v>th</v>
      </c>
      <c r="E180" t="str">
        <v>ian</v>
      </c>
      <c r="F180">
        <v>1</v>
      </c>
    </row>
    <row r="181" spans="1:6">
      <c r="A181" t="s">
        <v>128</v>
      </c>
      <c r="B181" t="s">
        <v>129</v>
      </c>
      <c r="C181" t="s">
        <v>966</v>
      </c>
      <c r="D181" t="str">
        <v/>
      </c>
      <c r="E181" t="str">
        <v>it</v>
      </c>
      <c r="F181">
        <v>4</v>
      </c>
    </row>
    <row r="182" spans="1:6">
      <c r="A182" t="s">
        <v>226</v>
      </c>
      <c r="B182" s="51" t="s">
        <v>1814</v>
      </c>
      <c r="C182" s="51" t="s">
        <v>1815</v>
      </c>
      <c r="D182" t="str">
        <v>h</v>
      </c>
      <c r="E182" t="str">
        <v/>
      </c>
      <c r="F182">
        <v>5</v>
      </c>
    </row>
    <row r="183" spans="1:6">
      <c r="A183" t="s">
        <v>54</v>
      </c>
      <c r="D183" t="str">
        <v/>
      </c>
      <c r="E183" t="str">
        <v/>
      </c>
      <c r="F183" t="str">
        <v/>
      </c>
    </row>
    <row r="184" spans="1:6">
      <c r="A184" t="s">
        <v>195</v>
      </c>
      <c r="D184" t="str">
        <v/>
      </c>
      <c r="E184" t="str">
        <v/>
      </c>
      <c r="F184" t="str">
        <v/>
      </c>
    </row>
    <row r="185" spans="1:6">
      <c r="A185" t="s">
        <v>228</v>
      </c>
      <c r="D185" t="str">
        <v/>
      </c>
      <c r="E185" t="str">
        <v/>
      </c>
      <c r="F185" t="str">
        <v/>
      </c>
    </row>
    <row r="186" spans="1:6">
      <c r="A186" t="s">
        <v>42</v>
      </c>
      <c r="B186" t="s">
        <v>43</v>
      </c>
      <c r="C186" t="s">
        <v>600</v>
      </c>
      <c r="D186" t="str">
        <v>kh</v>
      </c>
      <c r="E186" t="str">
        <v>ik</v>
      </c>
      <c r="F186">
        <v>4</v>
      </c>
    </row>
    <row r="187" spans="1:6">
      <c r="A187" t="s">
        <v>229</v>
      </c>
      <c r="B187" t="s">
        <v>230</v>
      </c>
      <c r="C187" t="s">
        <v>981</v>
      </c>
      <c r="D187" t="str">
        <v/>
      </c>
      <c r="E187" t="str">
        <v>iu</v>
      </c>
      <c r="F187">
        <v>2</v>
      </c>
    </row>
    <row r="188" spans="1:6">
      <c r="A188" t="s">
        <v>231</v>
      </c>
      <c r="B188" t="s">
        <v>232</v>
      </c>
      <c r="C188" t="s">
        <v>715</v>
      </c>
      <c r="D188" t="str">
        <v>c</v>
      </c>
      <c r="E188" t="str">
        <v>ui</v>
      </c>
      <c r="F188">
        <v>1</v>
      </c>
    </row>
    <row r="189" spans="1:6">
      <c r="A189" t="s">
        <v>233</v>
      </c>
      <c r="B189" t="s">
        <v>234</v>
      </c>
      <c r="C189" t="s">
        <v>716</v>
      </c>
      <c r="D189" t="str">
        <v>t</v>
      </c>
      <c r="E189" t="str">
        <v>ong</v>
      </c>
      <c r="F189">
        <v>5</v>
      </c>
    </row>
    <row r="190" spans="1:6">
      <c r="A190" t="s">
        <v>235</v>
      </c>
      <c r="B190" t="s">
        <v>236</v>
      </c>
      <c r="C190" t="s">
        <v>717</v>
      </c>
      <c r="D190" t="str">
        <v>s</v>
      </c>
      <c r="E190" t="str">
        <v>iau</v>
      </c>
      <c r="F190">
        <v>1</v>
      </c>
    </row>
    <row r="191" spans="1:6">
      <c r="A191" t="s">
        <v>237</v>
      </c>
      <c r="B191" t="s">
        <v>238</v>
      </c>
      <c r="C191" t="s">
        <v>718</v>
      </c>
      <c r="D191" t="str">
        <v>z</v>
      </c>
      <c r="E191" t="str">
        <v>ia</v>
      </c>
      <c r="F191">
        <v>2</v>
      </c>
    </row>
    <row r="192" spans="1:6">
      <c r="A192" t="s">
        <v>29</v>
      </c>
      <c r="D192" t="str">
        <v/>
      </c>
      <c r="E192" t="str">
        <v/>
      </c>
      <c r="F192" t="str">
        <v/>
      </c>
    </row>
    <row r="193" spans="1:6">
      <c r="A193" t="s">
        <v>239</v>
      </c>
      <c r="B193" t="s">
        <v>240</v>
      </c>
      <c r="C193" t="s">
        <v>983</v>
      </c>
      <c r="D193" t="str">
        <v/>
      </c>
      <c r="E193" t="str">
        <v>i</v>
      </c>
      <c r="F193">
        <v>2</v>
      </c>
    </row>
    <row r="194" spans="1:6">
      <c r="A194" t="s">
        <v>83</v>
      </c>
      <c r="B194" t="s">
        <v>84</v>
      </c>
      <c r="C194" t="s">
        <v>631</v>
      </c>
      <c r="D194" t="str">
        <v>k</v>
      </c>
      <c r="E194" t="str">
        <v>o</v>
      </c>
      <c r="F194">
        <v>1</v>
      </c>
    </row>
    <row r="195" spans="1:6">
      <c r="A195" t="s">
        <v>157</v>
      </c>
      <c r="B195" t="s">
        <v>150</v>
      </c>
      <c r="C195" t="s">
        <v>664</v>
      </c>
      <c r="D195" t="str">
        <v>j</v>
      </c>
      <c r="E195" t="str">
        <v>i</v>
      </c>
      <c r="F195">
        <v>5</v>
      </c>
    </row>
    <row r="196" spans="1:6">
      <c r="A196" t="s">
        <v>241</v>
      </c>
      <c r="B196" t="s">
        <v>242</v>
      </c>
      <c r="C196" t="s">
        <v>721</v>
      </c>
      <c r="D196" t="str">
        <v>h</v>
      </c>
      <c r="E196" t="str">
        <v>o</v>
      </c>
      <c r="F196">
        <v>5</v>
      </c>
    </row>
    <row r="197" spans="1:6">
      <c r="A197" t="s">
        <v>25</v>
      </c>
      <c r="B197" t="s">
        <v>26</v>
      </c>
      <c r="C197" t="s">
        <v>584</v>
      </c>
      <c r="D197" t="str">
        <v>z</v>
      </c>
      <c r="E197" t="str">
        <v>i</v>
      </c>
      <c r="F197">
        <v>1</v>
      </c>
    </row>
    <row r="198" spans="1:6">
      <c r="A198" t="s">
        <v>29</v>
      </c>
      <c r="D198" t="str">
        <v/>
      </c>
      <c r="E198" t="str">
        <v/>
      </c>
      <c r="F198" t="str">
        <v/>
      </c>
    </row>
    <row r="199" spans="1:6">
      <c r="A199" t="s">
        <v>160</v>
      </c>
      <c r="B199" t="s">
        <v>161</v>
      </c>
      <c r="C199" t="s">
        <v>676</v>
      </c>
      <c r="D199" t="str">
        <v>k</v>
      </c>
      <c r="E199" t="str">
        <v>i</v>
      </c>
      <c r="F199">
        <v>5</v>
      </c>
    </row>
    <row r="200" spans="1:6">
      <c r="A200" t="s">
        <v>243</v>
      </c>
      <c r="B200" t="s">
        <v>244</v>
      </c>
      <c r="C200" t="s">
        <v>722</v>
      </c>
      <c r="D200" t="str">
        <v>s</v>
      </c>
      <c r="E200" t="str">
        <v>ing</v>
      </c>
      <c r="F200">
        <v>1</v>
      </c>
    </row>
    <row r="201" spans="1:6">
      <c r="A201" t="s">
        <v>245</v>
      </c>
      <c r="B201" t="s">
        <v>246</v>
      </c>
      <c r="C201" t="s">
        <v>984</v>
      </c>
      <c r="D201" t="str">
        <v/>
      </c>
      <c r="E201" t="str">
        <v>oo</v>
      </c>
      <c r="F201">
        <v>1</v>
      </c>
    </row>
    <row r="202" spans="1:6">
      <c r="A202" t="s">
        <v>245</v>
      </c>
      <c r="B202" t="s">
        <v>246</v>
      </c>
      <c r="C202" t="s">
        <v>984</v>
      </c>
      <c r="D202" t="str">
        <v/>
      </c>
      <c r="E202" t="str">
        <v>oo</v>
      </c>
      <c r="F202">
        <v>1</v>
      </c>
    </row>
    <row r="203" spans="1:6">
      <c r="A203" t="s">
        <v>144</v>
      </c>
      <c r="B203" t="s">
        <v>145</v>
      </c>
      <c r="C203" t="s">
        <v>669</v>
      </c>
      <c r="D203" t="str">
        <v>j</v>
      </c>
      <c r="E203" t="str">
        <v>ian</v>
      </c>
      <c r="F203">
        <v>5</v>
      </c>
    </row>
    <row r="204" spans="1:6">
      <c r="A204" t="s">
        <v>29</v>
      </c>
      <c r="D204" t="str">
        <v/>
      </c>
      <c r="E204" t="str">
        <v/>
      </c>
      <c r="F204" t="str">
        <v/>
      </c>
    </row>
    <row r="205" spans="1:6">
      <c r="A205" t="s">
        <v>134</v>
      </c>
      <c r="B205" t="s">
        <v>135</v>
      </c>
      <c r="C205" t="s">
        <v>968</v>
      </c>
      <c r="D205" t="str">
        <v>j</v>
      </c>
      <c r="E205" t="str">
        <v>u</v>
      </c>
      <c r="F205">
        <v>5</v>
      </c>
    </row>
    <row r="206" spans="1:6">
      <c r="A206" t="s">
        <v>247</v>
      </c>
      <c r="B206" t="s">
        <v>248</v>
      </c>
      <c r="C206" t="s">
        <v>985</v>
      </c>
      <c r="D206" t="str">
        <v/>
      </c>
      <c r="E206" t="str">
        <v>uan</v>
      </c>
      <c r="F206">
        <v>1</v>
      </c>
    </row>
    <row r="207" spans="1:6">
      <c r="A207" t="s">
        <v>134</v>
      </c>
      <c r="B207" t="s">
        <v>135</v>
      </c>
      <c r="C207" t="s">
        <v>968</v>
      </c>
      <c r="D207" t="str">
        <v>j</v>
      </c>
      <c r="E207" t="str">
        <v>u</v>
      </c>
      <c r="F207">
        <v>5</v>
      </c>
    </row>
    <row r="208" spans="1:6">
      <c r="A208" t="s">
        <v>249</v>
      </c>
      <c r="B208" t="s">
        <v>250</v>
      </c>
      <c r="C208" t="s">
        <v>725</v>
      </c>
      <c r="D208" t="str">
        <v>b</v>
      </c>
      <c r="E208" t="str">
        <v>oo</v>
      </c>
      <c r="F208">
        <v>7</v>
      </c>
    </row>
    <row r="209" spans="1:6">
      <c r="A209" t="s">
        <v>29</v>
      </c>
      <c r="D209" t="str">
        <v/>
      </c>
      <c r="E209" t="str">
        <v/>
      </c>
      <c r="F209" t="str">
        <v/>
      </c>
    </row>
    <row r="210" spans="1:6">
      <c r="A210" t="s">
        <v>134</v>
      </c>
      <c r="B210" t="s">
        <v>135</v>
      </c>
      <c r="C210" t="s">
        <v>968</v>
      </c>
      <c r="D210" t="str">
        <v>j</v>
      </c>
      <c r="E210" t="str">
        <v>u</v>
      </c>
      <c r="F210">
        <v>5</v>
      </c>
    </row>
    <row r="211" spans="1:6">
      <c r="A211" t="s">
        <v>251</v>
      </c>
      <c r="B211" t="s">
        <v>252</v>
      </c>
      <c r="C211" t="s">
        <v>726</v>
      </c>
      <c r="D211" t="str">
        <v>kh</v>
      </c>
      <c r="E211" t="str">
        <v>ip</v>
      </c>
      <c r="F211">
        <v>4</v>
      </c>
    </row>
    <row r="212" spans="1:6">
      <c r="A212" t="s">
        <v>134</v>
      </c>
      <c r="B212" t="s">
        <v>135</v>
      </c>
      <c r="C212" t="s">
        <v>968</v>
      </c>
      <c r="D212" t="str">
        <v>j</v>
      </c>
      <c r="E212" t="str">
        <v>u</v>
      </c>
      <c r="F212">
        <v>5</v>
      </c>
    </row>
    <row r="213" spans="1:6">
      <c r="A213" t="s">
        <v>253</v>
      </c>
      <c r="B213" t="s">
        <v>212</v>
      </c>
      <c r="C213" t="s">
        <v>704</v>
      </c>
      <c r="D213" t="str">
        <v>s</v>
      </c>
      <c r="E213" t="str">
        <v>oo</v>
      </c>
      <c r="F213">
        <v>3</v>
      </c>
    </row>
    <row r="214" spans="1:6">
      <c r="A214" t="s">
        <v>29</v>
      </c>
      <c r="D214" t="str">
        <v/>
      </c>
      <c r="E214" t="str">
        <v/>
      </c>
      <c r="F214" t="str">
        <v/>
      </c>
    </row>
    <row r="215" spans="1:6">
      <c r="A215" t="s">
        <v>254</v>
      </c>
      <c r="B215" t="s">
        <v>218</v>
      </c>
      <c r="C215" t="s">
        <v>979</v>
      </c>
      <c r="D215" t="str">
        <v/>
      </c>
      <c r="E215" t="str">
        <v>u</v>
      </c>
      <c r="F215">
        <v>5</v>
      </c>
    </row>
    <row r="216" spans="1:6">
      <c r="A216" t="s">
        <v>255</v>
      </c>
      <c r="B216" t="s">
        <v>256</v>
      </c>
      <c r="C216" t="s">
        <v>986</v>
      </c>
      <c r="D216" t="str">
        <v/>
      </c>
      <c r="E216" t="str">
        <v>im</v>
      </c>
      <c r="F216">
        <v>1</v>
      </c>
    </row>
    <row r="217" spans="1:6">
      <c r="A217" t="s">
        <v>257</v>
      </c>
      <c r="B217" t="s">
        <v>258</v>
      </c>
      <c r="C217" t="s">
        <v>728</v>
      </c>
      <c r="D217" t="str">
        <v>l</v>
      </c>
      <c r="E217" t="str">
        <v>iau</v>
      </c>
      <c r="F217">
        <v>2</v>
      </c>
    </row>
    <row r="218" spans="1:6">
      <c r="A218" t="s">
        <v>257</v>
      </c>
      <c r="B218" t="s">
        <v>258</v>
      </c>
      <c r="C218" t="s">
        <v>728</v>
      </c>
      <c r="D218" t="str">
        <v>l</v>
      </c>
      <c r="E218" t="str">
        <v>iau</v>
      </c>
      <c r="F218">
        <v>2</v>
      </c>
    </row>
    <row r="219" spans="1:6">
      <c r="A219" t="s">
        <v>29</v>
      </c>
      <c r="D219" t="str">
        <v/>
      </c>
      <c r="E219" t="str">
        <v/>
      </c>
      <c r="F219" t="str">
        <v/>
      </c>
    </row>
    <row r="220" spans="1:6">
      <c r="A220" t="s">
        <v>67</v>
      </c>
      <c r="B220" t="s">
        <v>68</v>
      </c>
      <c r="C220" t="s">
        <v>622</v>
      </c>
      <c r="D220" t="str">
        <v>p</v>
      </c>
      <c r="E220" t="str">
        <v>ut</v>
      </c>
      <c r="F220">
        <v>4</v>
      </c>
    </row>
    <row r="221" spans="1:6">
      <c r="A221" t="s">
        <v>259</v>
      </c>
      <c r="B221" t="s">
        <v>260</v>
      </c>
      <c r="C221" t="s">
        <v>729</v>
      </c>
      <c r="D221" t="str">
        <v>z</v>
      </c>
      <c r="E221" t="str">
        <v>uat</v>
      </c>
      <c r="F221">
        <v>8</v>
      </c>
    </row>
    <row r="222" spans="1:6">
      <c r="A222" t="s">
        <v>134</v>
      </c>
      <c r="B222" s="52" t="s">
        <v>1812</v>
      </c>
      <c r="C222" s="51" t="s">
        <v>1813</v>
      </c>
      <c r="D222" t="str">
        <v>j</v>
      </c>
      <c r="E222" t="str">
        <v>u</v>
      </c>
      <c r="F222">
        <v>5</v>
      </c>
    </row>
    <row r="223" spans="1:6">
      <c r="A223" t="s">
        <v>261</v>
      </c>
      <c r="B223" t="s">
        <v>262</v>
      </c>
      <c r="C223" t="s">
        <v>987</v>
      </c>
      <c r="D223" t="str">
        <v>l</v>
      </c>
      <c r="E223" t="str">
        <v>u</v>
      </c>
      <c r="F223">
        <v>2</v>
      </c>
    </row>
    <row r="224" spans="1:6">
      <c r="A224" t="s">
        <v>54</v>
      </c>
      <c r="D224" t="str">
        <v/>
      </c>
      <c r="E224" t="str">
        <v/>
      </c>
      <c r="F224" t="str">
        <v/>
      </c>
    </row>
    <row r="225" spans="1:6">
      <c r="A225" t="s">
        <v>263</v>
      </c>
      <c r="B225" t="s">
        <v>264</v>
      </c>
      <c r="C225" t="s">
        <v>731</v>
      </c>
      <c r="D225" t="str">
        <v>b</v>
      </c>
      <c r="E225" t="str">
        <v>u</v>
      </c>
      <c r="F225">
        <v>2</v>
      </c>
    </row>
    <row r="226" spans="1:6">
      <c r="A226" t="s">
        <v>265</v>
      </c>
      <c r="B226" t="s">
        <v>266</v>
      </c>
      <c r="C226" t="s">
        <v>988</v>
      </c>
      <c r="D226" t="str">
        <v/>
      </c>
      <c r="E226" t="str">
        <v>iu</v>
      </c>
      <c r="F226">
        <v>1</v>
      </c>
    </row>
    <row r="227" spans="1:6">
      <c r="A227" t="s">
        <v>267</v>
      </c>
      <c r="B227" t="s">
        <v>268</v>
      </c>
      <c r="C227" t="s">
        <v>733</v>
      </c>
      <c r="D227" t="str">
        <v>h</v>
      </c>
      <c r="E227" t="str">
        <v>ok</v>
      </c>
      <c r="F227">
        <v>4</v>
      </c>
    </row>
    <row r="228" spans="1:6">
      <c r="A228" t="s">
        <v>25</v>
      </c>
      <c r="B228" t="s">
        <v>26</v>
      </c>
      <c r="C228" t="s">
        <v>584</v>
      </c>
      <c r="D228" t="str">
        <v>z</v>
      </c>
      <c r="E228" t="str">
        <v>i</v>
      </c>
      <c r="F228">
        <v>1</v>
      </c>
    </row>
    <row r="229" spans="1:6">
      <c r="A229" t="s">
        <v>269</v>
      </c>
      <c r="B229" t="s">
        <v>270</v>
      </c>
      <c r="C229" t="s">
        <v>734</v>
      </c>
      <c r="D229" t="str">
        <v>z</v>
      </c>
      <c r="E229" t="str">
        <v>iam</v>
      </c>
      <c r="F229">
        <v>5</v>
      </c>
    </row>
    <row r="230" spans="1:6">
      <c r="A230" t="s">
        <v>271</v>
      </c>
      <c r="B230" t="s">
        <v>272</v>
      </c>
      <c r="C230" t="s">
        <v>736</v>
      </c>
      <c r="D230" t="str">
        <v>k</v>
      </c>
      <c r="E230" t="str">
        <v>au</v>
      </c>
      <c r="F230">
        <v>1</v>
      </c>
    </row>
    <row r="231" spans="1:6">
      <c r="A231" t="s">
        <v>29</v>
      </c>
      <c r="D231" t="str">
        <v/>
      </c>
      <c r="E231" t="str">
        <v/>
      </c>
      <c r="F231" t="str">
        <v/>
      </c>
    </row>
    <row r="232" spans="1:6">
      <c r="A232" t="s">
        <v>251</v>
      </c>
      <c r="B232" t="s">
        <v>252</v>
      </c>
      <c r="C232" t="s">
        <v>726</v>
      </c>
      <c r="D232" t="str">
        <v>kh</v>
      </c>
      <c r="E232" t="str">
        <v>ip</v>
      </c>
      <c r="F232">
        <v>4</v>
      </c>
    </row>
    <row r="233" spans="1:6">
      <c r="A233" t="s">
        <v>273</v>
      </c>
      <c r="B233" t="s">
        <v>274</v>
      </c>
      <c r="C233" t="s">
        <v>737</v>
      </c>
      <c r="D233" t="str">
        <v>k</v>
      </c>
      <c r="E233" t="str">
        <v>oo</v>
      </c>
      <c r="F233">
        <v>1</v>
      </c>
    </row>
    <row r="234" spans="1:6">
      <c r="A234" t="s">
        <v>46</v>
      </c>
      <c r="B234" t="s">
        <v>47</v>
      </c>
      <c r="C234" t="s">
        <v>604</v>
      </c>
      <c r="D234" t="str">
        <v>z</v>
      </c>
      <c r="E234" t="str">
        <v>iu</v>
      </c>
      <c r="F234">
        <v>1</v>
      </c>
    </row>
    <row r="235" spans="1:6">
      <c r="A235" t="s">
        <v>25</v>
      </c>
      <c r="B235" t="s">
        <v>26</v>
      </c>
      <c r="C235" t="s">
        <v>584</v>
      </c>
      <c r="D235" t="str">
        <v>z</v>
      </c>
      <c r="E235" t="str">
        <v>i</v>
      </c>
      <c r="F235">
        <v>1</v>
      </c>
    </row>
    <row r="236" spans="1:6">
      <c r="A236" t="s">
        <v>275</v>
      </c>
      <c r="B236" t="s">
        <v>276</v>
      </c>
      <c r="C236" t="s">
        <v>738</v>
      </c>
      <c r="D236" t="str">
        <v>l</v>
      </c>
      <c r="E236" t="str">
        <v>i</v>
      </c>
      <c r="F236">
        <v>5</v>
      </c>
    </row>
    <row r="237" spans="1:6">
      <c r="A237" t="s">
        <v>277</v>
      </c>
      <c r="B237" t="s">
        <v>278</v>
      </c>
      <c r="C237" t="s">
        <v>739</v>
      </c>
      <c r="D237" t="str">
        <v>h</v>
      </c>
      <c r="E237" t="str">
        <v>u</v>
      </c>
      <c r="F237">
        <v>7</v>
      </c>
    </row>
    <row r="238" spans="1:6">
      <c r="A238" t="s">
        <v>54</v>
      </c>
      <c r="D238" t="str">
        <v/>
      </c>
      <c r="E238" t="str">
        <v/>
      </c>
      <c r="F238" t="str">
        <v/>
      </c>
    </row>
    <row r="239" spans="1:6">
      <c r="A239" t="s">
        <v>17</v>
      </c>
      <c r="B239" t="s">
        <v>18</v>
      </c>
      <c r="C239" t="s">
        <v>576</v>
      </c>
      <c r="D239" t="str">
        <v>s</v>
      </c>
      <c r="E239" t="str">
        <v>oo</v>
      </c>
      <c r="F239">
        <v>1</v>
      </c>
    </row>
    <row r="240" spans="1:6">
      <c r="A240" t="s">
        <v>38</v>
      </c>
      <c r="B240" t="s">
        <v>163</v>
      </c>
      <c r="C240" t="s">
        <v>677</v>
      </c>
      <c r="D240" t="str">
        <v>z</v>
      </c>
      <c r="E240" t="str">
        <v>i</v>
      </c>
      <c r="F240">
        <v>2</v>
      </c>
    </row>
    <row r="241" spans="1:6">
      <c r="A241" t="s">
        <v>279</v>
      </c>
      <c r="B241" s="52" t="s">
        <v>1816</v>
      </c>
      <c r="C241" s="51" t="s">
        <v>1817</v>
      </c>
      <c r="D241" t="str">
        <v>c</v>
      </c>
      <c r="E241" t="str">
        <v>iu</v>
      </c>
      <c r="F241">
        <v>2</v>
      </c>
    </row>
    <row r="242" spans="1:6">
      <c r="A242" t="s">
        <v>144</v>
      </c>
      <c r="B242" t="s">
        <v>145</v>
      </c>
      <c r="C242" t="s">
        <v>669</v>
      </c>
      <c r="D242" t="str">
        <v>j</v>
      </c>
      <c r="E242" t="str">
        <v>ian</v>
      </c>
      <c r="F242">
        <v>5</v>
      </c>
    </row>
    <row r="243" spans="1:6">
      <c r="A243" t="s">
        <v>29</v>
      </c>
      <c r="D243" t="str">
        <v/>
      </c>
      <c r="E243" t="str">
        <v/>
      </c>
      <c r="F243" t="str">
        <v/>
      </c>
    </row>
    <row r="244" spans="1:6">
      <c r="A244" t="s">
        <v>281</v>
      </c>
      <c r="B244" t="s">
        <v>282</v>
      </c>
      <c r="C244" t="s">
        <v>741</v>
      </c>
      <c r="D244" t="str">
        <v>z</v>
      </c>
      <c r="E244" t="str">
        <v>ing</v>
      </c>
      <c r="F244">
        <v>3</v>
      </c>
    </row>
    <row r="245" spans="1:6">
      <c r="A245" t="s">
        <v>283</v>
      </c>
      <c r="B245" t="s">
        <v>284</v>
      </c>
      <c r="C245" t="s">
        <v>742</v>
      </c>
      <c r="D245" t="str">
        <v>k</v>
      </c>
      <c r="E245" t="str">
        <v>im</v>
      </c>
      <c r="F245">
        <v>1</v>
      </c>
    </row>
    <row r="246" spans="1:6">
      <c r="A246" t="s">
        <v>285</v>
      </c>
      <c r="B246" t="s">
        <v>286</v>
      </c>
      <c r="C246" t="s">
        <v>743</v>
      </c>
      <c r="D246" t="str">
        <v>g</v>
      </c>
      <c r="E246" t="str">
        <v>ui</v>
      </c>
      <c r="F246">
        <v>5</v>
      </c>
    </row>
    <row r="247" spans="1:6">
      <c r="A247" t="s">
        <v>287</v>
      </c>
      <c r="B247" t="s">
        <v>288</v>
      </c>
      <c r="C247" t="s">
        <v>744</v>
      </c>
      <c r="D247" t="str">
        <v>z</v>
      </c>
      <c r="E247" t="str">
        <v>o</v>
      </c>
      <c r="F247">
        <v>2</v>
      </c>
    </row>
    <row r="248" spans="1:6">
      <c r="A248" t="s">
        <v>29</v>
      </c>
      <c r="D248" t="str">
        <v/>
      </c>
      <c r="E248" t="str">
        <v/>
      </c>
      <c r="F248" t="str">
        <v/>
      </c>
    </row>
    <row r="249" spans="1:6">
      <c r="A249" t="s">
        <v>157</v>
      </c>
      <c r="B249" t="s">
        <v>150</v>
      </c>
      <c r="C249" t="s">
        <v>664</v>
      </c>
      <c r="D249" t="str">
        <v>j</v>
      </c>
      <c r="E249" t="str">
        <v>i</v>
      </c>
      <c r="F249">
        <v>5</v>
      </c>
    </row>
    <row r="250" spans="1:6">
      <c r="A250" t="s">
        <v>289</v>
      </c>
      <c r="B250" t="s">
        <v>290</v>
      </c>
      <c r="C250" t="s">
        <v>745</v>
      </c>
      <c r="D250" t="str">
        <v>b</v>
      </c>
      <c r="E250" t="str">
        <v>un</v>
      </c>
      <c r="F250">
        <v>7</v>
      </c>
    </row>
    <row r="251" spans="1:6">
      <c r="A251" t="s">
        <v>42</v>
      </c>
      <c r="B251" t="s">
        <v>43</v>
      </c>
      <c r="C251" t="s">
        <v>600</v>
      </c>
      <c r="D251" t="str">
        <v>kh</v>
      </c>
      <c r="E251" t="str">
        <v>ik</v>
      </c>
      <c r="F251">
        <v>4</v>
      </c>
    </row>
    <row r="252" spans="1:6">
      <c r="A252" t="s">
        <v>193</v>
      </c>
      <c r="B252" t="s">
        <v>194</v>
      </c>
      <c r="C252" t="s">
        <v>976</v>
      </c>
      <c r="D252" t="str">
        <v/>
      </c>
      <c r="E252" t="str">
        <v>uat</v>
      </c>
      <c r="F252">
        <v>8</v>
      </c>
    </row>
    <row r="253" spans="1:6">
      <c r="A253" t="s">
        <v>16</v>
      </c>
      <c r="D253" t="str">
        <v/>
      </c>
      <c r="E253" t="str">
        <v/>
      </c>
      <c r="F253" t="str">
        <v/>
      </c>
    </row>
    <row r="254" spans="1:6">
      <c r="A254" t="s">
        <v>195</v>
      </c>
      <c r="D254" t="str">
        <v/>
      </c>
      <c r="E254" t="str">
        <v/>
      </c>
      <c r="F254" t="str">
        <v/>
      </c>
    </row>
    <row r="255" spans="1:6">
      <c r="A255" t="s">
        <v>196</v>
      </c>
      <c r="D255" t="str">
        <v/>
      </c>
      <c r="E255" t="str">
        <v/>
      </c>
      <c r="F255" t="str">
        <v/>
      </c>
    </row>
    <row r="256" spans="1:6">
      <c r="A256" t="s">
        <v>291</v>
      </c>
      <c r="B256" t="s">
        <v>242</v>
      </c>
      <c r="C256" t="s">
        <v>721</v>
      </c>
      <c r="D256" t="str">
        <v>h</v>
      </c>
      <c r="E256" t="str">
        <v>o</v>
      </c>
      <c r="F256">
        <v>5</v>
      </c>
    </row>
    <row r="257" spans="1:6">
      <c r="A257" t="s">
        <v>292</v>
      </c>
      <c r="B257" t="s">
        <v>293</v>
      </c>
      <c r="C257" t="s">
        <v>989</v>
      </c>
      <c r="D257" t="str">
        <v/>
      </c>
      <c r="E257" t="str">
        <v>ui</v>
      </c>
      <c r="F257">
        <v>7</v>
      </c>
    </row>
    <row r="258" spans="1:6">
      <c r="A258" t="s">
        <v>160</v>
      </c>
      <c r="B258" t="s">
        <v>161</v>
      </c>
      <c r="C258" t="s">
        <v>676</v>
      </c>
      <c r="D258" t="str">
        <v>k</v>
      </c>
      <c r="E258" t="str">
        <v>i</v>
      </c>
      <c r="F258">
        <v>5</v>
      </c>
    </row>
    <row r="259" spans="1:6">
      <c r="A259" t="s">
        <v>144</v>
      </c>
      <c r="B259" t="s">
        <v>145</v>
      </c>
      <c r="C259" t="s">
        <v>669</v>
      </c>
      <c r="D259" t="str">
        <v>j</v>
      </c>
      <c r="E259" t="str">
        <v>ian</v>
      </c>
      <c r="F259">
        <v>5</v>
      </c>
    </row>
    <row r="260" spans="1:6">
      <c r="A260" t="s">
        <v>294</v>
      </c>
      <c r="B260" t="s">
        <v>295</v>
      </c>
      <c r="C260" t="s">
        <v>990</v>
      </c>
      <c r="D260" t="str">
        <v/>
      </c>
      <c r="E260" t="str">
        <v>ia</v>
      </c>
      <c r="F260">
        <v>2</v>
      </c>
    </row>
    <row r="261" spans="1:6">
      <c r="A261" t="s">
        <v>296</v>
      </c>
      <c r="D261" t="str">
        <v/>
      </c>
      <c r="E261" t="str">
        <v/>
      </c>
      <c r="F261" t="str">
        <v/>
      </c>
    </row>
    <row r="262" spans="1:6">
      <c r="A262" t="s">
        <v>195</v>
      </c>
      <c r="D262" t="str">
        <v/>
      </c>
      <c r="E262" t="str">
        <v/>
      </c>
      <c r="F262" t="str">
        <v/>
      </c>
    </row>
    <row r="263" spans="1:6">
      <c r="A263" t="s">
        <v>228</v>
      </c>
      <c r="D263" t="str">
        <v/>
      </c>
      <c r="E263" t="str">
        <v/>
      </c>
      <c r="F263" t="str">
        <v/>
      </c>
    </row>
    <row r="264" spans="1:6">
      <c r="A264" t="s">
        <v>42</v>
      </c>
      <c r="B264" t="s">
        <v>43</v>
      </c>
      <c r="C264" t="s">
        <v>600</v>
      </c>
      <c r="D264" t="str">
        <v>kh</v>
      </c>
      <c r="E264" t="str">
        <v>ik</v>
      </c>
      <c r="F264">
        <v>4</v>
      </c>
    </row>
    <row r="265" spans="1:6">
      <c r="A265" t="s">
        <v>193</v>
      </c>
      <c r="B265" t="s">
        <v>194</v>
      </c>
      <c r="C265" t="s">
        <v>976</v>
      </c>
      <c r="D265" t="str">
        <v/>
      </c>
      <c r="E265" t="str">
        <v>uat</v>
      </c>
      <c r="F265">
        <v>8</v>
      </c>
    </row>
    <row r="266" spans="1:6">
      <c r="A266" t="s">
        <v>16</v>
      </c>
      <c r="D266" t="str">
        <v/>
      </c>
      <c r="E266" t="str">
        <v/>
      </c>
      <c r="F266" t="str">
        <v/>
      </c>
    </row>
    <row r="267" spans="1:6">
      <c r="A267" t="s">
        <v>195</v>
      </c>
      <c r="D267" t="str">
        <v/>
      </c>
      <c r="E267" t="str">
        <v/>
      </c>
      <c r="F267" t="str">
        <v/>
      </c>
    </row>
    <row r="268" spans="1:6">
      <c r="A268" t="s">
        <v>196</v>
      </c>
      <c r="D268" t="str">
        <v/>
      </c>
      <c r="E268" t="str">
        <v/>
      </c>
      <c r="F268" t="str">
        <v/>
      </c>
    </row>
    <row r="269" spans="1:6">
      <c r="A269" t="s">
        <v>195</v>
      </c>
      <c r="D269" t="str">
        <v/>
      </c>
      <c r="E269" t="str">
        <v/>
      </c>
      <c r="F269" t="str">
        <v/>
      </c>
    </row>
    <row r="270" spans="1:6">
      <c r="A270" t="s">
        <v>297</v>
      </c>
      <c r="D270" t="str">
        <v/>
      </c>
      <c r="E270" t="str">
        <v/>
      </c>
      <c r="F270" t="str">
        <v/>
      </c>
    </row>
    <row r="271" spans="1:6">
      <c r="A271" t="s">
        <v>32</v>
      </c>
      <c r="B271" t="s">
        <v>33</v>
      </c>
      <c r="C271" t="s">
        <v>590</v>
      </c>
      <c r="D271" t="str">
        <v>g</v>
      </c>
      <c r="E271" t="str">
        <v>uat</v>
      </c>
      <c r="F271">
        <v>8</v>
      </c>
    </row>
    <row r="272" spans="1:6">
      <c r="A272" t="s">
        <v>79</v>
      </c>
      <c r="B272" t="s">
        <v>80</v>
      </c>
      <c r="C272" t="s">
        <v>629</v>
      </c>
      <c r="D272" t="str">
        <v>b</v>
      </c>
      <c r="E272" t="str">
        <v>ing</v>
      </c>
      <c r="F272">
        <v>5</v>
      </c>
    </row>
    <row r="273" spans="1:6">
      <c r="A273" t="s">
        <v>298</v>
      </c>
      <c r="B273" t="s">
        <v>244</v>
      </c>
      <c r="C273" t="s">
        <v>722</v>
      </c>
      <c r="D273" t="str">
        <v>s</v>
      </c>
      <c r="E273" t="str">
        <v>ing</v>
      </c>
      <c r="F273">
        <v>1</v>
      </c>
    </row>
    <row r="274" spans="1:6">
      <c r="A274" t="s">
        <v>299</v>
      </c>
      <c r="B274" t="s">
        <v>300</v>
      </c>
      <c r="C274" t="s">
        <v>749</v>
      </c>
      <c r="D274" t="str">
        <v>h</v>
      </c>
      <c r="E274" t="str">
        <v>i</v>
      </c>
      <c r="F274">
        <v>1</v>
      </c>
    </row>
    <row r="275" spans="1:6">
      <c r="A275" t="s">
        <v>29</v>
      </c>
      <c r="D275" t="str">
        <v/>
      </c>
      <c r="E275" t="str">
        <v/>
      </c>
      <c r="F275" t="str">
        <v/>
      </c>
    </row>
    <row r="276" spans="1:6">
      <c r="A276" t="s">
        <v>301</v>
      </c>
      <c r="B276" t="s">
        <v>246</v>
      </c>
      <c r="C276" t="s">
        <v>984</v>
      </c>
      <c r="D276" t="str">
        <v/>
      </c>
      <c r="E276" t="str">
        <v>oo</v>
      </c>
      <c r="F276">
        <v>1</v>
      </c>
    </row>
    <row r="277" spans="1:6">
      <c r="A277" t="s">
        <v>302</v>
      </c>
      <c r="B277" t="s">
        <v>303</v>
      </c>
      <c r="C277" t="s">
        <v>750</v>
      </c>
      <c r="D277" t="str">
        <v>c</v>
      </c>
      <c r="E277" t="str">
        <v>iok</v>
      </c>
      <c r="F277">
        <v>4</v>
      </c>
    </row>
    <row r="278" spans="1:6">
      <c r="A278" t="s">
        <v>304</v>
      </c>
      <c r="B278" t="s">
        <v>305</v>
      </c>
      <c r="C278" t="s">
        <v>751</v>
      </c>
      <c r="D278" t="str">
        <v>l</v>
      </c>
      <c r="E278" t="str">
        <v>am</v>
      </c>
      <c r="F278">
        <v>5</v>
      </c>
    </row>
    <row r="279" spans="1:6">
      <c r="A279" t="s">
        <v>306</v>
      </c>
      <c r="B279" t="s">
        <v>307</v>
      </c>
      <c r="C279" t="s">
        <v>753</v>
      </c>
      <c r="D279" t="str">
        <v>h</v>
      </c>
      <c r="E279" t="str">
        <v>ui</v>
      </c>
      <c r="F279">
        <v>1</v>
      </c>
    </row>
    <row r="280" spans="1:6">
      <c r="A280" t="s">
        <v>308</v>
      </c>
      <c r="D280" t="str">
        <v/>
      </c>
      <c r="E280" t="str">
        <v/>
      </c>
      <c r="F280" t="str">
        <v/>
      </c>
    </row>
    <row r="281" spans="1:6">
      <c r="A281" t="s">
        <v>195</v>
      </c>
      <c r="D281" t="str">
        <v/>
      </c>
      <c r="E281" t="str">
        <v/>
      </c>
      <c r="F281" t="str">
        <v/>
      </c>
    </row>
    <row r="282" spans="1:6">
      <c r="A282" t="s">
        <v>29</v>
      </c>
      <c r="D282" t="str">
        <v/>
      </c>
      <c r="E282" t="str">
        <v/>
      </c>
      <c r="F282" t="str">
        <v/>
      </c>
    </row>
    <row r="283" spans="1:6">
      <c r="A283" t="s">
        <v>309</v>
      </c>
      <c r="B283" t="s">
        <v>310</v>
      </c>
      <c r="C283" t="s">
        <v>754</v>
      </c>
      <c r="D283" t="str">
        <v>c</v>
      </c>
      <c r="E283" t="str">
        <v>u</v>
      </c>
      <c r="F283">
        <v>2</v>
      </c>
    </row>
    <row r="284" spans="1:6">
      <c r="A284" t="s">
        <v>311</v>
      </c>
      <c r="B284" t="s">
        <v>307</v>
      </c>
      <c r="C284" t="s">
        <v>753</v>
      </c>
      <c r="D284" t="str">
        <v>h</v>
      </c>
      <c r="E284" t="str">
        <v>ui</v>
      </c>
      <c r="F284">
        <v>1</v>
      </c>
    </row>
    <row r="285" spans="1:6">
      <c r="A285" t="s">
        <v>312</v>
      </c>
      <c r="B285" t="s">
        <v>313</v>
      </c>
      <c r="C285" t="s">
        <v>755</v>
      </c>
      <c r="D285" t="str">
        <v>z</v>
      </c>
      <c r="E285" t="str">
        <v>o</v>
      </c>
      <c r="F285">
        <v>5</v>
      </c>
    </row>
    <row r="286" spans="1:6">
      <c r="A286" t="s">
        <v>314</v>
      </c>
      <c r="B286" t="s">
        <v>315</v>
      </c>
      <c r="C286" t="s">
        <v>756</v>
      </c>
      <c r="D286" t="str">
        <v>b</v>
      </c>
      <c r="E286" t="str">
        <v>ing</v>
      </c>
      <c r="F286">
        <v>7</v>
      </c>
    </row>
    <row r="287" spans="1:6">
      <c r="A287" t="s">
        <v>316</v>
      </c>
      <c r="B287" t="s">
        <v>317</v>
      </c>
      <c r="C287" t="s">
        <v>757</v>
      </c>
      <c r="D287" t="str">
        <v>t</v>
      </c>
      <c r="E287" t="str">
        <v>ik</v>
      </c>
      <c r="F287">
        <v>4</v>
      </c>
    </row>
    <row r="288" spans="1:6">
      <c r="A288" t="s">
        <v>25</v>
      </c>
      <c r="B288" t="s">
        <v>26</v>
      </c>
      <c r="C288" t="s">
        <v>584</v>
      </c>
      <c r="D288" t="str">
        <v>z</v>
      </c>
      <c r="E288" t="str">
        <v>i</v>
      </c>
      <c r="F288">
        <v>1</v>
      </c>
    </row>
    <row r="289" spans="1:6">
      <c r="A289" t="s">
        <v>81</v>
      </c>
      <c r="B289" t="s">
        <v>82</v>
      </c>
      <c r="C289" t="s">
        <v>630</v>
      </c>
      <c r="D289" t="str">
        <v>s</v>
      </c>
      <c r="E289" t="str">
        <v>i</v>
      </c>
      <c r="F289">
        <v>1</v>
      </c>
    </row>
    <row r="290" spans="1:6">
      <c r="A290" t="s">
        <v>148</v>
      </c>
      <c r="B290" t="s">
        <v>149</v>
      </c>
      <c r="C290" t="s">
        <v>671</v>
      </c>
      <c r="D290" t="str">
        <v>h</v>
      </c>
      <c r="E290" t="str">
        <v>oo</v>
      </c>
      <c r="F290">
        <v>5</v>
      </c>
    </row>
    <row r="291" spans="1:6">
      <c r="A291" t="s">
        <v>296</v>
      </c>
      <c r="D291" t="str">
        <v/>
      </c>
      <c r="E291" t="str">
        <v/>
      </c>
      <c r="F291" t="str">
        <v/>
      </c>
    </row>
    <row r="292" spans="1:6">
      <c r="A292" t="s">
        <v>318</v>
      </c>
      <c r="B292" t="s">
        <v>319</v>
      </c>
      <c r="C292" t="s">
        <v>758</v>
      </c>
      <c r="D292" t="str">
        <v>s</v>
      </c>
      <c r="E292" t="str">
        <v>e</v>
      </c>
      <c r="F292">
        <v>1</v>
      </c>
    </row>
    <row r="293" spans="1:6">
      <c r="A293" t="s">
        <v>36</v>
      </c>
      <c r="B293" s="51" t="s">
        <v>1808</v>
      </c>
      <c r="C293" s="51" t="s">
        <v>1809</v>
      </c>
      <c r="D293" t="str">
        <v>b</v>
      </c>
      <c r="E293" t="str">
        <v>ong</v>
      </c>
      <c r="F293">
        <v>7</v>
      </c>
    </row>
    <row r="294" spans="1:6">
      <c r="A294" t="s">
        <v>320</v>
      </c>
      <c r="B294" t="s">
        <v>53</v>
      </c>
      <c r="C294" t="s">
        <v>951</v>
      </c>
      <c r="D294" t="str">
        <v>h</v>
      </c>
      <c r="E294" t="str">
        <v>a</v>
      </c>
      <c r="F294">
        <v>2</v>
      </c>
    </row>
    <row r="295" spans="1:6">
      <c r="A295" t="s">
        <v>321</v>
      </c>
      <c r="B295" t="s">
        <v>322</v>
      </c>
      <c r="C295" t="s">
        <v>760</v>
      </c>
      <c r="D295" t="str">
        <v>kh</v>
      </c>
      <c r="E295" t="str">
        <v>oo</v>
      </c>
      <c r="F295">
        <v>2</v>
      </c>
    </row>
    <row r="296" spans="1:6">
      <c r="A296" t="s">
        <v>29</v>
      </c>
      <c r="D296" t="str">
        <v/>
      </c>
      <c r="E296" t="str">
        <v/>
      </c>
      <c r="F296" t="str">
        <v/>
      </c>
    </row>
    <row r="297" spans="1:6">
      <c r="A297" t="s">
        <v>97</v>
      </c>
      <c r="B297" t="s">
        <v>98</v>
      </c>
      <c r="C297" t="s">
        <v>640</v>
      </c>
      <c r="D297" t="str">
        <v>t</v>
      </c>
      <c r="E297" t="str">
        <v>ong</v>
      </c>
      <c r="F297">
        <v>1</v>
      </c>
    </row>
    <row r="298" spans="1:6">
      <c r="A298" t="s">
        <v>36</v>
      </c>
      <c r="B298" s="51" t="s">
        <v>1808</v>
      </c>
      <c r="C298" s="51" t="s">
        <v>1809</v>
      </c>
      <c r="D298" t="str">
        <v>b</v>
      </c>
      <c r="E298" t="str">
        <v>ong</v>
      </c>
      <c r="F298">
        <v>7</v>
      </c>
    </row>
    <row r="299" spans="1:6">
      <c r="A299" t="s">
        <v>323</v>
      </c>
      <c r="B299" t="s">
        <v>264</v>
      </c>
      <c r="C299" t="s">
        <v>731</v>
      </c>
      <c r="D299" t="str">
        <v>b</v>
      </c>
      <c r="E299" t="str">
        <v>u</v>
      </c>
      <c r="F299">
        <v>2</v>
      </c>
    </row>
    <row r="300" spans="1:6">
      <c r="A300" t="s">
        <v>324</v>
      </c>
      <c r="B300" t="s">
        <v>325</v>
      </c>
      <c r="C300" t="s">
        <v>761</v>
      </c>
      <c r="D300" t="str">
        <v>c</v>
      </c>
      <c r="E300" t="str">
        <v>iong</v>
      </c>
      <c r="F300">
        <v>1</v>
      </c>
    </row>
    <row r="301" spans="1:6">
      <c r="A301" t="s">
        <v>29</v>
      </c>
      <c r="D301" t="str">
        <v/>
      </c>
      <c r="E301" t="str">
        <v/>
      </c>
      <c r="F301" t="str">
        <v/>
      </c>
    </row>
    <row r="302" spans="1:6">
      <c r="A302" t="s">
        <v>99</v>
      </c>
      <c r="B302" t="s">
        <v>100</v>
      </c>
      <c r="C302" t="s">
        <v>641</v>
      </c>
      <c r="D302" t="str">
        <v>s</v>
      </c>
      <c r="E302" t="str">
        <v>an</v>
      </c>
      <c r="F302">
        <v>1</v>
      </c>
    </row>
    <row r="303" spans="1:6">
      <c r="A303" t="s">
        <v>326</v>
      </c>
      <c r="B303" t="s">
        <v>327</v>
      </c>
      <c r="C303" t="s">
        <v>762</v>
      </c>
      <c r="D303" t="str">
        <v>c</v>
      </c>
      <c r="E303" t="str">
        <v>uan</v>
      </c>
      <c r="F303">
        <v>1</v>
      </c>
    </row>
    <row r="304" spans="1:6">
      <c r="A304" t="s">
        <v>328</v>
      </c>
      <c r="B304" t="s">
        <v>329</v>
      </c>
      <c r="C304" t="s">
        <v>763</v>
      </c>
      <c r="D304" t="str">
        <v>s</v>
      </c>
      <c r="E304" t="str">
        <v>iong</v>
      </c>
      <c r="F304">
        <v>1</v>
      </c>
    </row>
    <row r="305" spans="1:6">
      <c r="A305" t="s">
        <v>330</v>
      </c>
      <c r="B305" t="s">
        <v>331</v>
      </c>
      <c r="C305" t="s">
        <v>764</v>
      </c>
      <c r="D305" t="str">
        <v>b</v>
      </c>
      <c r="E305" t="str">
        <v>iu</v>
      </c>
      <c r="F305">
        <v>5</v>
      </c>
    </row>
    <row r="306" spans="1:6">
      <c r="A306" t="s">
        <v>29</v>
      </c>
      <c r="D306" t="str">
        <v/>
      </c>
      <c r="E306" t="str">
        <v/>
      </c>
      <c r="F306" t="str">
        <v/>
      </c>
    </row>
    <row r="307" spans="1:6">
      <c r="A307" t="s">
        <v>332</v>
      </c>
      <c r="B307" t="s">
        <v>333</v>
      </c>
      <c r="C307" t="s">
        <v>992</v>
      </c>
      <c r="D307" t="str">
        <v/>
      </c>
      <c r="E307" t="str">
        <v>ut</v>
      </c>
      <c r="F307">
        <v>4</v>
      </c>
    </row>
    <row r="308" spans="1:6">
      <c r="A308" t="s">
        <v>148</v>
      </c>
      <c r="B308" t="s">
        <v>149</v>
      </c>
      <c r="C308" t="s">
        <v>671</v>
      </c>
      <c r="D308" t="str">
        <v>h</v>
      </c>
      <c r="E308" t="str">
        <v>oo</v>
      </c>
      <c r="F308">
        <v>5</v>
      </c>
    </row>
    <row r="309" spans="1:6">
      <c r="A309" t="s">
        <v>334</v>
      </c>
      <c r="B309" t="s">
        <v>335</v>
      </c>
      <c r="C309" t="s">
        <v>766</v>
      </c>
      <c r="D309" t="str">
        <v>c</v>
      </c>
      <c r="E309" t="str">
        <v>ong</v>
      </c>
      <c r="F309">
        <v>1</v>
      </c>
    </row>
    <row r="310" spans="1:6">
      <c r="A310" t="s">
        <v>334</v>
      </c>
      <c r="B310" t="s">
        <v>335</v>
      </c>
      <c r="C310" t="s">
        <v>766</v>
      </c>
      <c r="D310" t="str">
        <v>c</v>
      </c>
      <c r="E310" t="str">
        <v>ong</v>
      </c>
      <c r="F310">
        <v>1</v>
      </c>
    </row>
    <row r="311" spans="1:6">
      <c r="A311" t="s">
        <v>29</v>
      </c>
      <c r="D311" t="str">
        <v/>
      </c>
      <c r="E311" t="str">
        <v/>
      </c>
      <c r="F311" t="str">
        <v/>
      </c>
    </row>
    <row r="312" spans="1:6">
      <c r="A312" t="s">
        <v>309</v>
      </c>
      <c r="B312" t="s">
        <v>310</v>
      </c>
      <c r="C312" t="s">
        <v>754</v>
      </c>
      <c r="D312" t="str">
        <v>c</v>
      </c>
      <c r="E312" t="str">
        <v>u</v>
      </c>
      <c r="F312">
        <v>2</v>
      </c>
    </row>
    <row r="313" spans="1:6">
      <c r="A313" t="s">
        <v>311</v>
      </c>
      <c r="B313" t="s">
        <v>307</v>
      </c>
      <c r="C313" t="s">
        <v>753</v>
      </c>
      <c r="D313" t="str">
        <v>h</v>
      </c>
      <c r="E313" t="str">
        <v>ui</v>
      </c>
      <c r="F313">
        <v>1</v>
      </c>
    </row>
    <row r="314" spans="1:6">
      <c r="A314" t="s">
        <v>314</v>
      </c>
      <c r="B314" t="s">
        <v>315</v>
      </c>
      <c r="C314" t="s">
        <v>756</v>
      </c>
      <c r="D314" t="str">
        <v>b</v>
      </c>
      <c r="E314" t="str">
        <v>ing</v>
      </c>
      <c r="F314">
        <v>7</v>
      </c>
    </row>
    <row r="315" spans="1:6">
      <c r="A315" t="s">
        <v>316</v>
      </c>
      <c r="B315" t="s">
        <v>317</v>
      </c>
      <c r="C315" t="s">
        <v>757</v>
      </c>
      <c r="D315" t="str">
        <v>t</v>
      </c>
      <c r="E315" t="str">
        <v>ik</v>
      </c>
      <c r="F315">
        <v>4</v>
      </c>
    </row>
    <row r="316" spans="1:6">
      <c r="A316" t="s">
        <v>25</v>
      </c>
      <c r="B316" t="s">
        <v>26</v>
      </c>
      <c r="C316" t="s">
        <v>584</v>
      </c>
      <c r="D316" t="str">
        <v>z</v>
      </c>
      <c r="E316" t="str">
        <v>i</v>
      </c>
      <c r="F316">
        <v>1</v>
      </c>
    </row>
    <row r="317" spans="1:6">
      <c r="A317" t="s">
        <v>336</v>
      </c>
      <c r="B317" t="s">
        <v>337</v>
      </c>
      <c r="C317" t="s">
        <v>767</v>
      </c>
      <c r="D317" t="str">
        <v>kh</v>
      </c>
      <c r="E317" t="str">
        <v>un</v>
      </c>
      <c r="F317">
        <v>3</v>
      </c>
    </row>
    <row r="318" spans="1:6">
      <c r="A318" t="s">
        <v>50</v>
      </c>
      <c r="B318" t="s">
        <v>51</v>
      </c>
      <c r="C318" t="s">
        <v>950</v>
      </c>
      <c r="D318" t="str">
        <v/>
      </c>
      <c r="E318" t="str">
        <v>u</v>
      </c>
      <c r="F318">
        <v>1</v>
      </c>
    </row>
    <row r="319" spans="1:6">
      <c r="A319" t="s">
        <v>338</v>
      </c>
      <c r="B319" t="s">
        <v>47</v>
      </c>
      <c r="C319" t="s">
        <v>604</v>
      </c>
      <c r="D319" t="str">
        <v>z</v>
      </c>
      <c r="E319" t="str">
        <v>iu</v>
      </c>
      <c r="F319">
        <v>1</v>
      </c>
    </row>
    <row r="320" spans="1:6">
      <c r="A320" t="s">
        <v>339</v>
      </c>
      <c r="B320" t="s">
        <v>340</v>
      </c>
      <c r="C320" t="s">
        <v>768</v>
      </c>
      <c r="D320" t="str">
        <v>l</v>
      </c>
      <c r="E320" t="str">
        <v>ong</v>
      </c>
      <c r="F320">
        <v>5</v>
      </c>
    </row>
    <row r="321" spans="1:6">
      <c r="A321" t="s">
        <v>237</v>
      </c>
      <c r="B321" t="s">
        <v>238</v>
      </c>
      <c r="C321" t="s">
        <v>718</v>
      </c>
      <c r="D321" t="str">
        <v>z</v>
      </c>
      <c r="E321" t="str">
        <v>ia</v>
      </c>
      <c r="F321">
        <v>2</v>
      </c>
    </row>
    <row r="322" spans="1:6">
      <c r="A322" t="s">
        <v>148</v>
      </c>
      <c r="B322" t="s">
        <v>149</v>
      </c>
      <c r="C322" t="s">
        <v>671</v>
      </c>
      <c r="D322" t="str">
        <v>h</v>
      </c>
      <c r="E322" t="str">
        <v>oo</v>
      </c>
      <c r="F322">
        <v>5</v>
      </c>
    </row>
    <row r="323" spans="1:6">
      <c r="A323" t="s">
        <v>296</v>
      </c>
      <c r="D323" t="str">
        <v/>
      </c>
      <c r="E323" t="str">
        <v/>
      </c>
      <c r="F323" t="str">
        <v/>
      </c>
    </row>
    <row r="324" spans="1:6">
      <c r="A324" t="s">
        <v>226</v>
      </c>
      <c r="B324" s="51" t="s">
        <v>1818</v>
      </c>
      <c r="C324" s="51" t="s">
        <v>1815</v>
      </c>
      <c r="D324" t="str">
        <v>h</v>
      </c>
      <c r="E324" t="str">
        <v>ong</v>
      </c>
      <c r="F324">
        <v>5</v>
      </c>
    </row>
    <row r="325" spans="1:6">
      <c r="A325" t="s">
        <v>160</v>
      </c>
      <c r="B325" t="s">
        <v>161</v>
      </c>
      <c r="C325" t="s">
        <v>676</v>
      </c>
      <c r="D325" t="str">
        <v>k</v>
      </c>
      <c r="E325" t="str">
        <v>i</v>
      </c>
      <c r="F325">
        <v>5</v>
      </c>
    </row>
    <row r="326" spans="1:6">
      <c r="A326" t="s">
        <v>341</v>
      </c>
      <c r="B326" t="s">
        <v>342</v>
      </c>
      <c r="C326" t="s">
        <v>769</v>
      </c>
      <c r="D326" t="str">
        <v>ph</v>
      </c>
      <c r="E326" t="str">
        <v>o</v>
      </c>
      <c r="F326">
        <v>3</v>
      </c>
    </row>
    <row r="327" spans="1:6">
      <c r="A327" t="s">
        <v>343</v>
      </c>
      <c r="B327" t="s">
        <v>344</v>
      </c>
      <c r="C327" t="s">
        <v>770</v>
      </c>
      <c r="D327" t="str">
        <v>k</v>
      </c>
      <c r="E327" t="str">
        <v>ing</v>
      </c>
      <c r="F327">
        <v>1</v>
      </c>
    </row>
    <row r="328" spans="1:6">
      <c r="A328" t="s">
        <v>345</v>
      </c>
      <c r="B328" t="s">
        <v>47</v>
      </c>
      <c r="C328" t="s">
        <v>604</v>
      </c>
      <c r="D328" t="str">
        <v>z</v>
      </c>
      <c r="E328" t="str">
        <v>iu</v>
      </c>
      <c r="F328">
        <v>1</v>
      </c>
    </row>
    <row r="329" spans="1:6">
      <c r="A329" t="s">
        <v>29</v>
      </c>
      <c r="D329" t="str">
        <v/>
      </c>
      <c r="E329" t="str">
        <v/>
      </c>
      <c r="F329" t="str">
        <v/>
      </c>
    </row>
    <row r="330" spans="1:6">
      <c r="A330" t="s">
        <v>52</v>
      </c>
      <c r="B330" t="s">
        <v>53</v>
      </c>
      <c r="C330" t="s">
        <v>951</v>
      </c>
      <c r="D330" t="str">
        <v>h</v>
      </c>
      <c r="E330" t="str">
        <v>a</v>
      </c>
      <c r="F330">
        <v>2</v>
      </c>
    </row>
    <row r="331" spans="1:6">
      <c r="A331" t="s">
        <v>118</v>
      </c>
      <c r="B331" t="s">
        <v>119</v>
      </c>
      <c r="C331" t="s">
        <v>654</v>
      </c>
      <c r="D331" t="str">
        <v>k</v>
      </c>
      <c r="E331" t="str">
        <v>ang</v>
      </c>
      <c r="F331">
        <v>1</v>
      </c>
    </row>
    <row r="332" spans="1:6">
      <c r="A332" t="s">
        <v>346</v>
      </c>
      <c r="B332" t="s">
        <v>137</v>
      </c>
      <c r="C332" t="s">
        <v>665</v>
      </c>
      <c r="D332" t="str">
        <v>l</v>
      </c>
      <c r="E332" t="str">
        <v>ing</v>
      </c>
      <c r="F332">
        <v>5</v>
      </c>
    </row>
    <row r="333" spans="1:6">
      <c r="A333" t="s">
        <v>29</v>
      </c>
      <c r="D333" t="str">
        <v/>
      </c>
      <c r="E333" t="str">
        <v/>
      </c>
      <c r="F333" t="str">
        <v/>
      </c>
    </row>
    <row r="334" spans="1:6">
      <c r="A334" t="s">
        <v>347</v>
      </c>
      <c r="B334" t="s">
        <v>348</v>
      </c>
      <c r="C334" t="s">
        <v>771</v>
      </c>
      <c r="D334" t="str">
        <v>s</v>
      </c>
      <c r="E334" t="str">
        <v>un</v>
      </c>
      <c r="F334">
        <v>7</v>
      </c>
    </row>
    <row r="335" spans="1:6">
      <c r="A335" t="s">
        <v>213</v>
      </c>
      <c r="B335" t="s">
        <v>214</v>
      </c>
      <c r="C335" t="s">
        <v>705</v>
      </c>
      <c r="D335" t="str">
        <v>l</v>
      </c>
      <c r="E335" t="str">
        <v>iu</v>
      </c>
      <c r="F335">
        <v>5</v>
      </c>
    </row>
    <row r="336" spans="1:6">
      <c r="A336" t="s">
        <v>157</v>
      </c>
      <c r="B336" t="s">
        <v>150</v>
      </c>
      <c r="C336" t="s">
        <v>664</v>
      </c>
      <c r="D336" t="str">
        <v>j</v>
      </c>
      <c r="E336" t="str">
        <v>i</v>
      </c>
      <c r="F336">
        <v>5</v>
      </c>
    </row>
    <row r="337" spans="1:6">
      <c r="A337" t="s">
        <v>97</v>
      </c>
      <c r="B337" t="s">
        <v>98</v>
      </c>
      <c r="C337" t="s">
        <v>640</v>
      </c>
      <c r="D337" t="str">
        <v>t</v>
      </c>
      <c r="E337" t="str">
        <v>ong</v>
      </c>
      <c r="F337">
        <v>1</v>
      </c>
    </row>
    <row r="338" spans="1:6">
      <c r="A338" t="s">
        <v>294</v>
      </c>
      <c r="B338" t="s">
        <v>295</v>
      </c>
      <c r="C338" t="s">
        <v>990</v>
      </c>
      <c r="D338" t="str">
        <v/>
      </c>
      <c r="E338" t="str">
        <v>ia</v>
      </c>
      <c r="F338">
        <v>2</v>
      </c>
    </row>
    <row r="339" spans="1:6">
      <c r="A339" t="s">
        <v>29</v>
      </c>
      <c r="D339" t="str">
        <v/>
      </c>
      <c r="E339" t="str">
        <v/>
      </c>
      <c r="F339" t="str">
        <v/>
      </c>
    </row>
    <row r="340" spans="1:6">
      <c r="A340" t="s">
        <v>349</v>
      </c>
      <c r="B340" t="s">
        <v>350</v>
      </c>
      <c r="C340" t="s">
        <v>772</v>
      </c>
      <c r="D340" t="str">
        <v>t</v>
      </c>
      <c r="E340" t="str">
        <v>iok</v>
      </c>
      <c r="F340">
        <v>8</v>
      </c>
    </row>
    <row r="341" spans="1:6">
      <c r="A341" t="s">
        <v>351</v>
      </c>
      <c r="B341" t="s">
        <v>352</v>
      </c>
      <c r="C341" t="s">
        <v>773</v>
      </c>
      <c r="D341" t="str">
        <v>l</v>
      </c>
      <c r="E341" t="str">
        <v>oo</v>
      </c>
      <c r="F341">
        <v>5</v>
      </c>
    </row>
    <row r="342" spans="1:6">
      <c r="A342" t="s">
        <v>353</v>
      </c>
      <c r="B342" t="s">
        <v>354</v>
      </c>
      <c r="C342" t="s">
        <v>774</v>
      </c>
      <c r="D342" t="str">
        <v>c</v>
      </c>
      <c r="E342" t="str">
        <v>ian</v>
      </c>
      <c r="F342">
        <v>1</v>
      </c>
    </row>
    <row r="343" spans="1:6">
      <c r="A343" t="s">
        <v>355</v>
      </c>
      <c r="B343" t="s">
        <v>356</v>
      </c>
      <c r="C343" t="s">
        <v>730</v>
      </c>
      <c r="D343" t="str">
        <v>l</v>
      </c>
      <c r="E343" t="str">
        <v>i</v>
      </c>
      <c r="F343">
        <v>2</v>
      </c>
    </row>
    <row r="344" spans="1:6">
      <c r="A344" t="s">
        <v>29</v>
      </c>
      <c r="D344" t="str">
        <v/>
      </c>
      <c r="E344" t="str">
        <v/>
      </c>
      <c r="F344" t="str">
        <v/>
      </c>
    </row>
    <row r="345" spans="1:6">
      <c r="A345" t="s">
        <v>357</v>
      </c>
      <c r="B345" t="s">
        <v>358</v>
      </c>
      <c r="C345" t="s">
        <v>775</v>
      </c>
      <c r="D345" t="str">
        <v>z</v>
      </c>
      <c r="E345" t="str">
        <v>ing</v>
      </c>
      <c r="F345">
        <v>1</v>
      </c>
    </row>
    <row r="346" spans="1:6">
      <c r="A346" t="s">
        <v>359</v>
      </c>
      <c r="B346" t="s">
        <v>161</v>
      </c>
      <c r="C346" t="s">
        <v>676</v>
      </c>
      <c r="D346" t="str">
        <v>k</v>
      </c>
      <c r="E346" t="str">
        <v>i</v>
      </c>
      <c r="F346">
        <v>5</v>
      </c>
    </row>
    <row r="347" spans="1:6">
      <c r="A347" t="s">
        <v>360</v>
      </c>
      <c r="B347" t="s">
        <v>361</v>
      </c>
      <c r="C347" t="s">
        <v>993</v>
      </c>
      <c r="D347" t="str">
        <v>p</v>
      </c>
      <c r="E347" t="str">
        <v>e</v>
      </c>
      <c r="F347">
        <v>3</v>
      </c>
    </row>
    <row r="348" spans="1:6">
      <c r="A348" t="s">
        <v>209</v>
      </c>
      <c r="B348" t="s">
        <v>210</v>
      </c>
      <c r="C348" t="s">
        <v>703</v>
      </c>
      <c r="D348" t="str">
        <v>kh</v>
      </c>
      <c r="E348" t="str">
        <v>ong</v>
      </c>
      <c r="F348">
        <v>1</v>
      </c>
    </row>
    <row r="349" spans="1:6">
      <c r="A349" t="s">
        <v>29</v>
      </c>
      <c r="D349" t="str">
        <v/>
      </c>
      <c r="E349" t="str">
        <v/>
      </c>
      <c r="F349" t="str">
        <v/>
      </c>
    </row>
    <row r="350" spans="1:6">
      <c r="A350" t="s">
        <v>362</v>
      </c>
      <c r="B350" t="s">
        <v>363</v>
      </c>
      <c r="C350" t="s">
        <v>777</v>
      </c>
      <c r="D350" t="str">
        <v>s</v>
      </c>
      <c r="E350" t="str">
        <v>u</v>
      </c>
      <c r="F350">
        <v>1</v>
      </c>
    </row>
    <row r="351" spans="1:6">
      <c r="A351" t="s">
        <v>73</v>
      </c>
      <c r="B351" t="s">
        <v>74</v>
      </c>
      <c r="C351" t="s">
        <v>625</v>
      </c>
      <c r="D351" t="str">
        <v>z</v>
      </c>
      <c r="E351" t="str">
        <v>iu</v>
      </c>
      <c r="F351">
        <v>2</v>
      </c>
    </row>
    <row r="352" spans="1:6">
      <c r="A352" t="s">
        <v>364</v>
      </c>
      <c r="B352" t="s">
        <v>365</v>
      </c>
      <c r="C352" t="s">
        <v>778</v>
      </c>
      <c r="D352" t="str">
        <v>l</v>
      </c>
      <c r="E352" t="str">
        <v>im</v>
      </c>
      <c r="F352">
        <v>5</v>
      </c>
    </row>
    <row r="353" spans="1:6">
      <c r="A353" t="s">
        <v>118</v>
      </c>
      <c r="B353" t="s">
        <v>119</v>
      </c>
      <c r="C353" t="s">
        <v>654</v>
      </c>
      <c r="D353" t="str">
        <v>k</v>
      </c>
      <c r="E353" t="str">
        <v>ang</v>
      </c>
      <c r="F353">
        <v>1</v>
      </c>
    </row>
    <row r="354" spans="1:6">
      <c r="A354" t="s">
        <v>29</v>
      </c>
      <c r="D354" t="str">
        <v/>
      </c>
      <c r="E354" t="str">
        <v/>
      </c>
      <c r="F354" t="str">
        <v/>
      </c>
    </row>
    <row r="355" spans="1:6">
      <c r="A355" t="s">
        <v>117</v>
      </c>
      <c r="B355" t="s">
        <v>366</v>
      </c>
      <c r="C355" t="s">
        <v>779</v>
      </c>
      <c r="D355" t="str">
        <v>h</v>
      </c>
      <c r="E355" t="str">
        <v>ing</v>
      </c>
      <c r="F355">
        <v>5</v>
      </c>
    </row>
    <row r="356" spans="1:6">
      <c r="A356" t="s">
        <v>367</v>
      </c>
      <c r="B356" t="s">
        <v>368</v>
      </c>
      <c r="C356" t="s">
        <v>780</v>
      </c>
      <c r="D356" t="str">
        <v>s</v>
      </c>
      <c r="E356" t="str">
        <v>ok</v>
      </c>
      <c r="F356">
        <v>4</v>
      </c>
    </row>
    <row r="357" spans="1:6">
      <c r="A357" t="s">
        <v>9</v>
      </c>
      <c r="B357" t="s">
        <v>10</v>
      </c>
      <c r="C357" t="s">
        <v>568</v>
      </c>
      <c r="D357" t="str">
        <v>h</v>
      </c>
      <c r="E357" t="str">
        <v>u</v>
      </c>
      <c r="F357">
        <v>3</v>
      </c>
    </row>
    <row r="358" spans="1:6">
      <c r="A358" t="s">
        <v>81</v>
      </c>
      <c r="B358" t="s">
        <v>82</v>
      </c>
      <c r="C358" t="s">
        <v>630</v>
      </c>
      <c r="D358" t="str">
        <v>s</v>
      </c>
      <c r="E358" t="str">
        <v>i</v>
      </c>
      <c r="F358">
        <v>1</v>
      </c>
    </row>
    <row r="359" spans="1:6">
      <c r="A359" t="s">
        <v>29</v>
      </c>
      <c r="D359" t="str">
        <v/>
      </c>
      <c r="E359" t="str">
        <v/>
      </c>
      <c r="F359" t="str">
        <v/>
      </c>
    </row>
    <row r="360" spans="1:6">
      <c r="A360" t="s">
        <v>369</v>
      </c>
      <c r="B360" t="s">
        <v>370</v>
      </c>
      <c r="C360" t="s">
        <v>781</v>
      </c>
      <c r="D360" t="str">
        <v>k</v>
      </c>
      <c r="E360" t="str">
        <v>oo</v>
      </c>
      <c r="F360">
        <v>3</v>
      </c>
    </row>
    <row r="361" spans="1:6">
      <c r="A361" t="s">
        <v>128</v>
      </c>
      <c r="B361" t="s">
        <v>129</v>
      </c>
      <c r="C361" t="s">
        <v>966</v>
      </c>
      <c r="D361" t="str">
        <v/>
      </c>
      <c r="E361" t="str">
        <v>it</v>
      </c>
      <c r="F361">
        <v>4</v>
      </c>
    </row>
    <row r="362" spans="1:6">
      <c r="A362" t="s">
        <v>168</v>
      </c>
      <c r="B362" t="s">
        <v>169</v>
      </c>
      <c r="C362" t="s">
        <v>972</v>
      </c>
      <c r="D362" t="str">
        <v>s</v>
      </c>
      <c r="E362" t="str">
        <v>e</v>
      </c>
      <c r="F362">
        <v>3</v>
      </c>
    </row>
    <row r="363" spans="1:6">
      <c r="A363" t="s">
        <v>25</v>
      </c>
      <c r="B363" t="s">
        <v>26</v>
      </c>
      <c r="C363" t="s">
        <v>584</v>
      </c>
      <c r="D363" t="str">
        <v>z</v>
      </c>
      <c r="E363" t="str">
        <v>i</v>
      </c>
      <c r="F363">
        <v>1</v>
      </c>
    </row>
    <row r="364" spans="1:6">
      <c r="A364" t="s">
        <v>371</v>
      </c>
      <c r="B364" t="s">
        <v>227</v>
      </c>
      <c r="C364" t="s">
        <v>713</v>
      </c>
      <c r="D364" t="str">
        <v>h</v>
      </c>
      <c r="E364" t="str">
        <v>iong</v>
      </c>
      <c r="F364">
        <v>5</v>
      </c>
    </row>
    <row r="365" spans="1:6">
      <c r="A365" t="s">
        <v>294</v>
      </c>
      <c r="B365" t="s">
        <v>295</v>
      </c>
      <c r="C365" t="s">
        <v>990</v>
      </c>
      <c r="D365" t="str">
        <v/>
      </c>
      <c r="E365" t="str">
        <v>ia</v>
      </c>
      <c r="F365">
        <v>2</v>
      </c>
    </row>
    <row r="366" spans="1:6">
      <c r="A366" t="s">
        <v>29</v>
      </c>
      <c r="D366" t="str">
        <v/>
      </c>
      <c r="E366" t="str">
        <v/>
      </c>
      <c r="F366" t="str">
        <v/>
      </c>
    </row>
    <row r="367" spans="1:6">
      <c r="A367" t="s">
        <v>157</v>
      </c>
      <c r="B367" t="s">
        <v>150</v>
      </c>
      <c r="C367" t="s">
        <v>664</v>
      </c>
      <c r="D367" t="str">
        <v>j</v>
      </c>
      <c r="E367" t="str">
        <v>i</v>
      </c>
      <c r="F367">
        <v>5</v>
      </c>
    </row>
    <row r="368" spans="1:6">
      <c r="A368" t="s">
        <v>372</v>
      </c>
      <c r="B368" t="s">
        <v>284</v>
      </c>
      <c r="C368" t="s">
        <v>742</v>
      </c>
      <c r="D368" t="str">
        <v>k</v>
      </c>
      <c r="E368" t="str">
        <v>im</v>
      </c>
      <c r="F368">
        <v>1</v>
      </c>
    </row>
    <row r="369" spans="1:6">
      <c r="A369" t="s">
        <v>373</v>
      </c>
      <c r="B369" t="s">
        <v>374</v>
      </c>
      <c r="C369" t="s">
        <v>994</v>
      </c>
      <c r="D369" t="str">
        <v/>
      </c>
      <c r="E369" t="str">
        <v>an</v>
      </c>
      <c r="F369">
        <v>1</v>
      </c>
    </row>
    <row r="370" spans="1:6">
      <c r="A370" t="s">
        <v>375</v>
      </c>
      <c r="B370" t="s">
        <v>376</v>
      </c>
      <c r="C370" t="s">
        <v>783</v>
      </c>
      <c r="D370" t="str">
        <v>z</v>
      </c>
      <c r="E370" t="str">
        <v>ai</v>
      </c>
      <c r="F370">
        <v>2</v>
      </c>
    </row>
    <row r="371" spans="1:6">
      <c r="A371" t="s">
        <v>377</v>
      </c>
      <c r="B371" t="s">
        <v>378</v>
      </c>
      <c r="C371" t="s">
        <v>784</v>
      </c>
      <c r="D371" t="str">
        <v>z</v>
      </c>
      <c r="E371" t="str">
        <v>ai</v>
      </c>
      <c r="F371">
        <v>1</v>
      </c>
    </row>
    <row r="372" spans="1:6">
      <c r="A372" t="s">
        <v>296</v>
      </c>
      <c r="D372" t="str">
        <v/>
      </c>
      <c r="E372" t="str">
        <v/>
      </c>
      <c r="F372" t="str">
        <v/>
      </c>
    </row>
    <row r="373" spans="1:6">
      <c r="A373" t="s">
        <v>379</v>
      </c>
      <c r="B373" t="s">
        <v>380</v>
      </c>
      <c r="C373" t="s">
        <v>785</v>
      </c>
      <c r="D373" t="str">
        <v>h</v>
      </c>
      <c r="E373" t="str">
        <v>ong</v>
      </c>
      <c r="F373">
        <v>3</v>
      </c>
    </row>
    <row r="374" spans="1:6">
      <c r="A374" t="s">
        <v>381</v>
      </c>
      <c r="B374" s="51" t="s">
        <v>382</v>
      </c>
      <c r="C374" s="51" t="s">
        <v>786</v>
      </c>
      <c r="D374" t="str">
        <v>g</v>
      </c>
      <c r="E374" t="str">
        <v>oo</v>
      </c>
      <c r="F374">
        <v>5</v>
      </c>
    </row>
    <row r="375" spans="1:6">
      <c r="A375" t="s">
        <v>40</v>
      </c>
      <c r="B375" t="s">
        <v>41</v>
      </c>
      <c r="C375" t="s">
        <v>946</v>
      </c>
      <c r="D375" t="str">
        <v/>
      </c>
      <c r="E375" t="str">
        <v>u</v>
      </c>
      <c r="F375">
        <v>2</v>
      </c>
    </row>
    <row r="376" spans="1:6">
      <c r="A376" t="s">
        <v>38</v>
      </c>
      <c r="B376" s="52" t="s">
        <v>1819</v>
      </c>
      <c r="C376" s="51" t="s">
        <v>1820</v>
      </c>
      <c r="D376" t="str">
        <v>z</v>
      </c>
      <c r="E376" t="str">
        <v>u</v>
      </c>
      <c r="F376">
        <v>2</v>
      </c>
    </row>
    <row r="377" spans="1:6">
      <c r="A377" t="s">
        <v>29</v>
      </c>
      <c r="D377" t="str">
        <v/>
      </c>
      <c r="E377" t="str">
        <v/>
      </c>
      <c r="F377" t="str">
        <v/>
      </c>
    </row>
    <row r="378" spans="1:6">
      <c r="A378" t="s">
        <v>383</v>
      </c>
      <c r="B378" t="s">
        <v>110</v>
      </c>
      <c r="C378" t="s">
        <v>963</v>
      </c>
      <c r="D378" t="str">
        <v>g</v>
      </c>
      <c r="E378" t="str">
        <v>u</v>
      </c>
      <c r="F378">
        <v>5</v>
      </c>
    </row>
    <row r="379" spans="1:6">
      <c r="A379" t="s">
        <v>384</v>
      </c>
      <c r="B379" t="s">
        <v>385</v>
      </c>
      <c r="C379" t="s">
        <v>788</v>
      </c>
      <c r="D379" t="str">
        <v>z</v>
      </c>
      <c r="E379" t="str">
        <v>iau</v>
      </c>
      <c r="F379">
        <v>5</v>
      </c>
    </row>
    <row r="380" spans="1:6">
      <c r="A380" t="s">
        <v>50</v>
      </c>
      <c r="B380" t="s">
        <v>51</v>
      </c>
      <c r="C380" t="s">
        <v>950</v>
      </c>
      <c r="D380" t="str">
        <v/>
      </c>
      <c r="E380" t="str">
        <v>u</v>
      </c>
      <c r="F380">
        <v>1</v>
      </c>
    </row>
    <row r="381" spans="1:6">
      <c r="A381" t="s">
        <v>118</v>
      </c>
      <c r="B381" t="s">
        <v>119</v>
      </c>
      <c r="C381" t="s">
        <v>654</v>
      </c>
      <c r="D381" t="str">
        <v>k</v>
      </c>
      <c r="E381" t="str">
        <v>ang</v>
      </c>
      <c r="F381">
        <v>1</v>
      </c>
    </row>
    <row r="382" spans="1:6">
      <c r="A382" t="s">
        <v>386</v>
      </c>
      <c r="B382" t="s">
        <v>39</v>
      </c>
      <c r="C382" t="s">
        <v>597</v>
      </c>
      <c r="D382" t="str">
        <v>z</v>
      </c>
      <c r="E382" t="str">
        <v>u</v>
      </c>
      <c r="F382">
        <v>2</v>
      </c>
    </row>
    <row r="383" spans="1:6">
      <c r="A383" t="s">
        <v>25</v>
      </c>
      <c r="B383" t="s">
        <v>26</v>
      </c>
      <c r="C383" t="s">
        <v>584</v>
      </c>
      <c r="D383" t="str">
        <v>z</v>
      </c>
      <c r="E383" t="str">
        <v>i</v>
      </c>
      <c r="F383">
        <v>1</v>
      </c>
    </row>
    <row r="384" spans="1:6">
      <c r="A384" t="s">
        <v>101</v>
      </c>
      <c r="B384" t="s">
        <v>102</v>
      </c>
      <c r="C384" t="s">
        <v>643</v>
      </c>
      <c r="D384" t="str">
        <v>s</v>
      </c>
      <c r="E384" t="str">
        <v>iong</v>
      </c>
      <c r="F384">
        <v>2</v>
      </c>
    </row>
    <row r="385" spans="1:6">
      <c r="A385" t="s">
        <v>29</v>
      </c>
      <c r="D385" t="str">
        <v/>
      </c>
      <c r="E385" t="str">
        <v/>
      </c>
      <c r="F385" t="str">
        <v/>
      </c>
    </row>
    <row r="386" spans="1:6">
      <c r="A386" t="s">
        <v>387</v>
      </c>
      <c r="B386" t="s">
        <v>388</v>
      </c>
      <c r="C386" t="s">
        <v>995</v>
      </c>
      <c r="D386" t="str">
        <v>l</v>
      </c>
      <c r="E386" t="str">
        <v>u</v>
      </c>
      <c r="F386">
        <v>7</v>
      </c>
    </row>
    <row r="387" spans="1:6">
      <c r="A387" t="s">
        <v>389</v>
      </c>
      <c r="B387" t="s">
        <v>110</v>
      </c>
      <c r="C387" t="s">
        <v>963</v>
      </c>
      <c r="D387" t="str">
        <v>g</v>
      </c>
      <c r="E387" t="str">
        <v>u</v>
      </c>
      <c r="F387">
        <v>5</v>
      </c>
    </row>
    <row r="388" spans="1:6">
      <c r="A388" t="s">
        <v>390</v>
      </c>
      <c r="B388" t="s">
        <v>391</v>
      </c>
      <c r="C388" t="s">
        <v>790</v>
      </c>
      <c r="D388" t="str">
        <v>h</v>
      </c>
      <c r="E388" t="str">
        <v>ee</v>
      </c>
      <c r="F388">
        <v>5</v>
      </c>
    </row>
    <row r="389" spans="1:6">
      <c r="A389" t="s">
        <v>157</v>
      </c>
      <c r="B389" t="s">
        <v>150</v>
      </c>
      <c r="C389" t="s">
        <v>664</v>
      </c>
      <c r="D389" t="str">
        <v>j</v>
      </c>
      <c r="E389" t="str">
        <v>i</v>
      </c>
      <c r="F389">
        <v>5</v>
      </c>
    </row>
    <row r="390" spans="1:6">
      <c r="A390" t="s">
        <v>392</v>
      </c>
      <c r="B390" t="s">
        <v>230</v>
      </c>
      <c r="C390" t="s">
        <v>981</v>
      </c>
      <c r="D390" t="str">
        <v/>
      </c>
      <c r="E390" t="str">
        <v>iu</v>
      </c>
      <c r="F390">
        <v>2</v>
      </c>
    </row>
    <row r="391" spans="1:6">
      <c r="A391" t="s">
        <v>393</v>
      </c>
      <c r="B391" t="s">
        <v>394</v>
      </c>
      <c r="C391" t="s">
        <v>791</v>
      </c>
      <c r="D391" t="str">
        <v>b</v>
      </c>
      <c r="E391" t="str">
        <v>i</v>
      </c>
      <c r="F391">
        <v>5</v>
      </c>
    </row>
    <row r="392" spans="1:6">
      <c r="A392" t="s">
        <v>395</v>
      </c>
      <c r="B392" t="s">
        <v>186</v>
      </c>
      <c r="C392" t="s">
        <v>690</v>
      </c>
      <c r="D392" t="str">
        <v>l</v>
      </c>
      <c r="E392" t="str">
        <v>ok</v>
      </c>
      <c r="F392">
        <v>8</v>
      </c>
    </row>
    <row r="393" spans="1:6">
      <c r="A393" t="s">
        <v>126</v>
      </c>
      <c r="D393" t="str">
        <v/>
      </c>
      <c r="E393" t="str">
        <v/>
      </c>
      <c r="F393" t="str">
        <v/>
      </c>
    </row>
    <row r="394" spans="1:6">
      <c r="A394" t="s">
        <v>396</v>
      </c>
      <c r="B394" t="s">
        <v>397</v>
      </c>
      <c r="C394" t="s">
        <v>997</v>
      </c>
      <c r="D394" t="str">
        <v>k</v>
      </c>
      <c r="E394" t="str">
        <v>a</v>
      </c>
      <c r="F394">
        <v>3</v>
      </c>
    </row>
    <row r="395" spans="1:6">
      <c r="A395" t="s">
        <v>128</v>
      </c>
      <c r="B395" t="s">
        <v>129</v>
      </c>
      <c r="C395" t="s">
        <v>966</v>
      </c>
      <c r="D395" t="str">
        <v/>
      </c>
      <c r="E395" t="str">
        <v>it</v>
      </c>
      <c r="F395">
        <v>4</v>
      </c>
    </row>
    <row r="396" spans="1:6">
      <c r="A396" t="s">
        <v>398</v>
      </c>
      <c r="B396" t="s">
        <v>399</v>
      </c>
      <c r="C396" t="s">
        <v>998</v>
      </c>
      <c r="D396" t="str">
        <v/>
      </c>
      <c r="E396" t="str">
        <v>iap</v>
      </c>
      <c r="F396">
        <v>8</v>
      </c>
    </row>
    <row r="397" spans="1:6">
      <c r="A397" t="s">
        <v>25</v>
      </c>
      <c r="B397" t="s">
        <v>26</v>
      </c>
      <c r="C397" t="s">
        <v>584</v>
      </c>
      <c r="D397" t="str">
        <v>z</v>
      </c>
      <c r="E397" t="str">
        <v>i</v>
      </c>
      <c r="F397">
        <v>1</v>
      </c>
    </row>
    <row r="398" spans="1:6">
      <c r="A398" t="s">
        <v>400</v>
      </c>
      <c r="B398" t="s">
        <v>401</v>
      </c>
      <c r="C398" t="s">
        <v>794</v>
      </c>
      <c r="D398" t="str">
        <v>ph</v>
      </c>
      <c r="E398" t="str">
        <v>ian</v>
      </c>
      <c r="F398">
        <v>1</v>
      </c>
    </row>
    <row r="399" spans="1:6">
      <c r="A399" t="s">
        <v>46</v>
      </c>
      <c r="B399" t="s">
        <v>47</v>
      </c>
      <c r="C399" t="s">
        <v>604</v>
      </c>
      <c r="D399" t="str">
        <v>z</v>
      </c>
      <c r="E399" t="str">
        <v>iu</v>
      </c>
      <c r="F399">
        <v>1</v>
      </c>
    </row>
    <row r="400" spans="1:6">
      <c r="A400" t="s">
        <v>29</v>
      </c>
      <c r="D400" t="str">
        <v/>
      </c>
      <c r="E400" t="str">
        <v/>
      </c>
      <c r="F400" t="str">
        <v/>
      </c>
    </row>
    <row r="401" spans="1:6">
      <c r="A401" t="s">
        <v>402</v>
      </c>
      <c r="B401" t="s">
        <v>72</v>
      </c>
      <c r="C401" t="s">
        <v>957</v>
      </c>
      <c r="D401" t="str">
        <v>k</v>
      </c>
      <c r="E401" t="str">
        <v>u</v>
      </c>
      <c r="F401">
        <v>2</v>
      </c>
    </row>
    <row r="402" spans="1:6">
      <c r="A402" t="s">
        <v>403</v>
      </c>
      <c r="B402" t="s">
        <v>404</v>
      </c>
      <c r="C402" t="s">
        <v>795</v>
      </c>
      <c r="D402" t="str">
        <v>p</v>
      </c>
      <c r="E402" t="str">
        <v>au</v>
      </c>
      <c r="F402">
        <v>5</v>
      </c>
    </row>
    <row r="403" spans="1:6">
      <c r="A403" t="s">
        <v>405</v>
      </c>
      <c r="B403" t="s">
        <v>406</v>
      </c>
      <c r="C403" t="s">
        <v>796</v>
      </c>
      <c r="D403" t="str">
        <v>z</v>
      </c>
      <c r="E403" t="str">
        <v>un</v>
      </c>
      <c r="F403">
        <v>1</v>
      </c>
    </row>
    <row r="404" spans="1:6">
      <c r="A404" t="s">
        <v>407</v>
      </c>
      <c r="B404" t="s">
        <v>240</v>
      </c>
      <c r="C404" t="s">
        <v>983</v>
      </c>
      <c r="D404" t="str">
        <v/>
      </c>
      <c r="E404" t="str">
        <v>i</v>
      </c>
      <c r="F404">
        <v>2</v>
      </c>
    </row>
    <row r="405" spans="1:6">
      <c r="A405" t="s">
        <v>328</v>
      </c>
      <c r="B405" t="s">
        <v>329</v>
      </c>
      <c r="C405" t="s">
        <v>763</v>
      </c>
      <c r="D405" t="str">
        <v>s</v>
      </c>
      <c r="E405" t="str">
        <v>iong</v>
      </c>
      <c r="F405">
        <v>1</v>
      </c>
    </row>
    <row r="406" spans="1:6">
      <c r="A406" t="s">
        <v>75</v>
      </c>
      <c r="B406" t="s">
        <v>76</v>
      </c>
      <c r="C406" t="s">
        <v>626</v>
      </c>
      <c r="D406" t="str">
        <v>z</v>
      </c>
      <c r="E406" t="str">
        <v>iok</v>
      </c>
      <c r="F406">
        <v>4</v>
      </c>
    </row>
    <row r="407" spans="1:6">
      <c r="A407" t="s">
        <v>54</v>
      </c>
      <c r="D407" t="str">
        <v/>
      </c>
      <c r="E407" t="str">
        <v/>
      </c>
      <c r="F407" t="str">
        <v/>
      </c>
    </row>
    <row r="408" spans="1:6">
      <c r="A408" t="s">
        <v>408</v>
      </c>
      <c r="B408" t="s">
        <v>35</v>
      </c>
      <c r="C408" t="s">
        <v>593</v>
      </c>
      <c r="D408" t="str">
        <v>k</v>
      </c>
      <c r="E408" t="str">
        <v>i</v>
      </c>
      <c r="F408">
        <v>3</v>
      </c>
    </row>
    <row r="409" spans="1:6">
      <c r="A409" t="s">
        <v>409</v>
      </c>
      <c r="B409" t="s">
        <v>410</v>
      </c>
      <c r="C409" t="s">
        <v>797</v>
      </c>
      <c r="D409" t="str">
        <v>h</v>
      </c>
      <c r="E409" t="str">
        <v>u</v>
      </c>
      <c r="F409">
        <v>5</v>
      </c>
    </row>
    <row r="410" spans="1:6">
      <c r="A410" t="s">
        <v>411</v>
      </c>
      <c r="B410" t="s">
        <v>49</v>
      </c>
      <c r="C410" t="s">
        <v>949</v>
      </c>
      <c r="D410" t="str">
        <v/>
      </c>
      <c r="E410" t="str">
        <v>iu</v>
      </c>
      <c r="F410">
        <v>5</v>
      </c>
    </row>
    <row r="411" spans="1:6">
      <c r="A411" t="s">
        <v>50</v>
      </c>
      <c r="B411" t="s">
        <v>51</v>
      </c>
      <c r="C411" t="s">
        <v>950</v>
      </c>
      <c r="D411" t="str">
        <v/>
      </c>
      <c r="E411" t="str">
        <v>u</v>
      </c>
      <c r="F411">
        <v>1</v>
      </c>
    </row>
    <row r="412" spans="1:6">
      <c r="A412" t="s">
        <v>124</v>
      </c>
      <c r="B412" t="s">
        <v>125</v>
      </c>
      <c r="C412" t="s">
        <v>659</v>
      </c>
      <c r="D412" t="str">
        <v>th</v>
      </c>
      <c r="E412" t="str">
        <v>ian</v>
      </c>
      <c r="F412">
        <v>1</v>
      </c>
    </row>
    <row r="413" spans="1:6">
      <c r="A413" t="s">
        <v>412</v>
      </c>
      <c r="B413" s="51" t="s">
        <v>1821</v>
      </c>
      <c r="C413" s="51" t="s">
        <v>1822</v>
      </c>
      <c r="D413" t="str">
        <v>t</v>
      </c>
      <c r="E413" t="str">
        <v>ei</v>
      </c>
      <c r="F413">
        <v>7</v>
      </c>
    </row>
    <row r="414" spans="1:6">
      <c r="A414" t="s">
        <v>29</v>
      </c>
      <c r="D414" t="str">
        <v/>
      </c>
      <c r="E414" t="str">
        <v/>
      </c>
      <c r="F414" t="str">
        <v/>
      </c>
    </row>
    <row r="415" spans="1:6">
      <c r="A415" t="s">
        <v>215</v>
      </c>
      <c r="B415" t="s">
        <v>216</v>
      </c>
      <c r="C415" t="s">
        <v>706</v>
      </c>
      <c r="D415" t="str">
        <v>b</v>
      </c>
      <c r="E415" t="str">
        <v>iau</v>
      </c>
      <c r="F415">
        <v>2</v>
      </c>
    </row>
    <row r="416" spans="1:6">
      <c r="A416" t="s">
        <v>414</v>
      </c>
      <c r="B416" t="s">
        <v>335</v>
      </c>
      <c r="C416" t="s">
        <v>766</v>
      </c>
      <c r="D416" t="str">
        <v>c</v>
      </c>
      <c r="E416" t="str">
        <v>ong</v>
      </c>
      <c r="F416">
        <v>1</v>
      </c>
    </row>
    <row r="417" spans="1:6">
      <c r="A417" t="s">
        <v>415</v>
      </c>
      <c r="B417" t="s">
        <v>416</v>
      </c>
      <c r="C417" t="s">
        <v>799</v>
      </c>
      <c r="D417" t="str">
        <v>h</v>
      </c>
      <c r="E417" t="str">
        <v>ai</v>
      </c>
      <c r="F417">
        <v>2</v>
      </c>
    </row>
    <row r="418" spans="1:6">
      <c r="A418" t="s">
        <v>25</v>
      </c>
      <c r="B418" t="s">
        <v>26</v>
      </c>
      <c r="C418" t="s">
        <v>584</v>
      </c>
      <c r="D418" t="str">
        <v>z</v>
      </c>
      <c r="E418" t="str">
        <v>i</v>
      </c>
      <c r="F418">
        <v>1</v>
      </c>
    </row>
    <row r="419" spans="1:6">
      <c r="A419" t="s">
        <v>128</v>
      </c>
      <c r="B419" t="s">
        <v>129</v>
      </c>
      <c r="C419" t="s">
        <v>966</v>
      </c>
      <c r="D419" t="str">
        <v/>
      </c>
      <c r="E419" t="str">
        <v>it</v>
      </c>
      <c r="F419">
        <v>4</v>
      </c>
    </row>
    <row r="420" spans="1:6">
      <c r="A420" t="s">
        <v>417</v>
      </c>
      <c r="B420" t="s">
        <v>418</v>
      </c>
      <c r="C420" t="s">
        <v>800</v>
      </c>
      <c r="D420" t="str">
        <v>s</v>
      </c>
      <c r="E420" t="str">
        <v>iok</v>
      </c>
      <c r="F420">
        <v>4</v>
      </c>
    </row>
    <row r="421" spans="1:6">
      <c r="A421" t="s">
        <v>54</v>
      </c>
      <c r="D421" t="str">
        <v/>
      </c>
      <c r="E421" t="str">
        <v/>
      </c>
      <c r="F421" t="str">
        <v/>
      </c>
    </row>
    <row r="422" spans="1:6">
      <c r="A422" t="s">
        <v>419</v>
      </c>
      <c r="B422" t="s">
        <v>420</v>
      </c>
      <c r="C422" t="s">
        <v>999</v>
      </c>
      <c r="D422" t="str">
        <v/>
      </c>
      <c r="E422" t="str">
        <v>ai</v>
      </c>
      <c r="F422">
        <v>1</v>
      </c>
    </row>
    <row r="423" spans="1:6">
      <c r="A423" t="s">
        <v>381</v>
      </c>
      <c r="B423" s="51" t="s">
        <v>382</v>
      </c>
      <c r="C423" s="51" t="s">
        <v>786</v>
      </c>
      <c r="D423" t="str">
        <v>g</v>
      </c>
      <c r="E423" t="str">
        <v>oo</v>
      </c>
      <c r="F423">
        <v>5</v>
      </c>
    </row>
    <row r="424" spans="1:6">
      <c r="A424" t="s">
        <v>421</v>
      </c>
      <c r="B424" t="s">
        <v>244</v>
      </c>
      <c r="C424" t="s">
        <v>722</v>
      </c>
      <c r="D424" t="str">
        <v>s</v>
      </c>
      <c r="E424" t="str">
        <v>ing</v>
      </c>
      <c r="F424">
        <v>1</v>
      </c>
    </row>
    <row r="425" spans="1:6">
      <c r="A425" t="s">
        <v>25</v>
      </c>
      <c r="B425" t="s">
        <v>26</v>
      </c>
      <c r="C425" t="s">
        <v>584</v>
      </c>
      <c r="D425" t="str">
        <v>z</v>
      </c>
      <c r="E425" t="str">
        <v>i</v>
      </c>
      <c r="F425">
        <v>1</v>
      </c>
    </row>
    <row r="426" spans="1:6">
      <c r="A426" t="s">
        <v>422</v>
      </c>
      <c r="B426" t="s">
        <v>363</v>
      </c>
      <c r="C426" t="s">
        <v>777</v>
      </c>
      <c r="D426" t="str">
        <v>s</v>
      </c>
      <c r="E426" t="str">
        <v>u</v>
      </c>
      <c r="F426">
        <v>1</v>
      </c>
    </row>
    <row r="427" spans="1:6">
      <c r="A427" t="s">
        <v>423</v>
      </c>
      <c r="B427" t="s">
        <v>218</v>
      </c>
      <c r="C427" t="s">
        <v>979</v>
      </c>
      <c r="D427" t="str">
        <v/>
      </c>
      <c r="E427" t="str">
        <v>u</v>
      </c>
      <c r="F427">
        <v>5</v>
      </c>
    </row>
    <row r="428" spans="1:6">
      <c r="A428" t="s">
        <v>29</v>
      </c>
      <c r="D428" t="str">
        <v/>
      </c>
      <c r="E428" t="str">
        <v/>
      </c>
      <c r="F428" t="str">
        <v/>
      </c>
    </row>
    <row r="429" spans="1:6">
      <c r="A429" t="s">
        <v>424</v>
      </c>
      <c r="B429" t="s">
        <v>425</v>
      </c>
      <c r="C429" t="s">
        <v>802</v>
      </c>
      <c r="D429" t="str">
        <v>s</v>
      </c>
      <c r="E429" t="str">
        <v>ian</v>
      </c>
      <c r="F429">
        <v>7</v>
      </c>
    </row>
    <row r="430" spans="1:6">
      <c r="A430" t="s">
        <v>426</v>
      </c>
      <c r="B430" t="s">
        <v>427</v>
      </c>
      <c r="C430" t="s">
        <v>803</v>
      </c>
      <c r="D430" t="str">
        <v>t</v>
      </c>
      <c r="E430" t="str">
        <v>iong</v>
      </c>
      <c r="F430">
        <v>5</v>
      </c>
    </row>
    <row r="431" spans="1:6">
      <c r="A431" t="s">
        <v>118</v>
      </c>
      <c r="B431" t="s">
        <v>119</v>
      </c>
      <c r="C431" t="s">
        <v>654</v>
      </c>
      <c r="D431" t="str">
        <v>k</v>
      </c>
      <c r="E431" t="str">
        <v>ang</v>
      </c>
      <c r="F431">
        <v>1</v>
      </c>
    </row>
    <row r="432" spans="1:6">
      <c r="A432" t="s">
        <v>25</v>
      </c>
      <c r="B432" t="s">
        <v>26</v>
      </c>
      <c r="C432" t="s">
        <v>584</v>
      </c>
      <c r="D432" t="str">
        <v>z</v>
      </c>
      <c r="E432" t="str">
        <v>i</v>
      </c>
      <c r="F432">
        <v>1</v>
      </c>
    </row>
    <row r="433" spans="1:6">
      <c r="A433" t="s">
        <v>428</v>
      </c>
      <c r="B433" t="s">
        <v>429</v>
      </c>
      <c r="C433" t="s">
        <v>804</v>
      </c>
      <c r="D433" t="str">
        <v>b</v>
      </c>
      <c r="E433" t="str">
        <v>u</v>
      </c>
      <c r="F433">
        <v>5</v>
      </c>
    </row>
    <row r="434" spans="1:6">
      <c r="A434" t="s">
        <v>430</v>
      </c>
      <c r="B434" t="s">
        <v>431</v>
      </c>
      <c r="C434" t="s">
        <v>805</v>
      </c>
      <c r="D434" t="str">
        <v>k</v>
      </c>
      <c r="E434" t="str">
        <v>iong</v>
      </c>
      <c r="F434">
        <v>5</v>
      </c>
    </row>
    <row r="435" spans="1:6">
      <c r="A435" t="s">
        <v>54</v>
      </c>
      <c r="D435" t="str">
        <v/>
      </c>
      <c r="E435" t="str">
        <v/>
      </c>
      <c r="F435" t="str">
        <v/>
      </c>
    </row>
    <row r="436" spans="1:6">
      <c r="A436" t="s">
        <v>432</v>
      </c>
      <c r="B436" t="s">
        <v>433</v>
      </c>
      <c r="C436" t="s">
        <v>806</v>
      </c>
      <c r="D436" t="str">
        <v>h</v>
      </c>
      <c r="E436" t="str">
        <v>iat</v>
      </c>
      <c r="F436">
        <v>8</v>
      </c>
    </row>
    <row r="437" spans="1:6">
      <c r="A437" t="s">
        <v>306</v>
      </c>
      <c r="B437" t="s">
        <v>307</v>
      </c>
      <c r="C437" t="s">
        <v>753</v>
      </c>
      <c r="D437" t="str">
        <v>h</v>
      </c>
      <c r="E437" t="str">
        <v>ui</v>
      </c>
      <c r="F437">
        <v>1</v>
      </c>
    </row>
    <row r="438" spans="1:6">
      <c r="A438" t="s">
        <v>179</v>
      </c>
      <c r="B438" t="s">
        <v>180</v>
      </c>
      <c r="C438" t="s">
        <v>687</v>
      </c>
      <c r="D438" t="str">
        <v>s</v>
      </c>
      <c r="E438" t="str">
        <v>ian</v>
      </c>
      <c r="F438">
        <v>1</v>
      </c>
    </row>
    <row r="439" spans="1:6">
      <c r="A439" t="s">
        <v>407</v>
      </c>
      <c r="B439" t="s">
        <v>240</v>
      </c>
      <c r="C439" t="s">
        <v>983</v>
      </c>
      <c r="D439" t="str">
        <v/>
      </c>
      <c r="E439" t="str">
        <v>i</v>
      </c>
      <c r="F439">
        <v>2</v>
      </c>
    </row>
    <row r="440" spans="1:6">
      <c r="A440" t="s">
        <v>434</v>
      </c>
      <c r="B440" s="51" t="s">
        <v>435</v>
      </c>
      <c r="C440" s="51" t="s">
        <v>808</v>
      </c>
      <c r="D440" t="str">
        <v>g</v>
      </c>
      <c r="E440" t="str">
        <v>o</v>
      </c>
      <c r="F440">
        <v>5</v>
      </c>
    </row>
    <row r="441" spans="1:6">
      <c r="A441" t="s">
        <v>48</v>
      </c>
      <c r="B441" t="s">
        <v>49</v>
      </c>
      <c r="C441" t="s">
        <v>949</v>
      </c>
      <c r="D441" t="str">
        <v/>
      </c>
      <c r="E441" t="str">
        <v>iu</v>
      </c>
      <c r="F441">
        <v>5</v>
      </c>
    </row>
    <row r="442" spans="1:6">
      <c r="A442" t="s">
        <v>29</v>
      </c>
      <c r="D442" t="str">
        <v/>
      </c>
      <c r="E442" t="str">
        <v/>
      </c>
      <c r="F442" t="str">
        <v/>
      </c>
    </row>
    <row r="443" spans="1:6">
      <c r="A443" t="s">
        <v>436</v>
      </c>
      <c r="B443" t="s">
        <v>437</v>
      </c>
      <c r="C443" t="s">
        <v>809</v>
      </c>
      <c r="D443" t="str">
        <v>p</v>
      </c>
      <c r="E443" t="str">
        <v>o</v>
      </c>
      <c r="F443">
        <v>2</v>
      </c>
    </row>
    <row r="444" spans="1:6">
      <c r="A444" t="s">
        <v>79</v>
      </c>
      <c r="B444" t="s">
        <v>80</v>
      </c>
      <c r="C444" t="s">
        <v>629</v>
      </c>
      <c r="D444" t="str">
        <v>b</v>
      </c>
      <c r="E444" t="str">
        <v>ing</v>
      </c>
      <c r="F444">
        <v>5</v>
      </c>
    </row>
    <row r="445" spans="1:6">
      <c r="A445" t="s">
        <v>32</v>
      </c>
      <c r="B445" t="s">
        <v>33</v>
      </c>
      <c r="C445" t="s">
        <v>590</v>
      </c>
      <c r="D445" t="str">
        <v>g</v>
      </c>
      <c r="E445" t="str">
        <v>uat</v>
      </c>
      <c r="F445">
        <v>8</v>
      </c>
    </row>
    <row r="446" spans="1:6">
      <c r="A446" t="s">
        <v>157</v>
      </c>
      <c r="B446" t="s">
        <v>150</v>
      </c>
      <c r="C446" t="s">
        <v>664</v>
      </c>
      <c r="D446" t="str">
        <v>j</v>
      </c>
      <c r="E446" t="str">
        <v>i</v>
      </c>
      <c r="F446">
        <v>5</v>
      </c>
    </row>
    <row r="447" spans="1:6">
      <c r="A447" t="s">
        <v>426</v>
      </c>
      <c r="B447" t="s">
        <v>427</v>
      </c>
      <c r="C447" t="s">
        <v>803</v>
      </c>
      <c r="D447" t="str">
        <v>t</v>
      </c>
      <c r="E447" t="str">
        <v>iong</v>
      </c>
      <c r="F447">
        <v>5</v>
      </c>
    </row>
    <row r="448" spans="1:6">
      <c r="A448" t="s">
        <v>438</v>
      </c>
      <c r="B448" t="s">
        <v>90</v>
      </c>
      <c r="C448" t="s">
        <v>636</v>
      </c>
      <c r="D448" t="str">
        <v>z</v>
      </c>
      <c r="E448" t="str">
        <v>iong</v>
      </c>
      <c r="F448">
        <v>1</v>
      </c>
    </row>
    <row r="449" spans="1:6">
      <c r="A449" t="s">
        <v>54</v>
      </c>
      <c r="D449" t="str">
        <v/>
      </c>
      <c r="E449" t="str">
        <v/>
      </c>
      <c r="F449" t="str">
        <v/>
      </c>
    </row>
    <row r="450" spans="1:6">
      <c r="A450" t="s">
        <v>158</v>
      </c>
      <c r="B450" t="s">
        <v>159</v>
      </c>
      <c r="C450" t="s">
        <v>675</v>
      </c>
      <c r="D450" t="str">
        <v>t</v>
      </c>
      <c r="E450" t="str">
        <v>i</v>
      </c>
      <c r="F450">
        <v>1</v>
      </c>
    </row>
    <row r="451" spans="1:6">
      <c r="A451" t="s">
        <v>67</v>
      </c>
      <c r="B451" t="s">
        <v>68</v>
      </c>
      <c r="C451" t="s">
        <v>622</v>
      </c>
      <c r="D451" t="str">
        <v>p</v>
      </c>
      <c r="E451" t="str">
        <v>ut</v>
      </c>
      <c r="F451">
        <v>4</v>
      </c>
    </row>
    <row r="452" spans="1:6">
      <c r="A452" t="s">
        <v>439</v>
      </c>
      <c r="B452" t="s">
        <v>440</v>
      </c>
      <c r="C452" t="s">
        <v>810</v>
      </c>
      <c r="D452" t="str">
        <v>kh</v>
      </c>
      <c r="E452" t="str">
        <v>o</v>
      </c>
      <c r="F452">
        <v>2</v>
      </c>
    </row>
    <row r="453" spans="1:6">
      <c r="A453" t="s">
        <v>148</v>
      </c>
      <c r="B453" t="s">
        <v>149</v>
      </c>
      <c r="C453" t="s">
        <v>671</v>
      </c>
      <c r="D453" t="str">
        <v>h</v>
      </c>
      <c r="E453" t="str">
        <v>oo</v>
      </c>
      <c r="F453">
        <v>5</v>
      </c>
    </row>
    <row r="454" spans="1:6">
      <c r="A454" t="s">
        <v>441</v>
      </c>
      <c r="B454" t="s">
        <v>442</v>
      </c>
      <c r="C454" t="s">
        <v>811</v>
      </c>
      <c r="D454" t="str">
        <v>z</v>
      </c>
      <c r="E454" t="str">
        <v>oo</v>
      </c>
      <c r="F454">
        <v>7</v>
      </c>
    </row>
    <row r="455" spans="1:6">
      <c r="A455" t="s">
        <v>443</v>
      </c>
      <c r="B455" t="s">
        <v>317</v>
      </c>
      <c r="C455" t="s">
        <v>757</v>
      </c>
      <c r="D455" t="str">
        <v>t</v>
      </c>
      <c r="E455" t="str">
        <v>ik</v>
      </c>
      <c r="F455">
        <v>4</v>
      </c>
    </row>
    <row r="456" spans="1:6">
      <c r="A456" t="s">
        <v>29</v>
      </c>
      <c r="D456" t="str">
        <v/>
      </c>
      <c r="E456" t="str">
        <v/>
      </c>
      <c r="F456" t="str">
        <v/>
      </c>
    </row>
    <row r="457" spans="1:6">
      <c r="A457" t="s">
        <v>444</v>
      </c>
      <c r="B457" t="s">
        <v>445</v>
      </c>
      <c r="C457" t="s">
        <v>812</v>
      </c>
      <c r="D457" t="str">
        <v>th</v>
      </c>
      <c r="E457" t="str">
        <v>ok</v>
      </c>
      <c r="F457">
        <v>4</v>
      </c>
    </row>
    <row r="458" spans="1:6">
      <c r="A458" t="s">
        <v>166</v>
      </c>
      <c r="B458" t="s">
        <v>167</v>
      </c>
      <c r="C458" t="s">
        <v>971</v>
      </c>
      <c r="D458" t="str">
        <v/>
      </c>
      <c r="E458" t="str">
        <v>ui</v>
      </c>
      <c r="F458">
        <v>5</v>
      </c>
    </row>
    <row r="459" spans="1:6">
      <c r="A459" t="s">
        <v>446</v>
      </c>
      <c r="B459" t="s">
        <v>447</v>
      </c>
      <c r="C459" t="s">
        <v>813</v>
      </c>
      <c r="D459" t="str">
        <v>h</v>
      </c>
      <c r="E459" t="str">
        <v>iong</v>
      </c>
      <c r="F459">
        <v>2</v>
      </c>
    </row>
    <row r="460" spans="1:6">
      <c r="A460" t="s">
        <v>50</v>
      </c>
      <c r="B460" t="s">
        <v>51</v>
      </c>
      <c r="C460" t="s">
        <v>950</v>
      </c>
      <c r="D460" t="str">
        <v/>
      </c>
      <c r="E460" t="str">
        <v>u</v>
      </c>
      <c r="F460">
        <v>1</v>
      </c>
    </row>
    <row r="461" spans="1:6">
      <c r="A461" t="s">
        <v>448</v>
      </c>
      <c r="B461" t="s">
        <v>449</v>
      </c>
      <c r="C461" t="s">
        <v>814</v>
      </c>
      <c r="D461" t="str">
        <v>p</v>
      </c>
      <c r="E461" t="str">
        <v>i</v>
      </c>
      <c r="F461">
        <v>1</v>
      </c>
    </row>
    <row r="462" spans="1:6">
      <c r="A462" t="s">
        <v>57</v>
      </c>
      <c r="B462" s="51" t="s">
        <v>1823</v>
      </c>
      <c r="C462" s="51" t="s">
        <v>1811</v>
      </c>
      <c r="D462" t="str">
        <v>h</v>
      </c>
      <c r="E462" t="str">
        <v/>
      </c>
      <c r="F462">
        <v>1</v>
      </c>
    </row>
    <row r="463" spans="1:6">
      <c r="A463" t="s">
        <v>54</v>
      </c>
      <c r="D463" t="str">
        <v/>
      </c>
      <c r="E463" t="str">
        <v/>
      </c>
      <c r="F463" t="str">
        <v/>
      </c>
    </row>
    <row r="464" spans="1:6">
      <c r="A464" t="s">
        <v>195</v>
      </c>
      <c r="D464" t="str">
        <v/>
      </c>
      <c r="E464" t="str">
        <v/>
      </c>
      <c r="F464" t="str">
        <v/>
      </c>
    </row>
    <row r="465" spans="1:6">
      <c r="A465" t="s">
        <v>228</v>
      </c>
      <c r="D465" t="str">
        <v/>
      </c>
      <c r="E465" t="str">
        <v/>
      </c>
      <c r="F465" t="str">
        <v/>
      </c>
    </row>
    <row r="466" spans="1:6">
      <c r="A466" t="s">
        <v>17</v>
      </c>
      <c r="B466" t="s">
        <v>18</v>
      </c>
      <c r="C466" t="s">
        <v>576</v>
      </c>
      <c r="D466" t="str">
        <v>s</v>
      </c>
      <c r="E466" t="str">
        <v>oo</v>
      </c>
      <c r="F466">
        <v>1</v>
      </c>
    </row>
    <row r="467" spans="1:6">
      <c r="A467" t="s">
        <v>38</v>
      </c>
      <c r="B467" t="s">
        <v>39</v>
      </c>
      <c r="C467" t="s">
        <v>597</v>
      </c>
      <c r="D467" t="str">
        <v>z</v>
      </c>
      <c r="E467" t="str">
        <v>u</v>
      </c>
      <c r="F467">
        <v>2</v>
      </c>
    </row>
    <row r="468" spans="1:6">
      <c r="A468" t="s">
        <v>193</v>
      </c>
      <c r="B468" t="s">
        <v>194</v>
      </c>
      <c r="C468" t="s">
        <v>976</v>
      </c>
      <c r="D468" t="str">
        <v/>
      </c>
      <c r="E468" t="str">
        <v>uat</v>
      </c>
      <c r="F468">
        <v>8</v>
      </c>
    </row>
    <row r="469" spans="1:6">
      <c r="A469" t="s">
        <v>16</v>
      </c>
      <c r="D469" t="str">
        <v/>
      </c>
      <c r="E469" t="str">
        <v/>
      </c>
      <c r="F469" t="str">
        <v/>
      </c>
    </row>
    <row r="470" spans="1:6">
      <c r="A470" t="s">
        <v>195</v>
      </c>
      <c r="D470" t="str">
        <v/>
      </c>
      <c r="E470" t="str">
        <v/>
      </c>
      <c r="F470" t="str">
        <v/>
      </c>
    </row>
    <row r="471" spans="1:6">
      <c r="A471" t="s">
        <v>196</v>
      </c>
      <c r="D471" t="str">
        <v/>
      </c>
      <c r="E471" t="str">
        <v/>
      </c>
      <c r="F471" t="str">
        <v/>
      </c>
    </row>
    <row r="472" spans="1:6">
      <c r="A472" t="s">
        <v>42</v>
      </c>
      <c r="B472" t="s">
        <v>43</v>
      </c>
      <c r="C472" t="s">
        <v>600</v>
      </c>
      <c r="D472" t="str">
        <v>kh</v>
      </c>
      <c r="E472" t="str">
        <v>ik</v>
      </c>
      <c r="F472">
        <v>4</v>
      </c>
    </row>
    <row r="473" spans="1:6">
      <c r="A473" t="s">
        <v>450</v>
      </c>
      <c r="B473" t="s">
        <v>451</v>
      </c>
      <c r="C473" t="s">
        <v>1000</v>
      </c>
      <c r="D473" t="str">
        <v/>
      </c>
      <c r="E473" t="str">
        <v>ik</v>
      </c>
      <c r="F473">
        <v>8</v>
      </c>
    </row>
    <row r="474" spans="1:6">
      <c r="A474" t="s">
        <v>158</v>
      </c>
      <c r="B474" t="s">
        <v>159</v>
      </c>
      <c r="C474" t="s">
        <v>675</v>
      </c>
      <c r="D474" t="str">
        <v>t</v>
      </c>
      <c r="E474" t="str">
        <v>i</v>
      </c>
      <c r="F474">
        <v>1</v>
      </c>
    </row>
    <row r="475" spans="1:6">
      <c r="A475" t="s">
        <v>452</v>
      </c>
      <c r="B475" t="s">
        <v>410</v>
      </c>
      <c r="C475" t="s">
        <v>797</v>
      </c>
      <c r="D475" t="str">
        <v>h</v>
      </c>
      <c r="E475" t="str">
        <v>u</v>
      </c>
      <c r="F475">
        <v>5</v>
      </c>
    </row>
    <row r="476" spans="1:6">
      <c r="A476" t="s">
        <v>63</v>
      </c>
      <c r="B476" t="s">
        <v>64</v>
      </c>
      <c r="C476" t="s">
        <v>617</v>
      </c>
      <c r="D476" t="str">
        <v>s</v>
      </c>
      <c r="E476" t="str">
        <v>ui</v>
      </c>
      <c r="F476">
        <v>2</v>
      </c>
    </row>
    <row r="477" spans="1:6">
      <c r="A477" t="s">
        <v>40</v>
      </c>
      <c r="B477" t="s">
        <v>41</v>
      </c>
      <c r="C477" t="s">
        <v>946</v>
      </c>
      <c r="D477" t="str">
        <v/>
      </c>
      <c r="E477" t="str">
        <v>u</v>
      </c>
      <c r="F477">
        <v>2</v>
      </c>
    </row>
    <row r="478" spans="1:6">
      <c r="A478" t="s">
        <v>32</v>
      </c>
      <c r="B478" t="s">
        <v>33</v>
      </c>
      <c r="C478" t="s">
        <v>590</v>
      </c>
      <c r="D478" t="str">
        <v>g</v>
      </c>
      <c r="E478" t="str">
        <v>uat</v>
      </c>
      <c r="F478">
        <v>8</v>
      </c>
    </row>
    <row r="479" spans="1:6">
      <c r="A479" t="s">
        <v>148</v>
      </c>
      <c r="B479" t="s">
        <v>149</v>
      </c>
      <c r="C479" t="s">
        <v>671</v>
      </c>
      <c r="D479" t="str">
        <v>h</v>
      </c>
      <c r="E479" t="str">
        <v>oo</v>
      </c>
      <c r="F479">
        <v>5</v>
      </c>
    </row>
    <row r="480" spans="1:6">
      <c r="A480" t="s">
        <v>296</v>
      </c>
      <c r="D480" t="str">
        <v/>
      </c>
      <c r="E480" t="str">
        <v/>
      </c>
      <c r="F480" t="str">
        <v/>
      </c>
    </row>
    <row r="481" spans="1:6">
      <c r="A481" t="s">
        <v>453</v>
      </c>
      <c r="B481" t="s">
        <v>454</v>
      </c>
      <c r="C481" t="s">
        <v>1001</v>
      </c>
      <c r="D481" t="str">
        <v>s</v>
      </c>
      <c r="E481" t="str">
        <v>e</v>
      </c>
      <c r="F481">
        <v>7</v>
      </c>
    </row>
    <row r="482" spans="1:6">
      <c r="A482" t="s">
        <v>237</v>
      </c>
      <c r="B482" t="s">
        <v>238</v>
      </c>
      <c r="C482" t="s">
        <v>718</v>
      </c>
      <c r="D482" t="str">
        <v>z</v>
      </c>
      <c r="E482" t="str">
        <v>ia</v>
      </c>
      <c r="F482">
        <v>2</v>
      </c>
    </row>
    <row r="483" spans="1:6">
      <c r="A483" t="s">
        <v>134</v>
      </c>
      <c r="B483" t="s">
        <v>135</v>
      </c>
      <c r="C483" t="s">
        <v>968</v>
      </c>
      <c r="D483" t="str">
        <v>j</v>
      </c>
      <c r="E483" t="str">
        <v>u</v>
      </c>
      <c r="F483">
        <v>5</v>
      </c>
    </row>
    <row r="484" spans="1:6">
      <c r="A484" t="s">
        <v>455</v>
      </c>
      <c r="B484" t="s">
        <v>363</v>
      </c>
      <c r="C484" t="s">
        <v>777</v>
      </c>
      <c r="D484" t="str">
        <v>s</v>
      </c>
      <c r="E484" t="str">
        <v>u</v>
      </c>
      <c r="F484">
        <v>1</v>
      </c>
    </row>
    <row r="485" spans="1:6">
      <c r="A485" t="s">
        <v>29</v>
      </c>
      <c r="D485" t="str">
        <v/>
      </c>
      <c r="E485" t="str">
        <v/>
      </c>
      <c r="F485" t="str">
        <v/>
      </c>
    </row>
    <row r="486" spans="1:6">
      <c r="A486" t="s">
        <v>157</v>
      </c>
      <c r="B486" t="s">
        <v>150</v>
      </c>
      <c r="C486" t="s">
        <v>664</v>
      </c>
      <c r="D486" t="str">
        <v>j</v>
      </c>
      <c r="E486" t="str">
        <v>i</v>
      </c>
      <c r="F486">
        <v>5</v>
      </c>
    </row>
    <row r="487" spans="1:6">
      <c r="A487" t="s">
        <v>456</v>
      </c>
      <c r="B487" t="s">
        <v>457</v>
      </c>
      <c r="C487" t="s">
        <v>1002</v>
      </c>
      <c r="D487" t="str">
        <v>b</v>
      </c>
      <c r="E487" t="str">
        <v>ui</v>
      </c>
      <c r="F487">
        <v>7</v>
      </c>
    </row>
    <row r="488" spans="1:6">
      <c r="A488" t="s">
        <v>458</v>
      </c>
      <c r="B488" t="s">
        <v>459</v>
      </c>
      <c r="C488" t="s">
        <v>818</v>
      </c>
      <c r="D488" t="str">
        <v>s</v>
      </c>
      <c r="E488" t="str">
        <v>iong</v>
      </c>
      <c r="F488">
        <v>5</v>
      </c>
    </row>
    <row r="489" spans="1:6">
      <c r="A489" t="s">
        <v>460</v>
      </c>
      <c r="B489" s="51" t="s">
        <v>1824</v>
      </c>
      <c r="C489" s="51" t="s">
        <v>1825</v>
      </c>
      <c r="D489" t="str">
        <v/>
      </c>
      <c r="E489" t="str">
        <v>ong</v>
      </c>
      <c r="F489">
        <v>2</v>
      </c>
    </row>
    <row r="490" spans="1:6">
      <c r="A490" t="s">
        <v>294</v>
      </c>
      <c r="B490" t="s">
        <v>295</v>
      </c>
      <c r="C490" t="s">
        <v>990</v>
      </c>
      <c r="D490" t="str">
        <v/>
      </c>
      <c r="E490" t="str">
        <v>ia</v>
      </c>
      <c r="F490">
        <v>2</v>
      </c>
    </row>
    <row r="491" spans="1:6">
      <c r="A491" t="s">
        <v>126</v>
      </c>
      <c r="D491" t="str">
        <v/>
      </c>
      <c r="E491" t="str">
        <v/>
      </c>
      <c r="F491" t="str">
        <v/>
      </c>
    </row>
    <row r="492" spans="1:6">
      <c r="A492" t="s">
        <v>462</v>
      </c>
      <c r="B492" t="s">
        <v>463</v>
      </c>
      <c r="C492" t="s">
        <v>1003</v>
      </c>
      <c r="D492" t="str">
        <v/>
      </c>
      <c r="E492" t="str">
        <v>ing</v>
      </c>
      <c r="F492">
        <v>5</v>
      </c>
    </row>
    <row r="493" spans="1:6">
      <c r="A493" t="s">
        <v>153</v>
      </c>
      <c r="B493" t="s">
        <v>154</v>
      </c>
      <c r="C493" t="s">
        <v>673</v>
      </c>
      <c r="D493" t="str">
        <v>h</v>
      </c>
      <c r="E493" t="str">
        <v>u</v>
      </c>
      <c r="F493">
        <v>1</v>
      </c>
    </row>
    <row r="494" spans="1:6">
      <c r="A494" t="s">
        <v>237</v>
      </c>
      <c r="B494" t="s">
        <v>238</v>
      </c>
      <c r="C494" t="s">
        <v>718</v>
      </c>
      <c r="D494" t="str">
        <v>z</v>
      </c>
      <c r="E494" t="str">
        <v>ia</v>
      </c>
      <c r="F494">
        <v>2</v>
      </c>
    </row>
    <row r="495" spans="1:6">
      <c r="A495" t="s">
        <v>134</v>
      </c>
      <c r="B495" t="s">
        <v>135</v>
      </c>
      <c r="C495" t="s">
        <v>968</v>
      </c>
      <c r="D495" t="str">
        <v>j</v>
      </c>
      <c r="E495" t="str">
        <v>u</v>
      </c>
      <c r="F495">
        <v>5</v>
      </c>
    </row>
    <row r="496" spans="1:6">
      <c r="A496" t="s">
        <v>464</v>
      </c>
      <c r="B496" t="s">
        <v>465</v>
      </c>
      <c r="C496" t="s">
        <v>821</v>
      </c>
      <c r="D496" t="str">
        <v>p</v>
      </c>
      <c r="E496" t="str">
        <v>i</v>
      </c>
      <c r="F496">
        <v>2</v>
      </c>
    </row>
    <row r="497" spans="1:6">
      <c r="A497" t="s">
        <v>29</v>
      </c>
      <c r="D497" t="str">
        <v/>
      </c>
      <c r="E497" t="str">
        <v/>
      </c>
      <c r="F497" t="str">
        <v/>
      </c>
    </row>
    <row r="498" spans="1:6">
      <c r="A498" t="s">
        <v>157</v>
      </c>
      <c r="B498" t="s">
        <v>150</v>
      </c>
      <c r="C498" t="s">
        <v>664</v>
      </c>
      <c r="D498" t="str">
        <v>j</v>
      </c>
      <c r="E498" t="str">
        <v>i</v>
      </c>
      <c r="F498">
        <v>5</v>
      </c>
    </row>
    <row r="499" spans="1:6">
      <c r="A499" t="s">
        <v>466</v>
      </c>
      <c r="B499" t="s">
        <v>467</v>
      </c>
      <c r="C499" t="s">
        <v>822</v>
      </c>
      <c r="D499" t="str">
        <v>z</v>
      </c>
      <c r="E499" t="str">
        <v>ut</v>
      </c>
      <c r="F499">
        <v>4</v>
      </c>
    </row>
    <row r="500" spans="1:6">
      <c r="A500" t="s">
        <v>468</v>
      </c>
      <c r="B500" t="s">
        <v>469</v>
      </c>
      <c r="C500" t="s">
        <v>823</v>
      </c>
      <c r="D500" t="str">
        <v>b</v>
      </c>
      <c r="E500" t="str">
        <v>ok</v>
      </c>
      <c r="F500">
        <v>8</v>
      </c>
    </row>
    <row r="501" spans="1:6">
      <c r="A501" t="s">
        <v>470</v>
      </c>
      <c r="B501" t="s">
        <v>236</v>
      </c>
      <c r="C501" t="s">
        <v>717</v>
      </c>
      <c r="D501" t="str">
        <v>s</v>
      </c>
      <c r="E501" t="str">
        <v>iau</v>
      </c>
      <c r="F501">
        <v>1</v>
      </c>
    </row>
    <row r="502" spans="1:6">
      <c r="A502" t="s">
        <v>426</v>
      </c>
      <c r="B502" t="s">
        <v>427</v>
      </c>
      <c r="C502" t="s">
        <v>803</v>
      </c>
      <c r="D502" t="str">
        <v>t</v>
      </c>
      <c r="E502" t="str">
        <v>iong</v>
      </c>
      <c r="F502">
        <v>5</v>
      </c>
    </row>
    <row r="503" spans="1:6">
      <c r="A503" t="s">
        <v>294</v>
      </c>
      <c r="B503" t="s">
        <v>295</v>
      </c>
      <c r="C503" t="s">
        <v>990</v>
      </c>
      <c r="D503" t="str">
        <v/>
      </c>
      <c r="E503" t="str">
        <v>ia</v>
      </c>
      <c r="F503">
        <v>2</v>
      </c>
    </row>
    <row r="504" spans="1:6">
      <c r="A504" t="s">
        <v>29</v>
      </c>
      <c r="D504" t="str">
        <v/>
      </c>
      <c r="E504" t="str">
        <v/>
      </c>
      <c r="F504" t="str">
        <v/>
      </c>
    </row>
    <row r="505" spans="1:6">
      <c r="A505" t="s">
        <v>471</v>
      </c>
      <c r="B505" t="s">
        <v>472</v>
      </c>
      <c r="C505" t="s">
        <v>824</v>
      </c>
      <c r="D505" t="str">
        <v>k</v>
      </c>
      <c r="E505" t="str">
        <v>ai</v>
      </c>
      <c r="F505">
        <v>3</v>
      </c>
    </row>
    <row r="506" spans="1:6">
      <c r="A506" t="s">
        <v>473</v>
      </c>
      <c r="B506" t="s">
        <v>90</v>
      </c>
      <c r="C506" t="s">
        <v>636</v>
      </c>
      <c r="D506" t="str">
        <v>z</v>
      </c>
      <c r="E506" t="str">
        <v>iong</v>
      </c>
      <c r="F506">
        <v>1</v>
      </c>
    </row>
    <row r="507" spans="1:6">
      <c r="A507" t="s">
        <v>474</v>
      </c>
      <c r="B507" t="s">
        <v>475</v>
      </c>
      <c r="C507" t="s">
        <v>825</v>
      </c>
      <c r="D507" t="str">
        <v>z</v>
      </c>
      <c r="E507" t="str">
        <v>u</v>
      </c>
      <c r="F507">
        <v>7</v>
      </c>
    </row>
    <row r="508" spans="1:6">
      <c r="A508" t="s">
        <v>160</v>
      </c>
      <c r="B508" t="s">
        <v>161</v>
      </c>
      <c r="C508" t="s">
        <v>676</v>
      </c>
      <c r="D508" t="str">
        <v>k</v>
      </c>
      <c r="E508" t="str">
        <v>i</v>
      </c>
      <c r="F508">
        <v>5</v>
      </c>
    </row>
    <row r="509" spans="1:6">
      <c r="A509" t="s">
        <v>476</v>
      </c>
      <c r="B509" t="s">
        <v>477</v>
      </c>
      <c r="C509" t="s">
        <v>826</v>
      </c>
      <c r="D509" t="str">
        <v>p</v>
      </c>
      <c r="E509" t="str">
        <v>ian</v>
      </c>
      <c r="F509">
        <v>3</v>
      </c>
    </row>
    <row r="510" spans="1:6">
      <c r="A510" t="s">
        <v>237</v>
      </c>
      <c r="B510" t="s">
        <v>238</v>
      </c>
      <c r="C510" t="s">
        <v>718</v>
      </c>
      <c r="D510" t="str">
        <v>z</v>
      </c>
      <c r="E510" t="str">
        <v>ia</v>
      </c>
      <c r="F510">
        <v>2</v>
      </c>
    </row>
    <row r="511" spans="1:6">
      <c r="A511" t="s">
        <v>157</v>
      </c>
      <c r="B511" t="s">
        <v>150</v>
      </c>
      <c r="C511" t="s">
        <v>664</v>
      </c>
      <c r="D511" t="str">
        <v>j</v>
      </c>
      <c r="E511" t="str">
        <v>i</v>
      </c>
      <c r="F511">
        <v>5</v>
      </c>
    </row>
    <row r="512" spans="1:6">
      <c r="A512" t="s">
        <v>478</v>
      </c>
      <c r="B512" t="s">
        <v>479</v>
      </c>
      <c r="C512" t="s">
        <v>827</v>
      </c>
      <c r="D512" t="str">
        <v>k</v>
      </c>
      <c r="E512" t="str">
        <v>uan</v>
      </c>
      <c r="F512">
        <v>1</v>
      </c>
    </row>
    <row r="513" spans="1:6">
      <c r="A513" t="s">
        <v>25</v>
      </c>
      <c r="B513" t="s">
        <v>26</v>
      </c>
      <c r="C513" t="s">
        <v>584</v>
      </c>
      <c r="D513" t="str">
        <v>z</v>
      </c>
      <c r="E513" t="str">
        <v>i</v>
      </c>
      <c r="F513">
        <v>1</v>
      </c>
    </row>
    <row r="514" spans="1:6">
      <c r="A514" t="s">
        <v>29</v>
      </c>
      <c r="D514" t="str">
        <v/>
      </c>
      <c r="E514" t="str">
        <v/>
      </c>
      <c r="F514" t="str">
        <v/>
      </c>
    </row>
    <row r="515" spans="1:6">
      <c r="A515" t="s">
        <v>480</v>
      </c>
      <c r="B515" t="s">
        <v>481</v>
      </c>
      <c r="C515" t="s">
        <v>828</v>
      </c>
      <c r="D515" t="str">
        <v>z</v>
      </c>
      <c r="E515" t="str">
        <v>ik</v>
      </c>
      <c r="F515">
        <v>4</v>
      </c>
    </row>
    <row r="516" spans="1:6">
      <c r="A516" t="s">
        <v>124</v>
      </c>
      <c r="B516" t="s">
        <v>125</v>
      </c>
      <c r="C516" t="s">
        <v>659</v>
      </c>
      <c r="D516" t="str">
        <v>th</v>
      </c>
      <c r="E516" t="str">
        <v>ian</v>
      </c>
      <c r="F516">
        <v>1</v>
      </c>
    </row>
    <row r="517" spans="1:6">
      <c r="A517" t="s">
        <v>412</v>
      </c>
      <c r="B517" t="s">
        <v>482</v>
      </c>
      <c r="C517" t="s">
        <v>829</v>
      </c>
      <c r="D517" t="str">
        <v>t</v>
      </c>
      <c r="E517" t="str">
        <v>ei</v>
      </c>
      <c r="F517">
        <v>7</v>
      </c>
    </row>
    <row r="518" spans="1:6">
      <c r="A518" t="s">
        <v>483</v>
      </c>
      <c r="B518" t="s">
        <v>358</v>
      </c>
      <c r="C518" t="s">
        <v>775</v>
      </c>
      <c r="D518" t="str">
        <v>z</v>
      </c>
      <c r="E518" t="str">
        <v>ing</v>
      </c>
      <c r="F518">
        <v>1</v>
      </c>
    </row>
    <row r="519" spans="1:6">
      <c r="A519" t="s">
        <v>67</v>
      </c>
      <c r="B519" t="s">
        <v>68</v>
      </c>
      <c r="C519" t="s">
        <v>622</v>
      </c>
      <c r="D519" t="str">
        <v>p</v>
      </c>
      <c r="E519" t="str">
        <v>ut</v>
      </c>
      <c r="F519">
        <v>4</v>
      </c>
    </row>
    <row r="520" spans="1:6">
      <c r="A520" t="s">
        <v>484</v>
      </c>
      <c r="B520" t="s">
        <v>137</v>
      </c>
      <c r="C520" t="s">
        <v>665</v>
      </c>
      <c r="D520" t="str">
        <v>l</v>
      </c>
      <c r="E520" t="str">
        <v>ing</v>
      </c>
      <c r="F520">
        <v>5</v>
      </c>
    </row>
    <row r="521" spans="1:6">
      <c r="A521" t="s">
        <v>407</v>
      </c>
      <c r="B521" t="s">
        <v>240</v>
      </c>
      <c r="C521" t="s">
        <v>983</v>
      </c>
      <c r="D521" t="str">
        <v/>
      </c>
      <c r="E521" t="str">
        <v>i</v>
      </c>
      <c r="F521">
        <v>2</v>
      </c>
    </row>
    <row r="522" spans="1:6">
      <c r="A522" t="s">
        <v>128</v>
      </c>
      <c r="B522" t="s">
        <v>129</v>
      </c>
      <c r="C522" t="s">
        <v>966</v>
      </c>
      <c r="D522" t="str">
        <v/>
      </c>
      <c r="E522" t="str">
        <v>it</v>
      </c>
      <c r="F522">
        <v>4</v>
      </c>
    </row>
    <row r="523" spans="1:6">
      <c r="A523" t="s">
        <v>485</v>
      </c>
      <c r="B523" t="s">
        <v>486</v>
      </c>
      <c r="C523" t="s">
        <v>830</v>
      </c>
      <c r="D523" t="str">
        <v>s</v>
      </c>
      <c r="E523" t="str">
        <v>un</v>
      </c>
      <c r="F523">
        <v>3</v>
      </c>
    </row>
    <row r="524" spans="1:6">
      <c r="A524" t="s">
        <v>126</v>
      </c>
      <c r="D524" t="str">
        <v/>
      </c>
      <c r="E524" t="str">
        <v/>
      </c>
      <c r="F524" t="str">
        <v/>
      </c>
    </row>
    <row r="525" spans="1:6">
      <c r="A525" t="s">
        <v>474</v>
      </c>
      <c r="B525" t="s">
        <v>475</v>
      </c>
      <c r="C525" t="s">
        <v>825</v>
      </c>
      <c r="D525" t="str">
        <v>z</v>
      </c>
      <c r="E525" t="str">
        <v>u</v>
      </c>
      <c r="F525">
        <v>7</v>
      </c>
    </row>
    <row r="526" spans="1:6">
      <c r="A526" t="s">
        <v>160</v>
      </c>
      <c r="B526" t="s">
        <v>161</v>
      </c>
      <c r="C526" t="s">
        <v>676</v>
      </c>
      <c r="D526" t="str">
        <v>k</v>
      </c>
      <c r="E526" t="str">
        <v>i</v>
      </c>
      <c r="F526">
        <v>5</v>
      </c>
    </row>
    <row r="527" spans="1:6">
      <c r="A527" t="s">
        <v>67</v>
      </c>
      <c r="B527" t="s">
        <v>68</v>
      </c>
      <c r="C527" t="s">
        <v>622</v>
      </c>
      <c r="D527" t="str">
        <v>p</v>
      </c>
      <c r="E527" t="str">
        <v>ut</v>
      </c>
      <c r="F527">
        <v>4</v>
      </c>
    </row>
    <row r="528" spans="1:6">
      <c r="A528" t="s">
        <v>476</v>
      </c>
      <c r="B528" s="51" t="s">
        <v>1826</v>
      </c>
      <c r="C528" s="51" t="s">
        <v>1827</v>
      </c>
      <c r="D528" t="str">
        <v>p</v>
      </c>
      <c r="E528" t="str">
        <v>ian</v>
      </c>
      <c r="F528">
        <v>3</v>
      </c>
    </row>
    <row r="529" spans="1:6">
      <c r="A529" t="s">
        <v>237</v>
      </c>
      <c r="B529" t="s">
        <v>238</v>
      </c>
      <c r="C529" t="s">
        <v>718</v>
      </c>
      <c r="D529" t="str">
        <v>z</v>
      </c>
      <c r="E529" t="str">
        <v>ia</v>
      </c>
      <c r="F529">
        <v>2</v>
      </c>
    </row>
    <row r="530" spans="1:6">
      <c r="A530" t="s">
        <v>157</v>
      </c>
      <c r="B530" t="s">
        <v>150</v>
      </c>
      <c r="C530" t="s">
        <v>664</v>
      </c>
      <c r="D530" t="str">
        <v>j</v>
      </c>
      <c r="E530" t="str">
        <v>i</v>
      </c>
      <c r="F530">
        <v>5</v>
      </c>
    </row>
    <row r="531" spans="1:6">
      <c r="A531" t="s">
        <v>478</v>
      </c>
      <c r="B531" t="s">
        <v>479</v>
      </c>
      <c r="C531" t="s">
        <v>827</v>
      </c>
      <c r="D531" t="str">
        <v>k</v>
      </c>
      <c r="E531" t="str">
        <v>uan</v>
      </c>
      <c r="F531">
        <v>1</v>
      </c>
    </row>
    <row r="532" spans="1:6">
      <c r="A532" t="s">
        <v>25</v>
      </c>
      <c r="B532" t="s">
        <v>26</v>
      </c>
      <c r="C532" t="s">
        <v>584</v>
      </c>
      <c r="D532" t="str">
        <v>z</v>
      </c>
      <c r="E532" t="str">
        <v>i</v>
      </c>
      <c r="F532">
        <v>1</v>
      </c>
    </row>
    <row r="533" spans="1:6">
      <c r="A533" t="s">
        <v>29</v>
      </c>
      <c r="D533" t="str">
        <v/>
      </c>
      <c r="E533" t="str">
        <v/>
      </c>
      <c r="F533" t="str">
        <v/>
      </c>
    </row>
    <row r="534" spans="1:6">
      <c r="A534" t="s">
        <v>480</v>
      </c>
      <c r="B534" t="s">
        <v>481</v>
      </c>
      <c r="C534" t="s">
        <v>828</v>
      </c>
      <c r="D534" t="str">
        <v>z</v>
      </c>
      <c r="E534" t="str">
        <v>ik</v>
      </c>
      <c r="F534">
        <v>4</v>
      </c>
    </row>
    <row r="535" spans="1:6">
      <c r="A535" t="s">
        <v>488</v>
      </c>
      <c r="B535" t="s">
        <v>489</v>
      </c>
      <c r="C535" t="s">
        <v>832</v>
      </c>
      <c r="D535" t="str">
        <v>b</v>
      </c>
      <c r="E535" t="str">
        <v>ut</v>
      </c>
      <c r="F535">
        <v>8</v>
      </c>
    </row>
    <row r="536" spans="1:6">
      <c r="A536" t="s">
        <v>40</v>
      </c>
      <c r="B536" t="s">
        <v>41</v>
      </c>
      <c r="C536" t="s">
        <v>946</v>
      </c>
      <c r="D536" t="str">
        <v/>
      </c>
      <c r="E536" t="str">
        <v>u</v>
      </c>
      <c r="F536">
        <v>2</v>
      </c>
    </row>
    <row r="537" spans="1:6">
      <c r="A537" t="s">
        <v>490</v>
      </c>
      <c r="B537" s="51" t="s">
        <v>491</v>
      </c>
      <c r="C537" s="51" t="s">
        <v>1005</v>
      </c>
      <c r="D537" t="str">
        <v>g</v>
      </c>
      <c r="E537" t="str">
        <v>onn</v>
      </c>
      <c r="F537">
        <v>2</v>
      </c>
    </row>
    <row r="538" spans="1:6">
      <c r="A538" t="s">
        <v>492</v>
      </c>
      <c r="B538" t="s">
        <v>493</v>
      </c>
      <c r="C538" t="s">
        <v>835</v>
      </c>
      <c r="D538" t="str">
        <v>k</v>
      </c>
      <c r="E538" t="str">
        <v>ai</v>
      </c>
      <c r="F538">
        <v>1</v>
      </c>
    </row>
    <row r="539" spans="1:6">
      <c r="A539" t="s">
        <v>428</v>
      </c>
      <c r="B539" t="s">
        <v>429</v>
      </c>
      <c r="C539" t="s">
        <v>804</v>
      </c>
      <c r="D539" t="str">
        <v>b</v>
      </c>
      <c r="E539" t="str">
        <v>u</v>
      </c>
      <c r="F539">
        <v>5</v>
      </c>
    </row>
    <row r="540" spans="1:6">
      <c r="A540" t="s">
        <v>494</v>
      </c>
      <c r="B540" t="s">
        <v>495</v>
      </c>
      <c r="C540" t="s">
        <v>836</v>
      </c>
      <c r="D540" t="str">
        <v>z</v>
      </c>
      <c r="E540" t="str">
        <v>in</v>
      </c>
      <c r="F540">
        <v>2</v>
      </c>
    </row>
    <row r="541" spans="1:6">
      <c r="A541" t="s">
        <v>294</v>
      </c>
      <c r="B541" t="s">
        <v>295</v>
      </c>
      <c r="C541" t="s">
        <v>990</v>
      </c>
      <c r="D541" t="str">
        <v/>
      </c>
      <c r="E541" t="str">
        <v>ia</v>
      </c>
      <c r="F541">
        <v>2</v>
      </c>
    </row>
    <row r="542" spans="1:6">
      <c r="A542" t="s">
        <v>29</v>
      </c>
      <c r="D542" t="str">
        <v/>
      </c>
      <c r="E542" t="str">
        <v/>
      </c>
      <c r="F542" t="str">
        <v/>
      </c>
    </row>
    <row r="543" spans="1:6">
      <c r="A543" t="s">
        <v>157</v>
      </c>
      <c r="B543" t="s">
        <v>150</v>
      </c>
      <c r="C543" t="s">
        <v>664</v>
      </c>
      <c r="D543" t="str">
        <v>j</v>
      </c>
      <c r="E543" t="str">
        <v>i</v>
      </c>
      <c r="F543">
        <v>5</v>
      </c>
    </row>
    <row r="544" spans="1:6">
      <c r="A544" t="s">
        <v>496</v>
      </c>
      <c r="B544" t="s">
        <v>497</v>
      </c>
      <c r="C544" t="s">
        <v>1007</v>
      </c>
      <c r="D544" t="str">
        <v/>
      </c>
      <c r="E544" t="str">
        <v>iu</v>
      </c>
      <c r="F544">
        <v>7</v>
      </c>
    </row>
    <row r="545" spans="1:6">
      <c r="A545" t="s">
        <v>291</v>
      </c>
      <c r="B545" t="s">
        <v>242</v>
      </c>
      <c r="C545" t="s">
        <v>721</v>
      </c>
      <c r="D545" t="str">
        <v>h</v>
      </c>
      <c r="E545" t="str">
        <v>o</v>
      </c>
      <c r="F545">
        <v>5</v>
      </c>
    </row>
    <row r="546" spans="1:6">
      <c r="A546" t="s">
        <v>424</v>
      </c>
      <c r="B546" t="s">
        <v>425</v>
      </c>
      <c r="C546" t="s">
        <v>802</v>
      </c>
      <c r="D546" t="str">
        <v>s</v>
      </c>
      <c r="E546" t="str">
        <v>ian</v>
      </c>
      <c r="F546">
        <v>7</v>
      </c>
    </row>
    <row r="547" spans="1:6">
      <c r="A547" t="s">
        <v>148</v>
      </c>
      <c r="B547" t="s">
        <v>149</v>
      </c>
      <c r="C547" t="s">
        <v>671</v>
      </c>
      <c r="D547" t="str">
        <v>h</v>
      </c>
      <c r="E547" t="str">
        <v>oo</v>
      </c>
      <c r="F547">
        <v>5</v>
      </c>
    </row>
    <row r="548" spans="1:6">
      <c r="A548" t="s">
        <v>296</v>
      </c>
      <c r="D548" t="str">
        <v/>
      </c>
      <c r="E548" t="str">
        <v/>
      </c>
      <c r="F548" t="str">
        <v/>
      </c>
    </row>
    <row r="549" spans="1:6">
      <c r="A549" t="s">
        <v>498</v>
      </c>
      <c r="B549" t="s">
        <v>499</v>
      </c>
      <c r="C549" t="s">
        <v>838</v>
      </c>
      <c r="D549" t="str">
        <v>c</v>
      </c>
      <c r="E549" t="str">
        <v>iann</v>
      </c>
      <c r="F549">
        <v>2</v>
      </c>
    </row>
    <row r="550" spans="1:6">
      <c r="A550" t="s">
        <v>452</v>
      </c>
      <c r="B550" t="s">
        <v>410</v>
      </c>
      <c r="C550" t="s">
        <v>797</v>
      </c>
      <c r="D550" t="str">
        <v>h</v>
      </c>
      <c r="E550" t="str">
        <v>u</v>
      </c>
      <c r="F550">
        <v>5</v>
      </c>
    </row>
    <row r="551" spans="1:6">
      <c r="A551" t="s">
        <v>124</v>
      </c>
      <c r="B551" t="s">
        <v>125</v>
      </c>
      <c r="C551" t="s">
        <v>659</v>
      </c>
      <c r="D551" t="str">
        <v>th</v>
      </c>
      <c r="E551" t="str">
        <v>ian</v>
      </c>
      <c r="F551">
        <v>1</v>
      </c>
    </row>
    <row r="552" spans="1:6">
      <c r="A552" t="s">
        <v>412</v>
      </c>
      <c r="B552" t="s">
        <v>482</v>
      </c>
      <c r="C552" t="s">
        <v>829</v>
      </c>
      <c r="D552" t="str">
        <v>t</v>
      </c>
      <c r="E552" t="str">
        <v>ei</v>
      </c>
      <c r="F552">
        <v>7</v>
      </c>
    </row>
    <row r="553" spans="1:6">
      <c r="A553" t="s">
        <v>25</v>
      </c>
      <c r="B553" t="s">
        <v>26</v>
      </c>
      <c r="C553" t="s">
        <v>584</v>
      </c>
      <c r="D553" t="str">
        <v>z</v>
      </c>
      <c r="E553" t="str">
        <v>i</v>
      </c>
      <c r="F553">
        <v>1</v>
      </c>
    </row>
    <row r="554" spans="1:6">
      <c r="A554" t="s">
        <v>111</v>
      </c>
      <c r="B554" t="s">
        <v>112</v>
      </c>
      <c r="C554" t="s">
        <v>651</v>
      </c>
      <c r="D554" t="str">
        <v>k</v>
      </c>
      <c r="E554" t="str">
        <v>an</v>
      </c>
      <c r="F554">
        <v>1</v>
      </c>
    </row>
    <row r="555" spans="1:6">
      <c r="A555" t="s">
        <v>29</v>
      </c>
      <c r="D555" t="str">
        <v/>
      </c>
      <c r="E555" t="str">
        <v/>
      </c>
      <c r="F555" t="str">
        <v/>
      </c>
    </row>
    <row r="556" spans="1:6">
      <c r="A556" t="s">
        <v>488</v>
      </c>
      <c r="B556" t="s">
        <v>489</v>
      </c>
      <c r="C556" t="s">
        <v>832</v>
      </c>
      <c r="D556" t="str">
        <v>b</v>
      </c>
      <c r="E556" t="str">
        <v>ut</v>
      </c>
      <c r="F556">
        <v>8</v>
      </c>
    </row>
    <row r="557" spans="1:6">
      <c r="A557" t="s">
        <v>500</v>
      </c>
      <c r="B557" t="s">
        <v>501</v>
      </c>
      <c r="C557" t="s">
        <v>840</v>
      </c>
      <c r="D557" t="str">
        <v>k</v>
      </c>
      <c r="E557" t="str">
        <v>ok</v>
      </c>
      <c r="F557">
        <v>4</v>
      </c>
    </row>
    <row r="558" spans="1:6">
      <c r="A558" t="s">
        <v>229</v>
      </c>
      <c r="B558" t="s">
        <v>230</v>
      </c>
      <c r="C558" t="s">
        <v>981</v>
      </c>
      <c r="D558" t="str">
        <v/>
      </c>
      <c r="E558" t="str">
        <v>iu</v>
      </c>
      <c r="F558">
        <v>2</v>
      </c>
    </row>
    <row r="559" spans="1:6">
      <c r="A559" t="s">
        <v>502</v>
      </c>
      <c r="B559" t="s">
        <v>39</v>
      </c>
      <c r="C559" t="s">
        <v>597</v>
      </c>
      <c r="D559" t="str">
        <v>z</v>
      </c>
      <c r="E559" t="str">
        <v>u</v>
      </c>
      <c r="F559">
        <v>2</v>
      </c>
    </row>
    <row r="560" spans="1:6">
      <c r="A560" t="s">
        <v>29</v>
      </c>
      <c r="D560" t="str">
        <v/>
      </c>
      <c r="E560" t="str">
        <v/>
      </c>
      <c r="F560" t="str">
        <v/>
      </c>
    </row>
    <row r="561" spans="1:6">
      <c r="A561" t="s">
        <v>503</v>
      </c>
      <c r="B561" t="s">
        <v>504</v>
      </c>
      <c r="C561" t="s">
        <v>841</v>
      </c>
      <c r="D561" t="str">
        <v>k</v>
      </c>
      <c r="E561" t="str">
        <v>oo</v>
      </c>
      <c r="F561">
        <v>2</v>
      </c>
    </row>
    <row r="562" spans="1:6">
      <c r="A562" t="s">
        <v>311</v>
      </c>
      <c r="B562" t="s">
        <v>307</v>
      </c>
      <c r="C562" t="s">
        <v>753</v>
      </c>
      <c r="D562" t="str">
        <v>h</v>
      </c>
      <c r="E562" t="str">
        <v>ui</v>
      </c>
      <c r="F562">
        <v>1</v>
      </c>
    </row>
    <row r="563" spans="1:6">
      <c r="A563" t="s">
        <v>381</v>
      </c>
      <c r="B563" s="51" t="s">
        <v>491</v>
      </c>
      <c r="C563" s="51" t="s">
        <v>1005</v>
      </c>
      <c r="D563" t="str">
        <v>g</v>
      </c>
      <c r="E563" t="str">
        <v>onn</v>
      </c>
      <c r="F563">
        <v>2</v>
      </c>
    </row>
    <row r="564" spans="1:6">
      <c r="A564" t="s">
        <v>25</v>
      </c>
      <c r="B564" t="s">
        <v>26</v>
      </c>
      <c r="C564" t="s">
        <v>584</v>
      </c>
      <c r="D564" t="str">
        <v>z</v>
      </c>
      <c r="E564" t="str">
        <v>i</v>
      </c>
      <c r="F564">
        <v>1</v>
      </c>
    </row>
    <row r="565" spans="1:6">
      <c r="A565" t="s">
        <v>132</v>
      </c>
      <c r="B565" t="s">
        <v>133</v>
      </c>
      <c r="C565" t="s">
        <v>663</v>
      </c>
      <c r="D565" t="str">
        <v>s</v>
      </c>
      <c r="E565" t="str">
        <v>oo</v>
      </c>
      <c r="F565">
        <v>2</v>
      </c>
    </row>
    <row r="566" spans="1:6">
      <c r="A566" t="s">
        <v>229</v>
      </c>
      <c r="B566" t="s">
        <v>230</v>
      </c>
      <c r="C566" t="s">
        <v>981</v>
      </c>
      <c r="D566" t="str">
        <v/>
      </c>
      <c r="E566" t="str">
        <v>iu</v>
      </c>
      <c r="F566">
        <v>2</v>
      </c>
    </row>
    <row r="567" spans="1:6">
      <c r="A567" t="s">
        <v>29</v>
      </c>
      <c r="D567" t="str">
        <v/>
      </c>
      <c r="E567" t="str">
        <v/>
      </c>
      <c r="F567" t="str">
        <v/>
      </c>
    </row>
    <row r="568" spans="1:6">
      <c r="A568" t="s">
        <v>505</v>
      </c>
      <c r="B568" t="s">
        <v>506</v>
      </c>
      <c r="C568" t="s">
        <v>842</v>
      </c>
      <c r="D568" t="str">
        <v>s</v>
      </c>
      <c r="E568" t="str">
        <v>ui</v>
      </c>
      <c r="F568">
        <v>1</v>
      </c>
    </row>
    <row r="569" spans="1:6">
      <c r="A569" t="s">
        <v>128</v>
      </c>
      <c r="B569" t="s">
        <v>129</v>
      </c>
      <c r="C569" t="s">
        <v>966</v>
      </c>
      <c r="D569" t="str">
        <v/>
      </c>
      <c r="E569" t="str">
        <v>it</v>
      </c>
      <c r="F569">
        <v>4</v>
      </c>
    </row>
    <row r="570" spans="1:6">
      <c r="A570" t="s">
        <v>507</v>
      </c>
      <c r="B570" t="s">
        <v>242</v>
      </c>
      <c r="C570" t="s">
        <v>721</v>
      </c>
      <c r="D570" t="str">
        <v>h</v>
      </c>
      <c r="E570" t="str">
        <v>o</v>
      </c>
      <c r="F570">
        <v>5</v>
      </c>
    </row>
    <row r="571" spans="1:6">
      <c r="A571" t="s">
        <v>157</v>
      </c>
      <c r="B571" t="s">
        <v>150</v>
      </c>
      <c r="C571" t="s">
        <v>664</v>
      </c>
      <c r="D571" t="str">
        <v>j</v>
      </c>
      <c r="E571" t="str">
        <v>i</v>
      </c>
      <c r="F571">
        <v>5</v>
      </c>
    </row>
    <row r="572" spans="1:6">
      <c r="A572" t="s">
        <v>468</v>
      </c>
      <c r="B572" t="s">
        <v>469</v>
      </c>
      <c r="C572" t="s">
        <v>823</v>
      </c>
      <c r="D572" t="str">
        <v>b</v>
      </c>
      <c r="E572" t="str">
        <v>ok</v>
      </c>
      <c r="F572">
        <v>8</v>
      </c>
    </row>
    <row r="573" spans="1:6">
      <c r="A573" t="s">
        <v>508</v>
      </c>
      <c r="B573" t="s">
        <v>310</v>
      </c>
      <c r="C573" t="s">
        <v>754</v>
      </c>
      <c r="D573" t="str">
        <v>c</v>
      </c>
      <c r="E573" t="str">
        <v>u</v>
      </c>
      <c r="F573">
        <v>2</v>
      </c>
    </row>
    <row r="574" spans="1:6">
      <c r="A574" t="s">
        <v>54</v>
      </c>
      <c r="D574" t="str">
        <v/>
      </c>
      <c r="E574" t="str">
        <v/>
      </c>
      <c r="F574" t="str">
        <v/>
      </c>
    </row>
    <row r="575" spans="1:6">
      <c r="A575" t="s">
        <v>509</v>
      </c>
      <c r="B575" t="s">
        <v>167</v>
      </c>
      <c r="C575" t="s">
        <v>971</v>
      </c>
      <c r="D575" t="str">
        <v/>
      </c>
      <c r="E575" t="str">
        <v>ui</v>
      </c>
      <c r="F575">
        <v>5</v>
      </c>
    </row>
    <row r="576" spans="1:6">
      <c r="A576" t="s">
        <v>118</v>
      </c>
      <c r="B576" t="s">
        <v>119</v>
      </c>
      <c r="C576" t="s">
        <v>654</v>
      </c>
      <c r="D576" t="str">
        <v>k</v>
      </c>
      <c r="E576" t="str">
        <v>ang</v>
      </c>
      <c r="F576">
        <v>1</v>
      </c>
    </row>
    <row r="577" spans="1:6">
      <c r="A577" t="s">
        <v>101</v>
      </c>
      <c r="B577" t="s">
        <v>102</v>
      </c>
      <c r="C577" t="s">
        <v>643</v>
      </c>
      <c r="D577" t="str">
        <v>s</v>
      </c>
      <c r="E577" t="str">
        <v>iong</v>
      </c>
      <c r="F577">
        <v>2</v>
      </c>
    </row>
    <row r="578" spans="1:6">
      <c r="A578" t="s">
        <v>25</v>
      </c>
      <c r="B578" t="s">
        <v>26</v>
      </c>
      <c r="C578" t="s">
        <v>584</v>
      </c>
      <c r="D578" t="str">
        <v>z</v>
      </c>
      <c r="E578" t="str">
        <v>i</v>
      </c>
      <c r="F578">
        <v>1</v>
      </c>
    </row>
    <row r="579" spans="1:6">
      <c r="A579" t="s">
        <v>55</v>
      </c>
      <c r="B579" t="s">
        <v>56</v>
      </c>
      <c r="C579" t="s">
        <v>609</v>
      </c>
      <c r="D579" t="str">
        <v>c</v>
      </c>
      <c r="E579" t="str">
        <v>ing</v>
      </c>
      <c r="F579">
        <v>1</v>
      </c>
    </row>
    <row r="580" spans="1:6">
      <c r="A580" t="s">
        <v>57</v>
      </c>
      <c r="B580" s="51" t="s">
        <v>1810</v>
      </c>
      <c r="C580" s="51" t="s">
        <v>1811</v>
      </c>
      <c r="D580" t="str">
        <v>h</v>
      </c>
      <c r="E580" t="str">
        <v>ong</v>
      </c>
      <c r="F580">
        <v>1</v>
      </c>
    </row>
    <row r="581" spans="1:6">
      <c r="A581" t="s">
        <v>29</v>
      </c>
      <c r="D581" t="str">
        <v/>
      </c>
      <c r="E581" t="str">
        <v/>
      </c>
      <c r="F581" t="str">
        <v/>
      </c>
    </row>
    <row r="582" spans="1:6">
      <c r="A582" t="s">
        <v>40</v>
      </c>
      <c r="B582" t="s">
        <v>41</v>
      </c>
      <c r="C582" t="s">
        <v>946</v>
      </c>
      <c r="D582" t="str">
        <v/>
      </c>
      <c r="E582" t="str">
        <v>u</v>
      </c>
      <c r="F582">
        <v>2</v>
      </c>
    </row>
    <row r="583" spans="1:6">
      <c r="A583" t="s">
        <v>99</v>
      </c>
      <c r="B583" t="s">
        <v>100</v>
      </c>
      <c r="C583" t="s">
        <v>641</v>
      </c>
      <c r="D583" t="str">
        <v>s</v>
      </c>
      <c r="E583" t="str">
        <v>an</v>
      </c>
      <c r="F583">
        <v>1</v>
      </c>
    </row>
    <row r="584" spans="1:6">
      <c r="A584" t="s">
        <v>111</v>
      </c>
      <c r="B584" t="s">
        <v>112</v>
      </c>
      <c r="C584" t="s">
        <v>651</v>
      </c>
      <c r="D584" t="str">
        <v>k</v>
      </c>
      <c r="E584" t="str">
        <v>an</v>
      </c>
      <c r="F584">
        <v>1</v>
      </c>
    </row>
    <row r="585" spans="1:6">
      <c r="A585" t="s">
        <v>25</v>
      </c>
      <c r="B585" t="s">
        <v>26</v>
      </c>
      <c r="C585" t="s">
        <v>584</v>
      </c>
      <c r="D585" t="str">
        <v>z</v>
      </c>
      <c r="E585" t="str">
        <v>i</v>
      </c>
      <c r="F585">
        <v>1</v>
      </c>
    </row>
    <row r="586" spans="1:6">
      <c r="A586" t="s">
        <v>79</v>
      </c>
      <c r="B586" t="s">
        <v>80</v>
      </c>
      <c r="C586" t="s">
        <v>629</v>
      </c>
      <c r="D586" t="str">
        <v>b</v>
      </c>
      <c r="E586" t="str">
        <v>ing</v>
      </c>
      <c r="F586">
        <v>5</v>
      </c>
    </row>
    <row r="587" spans="1:6">
      <c r="A587" t="s">
        <v>32</v>
      </c>
      <c r="B587" t="s">
        <v>33</v>
      </c>
      <c r="C587" t="s">
        <v>590</v>
      </c>
      <c r="D587" t="str">
        <v>g</v>
      </c>
      <c r="E587" t="str">
        <v>uat</v>
      </c>
      <c r="F587">
        <v>8</v>
      </c>
    </row>
    <row r="588" spans="1:6">
      <c r="A588" t="s">
        <v>29</v>
      </c>
      <c r="D588" t="str">
        <v/>
      </c>
      <c r="E588" t="str">
        <v/>
      </c>
      <c r="F588" t="str">
        <v/>
      </c>
    </row>
    <row r="589" spans="1:6">
      <c r="A589" t="s">
        <v>510</v>
      </c>
      <c r="B589" s="51" t="s">
        <v>356</v>
      </c>
      <c r="C589" s="51" t="s">
        <v>730</v>
      </c>
      <c r="D589" t="str">
        <v>l</v>
      </c>
      <c r="E589" t="str">
        <v>i</v>
      </c>
      <c r="F589">
        <v>2</v>
      </c>
    </row>
    <row r="590" spans="1:6">
      <c r="A590" t="s">
        <v>443</v>
      </c>
      <c r="B590" t="s">
        <v>317</v>
      </c>
      <c r="C590" t="s">
        <v>757</v>
      </c>
      <c r="D590" t="str">
        <v>t</v>
      </c>
      <c r="E590" t="str">
        <v>ik</v>
      </c>
      <c r="F590">
        <v>4</v>
      </c>
    </row>
    <row r="591" spans="1:6">
      <c r="A591" t="s">
        <v>25</v>
      </c>
      <c r="B591" t="s">
        <v>26</v>
      </c>
      <c r="C591" t="s">
        <v>584</v>
      </c>
      <c r="D591" t="str">
        <v>z</v>
      </c>
      <c r="E591" t="str">
        <v>i</v>
      </c>
      <c r="F591">
        <v>1</v>
      </c>
    </row>
    <row r="592" spans="1:6">
      <c r="A592" t="s">
        <v>157</v>
      </c>
      <c r="B592" t="s">
        <v>150</v>
      </c>
      <c r="C592" t="s">
        <v>664</v>
      </c>
      <c r="D592" t="str">
        <v>j</v>
      </c>
      <c r="E592" t="str">
        <v>i</v>
      </c>
      <c r="F592">
        <v>5</v>
      </c>
    </row>
    <row r="593" spans="1:6">
      <c r="A593" t="s">
        <v>292</v>
      </c>
      <c r="B593" t="s">
        <v>293</v>
      </c>
      <c r="C593" t="s">
        <v>989</v>
      </c>
      <c r="D593" t="str">
        <v/>
      </c>
      <c r="E593" t="str">
        <v>ui</v>
      </c>
      <c r="F593">
        <v>7</v>
      </c>
    </row>
    <row r="594" spans="1:6">
      <c r="A594" t="s">
        <v>243</v>
      </c>
      <c r="B594" t="s">
        <v>244</v>
      </c>
      <c r="C594" t="s">
        <v>722</v>
      </c>
      <c r="D594" t="str">
        <v>s</v>
      </c>
      <c r="E594" t="str">
        <v>ing</v>
      </c>
      <c r="F594">
        <v>1</v>
      </c>
    </row>
    <row r="595" spans="1:6">
      <c r="A595" t="s">
        <v>29</v>
      </c>
      <c r="D595" t="str">
        <v/>
      </c>
      <c r="E595" t="str">
        <v/>
      </c>
      <c r="F595" t="str">
        <v/>
      </c>
    </row>
    <row r="596" spans="1:6">
      <c r="A596" t="s">
        <v>511</v>
      </c>
      <c r="B596" s="51" t="s">
        <v>1828</v>
      </c>
      <c r="C596" s="51" t="s">
        <v>1829</v>
      </c>
      <c r="D596" t="str">
        <v>b</v>
      </c>
      <c r="E596" t="str">
        <v>ok</v>
      </c>
      <c r="F596">
        <v>8</v>
      </c>
    </row>
    <row r="597" spans="1:6">
      <c r="A597" t="s">
        <v>513</v>
      </c>
      <c r="B597" t="s">
        <v>156</v>
      </c>
      <c r="C597" t="s">
        <v>970</v>
      </c>
      <c r="D597" t="str">
        <v>g</v>
      </c>
      <c r="E597" t="str">
        <v>u</v>
      </c>
      <c r="F597">
        <v>7</v>
      </c>
    </row>
    <row r="598" spans="1:6">
      <c r="A598" t="s">
        <v>25</v>
      </c>
      <c r="B598" t="s">
        <v>26</v>
      </c>
      <c r="C598" t="s">
        <v>584</v>
      </c>
      <c r="D598" t="str">
        <v>z</v>
      </c>
      <c r="E598" t="str">
        <v>i</v>
      </c>
      <c r="F598">
        <v>1</v>
      </c>
    </row>
    <row r="599" spans="1:6">
      <c r="A599" t="s">
        <v>157</v>
      </c>
      <c r="B599" t="s">
        <v>150</v>
      </c>
      <c r="C599" t="s">
        <v>664</v>
      </c>
      <c r="D599" t="str">
        <v>j</v>
      </c>
      <c r="E599" t="str">
        <v>i</v>
      </c>
      <c r="F599">
        <v>5</v>
      </c>
    </row>
    <row r="600" spans="1:6">
      <c r="A600" t="s">
        <v>514</v>
      </c>
      <c r="B600" t="s">
        <v>515</v>
      </c>
      <c r="C600" t="s">
        <v>844</v>
      </c>
      <c r="D600" t="str">
        <v>s</v>
      </c>
      <c r="E600" t="str">
        <v>ing</v>
      </c>
      <c r="F600">
        <v>5</v>
      </c>
    </row>
    <row r="601" spans="1:6">
      <c r="A601" t="s">
        <v>516</v>
      </c>
      <c r="B601" t="s">
        <v>20</v>
      </c>
      <c r="C601" t="s">
        <v>578</v>
      </c>
      <c r="D601" t="str">
        <v>s</v>
      </c>
      <c r="E601" t="str">
        <v>ik</v>
      </c>
      <c r="F601">
        <v>4</v>
      </c>
    </row>
    <row r="602" spans="1:6">
      <c r="A602" t="s">
        <v>29</v>
      </c>
      <c r="D602" t="str">
        <v/>
      </c>
      <c r="E602" t="str">
        <v/>
      </c>
      <c r="F602" t="str">
        <v/>
      </c>
    </row>
    <row r="603" spans="1:6">
      <c r="A603" t="s">
        <v>508</v>
      </c>
      <c r="B603" t="s">
        <v>310</v>
      </c>
      <c r="C603" t="s">
        <v>754</v>
      </c>
      <c r="D603" t="str">
        <v>c</v>
      </c>
      <c r="E603" t="str">
        <v>u</v>
      </c>
      <c r="F603">
        <v>2</v>
      </c>
    </row>
    <row r="604" spans="1:6">
      <c r="A604" t="s">
        <v>25</v>
      </c>
      <c r="B604" t="s">
        <v>26</v>
      </c>
      <c r="C604" t="s">
        <v>584</v>
      </c>
      <c r="D604" t="str">
        <v>z</v>
      </c>
      <c r="E604" t="str">
        <v>i</v>
      </c>
      <c r="F604">
        <v>1</v>
      </c>
    </row>
    <row r="605" spans="1:6">
      <c r="A605" t="s">
        <v>428</v>
      </c>
      <c r="B605" t="s">
        <v>429</v>
      </c>
      <c r="C605" t="s">
        <v>804</v>
      </c>
      <c r="D605" t="str">
        <v>b</v>
      </c>
      <c r="E605" t="str">
        <v>u</v>
      </c>
      <c r="F605">
        <v>5</v>
      </c>
    </row>
    <row r="606" spans="1:6">
      <c r="A606" t="s">
        <v>517</v>
      </c>
      <c r="B606" t="s">
        <v>284</v>
      </c>
      <c r="C606" t="s">
        <v>742</v>
      </c>
      <c r="D606" t="str">
        <v>k</v>
      </c>
      <c r="E606" t="str">
        <v>im</v>
      </c>
      <c r="F606">
        <v>1</v>
      </c>
    </row>
    <row r="607" spans="1:6">
      <c r="A607" t="s">
        <v>29</v>
      </c>
      <c r="D607" t="str">
        <v/>
      </c>
      <c r="E607" t="str">
        <v/>
      </c>
      <c r="F607" t="str">
        <v/>
      </c>
    </row>
    <row r="608" spans="1:6">
      <c r="A608" t="s">
        <v>518</v>
      </c>
      <c r="B608" t="s">
        <v>519</v>
      </c>
      <c r="C608" t="s">
        <v>1009</v>
      </c>
      <c r="D608" t="str">
        <v/>
      </c>
      <c r="E608" t="str">
        <v>iong</v>
      </c>
      <c r="F608">
        <v>7</v>
      </c>
    </row>
    <row r="609" spans="1:6">
      <c r="A609" t="s">
        <v>25</v>
      </c>
      <c r="B609" t="s">
        <v>26</v>
      </c>
      <c r="C609" t="s">
        <v>584</v>
      </c>
      <c r="D609" t="str">
        <v>z</v>
      </c>
      <c r="E609" t="str">
        <v>i</v>
      </c>
      <c r="F609">
        <v>1</v>
      </c>
    </row>
    <row r="610" spans="1:6">
      <c r="A610" t="s">
        <v>67</v>
      </c>
      <c r="B610" t="s">
        <v>68</v>
      </c>
      <c r="C610" t="s">
        <v>622</v>
      </c>
      <c r="D610" t="str">
        <v>p</v>
      </c>
      <c r="E610" t="str">
        <v>ut</v>
      </c>
      <c r="F610">
        <v>4</v>
      </c>
    </row>
    <row r="611" spans="1:6">
      <c r="A611" t="s">
        <v>520</v>
      </c>
      <c r="B611" t="s">
        <v>521</v>
      </c>
      <c r="C611" t="s">
        <v>846</v>
      </c>
      <c r="D611" t="str">
        <v>k</v>
      </c>
      <c r="E611" t="str">
        <v>iat</v>
      </c>
      <c r="F611">
        <v>8</v>
      </c>
    </row>
    <row r="612" spans="1:6">
      <c r="A612" t="s">
        <v>29</v>
      </c>
      <c r="D612" t="str">
        <v/>
      </c>
      <c r="E612" t="str">
        <v/>
      </c>
      <c r="F612" t="str">
        <v/>
      </c>
    </row>
    <row r="613" spans="1:6">
      <c r="A613" t="s">
        <v>181</v>
      </c>
      <c r="B613" t="s">
        <v>182</v>
      </c>
      <c r="C613" t="s">
        <v>688</v>
      </c>
      <c r="D613" t="str">
        <v>s</v>
      </c>
      <c r="E613" t="str">
        <v>i</v>
      </c>
      <c r="F613">
        <v>2</v>
      </c>
    </row>
    <row r="614" spans="1:6">
      <c r="A614" t="s">
        <v>522</v>
      </c>
      <c r="B614" t="s">
        <v>288</v>
      </c>
      <c r="C614" t="s">
        <v>744</v>
      </c>
      <c r="D614" t="str">
        <v>z</v>
      </c>
      <c r="E614" t="str">
        <v>o</v>
      </c>
      <c r="F614">
        <v>2</v>
      </c>
    </row>
    <row r="615" spans="1:6">
      <c r="A615" t="s">
        <v>488</v>
      </c>
      <c r="B615" t="s">
        <v>489</v>
      </c>
      <c r="C615" t="s">
        <v>832</v>
      </c>
      <c r="D615" t="str">
        <v>b</v>
      </c>
      <c r="E615" t="str">
        <v>ut</v>
      </c>
      <c r="F615">
        <v>8</v>
      </c>
    </row>
    <row r="616" spans="1:6">
      <c r="A616" t="s">
        <v>237</v>
      </c>
      <c r="B616" t="s">
        <v>238</v>
      </c>
      <c r="C616" t="s">
        <v>718</v>
      </c>
      <c r="D616" t="str">
        <v>z</v>
      </c>
      <c r="E616" t="str">
        <v>ia</v>
      </c>
      <c r="F616">
        <v>2</v>
      </c>
    </row>
    <row r="617" spans="1:6">
      <c r="A617" t="s">
        <v>25</v>
      </c>
      <c r="B617" t="s">
        <v>26</v>
      </c>
      <c r="C617" t="s">
        <v>584</v>
      </c>
      <c r="D617" t="str">
        <v>z</v>
      </c>
      <c r="E617" t="str">
        <v>i</v>
      </c>
      <c r="F617">
        <v>1</v>
      </c>
    </row>
    <row r="618" spans="1:6">
      <c r="A618" t="s">
        <v>428</v>
      </c>
      <c r="B618" t="s">
        <v>429</v>
      </c>
      <c r="C618" t="s">
        <v>804</v>
      </c>
      <c r="D618" t="str">
        <v>b</v>
      </c>
      <c r="E618" t="str">
        <v>u</v>
      </c>
      <c r="F618">
        <v>5</v>
      </c>
    </row>
    <row r="619" spans="1:6">
      <c r="A619" t="s">
        <v>494</v>
      </c>
      <c r="B619" t="s">
        <v>495</v>
      </c>
      <c r="C619" t="s">
        <v>836</v>
      </c>
      <c r="D619" t="str">
        <v>z</v>
      </c>
      <c r="E619" t="str">
        <v>in</v>
      </c>
      <c r="F619">
        <v>2</v>
      </c>
    </row>
    <row r="620" spans="1:6">
      <c r="A620" t="s">
        <v>523</v>
      </c>
      <c r="B620" t="s">
        <v>524</v>
      </c>
      <c r="C620" t="s">
        <v>847</v>
      </c>
      <c r="D620" t="str">
        <v>z</v>
      </c>
      <c r="E620" t="str">
        <v>ong</v>
      </c>
      <c r="F620">
        <v>5</v>
      </c>
    </row>
    <row r="621" spans="1:6">
      <c r="A621" t="s">
        <v>294</v>
      </c>
      <c r="B621" t="s">
        <v>295</v>
      </c>
      <c r="C621" t="s">
        <v>990</v>
      </c>
      <c r="D621" t="str">
        <v/>
      </c>
      <c r="E621" t="str">
        <v>ia</v>
      </c>
      <c r="F621">
        <v>2</v>
      </c>
    </row>
    <row r="622" spans="1:6">
      <c r="A622" t="s">
        <v>29</v>
      </c>
      <c r="D622" t="str">
        <v/>
      </c>
      <c r="E622" t="str">
        <v/>
      </c>
      <c r="F622" t="str">
        <v/>
      </c>
    </row>
    <row r="623" spans="1:6">
      <c r="A623" t="s">
        <v>157</v>
      </c>
      <c r="B623" t="s">
        <v>150</v>
      </c>
      <c r="C623" t="s">
        <v>664</v>
      </c>
      <c r="D623" t="str">
        <v>j</v>
      </c>
      <c r="E623" t="str">
        <v>i</v>
      </c>
      <c r="F623">
        <v>5</v>
      </c>
    </row>
    <row r="624" spans="1:6">
      <c r="A624" t="s">
        <v>381</v>
      </c>
      <c r="B624" s="51" t="s">
        <v>525</v>
      </c>
      <c r="C624" s="51" t="s">
        <v>1010</v>
      </c>
      <c r="D624" t="str">
        <v>g</v>
      </c>
      <c r="E624" t="str">
        <v>onn</v>
      </c>
      <c r="F624">
        <v>5</v>
      </c>
    </row>
    <row r="625" spans="1:6">
      <c r="A625" t="s">
        <v>40</v>
      </c>
      <c r="B625" t="s">
        <v>41</v>
      </c>
      <c r="C625" t="s">
        <v>946</v>
      </c>
      <c r="D625" t="str">
        <v/>
      </c>
      <c r="E625" t="str">
        <v>u</v>
      </c>
      <c r="F625">
        <v>2</v>
      </c>
    </row>
    <row r="626" spans="1:6">
      <c r="A626" t="s">
        <v>38</v>
      </c>
      <c r="B626" t="s">
        <v>39</v>
      </c>
      <c r="C626" t="s">
        <v>597</v>
      </c>
      <c r="D626" t="str">
        <v>z</v>
      </c>
      <c r="E626" t="str">
        <v>u</v>
      </c>
      <c r="F626">
        <v>2</v>
      </c>
    </row>
    <row r="627" spans="1:6">
      <c r="A627" t="s">
        <v>25</v>
      </c>
      <c r="B627" t="s">
        <v>26</v>
      </c>
      <c r="C627" t="s">
        <v>584</v>
      </c>
      <c r="D627" t="str">
        <v>z</v>
      </c>
      <c r="E627" t="str">
        <v>i</v>
      </c>
      <c r="F627">
        <v>1</v>
      </c>
    </row>
    <row r="628" spans="1:6">
      <c r="A628" t="s">
        <v>132</v>
      </c>
      <c r="B628" t="s">
        <v>133</v>
      </c>
      <c r="C628" t="s">
        <v>663</v>
      </c>
      <c r="D628" t="str">
        <v>s</v>
      </c>
      <c r="E628" t="str">
        <v>oo</v>
      </c>
      <c r="F628">
        <v>2</v>
      </c>
    </row>
    <row r="629" spans="1:6">
      <c r="A629" t="s">
        <v>526</v>
      </c>
      <c r="B629" t="s">
        <v>527</v>
      </c>
      <c r="C629" t="s">
        <v>848</v>
      </c>
      <c r="D629" t="str">
        <v>k</v>
      </c>
      <c r="E629" t="str">
        <v>iong</v>
      </c>
      <c r="F629">
        <v>1</v>
      </c>
    </row>
    <row r="630" spans="1:6">
      <c r="A630" t="s">
        <v>528</v>
      </c>
      <c r="B630" t="s">
        <v>20</v>
      </c>
      <c r="C630" t="s">
        <v>578</v>
      </c>
      <c r="D630" t="str">
        <v>s</v>
      </c>
      <c r="E630" t="str">
        <v>ik</v>
      </c>
      <c r="F630">
        <v>4</v>
      </c>
    </row>
    <row r="631" spans="1:6">
      <c r="A631" t="s">
        <v>54</v>
      </c>
      <c r="D631" t="str">
        <v/>
      </c>
      <c r="E631" t="str">
        <v/>
      </c>
      <c r="F631" t="str">
        <v/>
      </c>
    </row>
    <row r="632" spans="1:6">
      <c r="A632" t="s">
        <v>195</v>
      </c>
      <c r="D632" t="str">
        <v/>
      </c>
      <c r="E632" t="str">
        <v/>
      </c>
      <c r="F632" t="str">
        <v/>
      </c>
    </row>
    <row r="633" spans="1:6">
      <c r="A633" t="s">
        <v>228</v>
      </c>
      <c r="D633" t="str">
        <v/>
      </c>
      <c r="E633" t="str">
        <v/>
      </c>
      <c r="F633" t="str">
        <v/>
      </c>
    </row>
    <row r="634" spans="1:6">
      <c r="A634" t="s">
        <v>42</v>
      </c>
      <c r="B634" t="s">
        <v>43</v>
      </c>
      <c r="C634" t="s">
        <v>600</v>
      </c>
      <c r="D634" t="str">
        <v>kh</v>
      </c>
      <c r="E634" t="str">
        <v>ik</v>
      </c>
      <c r="F634">
        <v>4</v>
      </c>
    </row>
    <row r="635" spans="1:6">
      <c r="A635" t="s">
        <v>529</v>
      </c>
      <c r="B635" t="s">
        <v>530</v>
      </c>
      <c r="C635" t="s">
        <v>849</v>
      </c>
      <c r="D635" t="str">
        <v>h</v>
      </c>
      <c r="E635" t="str">
        <v>i</v>
      </c>
      <c r="F635">
        <v>2</v>
      </c>
    </row>
    <row r="636" spans="1:6">
      <c r="A636" t="s">
        <v>157</v>
      </c>
      <c r="B636" t="s">
        <v>150</v>
      </c>
      <c r="C636" t="s">
        <v>664</v>
      </c>
      <c r="D636" t="str">
        <v>j</v>
      </c>
      <c r="E636" t="str">
        <v>i</v>
      </c>
      <c r="F636">
        <v>5</v>
      </c>
    </row>
    <row r="637" spans="1:6">
      <c r="A637" t="s">
        <v>531</v>
      </c>
      <c r="B637" t="s">
        <v>532</v>
      </c>
      <c r="C637" t="s">
        <v>850</v>
      </c>
      <c r="D637" t="str">
        <v>s</v>
      </c>
      <c r="E637" t="str">
        <v>iau</v>
      </c>
      <c r="F637">
        <v>3</v>
      </c>
    </row>
    <row r="638" spans="1:6">
      <c r="A638" t="s">
        <v>29</v>
      </c>
      <c r="D638" t="str">
        <v/>
      </c>
      <c r="E638" t="str">
        <v/>
      </c>
      <c r="F638" t="str">
        <v/>
      </c>
    </row>
    <row r="639" spans="1:6">
      <c r="A639" t="s">
        <v>533</v>
      </c>
      <c r="B639" t="s">
        <v>534</v>
      </c>
      <c r="C639" t="s">
        <v>1011</v>
      </c>
      <c r="D639" t="str">
        <v>s</v>
      </c>
      <c r="E639" t="str">
        <v>e</v>
      </c>
      <c r="F639">
        <v>2</v>
      </c>
    </row>
    <row r="640" spans="1:6">
      <c r="A640" t="s">
        <v>535</v>
      </c>
      <c r="B640" t="s">
        <v>536</v>
      </c>
      <c r="C640" t="s">
        <v>852</v>
      </c>
      <c r="D640" t="str">
        <v>z</v>
      </c>
      <c r="E640" t="str">
        <v>an</v>
      </c>
      <c r="F640">
        <v>2</v>
      </c>
    </row>
    <row r="641" spans="1:6">
      <c r="A641" t="s">
        <v>537</v>
      </c>
      <c r="B641" t="s">
        <v>344</v>
      </c>
      <c r="C641" t="s">
        <v>770</v>
      </c>
      <c r="D641" t="str">
        <v>k</v>
      </c>
      <c r="E641" t="str">
        <v>ing</v>
      </c>
      <c r="F641">
        <v>1</v>
      </c>
    </row>
    <row r="642" spans="1:6">
      <c r="A642" t="s">
        <v>538</v>
      </c>
      <c r="B642" t="s">
        <v>76</v>
      </c>
      <c r="C642" t="s">
        <v>626</v>
      </c>
      <c r="D642" t="str">
        <v>z</v>
      </c>
      <c r="E642" t="str">
        <v>iok</v>
      </c>
      <c r="F642">
        <v>4</v>
      </c>
    </row>
    <row r="643" spans="1:6">
      <c r="A643" t="s">
        <v>54</v>
      </c>
      <c r="D643" t="str">
        <v/>
      </c>
      <c r="E643" t="str">
        <v/>
      </c>
      <c r="F643" t="str">
        <v/>
      </c>
    </row>
    <row r="644" spans="1:6">
      <c r="A644" t="s">
        <v>539</v>
      </c>
      <c r="B644" t="s">
        <v>540</v>
      </c>
      <c r="C644" t="s">
        <v>853</v>
      </c>
      <c r="D644" t="str">
        <v>h</v>
      </c>
      <c r="E644" t="str">
        <v>au</v>
      </c>
      <c r="F644">
        <v>5</v>
      </c>
    </row>
    <row r="645" spans="1:6">
      <c r="A645" t="s">
        <v>541</v>
      </c>
      <c r="B645" t="s">
        <v>542</v>
      </c>
      <c r="C645" t="s">
        <v>854</v>
      </c>
      <c r="D645" t="str">
        <v>h</v>
      </c>
      <c r="E645" t="str">
        <v>ut</v>
      </c>
      <c r="F645">
        <v>8</v>
      </c>
    </row>
    <row r="646" spans="1:6">
      <c r="A646" t="s">
        <v>34</v>
      </c>
      <c r="B646" t="s">
        <v>35</v>
      </c>
      <c r="C646" t="s">
        <v>593</v>
      </c>
      <c r="D646" t="str">
        <v>k</v>
      </c>
      <c r="E646" t="str">
        <v>i</v>
      </c>
      <c r="F646">
        <v>3</v>
      </c>
    </row>
    <row r="647" spans="1:6">
      <c r="A647" t="s">
        <v>494</v>
      </c>
      <c r="B647" t="s">
        <v>495</v>
      </c>
      <c r="C647" t="s">
        <v>836</v>
      </c>
      <c r="D647" t="str">
        <v>z</v>
      </c>
      <c r="E647" t="str">
        <v>in</v>
      </c>
      <c r="F647">
        <v>2</v>
      </c>
    </row>
    <row r="648" spans="1:6">
      <c r="A648" t="s">
        <v>29</v>
      </c>
      <c r="D648" t="str">
        <v/>
      </c>
      <c r="E648" t="str">
        <v/>
      </c>
      <c r="F648" t="str">
        <v/>
      </c>
    </row>
    <row r="649" spans="1:6">
      <c r="A649" t="s">
        <v>543</v>
      </c>
      <c r="B649" t="s">
        <v>544</v>
      </c>
      <c r="C649" t="s">
        <v>855</v>
      </c>
      <c r="D649" t="str">
        <v>p</v>
      </c>
      <c r="E649" t="str">
        <v>ue</v>
      </c>
      <c r="F649">
        <v>1</v>
      </c>
    </row>
    <row r="650" spans="1:6">
      <c r="A650" t="s">
        <v>545</v>
      </c>
      <c r="B650" t="s">
        <v>546</v>
      </c>
      <c r="C650" t="s">
        <v>856</v>
      </c>
      <c r="D650" t="str">
        <v>p</v>
      </c>
      <c r="E650" t="str">
        <v>uan</v>
      </c>
      <c r="F650">
        <v>5</v>
      </c>
    </row>
    <row r="651" spans="1:6">
      <c r="A651" t="s">
        <v>547</v>
      </c>
      <c r="B651" t="s">
        <v>340</v>
      </c>
      <c r="C651" t="s">
        <v>768</v>
      </c>
      <c r="D651" t="str">
        <v>l</v>
      </c>
      <c r="E651" t="str">
        <v>ong</v>
      </c>
      <c r="F651">
        <v>5</v>
      </c>
    </row>
    <row r="652" spans="1:6">
      <c r="A652" t="s">
        <v>548</v>
      </c>
      <c r="B652" t="s">
        <v>549</v>
      </c>
      <c r="C652" t="s">
        <v>857</v>
      </c>
      <c r="D652" t="str">
        <v>z</v>
      </c>
      <c r="E652" t="str">
        <v>ik</v>
      </c>
      <c r="F652">
        <v>8</v>
      </c>
    </row>
    <row r="653" spans="1:6">
      <c r="A653" t="s">
        <v>29</v>
      </c>
      <c r="D653" t="str">
        <v/>
      </c>
      <c r="E653" t="str">
        <v/>
      </c>
      <c r="F653" t="str">
        <v/>
      </c>
    </row>
    <row r="654" spans="1:6">
      <c r="A654" t="s">
        <v>328</v>
      </c>
      <c r="B654" t="s">
        <v>329</v>
      </c>
      <c r="C654" t="s">
        <v>763</v>
      </c>
      <c r="D654" t="str">
        <v>s</v>
      </c>
      <c r="E654" t="str">
        <v>iong</v>
      </c>
      <c r="F654">
        <v>1</v>
      </c>
    </row>
    <row r="655" spans="1:6">
      <c r="A655" t="s">
        <v>40</v>
      </c>
      <c r="B655" t="s">
        <v>41</v>
      </c>
      <c r="C655" t="s">
        <v>946</v>
      </c>
      <c r="D655" t="str">
        <v/>
      </c>
      <c r="E655" t="str">
        <v>u</v>
      </c>
      <c r="F655">
        <v>2</v>
      </c>
    </row>
    <row r="656" spans="1:6">
      <c r="A656" t="s">
        <v>550</v>
      </c>
      <c r="B656" t="s">
        <v>551</v>
      </c>
      <c r="C656" t="s">
        <v>858</v>
      </c>
      <c r="D656" t="str">
        <v>z</v>
      </c>
      <c r="E656" t="str">
        <v>im</v>
      </c>
      <c r="F656">
        <v>2</v>
      </c>
    </row>
    <row r="657" spans="1:6">
      <c r="A657" t="s">
        <v>552</v>
      </c>
      <c r="B657" t="s">
        <v>553</v>
      </c>
      <c r="C657" t="s">
        <v>859</v>
      </c>
      <c r="D657" t="str">
        <v>z</v>
      </c>
      <c r="E657" t="str">
        <v>ia</v>
      </c>
      <c r="F657">
        <v>7</v>
      </c>
    </row>
    <row r="658" spans="1:6">
      <c r="A658" t="s">
        <v>148</v>
      </c>
      <c r="B658" t="s">
        <v>149</v>
      </c>
      <c r="C658" t="s">
        <v>671</v>
      </c>
      <c r="D658" t="str">
        <v>h</v>
      </c>
      <c r="E658" t="str">
        <v>oo</v>
      </c>
      <c r="F658">
        <v>5</v>
      </c>
    </row>
    <row r="659" spans="1:6">
      <c r="A659" t="s">
        <v>46</v>
      </c>
      <c r="B659" t="s">
        <v>47</v>
      </c>
      <c r="C659" t="s">
        <v>604</v>
      </c>
      <c r="D659" t="str">
        <v>z</v>
      </c>
      <c r="E659" t="str">
        <v>iu</v>
      </c>
      <c r="F659">
        <v>1</v>
      </c>
    </row>
    <row r="660" spans="1:6">
      <c r="A660" t="s">
        <v>554</v>
      </c>
      <c r="B660" t="s">
        <v>555</v>
      </c>
      <c r="C660" t="s">
        <v>860</v>
      </c>
      <c r="D660" t="str">
        <v>t</v>
      </c>
      <c r="E660" t="str">
        <v>iong</v>
      </c>
      <c r="F660">
        <v>1</v>
      </c>
    </row>
    <row r="661" spans="1:6">
      <c r="A661" t="s">
        <v>29</v>
      </c>
      <c r="D661" t="str">
        <v/>
      </c>
      <c r="E661" t="str">
        <v/>
      </c>
      <c r="F661" t="str">
        <v/>
      </c>
    </row>
    <row r="662" spans="1:6">
      <c r="A662" t="s">
        <v>67</v>
      </c>
      <c r="B662" t="s">
        <v>68</v>
      </c>
      <c r="C662" t="s">
        <v>622</v>
      </c>
      <c r="D662" t="str">
        <v>p</v>
      </c>
      <c r="E662" t="str">
        <v>ut</v>
      </c>
      <c r="F662">
        <v>4</v>
      </c>
    </row>
    <row r="663" spans="1:6">
      <c r="A663" t="s">
        <v>158</v>
      </c>
      <c r="B663" t="s">
        <v>159</v>
      </c>
      <c r="C663" t="s">
        <v>675</v>
      </c>
      <c r="D663" t="str">
        <v>t</v>
      </c>
      <c r="E663" t="str">
        <v>i</v>
      </c>
      <c r="F663">
        <v>1</v>
      </c>
    </row>
    <row r="664" spans="1:6">
      <c r="A664" t="s">
        <v>97</v>
      </c>
      <c r="B664" t="s">
        <v>98</v>
      </c>
      <c r="C664" t="s">
        <v>640</v>
      </c>
      <c r="D664" t="str">
        <v>t</v>
      </c>
      <c r="E664" t="str">
        <v>ong</v>
      </c>
      <c r="F664">
        <v>1</v>
      </c>
    </row>
    <row r="665" spans="1:6">
      <c r="A665" t="s">
        <v>226</v>
      </c>
      <c r="B665" t="s">
        <v>227</v>
      </c>
      <c r="C665" t="s">
        <v>713</v>
      </c>
      <c r="D665" t="str">
        <v>h</v>
      </c>
      <c r="E665" t="str">
        <v>iong</v>
      </c>
      <c r="F665">
        <v>5</v>
      </c>
    </row>
    <row r="666" spans="1:6">
      <c r="A666" t="s">
        <v>25</v>
      </c>
      <c r="B666" t="s">
        <v>26</v>
      </c>
      <c r="C666" t="s">
        <v>584</v>
      </c>
      <c r="D666" t="str">
        <v>z</v>
      </c>
      <c r="E666" t="str">
        <v>i</v>
      </c>
      <c r="F666">
        <v>1</v>
      </c>
    </row>
    <row r="667" spans="1:6">
      <c r="A667" t="s">
        <v>34</v>
      </c>
      <c r="B667" t="s">
        <v>35</v>
      </c>
      <c r="C667" t="s">
        <v>593</v>
      </c>
      <c r="D667" t="str">
        <v>k</v>
      </c>
      <c r="E667" t="str">
        <v>i</v>
      </c>
      <c r="F667">
        <v>3</v>
      </c>
    </row>
    <row r="668" spans="1:6">
      <c r="A668" t="s">
        <v>113</v>
      </c>
      <c r="B668" t="s">
        <v>114</v>
      </c>
      <c r="C668" t="s">
        <v>652</v>
      </c>
      <c r="D668" t="str">
        <v>p</v>
      </c>
      <c r="E668" t="str">
        <v>ik</v>
      </c>
      <c r="F668">
        <v>8</v>
      </c>
    </row>
    <row r="669" spans="1:6">
      <c r="A669" t="s">
        <v>54</v>
      </c>
      <c r="D669" t="str">
        <v/>
      </c>
      <c r="E669" t="str">
        <v/>
      </c>
      <c r="F669" t="str">
        <v/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D5FB8-A02F-40A9-8418-17054A730C91}">
  <dimension ref="A1:F668"/>
  <sheetViews>
    <sheetView topLeftCell="A10" workbookViewId="0">
      <selection activeCell="I126" sqref="I126"/>
    </sheetView>
  </sheetViews>
  <sheetFormatPr defaultRowHeight="25.5"/>
  <cols>
    <col min="1" max="1" width="4.6640625" bestFit="1" customWidth="1"/>
    <col min="2" max="3" width="8.1640625" bestFit="1" customWidth="1"/>
    <col min="4" max="6" width="11.83203125" bestFit="1" customWidth="1"/>
  </cols>
  <sheetData>
    <row r="1" spans="1:6">
      <c r="A1" t="s">
        <v>0</v>
      </c>
      <c r="B1" t="s">
        <v>1</v>
      </c>
      <c r="C1" t="s">
        <v>556</v>
      </c>
      <c r="D1" t="s">
        <v>557</v>
      </c>
      <c r="E1" t="s">
        <v>558</v>
      </c>
      <c r="F1" t="s">
        <v>559</v>
      </c>
    </row>
    <row r="2" spans="1:6">
      <c r="A2" t="s">
        <v>2</v>
      </c>
    </row>
    <row r="3" spans="1:6">
      <c r="A3" t="s">
        <v>3</v>
      </c>
      <c r="B3" t="s">
        <v>4</v>
      </c>
      <c r="C3" t="s">
        <v>560</v>
      </c>
      <c r="D3" t="s">
        <v>561</v>
      </c>
      <c r="E3" t="s">
        <v>562</v>
      </c>
      <c r="F3">
        <v>5</v>
      </c>
    </row>
    <row r="4" spans="1:6">
      <c r="A4" t="s">
        <v>5</v>
      </c>
      <c r="B4" t="s">
        <v>6</v>
      </c>
      <c r="C4" t="s">
        <v>563</v>
      </c>
      <c r="D4" t="s">
        <v>564</v>
      </c>
      <c r="E4" t="s">
        <v>565</v>
      </c>
      <c r="F4">
        <v>4</v>
      </c>
    </row>
    <row r="5" spans="1:6">
      <c r="A5" t="s">
        <v>7</v>
      </c>
      <c r="B5" t="s">
        <v>8</v>
      </c>
      <c r="C5" t="s">
        <v>566</v>
      </c>
      <c r="D5" t="s">
        <v>567</v>
      </c>
      <c r="E5" t="s">
        <v>565</v>
      </c>
      <c r="F5">
        <v>4</v>
      </c>
    </row>
    <row r="6" spans="1:6">
      <c r="A6" t="s">
        <v>9</v>
      </c>
      <c r="B6" t="s">
        <v>10</v>
      </c>
      <c r="C6" t="s">
        <v>568</v>
      </c>
      <c r="D6" t="s">
        <v>569</v>
      </c>
      <c r="E6" t="s">
        <v>570</v>
      </c>
      <c r="F6">
        <v>3</v>
      </c>
    </row>
    <row r="7" spans="1:6">
      <c r="A7" t="s">
        <v>11</v>
      </c>
    </row>
    <row r="8" spans="1:6">
      <c r="A8" t="s">
        <v>12</v>
      </c>
      <c r="B8" t="s">
        <v>13</v>
      </c>
      <c r="C8" t="s">
        <v>571</v>
      </c>
      <c r="D8" t="s">
        <v>567</v>
      </c>
      <c r="E8" t="s">
        <v>572</v>
      </c>
      <c r="F8">
        <v>4</v>
      </c>
    </row>
    <row r="9" spans="1:6">
      <c r="A9" t="s">
        <v>14</v>
      </c>
      <c r="B9" t="s">
        <v>15</v>
      </c>
      <c r="C9" t="s">
        <v>573</v>
      </c>
      <c r="D9" t="s">
        <v>574</v>
      </c>
      <c r="E9" t="s">
        <v>575</v>
      </c>
      <c r="F9">
        <v>3</v>
      </c>
    </row>
    <row r="10" spans="1:6">
      <c r="A10" t="s">
        <v>16</v>
      </c>
    </row>
    <row r="11" spans="1:6">
      <c r="A11" t="s">
        <v>17</v>
      </c>
      <c r="B11" t="s">
        <v>18</v>
      </c>
      <c r="C11" t="s">
        <v>576</v>
      </c>
      <c r="D11" t="s">
        <v>574</v>
      </c>
      <c r="E11" t="s">
        <v>577</v>
      </c>
      <c r="F11">
        <v>1</v>
      </c>
    </row>
    <row r="12" spans="1:6">
      <c r="A12" t="s">
        <v>19</v>
      </c>
      <c r="B12" t="s">
        <v>20</v>
      </c>
      <c r="C12" t="s">
        <v>578</v>
      </c>
      <c r="D12" t="s">
        <v>574</v>
      </c>
      <c r="E12" t="s">
        <v>565</v>
      </c>
      <c r="F12">
        <v>4</v>
      </c>
    </row>
    <row r="13" spans="1:6">
      <c r="A13" t="s">
        <v>21</v>
      </c>
      <c r="B13" t="s">
        <v>22</v>
      </c>
      <c r="C13" t="s">
        <v>579</v>
      </c>
      <c r="D13" t="s">
        <v>580</v>
      </c>
      <c r="E13" t="s">
        <v>581</v>
      </c>
      <c r="F13">
        <v>5</v>
      </c>
    </row>
    <row r="14" spans="1:6">
      <c r="A14" t="s">
        <v>23</v>
      </c>
      <c r="B14" t="s">
        <v>24</v>
      </c>
      <c r="C14" t="s">
        <v>582</v>
      </c>
      <c r="D14" t="s">
        <v>574</v>
      </c>
      <c r="E14" t="s">
        <v>583</v>
      </c>
      <c r="F14">
        <v>4</v>
      </c>
    </row>
    <row r="15" spans="1:6">
      <c r="A15" t="s">
        <v>25</v>
      </c>
      <c r="B15" t="s">
        <v>26</v>
      </c>
      <c r="C15" t="s">
        <v>584</v>
      </c>
      <c r="D15" t="s">
        <v>561</v>
      </c>
      <c r="E15" t="s">
        <v>585</v>
      </c>
      <c r="F15">
        <v>1</v>
      </c>
    </row>
    <row r="16" spans="1:6">
      <c r="A16" t="s">
        <v>27</v>
      </c>
      <c r="B16" t="s">
        <v>28</v>
      </c>
      <c r="C16" t="s">
        <v>586</v>
      </c>
      <c r="D16" t="s">
        <v>564</v>
      </c>
      <c r="E16" t="s">
        <v>587</v>
      </c>
      <c r="F16">
        <v>1</v>
      </c>
    </row>
    <row r="17" spans="1:6">
      <c r="A17" t="s">
        <v>29</v>
      </c>
    </row>
    <row r="18" spans="1:6">
      <c r="A18" t="s">
        <v>30</v>
      </c>
      <c r="B18" t="s">
        <v>31</v>
      </c>
      <c r="C18" t="s">
        <v>588</v>
      </c>
      <c r="D18" t="s">
        <v>564</v>
      </c>
      <c r="E18" t="s">
        <v>589</v>
      </c>
      <c r="F18">
        <v>4</v>
      </c>
    </row>
    <row r="19" spans="1:6">
      <c r="A19" t="s">
        <v>32</v>
      </c>
      <c r="B19" t="s">
        <v>33</v>
      </c>
      <c r="C19" t="s">
        <v>590</v>
      </c>
      <c r="D19" t="s">
        <v>591</v>
      </c>
      <c r="E19" t="s">
        <v>592</v>
      </c>
      <c r="F19">
        <v>8</v>
      </c>
    </row>
    <row r="20" spans="1:6">
      <c r="A20" t="s">
        <v>34</v>
      </c>
      <c r="B20" t="s">
        <v>35</v>
      </c>
      <c r="C20" t="s">
        <v>593</v>
      </c>
      <c r="D20" t="s">
        <v>594</v>
      </c>
      <c r="E20" t="s">
        <v>585</v>
      </c>
      <c r="F20">
        <v>3</v>
      </c>
    </row>
    <row r="21" spans="1:6">
      <c r="A21" t="s">
        <v>36</v>
      </c>
      <c r="B21" t="s">
        <v>37</v>
      </c>
      <c r="C21" t="s">
        <v>595</v>
      </c>
      <c r="D21" t="s">
        <v>596</v>
      </c>
      <c r="E21" t="s">
        <v>575</v>
      </c>
      <c r="F21">
        <v>7</v>
      </c>
    </row>
    <row r="22" spans="1:6">
      <c r="A22" t="s">
        <v>29</v>
      </c>
    </row>
    <row r="23" spans="1:6">
      <c r="A23" t="s">
        <v>17</v>
      </c>
      <c r="B23" t="s">
        <v>18</v>
      </c>
      <c r="C23" t="s">
        <v>576</v>
      </c>
      <c r="D23" t="s">
        <v>574</v>
      </c>
      <c r="E23" t="s">
        <v>577</v>
      </c>
      <c r="F23">
        <v>1</v>
      </c>
    </row>
    <row r="24" spans="1:6">
      <c r="A24" t="s">
        <v>38</v>
      </c>
      <c r="B24" t="s">
        <v>39</v>
      </c>
      <c r="C24" t="s">
        <v>597</v>
      </c>
      <c r="D24" t="s">
        <v>561</v>
      </c>
      <c r="E24" t="s">
        <v>570</v>
      </c>
      <c r="F24">
        <v>2</v>
      </c>
    </row>
    <row r="25" spans="1:6">
      <c r="A25" t="s">
        <v>40</v>
      </c>
      <c r="B25" t="s">
        <v>41</v>
      </c>
      <c r="C25" t="s">
        <v>598</v>
      </c>
      <c r="D25" t="s">
        <v>599</v>
      </c>
      <c r="E25" t="s">
        <v>570</v>
      </c>
      <c r="F25">
        <v>2</v>
      </c>
    </row>
    <row r="26" spans="1:6">
      <c r="A26" t="s">
        <v>42</v>
      </c>
      <c r="B26" t="s">
        <v>43</v>
      </c>
      <c r="C26" t="s">
        <v>600</v>
      </c>
      <c r="D26" t="s">
        <v>601</v>
      </c>
      <c r="E26" t="s">
        <v>565</v>
      </c>
      <c r="F26">
        <v>4</v>
      </c>
    </row>
    <row r="27" spans="1:6">
      <c r="A27" t="s">
        <v>44</v>
      </c>
      <c r="B27" t="s">
        <v>45</v>
      </c>
      <c r="C27" t="s">
        <v>602</v>
      </c>
      <c r="D27" t="s">
        <v>569</v>
      </c>
      <c r="E27" t="s">
        <v>603</v>
      </c>
      <c r="F27">
        <v>3</v>
      </c>
    </row>
    <row r="28" spans="1:6">
      <c r="A28" t="s">
        <v>46</v>
      </c>
      <c r="B28" t="s">
        <v>47</v>
      </c>
      <c r="C28" t="s">
        <v>604</v>
      </c>
      <c r="D28" t="s">
        <v>561</v>
      </c>
      <c r="E28" t="s">
        <v>587</v>
      </c>
      <c r="F28">
        <v>1</v>
      </c>
    </row>
    <row r="29" spans="1:6">
      <c r="A29" t="s">
        <v>48</v>
      </c>
      <c r="B29" t="s">
        <v>49</v>
      </c>
      <c r="C29" t="s">
        <v>605</v>
      </c>
      <c r="D29" s="1" t="s">
        <v>599</v>
      </c>
      <c r="E29" t="s">
        <v>587</v>
      </c>
      <c r="F29">
        <v>5</v>
      </c>
    </row>
    <row r="30" spans="1:6">
      <c r="A30" t="s">
        <v>50</v>
      </c>
      <c r="B30" t="s">
        <v>51</v>
      </c>
      <c r="C30" t="s">
        <v>606</v>
      </c>
      <c r="D30" s="1" t="s">
        <v>599</v>
      </c>
      <c r="E30" t="s">
        <v>570</v>
      </c>
      <c r="F30">
        <v>1</v>
      </c>
    </row>
    <row r="31" spans="1:6">
      <c r="A31" t="s">
        <v>5</v>
      </c>
      <c r="B31" t="s">
        <v>6</v>
      </c>
      <c r="C31" t="s">
        <v>563</v>
      </c>
      <c r="D31" t="s">
        <v>564</v>
      </c>
      <c r="E31" t="s">
        <v>565</v>
      </c>
      <c r="F31">
        <v>4</v>
      </c>
    </row>
    <row r="32" spans="1:6">
      <c r="A32" t="s">
        <v>7</v>
      </c>
      <c r="B32" t="s">
        <v>8</v>
      </c>
      <c r="C32" t="s">
        <v>566</v>
      </c>
      <c r="D32" t="s">
        <v>567</v>
      </c>
      <c r="E32" t="s">
        <v>565</v>
      </c>
      <c r="F32">
        <v>4</v>
      </c>
    </row>
    <row r="33" spans="1:6">
      <c r="A33" t="s">
        <v>25</v>
      </c>
      <c r="B33" t="s">
        <v>26</v>
      </c>
      <c r="C33" t="s">
        <v>584</v>
      </c>
      <c r="D33" t="s">
        <v>561</v>
      </c>
      <c r="E33" t="s">
        <v>585</v>
      </c>
      <c r="F33">
        <v>1</v>
      </c>
    </row>
    <row r="34" spans="1:6">
      <c r="A34" t="s">
        <v>52</v>
      </c>
      <c r="B34" t="s">
        <v>53</v>
      </c>
      <c r="C34" t="s">
        <v>607</v>
      </c>
      <c r="D34" t="s">
        <v>569</v>
      </c>
      <c r="E34" s="1" t="s">
        <v>608</v>
      </c>
      <c r="F34">
        <v>7</v>
      </c>
    </row>
    <row r="35" spans="1:6">
      <c r="A35" t="s">
        <v>54</v>
      </c>
    </row>
    <row r="36" spans="1:6">
      <c r="A36" t="s">
        <v>55</v>
      </c>
      <c r="B36" t="s">
        <v>56</v>
      </c>
      <c r="C36" t="s">
        <v>609</v>
      </c>
      <c r="D36" t="s">
        <v>564</v>
      </c>
      <c r="E36" t="s">
        <v>610</v>
      </c>
      <c r="F36">
        <v>1</v>
      </c>
    </row>
    <row r="37" spans="1:6">
      <c r="A37" t="s">
        <v>57</v>
      </c>
      <c r="B37" s="1" t="s">
        <v>58</v>
      </c>
      <c r="C37" t="s">
        <v>611</v>
      </c>
      <c r="D37" t="s">
        <v>569</v>
      </c>
      <c r="E37" s="1" t="s">
        <v>612</v>
      </c>
      <c r="F37">
        <v>1</v>
      </c>
    </row>
    <row r="38" spans="1:6">
      <c r="A38" t="s">
        <v>59</v>
      </c>
      <c r="B38" t="s">
        <v>60</v>
      </c>
      <c r="C38" t="s">
        <v>613</v>
      </c>
      <c r="D38" t="s">
        <v>574</v>
      </c>
      <c r="E38" t="s">
        <v>570</v>
      </c>
      <c r="F38">
        <v>5</v>
      </c>
    </row>
    <row r="39" spans="1:6">
      <c r="A39" t="s">
        <v>61</v>
      </c>
      <c r="B39" t="s">
        <v>62</v>
      </c>
      <c r="C39" t="s">
        <v>614</v>
      </c>
      <c r="D39" t="s">
        <v>615</v>
      </c>
      <c r="E39" t="s">
        <v>616</v>
      </c>
      <c r="F39">
        <v>5</v>
      </c>
    </row>
    <row r="40" spans="1:6">
      <c r="A40" t="s">
        <v>29</v>
      </c>
    </row>
    <row r="41" spans="1:6">
      <c r="A41" t="s">
        <v>63</v>
      </c>
      <c r="B41" t="s">
        <v>64</v>
      </c>
      <c r="C41" t="s">
        <v>617</v>
      </c>
      <c r="D41" t="s">
        <v>574</v>
      </c>
      <c r="E41" t="s">
        <v>618</v>
      </c>
      <c r="F41">
        <v>2</v>
      </c>
    </row>
    <row r="42" spans="1:6">
      <c r="A42" t="s">
        <v>65</v>
      </c>
      <c r="B42" t="s">
        <v>66</v>
      </c>
      <c r="C42" t="s">
        <v>619</v>
      </c>
      <c r="D42" t="s">
        <v>620</v>
      </c>
      <c r="E42" t="s">
        <v>621</v>
      </c>
      <c r="F42">
        <v>1</v>
      </c>
    </row>
    <row r="43" spans="1:6">
      <c r="A43" t="s">
        <v>67</v>
      </c>
      <c r="B43" t="s">
        <v>68</v>
      </c>
      <c r="C43" t="s">
        <v>622</v>
      </c>
      <c r="D43" t="s">
        <v>567</v>
      </c>
      <c r="E43" t="s">
        <v>583</v>
      </c>
      <c r="F43">
        <v>4</v>
      </c>
    </row>
    <row r="44" spans="1:6">
      <c r="A44" t="s">
        <v>69</v>
      </c>
      <c r="B44" t="s">
        <v>70</v>
      </c>
      <c r="C44" t="s">
        <v>623</v>
      </c>
      <c r="D44" t="s">
        <v>569</v>
      </c>
      <c r="E44" t="s">
        <v>610</v>
      </c>
      <c r="F44">
        <v>1</v>
      </c>
    </row>
    <row r="45" spans="1:6">
      <c r="A45" t="s">
        <v>29</v>
      </c>
    </row>
    <row r="46" spans="1:6">
      <c r="A46" t="s">
        <v>71</v>
      </c>
      <c r="B46" t="s">
        <v>72</v>
      </c>
      <c r="C46" t="s">
        <v>624</v>
      </c>
      <c r="D46" t="s">
        <v>594</v>
      </c>
      <c r="E46" s="1" t="s">
        <v>585</v>
      </c>
      <c r="F46">
        <v>2</v>
      </c>
    </row>
    <row r="47" spans="1:6">
      <c r="A47" t="s">
        <v>73</v>
      </c>
      <c r="B47" t="s">
        <v>74</v>
      </c>
      <c r="C47" t="s">
        <v>625</v>
      </c>
      <c r="D47" t="s">
        <v>561</v>
      </c>
      <c r="E47" t="s">
        <v>587</v>
      </c>
      <c r="F47">
        <v>2</v>
      </c>
    </row>
    <row r="48" spans="1:6">
      <c r="A48" t="s">
        <v>75</v>
      </c>
      <c r="B48" t="s">
        <v>76</v>
      </c>
      <c r="C48" t="s">
        <v>626</v>
      </c>
      <c r="D48" t="s">
        <v>561</v>
      </c>
      <c r="E48" t="s">
        <v>627</v>
      </c>
      <c r="F48">
        <v>4</v>
      </c>
    </row>
    <row r="49" spans="1:6">
      <c r="A49" t="s">
        <v>42</v>
      </c>
      <c r="B49" t="s">
        <v>43</v>
      </c>
      <c r="C49" t="s">
        <v>600</v>
      </c>
      <c r="D49" t="s">
        <v>601</v>
      </c>
      <c r="E49" t="s">
        <v>565</v>
      </c>
      <c r="F49">
        <v>4</v>
      </c>
    </row>
    <row r="50" spans="1:6">
      <c r="A50" t="s">
        <v>29</v>
      </c>
    </row>
    <row r="51" spans="1:6">
      <c r="A51" t="s">
        <v>77</v>
      </c>
      <c r="B51" t="s">
        <v>78</v>
      </c>
      <c r="C51" t="s">
        <v>628</v>
      </c>
      <c r="D51" t="s">
        <v>574</v>
      </c>
      <c r="E51" t="s">
        <v>612</v>
      </c>
      <c r="F51">
        <v>7</v>
      </c>
    </row>
    <row r="52" spans="1:6">
      <c r="A52" t="s">
        <v>79</v>
      </c>
      <c r="B52" t="s">
        <v>80</v>
      </c>
      <c r="C52" t="s">
        <v>629</v>
      </c>
      <c r="D52" t="s">
        <v>596</v>
      </c>
      <c r="E52" t="s">
        <v>610</v>
      </c>
      <c r="F52">
        <v>5</v>
      </c>
    </row>
    <row r="53" spans="1:6">
      <c r="A53" t="s">
        <v>32</v>
      </c>
      <c r="B53" t="s">
        <v>33</v>
      </c>
      <c r="C53" t="s">
        <v>590</v>
      </c>
      <c r="D53" t="s">
        <v>591</v>
      </c>
      <c r="E53" t="s">
        <v>592</v>
      </c>
      <c r="F53">
        <v>8</v>
      </c>
    </row>
    <row r="54" spans="1:6">
      <c r="A54" t="s">
        <v>25</v>
      </c>
      <c r="B54" t="s">
        <v>26</v>
      </c>
      <c r="C54" t="s">
        <v>584</v>
      </c>
      <c r="D54" t="s">
        <v>561</v>
      </c>
      <c r="E54" t="s">
        <v>585</v>
      </c>
      <c r="F54">
        <v>1</v>
      </c>
    </row>
    <row r="55" spans="1:6">
      <c r="A55" t="s">
        <v>81</v>
      </c>
      <c r="B55" t="s">
        <v>82</v>
      </c>
      <c r="C55" t="s">
        <v>630</v>
      </c>
      <c r="D55" t="s">
        <v>574</v>
      </c>
      <c r="E55" t="s">
        <v>585</v>
      </c>
      <c r="F55">
        <v>1</v>
      </c>
    </row>
    <row r="56" spans="1:6">
      <c r="A56" t="s">
        <v>29</v>
      </c>
    </row>
    <row r="57" spans="1:6">
      <c r="A57" t="s">
        <v>83</v>
      </c>
      <c r="B57" t="s">
        <v>84</v>
      </c>
      <c r="C57" t="s">
        <v>631</v>
      </c>
      <c r="D57" t="s">
        <v>594</v>
      </c>
      <c r="E57" t="s">
        <v>621</v>
      </c>
      <c r="F57">
        <v>1</v>
      </c>
    </row>
    <row r="58" spans="1:6">
      <c r="A58" t="s">
        <v>85</v>
      </c>
      <c r="B58" t="s">
        <v>86</v>
      </c>
      <c r="C58" t="s">
        <v>632</v>
      </c>
      <c r="D58" s="1" t="s">
        <v>599</v>
      </c>
      <c r="E58" t="s">
        <v>633</v>
      </c>
      <c r="F58">
        <v>2</v>
      </c>
    </row>
    <row r="59" spans="1:6">
      <c r="A59" t="s">
        <v>87</v>
      </c>
      <c r="B59" t="s">
        <v>88</v>
      </c>
      <c r="C59" t="s">
        <v>634</v>
      </c>
      <c r="D59" t="s">
        <v>635</v>
      </c>
      <c r="E59" t="s">
        <v>633</v>
      </c>
      <c r="F59">
        <v>2</v>
      </c>
    </row>
    <row r="60" spans="1:6">
      <c r="A60" t="s">
        <v>25</v>
      </c>
      <c r="B60" t="s">
        <v>26</v>
      </c>
      <c r="C60" t="s">
        <v>584</v>
      </c>
      <c r="D60" t="s">
        <v>561</v>
      </c>
      <c r="E60" t="s">
        <v>585</v>
      </c>
      <c r="F60">
        <v>1</v>
      </c>
    </row>
    <row r="61" spans="1:6">
      <c r="A61" t="s">
        <v>89</v>
      </c>
      <c r="B61" t="s">
        <v>90</v>
      </c>
      <c r="C61" t="s">
        <v>636</v>
      </c>
      <c r="D61" t="s">
        <v>561</v>
      </c>
      <c r="E61" t="s">
        <v>612</v>
      </c>
      <c r="F61">
        <v>1</v>
      </c>
    </row>
    <row r="62" spans="1:6">
      <c r="A62" t="s">
        <v>54</v>
      </c>
    </row>
    <row r="63" spans="1:6">
      <c r="A63" t="s">
        <v>91</v>
      </c>
      <c r="B63" t="s">
        <v>92</v>
      </c>
      <c r="C63" t="s">
        <v>637</v>
      </c>
      <c r="D63" t="s">
        <v>574</v>
      </c>
      <c r="E63" t="s">
        <v>633</v>
      </c>
      <c r="F63">
        <v>2</v>
      </c>
    </row>
    <row r="64" spans="1:6">
      <c r="A64" t="s">
        <v>93</v>
      </c>
      <c r="B64" t="s">
        <v>94</v>
      </c>
      <c r="C64" t="s">
        <v>638</v>
      </c>
      <c r="D64" s="1" t="s">
        <v>599</v>
      </c>
      <c r="E64" t="s">
        <v>562</v>
      </c>
      <c r="F64">
        <v>1</v>
      </c>
    </row>
    <row r="65" spans="1:6">
      <c r="A65" t="s">
        <v>29</v>
      </c>
    </row>
    <row r="66" spans="1:6">
      <c r="A66" t="s">
        <v>32</v>
      </c>
      <c r="B66" t="s">
        <v>33</v>
      </c>
      <c r="C66" t="s">
        <v>590</v>
      </c>
      <c r="D66" t="s">
        <v>591</v>
      </c>
      <c r="E66" t="s">
        <v>592</v>
      </c>
      <c r="F66">
        <v>8</v>
      </c>
    </row>
    <row r="67" spans="1:6">
      <c r="A67" t="s">
        <v>95</v>
      </c>
      <c r="B67" t="s">
        <v>96</v>
      </c>
      <c r="C67" t="s">
        <v>639</v>
      </c>
      <c r="D67" t="s">
        <v>564</v>
      </c>
      <c r="E67" t="s">
        <v>618</v>
      </c>
      <c r="F67">
        <v>3</v>
      </c>
    </row>
    <row r="68" spans="1:6">
      <c r="A68" t="s">
        <v>50</v>
      </c>
      <c r="B68" t="s">
        <v>51</v>
      </c>
      <c r="C68" t="s">
        <v>606</v>
      </c>
      <c r="D68" s="1" t="s">
        <v>599</v>
      </c>
      <c r="E68" t="s">
        <v>570</v>
      </c>
      <c r="F68">
        <v>1</v>
      </c>
    </row>
    <row r="69" spans="1:6">
      <c r="A69" t="s">
        <v>97</v>
      </c>
      <c r="B69" t="s">
        <v>98</v>
      </c>
      <c r="C69" t="s">
        <v>640</v>
      </c>
      <c r="D69" t="s">
        <v>635</v>
      </c>
      <c r="E69" t="s">
        <v>575</v>
      </c>
      <c r="F69">
        <v>1</v>
      </c>
    </row>
    <row r="70" spans="1:6">
      <c r="A70" t="s">
        <v>99</v>
      </c>
      <c r="B70" t="s">
        <v>100</v>
      </c>
      <c r="C70" t="s">
        <v>641</v>
      </c>
      <c r="D70" t="s">
        <v>574</v>
      </c>
      <c r="E70" t="s">
        <v>642</v>
      </c>
      <c r="F70">
        <v>1</v>
      </c>
    </row>
    <row r="71" spans="1:6">
      <c r="A71" t="s">
        <v>25</v>
      </c>
      <c r="B71" t="s">
        <v>26</v>
      </c>
      <c r="C71" t="s">
        <v>584</v>
      </c>
      <c r="D71" t="s">
        <v>561</v>
      </c>
      <c r="E71" t="s">
        <v>585</v>
      </c>
      <c r="F71">
        <v>1</v>
      </c>
    </row>
    <row r="72" spans="1:6">
      <c r="A72" t="s">
        <v>101</v>
      </c>
      <c r="B72" t="s">
        <v>102</v>
      </c>
      <c r="C72" t="s">
        <v>643</v>
      </c>
      <c r="D72" t="s">
        <v>574</v>
      </c>
      <c r="E72" t="s">
        <v>612</v>
      </c>
      <c r="F72">
        <v>2</v>
      </c>
    </row>
    <row r="73" spans="1:6">
      <c r="A73" t="s">
        <v>29</v>
      </c>
    </row>
    <row r="74" spans="1:6">
      <c r="A74" t="s">
        <v>103</v>
      </c>
      <c r="B74" t="s">
        <v>104</v>
      </c>
      <c r="C74" t="s">
        <v>644</v>
      </c>
      <c r="D74" t="s">
        <v>567</v>
      </c>
      <c r="E74" t="s">
        <v>616</v>
      </c>
      <c r="F74">
        <v>5</v>
      </c>
    </row>
    <row r="75" spans="1:6">
      <c r="A75" t="s">
        <v>105</v>
      </c>
      <c r="B75" t="s">
        <v>106</v>
      </c>
      <c r="C75" t="s">
        <v>645</v>
      </c>
      <c r="D75" t="s">
        <v>569</v>
      </c>
      <c r="E75" t="s">
        <v>646</v>
      </c>
      <c r="F75">
        <v>5</v>
      </c>
    </row>
    <row r="76" spans="1:6">
      <c r="A76" t="s">
        <v>50</v>
      </c>
      <c r="B76" t="s">
        <v>51</v>
      </c>
      <c r="C76" t="s">
        <v>606</v>
      </c>
      <c r="D76" t="s">
        <v>599</v>
      </c>
      <c r="E76" t="s">
        <v>570</v>
      </c>
      <c r="F76">
        <v>1</v>
      </c>
    </row>
    <row r="77" spans="1:6">
      <c r="A77" t="s">
        <v>107</v>
      </c>
      <c r="B77" t="s">
        <v>108</v>
      </c>
      <c r="C77" t="s">
        <v>647</v>
      </c>
      <c r="D77" t="s">
        <v>635</v>
      </c>
      <c r="E77" t="s">
        <v>577</v>
      </c>
      <c r="F77">
        <v>2</v>
      </c>
    </row>
    <row r="78" spans="1:6">
      <c r="A78" t="s">
        <v>109</v>
      </c>
      <c r="B78" t="s">
        <v>110</v>
      </c>
      <c r="C78" s="1" t="s">
        <v>648</v>
      </c>
      <c r="D78" t="s">
        <v>649</v>
      </c>
      <c r="E78" s="1" t="s">
        <v>650</v>
      </c>
      <c r="F78">
        <v>5</v>
      </c>
    </row>
    <row r="79" spans="1:6">
      <c r="A79" t="s">
        <v>25</v>
      </c>
      <c r="B79" t="s">
        <v>26</v>
      </c>
      <c r="C79" t="s">
        <v>584</v>
      </c>
      <c r="D79" t="s">
        <v>561</v>
      </c>
      <c r="E79" t="s">
        <v>585</v>
      </c>
      <c r="F79">
        <v>1</v>
      </c>
    </row>
    <row r="80" spans="1:6">
      <c r="A80" t="s">
        <v>111</v>
      </c>
      <c r="B80" t="s">
        <v>112</v>
      </c>
      <c r="C80" t="s">
        <v>651</v>
      </c>
      <c r="D80" t="s">
        <v>594</v>
      </c>
      <c r="E80" t="s">
        <v>642</v>
      </c>
      <c r="F80">
        <v>1</v>
      </c>
    </row>
    <row r="81" spans="1:6">
      <c r="A81" t="s">
        <v>29</v>
      </c>
    </row>
    <row r="82" spans="1:6">
      <c r="A82" t="s">
        <v>113</v>
      </c>
      <c r="B82" t="s">
        <v>114</v>
      </c>
      <c r="C82" t="s">
        <v>652</v>
      </c>
      <c r="D82" t="s">
        <v>567</v>
      </c>
      <c r="E82" t="s">
        <v>565</v>
      </c>
      <c r="F82">
        <v>8</v>
      </c>
    </row>
    <row r="83" spans="1:6">
      <c r="A83" t="s">
        <v>115</v>
      </c>
      <c r="B83" t="s">
        <v>116</v>
      </c>
      <c r="C83" t="s">
        <v>653</v>
      </c>
      <c r="D83" t="s">
        <v>615</v>
      </c>
      <c r="E83" t="s">
        <v>577</v>
      </c>
      <c r="F83">
        <v>7</v>
      </c>
    </row>
    <row r="84" spans="1:6">
      <c r="A84" t="s">
        <v>117</v>
      </c>
      <c r="B84" t="s">
        <v>70</v>
      </c>
      <c r="C84" t="s">
        <v>623</v>
      </c>
      <c r="D84" t="s">
        <v>569</v>
      </c>
      <c r="E84" t="s">
        <v>610</v>
      </c>
      <c r="F84">
        <v>1</v>
      </c>
    </row>
    <row r="85" spans="1:6">
      <c r="A85" t="s">
        <v>118</v>
      </c>
      <c r="B85" t="s">
        <v>119</v>
      </c>
      <c r="C85" t="s">
        <v>654</v>
      </c>
      <c r="D85" t="s">
        <v>594</v>
      </c>
      <c r="E85" t="s">
        <v>655</v>
      </c>
      <c r="F85">
        <v>1</v>
      </c>
    </row>
    <row r="86" spans="1:6">
      <c r="A86" t="s">
        <v>29</v>
      </c>
    </row>
    <row r="87" spans="1:6">
      <c r="A87" t="s">
        <v>63</v>
      </c>
      <c r="B87" t="s">
        <v>64</v>
      </c>
      <c r="C87" t="s">
        <v>617</v>
      </c>
      <c r="D87" t="s">
        <v>574</v>
      </c>
      <c r="E87" t="s">
        <v>618</v>
      </c>
      <c r="F87">
        <v>2</v>
      </c>
    </row>
    <row r="88" spans="1:6">
      <c r="A88" t="s">
        <v>120</v>
      </c>
      <c r="B88" t="s">
        <v>121</v>
      </c>
      <c r="C88" t="s">
        <v>656</v>
      </c>
      <c r="D88" t="s">
        <v>594</v>
      </c>
      <c r="E88" t="s">
        <v>575</v>
      </c>
      <c r="F88">
        <v>1</v>
      </c>
    </row>
    <row r="89" spans="1:6">
      <c r="A89" t="s">
        <v>122</v>
      </c>
      <c r="B89" t="s">
        <v>123</v>
      </c>
      <c r="C89" t="s">
        <v>657</v>
      </c>
      <c r="D89" t="s">
        <v>561</v>
      </c>
      <c r="E89" t="s">
        <v>658</v>
      </c>
      <c r="F89">
        <v>4</v>
      </c>
    </row>
    <row r="90" spans="1:6">
      <c r="A90" t="s">
        <v>124</v>
      </c>
      <c r="B90" t="s">
        <v>125</v>
      </c>
      <c r="C90" t="s">
        <v>659</v>
      </c>
      <c r="D90" t="s">
        <v>660</v>
      </c>
      <c r="E90" t="s">
        <v>562</v>
      </c>
      <c r="F90">
        <v>1</v>
      </c>
    </row>
    <row r="91" spans="1:6">
      <c r="A91" t="s">
        <v>126</v>
      </c>
    </row>
    <row r="92" spans="1:6">
      <c r="A92" t="s">
        <v>127</v>
      </c>
      <c r="B92" t="s">
        <v>90</v>
      </c>
      <c r="C92" t="s">
        <v>636</v>
      </c>
      <c r="D92" t="s">
        <v>561</v>
      </c>
      <c r="E92" t="s">
        <v>612</v>
      </c>
      <c r="F92">
        <v>1</v>
      </c>
    </row>
    <row r="93" spans="1:6">
      <c r="A93" t="s">
        <v>128</v>
      </c>
      <c r="B93" t="s">
        <v>129</v>
      </c>
      <c r="C93" t="s">
        <v>661</v>
      </c>
      <c r="D93" t="s">
        <v>599</v>
      </c>
      <c r="E93" t="s">
        <v>589</v>
      </c>
      <c r="F93">
        <v>4</v>
      </c>
    </row>
    <row r="94" spans="1:6">
      <c r="A94" t="s">
        <v>130</v>
      </c>
      <c r="B94" t="s">
        <v>131</v>
      </c>
      <c r="C94" t="s">
        <v>662</v>
      </c>
      <c r="D94" t="s">
        <v>599</v>
      </c>
      <c r="E94" t="s">
        <v>618</v>
      </c>
      <c r="F94">
        <v>2</v>
      </c>
    </row>
    <row r="95" spans="1:6">
      <c r="A95" t="s">
        <v>25</v>
      </c>
      <c r="B95" t="s">
        <v>26</v>
      </c>
      <c r="C95" t="s">
        <v>584</v>
      </c>
      <c r="D95" t="s">
        <v>561</v>
      </c>
      <c r="E95" t="s">
        <v>585</v>
      </c>
      <c r="F95">
        <v>1</v>
      </c>
    </row>
    <row r="96" spans="1:6">
      <c r="A96" t="s">
        <v>132</v>
      </c>
      <c r="B96" t="s">
        <v>133</v>
      </c>
      <c r="C96" t="s">
        <v>663</v>
      </c>
      <c r="D96" t="s">
        <v>574</v>
      </c>
      <c r="E96" t="s">
        <v>577</v>
      </c>
      <c r="F96">
        <v>2</v>
      </c>
    </row>
    <row r="97" spans="1:6">
      <c r="A97" t="s">
        <v>134</v>
      </c>
      <c r="B97" t="s">
        <v>135</v>
      </c>
      <c r="C97" t="s">
        <v>664</v>
      </c>
      <c r="D97" t="s">
        <v>580</v>
      </c>
      <c r="E97" s="1" t="s">
        <v>585</v>
      </c>
      <c r="F97">
        <v>5</v>
      </c>
    </row>
    <row r="98" spans="1:6">
      <c r="A98" t="s">
        <v>29</v>
      </c>
    </row>
    <row r="99" spans="1:6">
      <c r="A99" t="s">
        <v>136</v>
      </c>
      <c r="B99" t="s">
        <v>137</v>
      </c>
      <c r="C99" t="s">
        <v>665</v>
      </c>
      <c r="D99" t="s">
        <v>615</v>
      </c>
      <c r="E99" t="s">
        <v>610</v>
      </c>
      <c r="F99">
        <v>5</v>
      </c>
    </row>
    <row r="100" spans="1:6">
      <c r="A100" t="s">
        <v>138</v>
      </c>
      <c r="B100" t="s">
        <v>139</v>
      </c>
      <c r="C100" t="s">
        <v>666</v>
      </c>
      <c r="D100" t="s">
        <v>596</v>
      </c>
      <c r="E100" t="s">
        <v>642</v>
      </c>
      <c r="F100">
        <v>7</v>
      </c>
    </row>
    <row r="101" spans="1:6">
      <c r="A101" t="s">
        <v>140</v>
      </c>
      <c r="B101" t="s">
        <v>141</v>
      </c>
      <c r="C101" t="s">
        <v>667</v>
      </c>
      <c r="D101" t="s">
        <v>601</v>
      </c>
      <c r="E101" t="s">
        <v>610</v>
      </c>
      <c r="F101">
        <v>1</v>
      </c>
    </row>
    <row r="102" spans="1:6">
      <c r="A102" t="s">
        <v>25</v>
      </c>
      <c r="B102" t="s">
        <v>26</v>
      </c>
      <c r="C102" t="s">
        <v>584</v>
      </c>
      <c r="D102" t="s">
        <v>561</v>
      </c>
      <c r="E102" t="s">
        <v>585</v>
      </c>
      <c r="F102">
        <v>1</v>
      </c>
    </row>
    <row r="103" spans="1:6">
      <c r="A103" t="s">
        <v>142</v>
      </c>
      <c r="B103" t="s">
        <v>143</v>
      </c>
      <c r="C103" t="s">
        <v>668</v>
      </c>
      <c r="D103" t="s">
        <v>596</v>
      </c>
      <c r="E103" t="s">
        <v>575</v>
      </c>
      <c r="F103">
        <v>5</v>
      </c>
    </row>
    <row r="104" spans="1:6">
      <c r="A104" t="s">
        <v>144</v>
      </c>
      <c r="B104" t="s">
        <v>145</v>
      </c>
      <c r="C104" t="s">
        <v>669</v>
      </c>
      <c r="D104" t="s">
        <v>580</v>
      </c>
      <c r="E104" t="s">
        <v>562</v>
      </c>
      <c r="F104">
        <v>5</v>
      </c>
    </row>
    <row r="105" spans="1:6">
      <c r="A105" t="s">
        <v>54</v>
      </c>
    </row>
    <row r="106" spans="1:6">
      <c r="A106" t="s">
        <v>146</v>
      </c>
      <c r="B106" t="s">
        <v>147</v>
      </c>
      <c r="C106" t="s">
        <v>670</v>
      </c>
      <c r="D106" t="s">
        <v>569</v>
      </c>
      <c r="E106" t="s">
        <v>621</v>
      </c>
      <c r="F106">
        <v>2</v>
      </c>
    </row>
    <row r="107" spans="1:6">
      <c r="A107" t="s">
        <v>146</v>
      </c>
      <c r="B107" t="s">
        <v>147</v>
      </c>
      <c r="C107" t="s">
        <v>670</v>
      </c>
      <c r="D107" t="s">
        <v>569</v>
      </c>
      <c r="E107" t="s">
        <v>621</v>
      </c>
      <c r="F107">
        <v>2</v>
      </c>
    </row>
    <row r="108" spans="1:6">
      <c r="A108" t="s">
        <v>148</v>
      </c>
      <c r="B108" t="s">
        <v>149</v>
      </c>
      <c r="C108" t="s">
        <v>671</v>
      </c>
      <c r="D108" t="s">
        <v>569</v>
      </c>
      <c r="E108" t="s">
        <v>577</v>
      </c>
      <c r="F108">
        <v>5</v>
      </c>
    </row>
    <row r="109" spans="1:6">
      <c r="A109" t="s">
        <v>134</v>
      </c>
      <c r="B109" s="1" t="s">
        <v>150</v>
      </c>
      <c r="C109" t="s">
        <v>664</v>
      </c>
      <c r="D109" t="s">
        <v>580</v>
      </c>
      <c r="E109" t="s">
        <v>585</v>
      </c>
      <c r="F109">
        <v>5</v>
      </c>
    </row>
    <row r="110" spans="1:6">
      <c r="A110" t="s">
        <v>151</v>
      </c>
      <c r="B110" t="s">
        <v>152</v>
      </c>
      <c r="C110" t="s">
        <v>672</v>
      </c>
      <c r="D110" t="s">
        <v>567</v>
      </c>
      <c r="E110" t="s">
        <v>610</v>
      </c>
      <c r="F110">
        <v>5</v>
      </c>
    </row>
    <row r="111" spans="1:6">
      <c r="A111" t="s">
        <v>153</v>
      </c>
      <c r="B111" t="s">
        <v>154</v>
      </c>
      <c r="C111" t="s">
        <v>673</v>
      </c>
      <c r="D111" t="s">
        <v>569</v>
      </c>
      <c r="E111" t="s">
        <v>570</v>
      </c>
      <c r="F111">
        <v>1</v>
      </c>
    </row>
    <row r="112" spans="1:6">
      <c r="A112" t="s">
        <v>155</v>
      </c>
      <c r="B112" t="s">
        <v>156</v>
      </c>
      <c r="C112" t="s">
        <v>674</v>
      </c>
      <c r="D112" t="s">
        <v>591</v>
      </c>
      <c r="E112" s="1" t="s">
        <v>608</v>
      </c>
      <c r="F112">
        <v>7</v>
      </c>
    </row>
    <row r="113" spans="1:6">
      <c r="A113" t="s">
        <v>57</v>
      </c>
      <c r="B113" s="1" t="s">
        <v>58</v>
      </c>
      <c r="C113" s="2" t="s">
        <v>611</v>
      </c>
      <c r="D113" t="s">
        <v>569</v>
      </c>
      <c r="E113" s="1" t="s">
        <v>612</v>
      </c>
      <c r="F113">
        <v>1</v>
      </c>
    </row>
    <row r="114" spans="1:6">
      <c r="A114" t="s">
        <v>29</v>
      </c>
    </row>
    <row r="115" spans="1:6">
      <c r="A115" t="s">
        <v>157</v>
      </c>
      <c r="B115" t="s">
        <v>150</v>
      </c>
      <c r="C115" t="s">
        <v>664</v>
      </c>
      <c r="D115" t="s">
        <v>580</v>
      </c>
      <c r="E115" t="s">
        <v>585</v>
      </c>
      <c r="F115">
        <v>5</v>
      </c>
    </row>
    <row r="116" spans="1:6">
      <c r="A116" t="s">
        <v>67</v>
      </c>
      <c r="B116" t="s">
        <v>68</v>
      </c>
      <c r="C116" t="s">
        <v>622</v>
      </c>
      <c r="D116" t="s">
        <v>567</v>
      </c>
      <c r="E116" t="s">
        <v>583</v>
      </c>
      <c r="F116">
        <v>4</v>
      </c>
    </row>
    <row r="117" spans="1:6">
      <c r="A117" t="s">
        <v>158</v>
      </c>
      <c r="B117" t="s">
        <v>159</v>
      </c>
      <c r="C117" t="s">
        <v>675</v>
      </c>
      <c r="D117" t="s">
        <v>635</v>
      </c>
      <c r="E117" t="s">
        <v>585</v>
      </c>
      <c r="F117">
        <v>1</v>
      </c>
    </row>
    <row r="118" spans="1:6">
      <c r="A118" t="s">
        <v>160</v>
      </c>
      <c r="B118" t="s">
        <v>161</v>
      </c>
      <c r="C118" t="s">
        <v>676</v>
      </c>
      <c r="D118" t="s">
        <v>594</v>
      </c>
      <c r="E118" t="s">
        <v>585</v>
      </c>
      <c r="F118">
        <v>5</v>
      </c>
    </row>
    <row r="119" spans="1:6">
      <c r="A119" t="s">
        <v>132</v>
      </c>
      <c r="B119" t="s">
        <v>133</v>
      </c>
      <c r="C119" t="s">
        <v>663</v>
      </c>
      <c r="D119" t="s">
        <v>574</v>
      </c>
      <c r="E119" t="s">
        <v>577</v>
      </c>
      <c r="F119">
        <v>2</v>
      </c>
    </row>
    <row r="120" spans="1:6">
      <c r="A120" t="s">
        <v>162</v>
      </c>
      <c r="B120" t="s">
        <v>163</v>
      </c>
      <c r="C120" t="s">
        <v>677</v>
      </c>
      <c r="D120" t="s">
        <v>561</v>
      </c>
      <c r="E120" t="s">
        <v>585</v>
      </c>
      <c r="F120">
        <v>2</v>
      </c>
    </row>
    <row r="121" spans="1:6">
      <c r="A121" t="s">
        <v>126</v>
      </c>
    </row>
    <row r="122" spans="1:6">
      <c r="A122" t="s">
        <v>164</v>
      </c>
      <c r="B122" t="s">
        <v>165</v>
      </c>
      <c r="C122" t="s">
        <v>678</v>
      </c>
      <c r="D122" t="s">
        <v>620</v>
      </c>
      <c r="E122" t="s">
        <v>633</v>
      </c>
      <c r="F122">
        <v>1</v>
      </c>
    </row>
    <row r="123" spans="1:6">
      <c r="A123" t="s">
        <v>164</v>
      </c>
      <c r="B123" t="s">
        <v>165</v>
      </c>
      <c r="C123" t="s">
        <v>678</v>
      </c>
      <c r="D123" t="s">
        <v>620</v>
      </c>
      <c r="E123" t="s">
        <v>633</v>
      </c>
      <c r="F123">
        <v>1</v>
      </c>
    </row>
    <row r="124" spans="1:6">
      <c r="A124" t="s">
        <v>148</v>
      </c>
      <c r="B124" t="s">
        <v>149</v>
      </c>
      <c r="C124" t="s">
        <v>671</v>
      </c>
      <c r="D124" t="s">
        <v>569</v>
      </c>
      <c r="E124" t="s">
        <v>577</v>
      </c>
      <c r="F124">
        <v>5</v>
      </c>
    </row>
    <row r="125" spans="1:6">
      <c r="A125" t="s">
        <v>134</v>
      </c>
      <c r="B125" t="s">
        <v>135</v>
      </c>
      <c r="C125" t="s">
        <v>664</v>
      </c>
      <c r="D125" t="s">
        <v>580</v>
      </c>
      <c r="E125" s="1" t="s">
        <v>585</v>
      </c>
      <c r="F125">
        <v>5</v>
      </c>
    </row>
    <row r="126" spans="1:6">
      <c r="A126" t="s">
        <v>166</v>
      </c>
      <c r="B126" t="s">
        <v>167</v>
      </c>
      <c r="C126" t="s">
        <v>679</v>
      </c>
      <c r="D126" t="s">
        <v>599</v>
      </c>
      <c r="E126" t="s">
        <v>618</v>
      </c>
      <c r="F126">
        <v>5</v>
      </c>
    </row>
    <row r="127" spans="1:6">
      <c r="A127" t="s">
        <v>168</v>
      </c>
      <c r="B127" t="s">
        <v>169</v>
      </c>
      <c r="C127" t="s">
        <v>680</v>
      </c>
      <c r="D127" t="s">
        <v>574</v>
      </c>
      <c r="E127" s="1" t="s">
        <v>585</v>
      </c>
      <c r="F127">
        <v>3</v>
      </c>
    </row>
    <row r="128" spans="1:6">
      <c r="A128" t="s">
        <v>170</v>
      </c>
      <c r="B128" t="s">
        <v>171</v>
      </c>
      <c r="C128" t="s">
        <v>681</v>
      </c>
      <c r="D128" t="s">
        <v>635</v>
      </c>
      <c r="E128" t="s">
        <v>572</v>
      </c>
      <c r="F128">
        <v>8</v>
      </c>
    </row>
    <row r="129" spans="1:6">
      <c r="A129" t="s">
        <v>172</v>
      </c>
      <c r="B129" t="s">
        <v>173</v>
      </c>
      <c r="C129" t="s">
        <v>682</v>
      </c>
      <c r="D129" t="s">
        <v>615</v>
      </c>
      <c r="E129" t="s">
        <v>683</v>
      </c>
      <c r="F129">
        <v>8</v>
      </c>
    </row>
    <row r="130" spans="1:6">
      <c r="A130" t="s">
        <v>29</v>
      </c>
    </row>
    <row r="131" spans="1:6">
      <c r="A131" t="s">
        <v>174</v>
      </c>
      <c r="B131" t="s">
        <v>41</v>
      </c>
      <c r="C131" t="s">
        <v>598</v>
      </c>
      <c r="D131" t="s">
        <v>599</v>
      </c>
      <c r="E131" t="s">
        <v>570</v>
      </c>
      <c r="F131">
        <v>2</v>
      </c>
    </row>
    <row r="132" spans="1:6">
      <c r="A132" t="s">
        <v>175</v>
      </c>
      <c r="B132" t="s">
        <v>176</v>
      </c>
      <c r="C132" t="s">
        <v>684</v>
      </c>
      <c r="D132" t="s">
        <v>569</v>
      </c>
      <c r="E132" t="s">
        <v>685</v>
      </c>
      <c r="F132">
        <v>3</v>
      </c>
    </row>
    <row r="133" spans="1:6">
      <c r="A133" t="s">
        <v>157</v>
      </c>
      <c r="B133" t="s">
        <v>150</v>
      </c>
      <c r="C133" t="s">
        <v>664</v>
      </c>
      <c r="D133" t="s">
        <v>580</v>
      </c>
      <c r="E133" t="s">
        <v>585</v>
      </c>
      <c r="F133">
        <v>5</v>
      </c>
    </row>
    <row r="134" spans="1:6">
      <c r="A134" t="s">
        <v>177</v>
      </c>
      <c r="B134" t="s">
        <v>178</v>
      </c>
      <c r="C134" t="s">
        <v>686</v>
      </c>
      <c r="D134" t="s">
        <v>635</v>
      </c>
      <c r="E134" t="s">
        <v>610</v>
      </c>
      <c r="F134">
        <v>1</v>
      </c>
    </row>
    <row r="135" spans="1:6">
      <c r="A135" t="s">
        <v>179</v>
      </c>
      <c r="B135" t="s">
        <v>180</v>
      </c>
      <c r="C135" t="s">
        <v>687</v>
      </c>
      <c r="D135" t="s">
        <v>574</v>
      </c>
      <c r="E135" t="s">
        <v>562</v>
      </c>
      <c r="F135">
        <v>1</v>
      </c>
    </row>
    <row r="136" spans="1:6">
      <c r="A136" t="s">
        <v>54</v>
      </c>
    </row>
    <row r="137" spans="1:6">
      <c r="A137" t="s">
        <v>50</v>
      </c>
      <c r="B137" t="s">
        <v>51</v>
      </c>
      <c r="C137" t="s">
        <v>606</v>
      </c>
      <c r="D137" t="s">
        <v>599</v>
      </c>
      <c r="E137" t="s">
        <v>570</v>
      </c>
      <c r="F137">
        <v>1</v>
      </c>
    </row>
    <row r="138" spans="1:6">
      <c r="A138" t="s">
        <v>181</v>
      </c>
      <c r="B138" t="s">
        <v>182</v>
      </c>
      <c r="C138" t="s">
        <v>688</v>
      </c>
      <c r="D138" t="s">
        <v>574</v>
      </c>
      <c r="E138" t="s">
        <v>585</v>
      </c>
      <c r="F138">
        <v>2</v>
      </c>
    </row>
    <row r="139" spans="1:6">
      <c r="A139" t="s">
        <v>183</v>
      </c>
      <c r="B139" t="s">
        <v>184</v>
      </c>
      <c r="C139" t="s">
        <v>689</v>
      </c>
      <c r="D139" t="s">
        <v>599</v>
      </c>
      <c r="E139" t="s">
        <v>581</v>
      </c>
      <c r="F139">
        <v>2</v>
      </c>
    </row>
    <row r="140" spans="1:6">
      <c r="A140" t="s">
        <v>73</v>
      </c>
      <c r="B140" t="s">
        <v>74</v>
      </c>
      <c r="C140" t="s">
        <v>625</v>
      </c>
      <c r="D140" t="s">
        <v>561</v>
      </c>
      <c r="E140" t="s">
        <v>587</v>
      </c>
      <c r="F140">
        <v>2</v>
      </c>
    </row>
    <row r="141" spans="1:6">
      <c r="A141" t="s">
        <v>185</v>
      </c>
      <c r="B141" t="s">
        <v>186</v>
      </c>
      <c r="C141" t="s">
        <v>690</v>
      </c>
      <c r="D141" t="s">
        <v>615</v>
      </c>
      <c r="E141" t="s">
        <v>572</v>
      </c>
      <c r="F141">
        <v>8</v>
      </c>
    </row>
    <row r="142" spans="1:6">
      <c r="A142" t="s">
        <v>187</v>
      </c>
      <c r="B142" t="s">
        <v>188</v>
      </c>
      <c r="C142" t="s">
        <v>691</v>
      </c>
      <c r="D142" t="s">
        <v>574</v>
      </c>
      <c r="E142" t="s">
        <v>581</v>
      </c>
      <c r="F142">
        <v>2</v>
      </c>
    </row>
    <row r="143" spans="1:6">
      <c r="A143" t="s">
        <v>29</v>
      </c>
    </row>
    <row r="144" spans="1:6">
      <c r="A144" t="s">
        <v>189</v>
      </c>
      <c r="B144" t="s">
        <v>190</v>
      </c>
      <c r="C144" t="s">
        <v>692</v>
      </c>
      <c r="D144" t="s">
        <v>601</v>
      </c>
      <c r="E144" t="s">
        <v>577</v>
      </c>
      <c r="F144">
        <v>3</v>
      </c>
    </row>
    <row r="145" spans="1:6">
      <c r="A145" t="s">
        <v>191</v>
      </c>
      <c r="B145" t="s">
        <v>192</v>
      </c>
      <c r="C145" t="s">
        <v>693</v>
      </c>
      <c r="D145" t="s">
        <v>569</v>
      </c>
      <c r="E145" t="s">
        <v>562</v>
      </c>
      <c r="F145">
        <v>5</v>
      </c>
    </row>
    <row r="146" spans="1:6">
      <c r="A146" t="s">
        <v>157</v>
      </c>
      <c r="B146" t="s">
        <v>150</v>
      </c>
      <c r="C146" t="s">
        <v>664</v>
      </c>
      <c r="D146" t="s">
        <v>580</v>
      </c>
      <c r="E146" t="s">
        <v>585</v>
      </c>
      <c r="F146">
        <v>5</v>
      </c>
    </row>
    <row r="147" spans="1:6">
      <c r="A147" t="s">
        <v>83</v>
      </c>
      <c r="B147" t="s">
        <v>84</v>
      </c>
      <c r="C147" t="s">
        <v>631</v>
      </c>
      <c r="D147" t="s">
        <v>594</v>
      </c>
      <c r="E147" t="s">
        <v>621</v>
      </c>
      <c r="F147">
        <v>1</v>
      </c>
    </row>
    <row r="148" spans="1:6">
      <c r="A148" t="s">
        <v>25</v>
      </c>
      <c r="B148" t="s">
        <v>26</v>
      </c>
      <c r="C148" t="s">
        <v>584</v>
      </c>
      <c r="D148" t="s">
        <v>561</v>
      </c>
      <c r="E148" t="s">
        <v>585</v>
      </c>
      <c r="F148">
        <v>1</v>
      </c>
    </row>
    <row r="149" spans="1:6">
      <c r="A149" t="s">
        <v>54</v>
      </c>
    </row>
    <row r="150" spans="1:6">
      <c r="A150" t="s">
        <v>83</v>
      </c>
      <c r="B150" t="s">
        <v>84</v>
      </c>
      <c r="C150" t="s">
        <v>631</v>
      </c>
      <c r="D150" t="s">
        <v>594</v>
      </c>
      <c r="E150" t="s">
        <v>621</v>
      </c>
      <c r="F150">
        <v>1</v>
      </c>
    </row>
    <row r="151" spans="1:6">
      <c r="A151" t="s">
        <v>193</v>
      </c>
      <c r="B151" t="s">
        <v>194</v>
      </c>
      <c r="C151" t="s">
        <v>694</v>
      </c>
      <c r="D151" t="s">
        <v>599</v>
      </c>
      <c r="E151" t="s">
        <v>592</v>
      </c>
      <c r="F151">
        <v>8</v>
      </c>
    </row>
    <row r="152" spans="1:6">
      <c r="A152" t="s">
        <v>16</v>
      </c>
    </row>
    <row r="153" spans="1:6">
      <c r="A153" t="s">
        <v>195</v>
      </c>
    </row>
    <row r="154" spans="1:6">
      <c r="A154" t="s">
        <v>196</v>
      </c>
    </row>
    <row r="155" spans="1:6">
      <c r="A155" t="s">
        <v>197</v>
      </c>
      <c r="B155" t="s">
        <v>198</v>
      </c>
      <c r="C155" t="s">
        <v>695</v>
      </c>
      <c r="D155" t="s">
        <v>594</v>
      </c>
      <c r="E155" t="s">
        <v>646</v>
      </c>
      <c r="F155">
        <v>3</v>
      </c>
    </row>
    <row r="156" spans="1:6">
      <c r="A156" t="s">
        <v>199</v>
      </c>
      <c r="B156" t="s">
        <v>200</v>
      </c>
      <c r="C156" t="s">
        <v>696</v>
      </c>
      <c r="D156" t="s">
        <v>561</v>
      </c>
      <c r="E156" t="s">
        <v>697</v>
      </c>
      <c r="F156">
        <v>7</v>
      </c>
    </row>
    <row r="157" spans="1:6">
      <c r="A157" t="s">
        <v>201</v>
      </c>
      <c r="B157" t="s">
        <v>202</v>
      </c>
      <c r="C157" t="s">
        <v>698</v>
      </c>
      <c r="D157" t="s">
        <v>569</v>
      </c>
      <c r="E157" s="1" t="s">
        <v>699</v>
      </c>
      <c r="F157">
        <v>5</v>
      </c>
    </row>
    <row r="158" spans="1:6">
      <c r="A158" t="s">
        <v>203</v>
      </c>
      <c r="B158" t="s">
        <v>204</v>
      </c>
      <c r="C158" t="s">
        <v>700</v>
      </c>
      <c r="D158" t="s">
        <v>615</v>
      </c>
      <c r="E158" t="s">
        <v>642</v>
      </c>
      <c r="F158">
        <v>5</v>
      </c>
    </row>
    <row r="159" spans="1:6">
      <c r="A159" t="s">
        <v>205</v>
      </c>
      <c r="B159" t="s">
        <v>206</v>
      </c>
      <c r="C159" t="s">
        <v>701</v>
      </c>
      <c r="D159" t="s">
        <v>561</v>
      </c>
      <c r="E159" t="s">
        <v>612</v>
      </c>
      <c r="F159">
        <v>2</v>
      </c>
    </row>
    <row r="160" spans="1:6">
      <c r="A160" t="s">
        <v>29</v>
      </c>
    </row>
    <row r="161" spans="1:6">
      <c r="A161" t="s">
        <v>207</v>
      </c>
      <c r="B161" t="s">
        <v>208</v>
      </c>
      <c r="C161" t="s">
        <v>702</v>
      </c>
      <c r="D161" t="s">
        <v>594</v>
      </c>
      <c r="E161" t="s">
        <v>565</v>
      </c>
      <c r="F161">
        <v>4</v>
      </c>
    </row>
    <row r="162" spans="1:6">
      <c r="A162" t="s">
        <v>209</v>
      </c>
      <c r="B162" t="s">
        <v>210</v>
      </c>
      <c r="C162" t="s">
        <v>703</v>
      </c>
      <c r="D162" t="s">
        <v>601</v>
      </c>
      <c r="E162" t="s">
        <v>575</v>
      </c>
      <c r="F162">
        <v>1</v>
      </c>
    </row>
    <row r="163" spans="1:6">
      <c r="A163" t="s">
        <v>79</v>
      </c>
      <c r="B163" t="s">
        <v>80</v>
      </c>
      <c r="C163" t="s">
        <v>629</v>
      </c>
      <c r="D163" t="s">
        <v>596</v>
      </c>
      <c r="E163" t="s">
        <v>610</v>
      </c>
      <c r="F163">
        <v>5</v>
      </c>
    </row>
    <row r="164" spans="1:6">
      <c r="A164" t="s">
        <v>201</v>
      </c>
      <c r="B164" t="s">
        <v>202</v>
      </c>
      <c r="C164" t="s">
        <v>698</v>
      </c>
      <c r="D164" t="s">
        <v>569</v>
      </c>
      <c r="E164" t="s">
        <v>699</v>
      </c>
      <c r="F164">
        <v>5</v>
      </c>
    </row>
    <row r="165" spans="1:6">
      <c r="A165" t="s">
        <v>211</v>
      </c>
      <c r="B165" t="s">
        <v>212</v>
      </c>
      <c r="C165" t="s">
        <v>704</v>
      </c>
      <c r="D165" t="s">
        <v>574</v>
      </c>
      <c r="E165" t="s">
        <v>577</v>
      </c>
      <c r="F165">
        <v>3</v>
      </c>
    </row>
    <row r="166" spans="1:6">
      <c r="A166" t="s">
        <v>213</v>
      </c>
      <c r="B166" t="s">
        <v>214</v>
      </c>
      <c r="C166" t="s">
        <v>705</v>
      </c>
      <c r="D166" t="s">
        <v>615</v>
      </c>
      <c r="E166" t="s">
        <v>587</v>
      </c>
      <c r="F166">
        <v>5</v>
      </c>
    </row>
    <row r="167" spans="1:6">
      <c r="A167" t="s">
        <v>120</v>
      </c>
      <c r="B167" t="s">
        <v>121</v>
      </c>
      <c r="C167" t="s">
        <v>656</v>
      </c>
      <c r="D167" t="s">
        <v>594</v>
      </c>
      <c r="E167" t="s">
        <v>575</v>
      </c>
      <c r="F167">
        <v>1</v>
      </c>
    </row>
    <row r="168" spans="1:6">
      <c r="A168" t="s">
        <v>54</v>
      </c>
    </row>
    <row r="169" spans="1:6">
      <c r="A169" t="s">
        <v>215</v>
      </c>
      <c r="B169" t="s">
        <v>216</v>
      </c>
      <c r="C169" t="s">
        <v>706</v>
      </c>
      <c r="D169" t="s">
        <v>596</v>
      </c>
      <c r="E169" t="s">
        <v>633</v>
      </c>
      <c r="F169">
        <v>2</v>
      </c>
    </row>
    <row r="170" spans="1:6">
      <c r="A170" t="s">
        <v>215</v>
      </c>
      <c r="B170" t="s">
        <v>216</v>
      </c>
      <c r="C170" t="s">
        <v>706</v>
      </c>
      <c r="D170" t="s">
        <v>596</v>
      </c>
      <c r="E170" t="s">
        <v>633</v>
      </c>
      <c r="F170">
        <v>2</v>
      </c>
    </row>
    <row r="171" spans="1:6">
      <c r="A171" t="s">
        <v>201</v>
      </c>
      <c r="B171" t="s">
        <v>202</v>
      </c>
      <c r="C171" t="s">
        <v>698</v>
      </c>
      <c r="D171" t="s">
        <v>569</v>
      </c>
      <c r="E171" t="s">
        <v>699</v>
      </c>
      <c r="F171">
        <v>5</v>
      </c>
    </row>
    <row r="172" spans="1:6">
      <c r="A172" t="s">
        <v>217</v>
      </c>
      <c r="B172" t="s">
        <v>218</v>
      </c>
      <c r="C172" t="s">
        <v>707</v>
      </c>
      <c r="D172" t="s">
        <v>599</v>
      </c>
      <c r="E172" t="s">
        <v>570</v>
      </c>
      <c r="F172">
        <v>5</v>
      </c>
    </row>
    <row r="173" spans="1:6">
      <c r="A173" t="s">
        <v>219</v>
      </c>
      <c r="B173" t="s">
        <v>220</v>
      </c>
      <c r="C173" t="s">
        <v>708</v>
      </c>
      <c r="D173" t="s">
        <v>569</v>
      </c>
      <c r="E173" t="s">
        <v>709</v>
      </c>
      <c r="F173">
        <v>5</v>
      </c>
    </row>
    <row r="174" spans="1:6">
      <c r="A174" t="s">
        <v>29</v>
      </c>
    </row>
    <row r="175" spans="1:6">
      <c r="A175" t="s">
        <v>36</v>
      </c>
      <c r="B175" t="s">
        <v>221</v>
      </c>
      <c r="C175" t="s">
        <v>668</v>
      </c>
      <c r="D175" t="s">
        <v>596</v>
      </c>
      <c r="E175" t="s">
        <v>575</v>
      </c>
      <c r="F175">
        <v>5</v>
      </c>
    </row>
    <row r="176" spans="1:6">
      <c r="A176" t="s">
        <v>222</v>
      </c>
      <c r="B176" t="s">
        <v>223</v>
      </c>
      <c r="C176" t="s">
        <v>710</v>
      </c>
      <c r="D176" t="s">
        <v>596</v>
      </c>
      <c r="E176" t="s">
        <v>585</v>
      </c>
      <c r="F176">
        <v>2</v>
      </c>
    </row>
    <row r="177" spans="1:6">
      <c r="A177" t="s">
        <v>224</v>
      </c>
      <c r="B177" t="s">
        <v>225</v>
      </c>
      <c r="C177" t="s">
        <v>711</v>
      </c>
      <c r="D177" t="s">
        <v>580</v>
      </c>
      <c r="E177" t="s">
        <v>712</v>
      </c>
      <c r="F177">
        <v>5</v>
      </c>
    </row>
    <row r="178" spans="1:6">
      <c r="A178" t="s">
        <v>201</v>
      </c>
      <c r="B178" t="s">
        <v>202</v>
      </c>
      <c r="C178" t="s">
        <v>698</v>
      </c>
      <c r="D178" t="s">
        <v>569</v>
      </c>
      <c r="E178" t="s">
        <v>699</v>
      </c>
      <c r="F178">
        <v>5</v>
      </c>
    </row>
    <row r="179" spans="1:6">
      <c r="A179" t="s">
        <v>124</v>
      </c>
      <c r="B179" t="s">
        <v>125</v>
      </c>
      <c r="C179" t="s">
        <v>659</v>
      </c>
      <c r="D179" t="s">
        <v>660</v>
      </c>
      <c r="E179" t="s">
        <v>562</v>
      </c>
      <c r="F179">
        <v>1</v>
      </c>
    </row>
    <row r="180" spans="1:6">
      <c r="A180" t="s">
        <v>128</v>
      </c>
      <c r="B180" t="s">
        <v>129</v>
      </c>
      <c r="C180" t="s">
        <v>661</v>
      </c>
      <c r="D180" t="s">
        <v>599</v>
      </c>
      <c r="E180" t="s">
        <v>589</v>
      </c>
      <c r="F180">
        <v>4</v>
      </c>
    </row>
    <row r="181" spans="1:6">
      <c r="A181" t="s">
        <v>226</v>
      </c>
      <c r="B181" s="1" t="s">
        <v>227</v>
      </c>
      <c r="C181" t="s">
        <v>713</v>
      </c>
      <c r="D181" t="s">
        <v>569</v>
      </c>
      <c r="E181" s="1" t="s">
        <v>612</v>
      </c>
      <c r="F181">
        <v>5</v>
      </c>
    </row>
    <row r="182" spans="1:6">
      <c r="A182" t="s">
        <v>54</v>
      </c>
    </row>
    <row r="183" spans="1:6">
      <c r="A183" t="s">
        <v>195</v>
      </c>
    </row>
    <row r="184" spans="1:6">
      <c r="A184" t="s">
        <v>228</v>
      </c>
    </row>
    <row r="185" spans="1:6">
      <c r="A185" t="s">
        <v>42</v>
      </c>
      <c r="B185" t="s">
        <v>43</v>
      </c>
      <c r="C185" t="s">
        <v>600</v>
      </c>
      <c r="D185" t="s">
        <v>601</v>
      </c>
      <c r="E185" t="s">
        <v>565</v>
      </c>
      <c r="F185">
        <v>4</v>
      </c>
    </row>
    <row r="186" spans="1:6">
      <c r="A186" t="s">
        <v>229</v>
      </c>
      <c r="B186" t="s">
        <v>230</v>
      </c>
      <c r="C186" t="s">
        <v>714</v>
      </c>
      <c r="D186" t="s">
        <v>599</v>
      </c>
      <c r="E186" t="s">
        <v>587</v>
      </c>
      <c r="F186">
        <v>2</v>
      </c>
    </row>
    <row r="187" spans="1:6">
      <c r="A187" t="s">
        <v>231</v>
      </c>
      <c r="B187" t="s">
        <v>232</v>
      </c>
      <c r="C187" t="s">
        <v>715</v>
      </c>
      <c r="D187" t="s">
        <v>564</v>
      </c>
      <c r="E187" t="s">
        <v>618</v>
      </c>
      <c r="F187">
        <v>1</v>
      </c>
    </row>
    <row r="188" spans="1:6">
      <c r="A188" t="s">
        <v>233</v>
      </c>
      <c r="B188" t="s">
        <v>234</v>
      </c>
      <c r="C188" t="s">
        <v>716</v>
      </c>
      <c r="D188" t="s">
        <v>635</v>
      </c>
      <c r="E188" t="s">
        <v>575</v>
      </c>
      <c r="F188">
        <v>5</v>
      </c>
    </row>
    <row r="189" spans="1:6">
      <c r="A189" t="s">
        <v>235</v>
      </c>
      <c r="B189" t="s">
        <v>236</v>
      </c>
      <c r="C189" t="s">
        <v>717</v>
      </c>
      <c r="D189" t="s">
        <v>574</v>
      </c>
      <c r="E189" t="s">
        <v>633</v>
      </c>
      <c r="F189">
        <v>1</v>
      </c>
    </row>
    <row r="190" spans="1:6">
      <c r="A190" t="s">
        <v>237</v>
      </c>
      <c r="B190" t="s">
        <v>238</v>
      </c>
      <c r="C190" t="s">
        <v>718</v>
      </c>
      <c r="D190" t="s">
        <v>561</v>
      </c>
      <c r="E190" t="s">
        <v>719</v>
      </c>
      <c r="F190">
        <v>2</v>
      </c>
    </row>
    <row r="191" spans="1:6">
      <c r="A191" t="s">
        <v>29</v>
      </c>
    </row>
    <row r="192" spans="1:6">
      <c r="A192" t="s">
        <v>239</v>
      </c>
      <c r="B192" t="s">
        <v>240</v>
      </c>
      <c r="C192" t="s">
        <v>720</v>
      </c>
      <c r="D192" t="s">
        <v>599</v>
      </c>
      <c r="E192" t="s">
        <v>585</v>
      </c>
      <c r="F192">
        <v>2</v>
      </c>
    </row>
    <row r="193" spans="1:6">
      <c r="A193" t="s">
        <v>83</v>
      </c>
      <c r="B193" t="s">
        <v>84</v>
      </c>
      <c r="C193" t="s">
        <v>631</v>
      </c>
      <c r="D193" t="s">
        <v>594</v>
      </c>
      <c r="E193" t="s">
        <v>621</v>
      </c>
      <c r="F193">
        <v>1</v>
      </c>
    </row>
    <row r="194" spans="1:6">
      <c r="A194" t="s">
        <v>157</v>
      </c>
      <c r="B194" t="s">
        <v>150</v>
      </c>
      <c r="C194" t="s">
        <v>664</v>
      </c>
      <c r="D194" t="s">
        <v>580</v>
      </c>
      <c r="E194" t="s">
        <v>585</v>
      </c>
      <c r="F194">
        <v>5</v>
      </c>
    </row>
    <row r="195" spans="1:6">
      <c r="A195" t="s">
        <v>241</v>
      </c>
      <c r="B195" t="s">
        <v>242</v>
      </c>
      <c r="C195" t="s">
        <v>721</v>
      </c>
      <c r="D195" t="s">
        <v>569</v>
      </c>
      <c r="E195" t="s">
        <v>621</v>
      </c>
      <c r="F195">
        <v>5</v>
      </c>
    </row>
    <row r="196" spans="1:6">
      <c r="A196" t="s">
        <v>25</v>
      </c>
      <c r="B196" t="s">
        <v>26</v>
      </c>
      <c r="C196" t="s">
        <v>584</v>
      </c>
      <c r="D196" t="s">
        <v>561</v>
      </c>
      <c r="E196" t="s">
        <v>585</v>
      </c>
      <c r="F196">
        <v>1</v>
      </c>
    </row>
    <row r="197" spans="1:6">
      <c r="A197" t="s">
        <v>29</v>
      </c>
    </row>
    <row r="198" spans="1:6">
      <c r="A198" t="s">
        <v>160</v>
      </c>
      <c r="B198" t="s">
        <v>161</v>
      </c>
      <c r="C198" t="s">
        <v>676</v>
      </c>
      <c r="D198" t="s">
        <v>594</v>
      </c>
      <c r="E198" t="s">
        <v>585</v>
      </c>
      <c r="F198">
        <v>5</v>
      </c>
    </row>
    <row r="199" spans="1:6">
      <c r="A199" t="s">
        <v>243</v>
      </c>
      <c r="B199" t="s">
        <v>244</v>
      </c>
      <c r="C199" t="s">
        <v>722</v>
      </c>
      <c r="D199" t="s">
        <v>574</v>
      </c>
      <c r="E199" t="s">
        <v>610</v>
      </c>
      <c r="F199">
        <v>1</v>
      </c>
    </row>
    <row r="200" spans="1:6">
      <c r="A200" t="s">
        <v>245</v>
      </c>
      <c r="B200" t="s">
        <v>246</v>
      </c>
      <c r="C200" t="s">
        <v>723</v>
      </c>
      <c r="D200" t="s">
        <v>599</v>
      </c>
      <c r="E200" t="s">
        <v>577</v>
      </c>
      <c r="F200">
        <v>1</v>
      </c>
    </row>
    <row r="201" spans="1:6">
      <c r="A201" t="s">
        <v>245</v>
      </c>
      <c r="B201" t="s">
        <v>246</v>
      </c>
      <c r="C201" t="s">
        <v>723</v>
      </c>
      <c r="D201" t="s">
        <v>599</v>
      </c>
      <c r="E201" t="s">
        <v>577</v>
      </c>
      <c r="F201">
        <v>1</v>
      </c>
    </row>
    <row r="202" spans="1:6">
      <c r="A202" t="s">
        <v>144</v>
      </c>
      <c r="B202" t="s">
        <v>145</v>
      </c>
      <c r="C202" t="s">
        <v>669</v>
      </c>
      <c r="D202" t="s">
        <v>580</v>
      </c>
      <c r="E202" t="s">
        <v>562</v>
      </c>
      <c r="F202">
        <v>5</v>
      </c>
    </row>
    <row r="203" spans="1:6">
      <c r="A203" t="s">
        <v>29</v>
      </c>
    </row>
    <row r="204" spans="1:6">
      <c r="A204" t="s">
        <v>134</v>
      </c>
      <c r="B204" t="s">
        <v>135</v>
      </c>
      <c r="C204" t="s">
        <v>664</v>
      </c>
      <c r="D204" t="s">
        <v>580</v>
      </c>
      <c r="E204" s="1" t="s">
        <v>585</v>
      </c>
      <c r="F204">
        <v>5</v>
      </c>
    </row>
    <row r="205" spans="1:6">
      <c r="A205" t="s">
        <v>247</v>
      </c>
      <c r="B205" t="s">
        <v>248</v>
      </c>
      <c r="C205" t="s">
        <v>724</v>
      </c>
      <c r="D205" t="s">
        <v>599</v>
      </c>
      <c r="E205" t="s">
        <v>603</v>
      </c>
      <c r="F205">
        <v>1</v>
      </c>
    </row>
    <row r="206" spans="1:6">
      <c r="A206" t="s">
        <v>134</v>
      </c>
      <c r="B206" t="s">
        <v>135</v>
      </c>
      <c r="C206" t="s">
        <v>664</v>
      </c>
      <c r="D206" t="s">
        <v>580</v>
      </c>
      <c r="E206" s="1" t="s">
        <v>585</v>
      </c>
      <c r="F206">
        <v>5</v>
      </c>
    </row>
    <row r="207" spans="1:6">
      <c r="A207" t="s">
        <v>249</v>
      </c>
      <c r="B207" t="s">
        <v>250</v>
      </c>
      <c r="C207" t="s">
        <v>725</v>
      </c>
      <c r="D207" t="s">
        <v>596</v>
      </c>
      <c r="E207" t="s">
        <v>577</v>
      </c>
      <c r="F207">
        <v>7</v>
      </c>
    </row>
    <row r="208" spans="1:6">
      <c r="A208" t="s">
        <v>29</v>
      </c>
    </row>
    <row r="209" spans="1:6">
      <c r="A209" t="s">
        <v>134</v>
      </c>
      <c r="B209" t="s">
        <v>135</v>
      </c>
      <c r="C209" t="s">
        <v>664</v>
      </c>
      <c r="D209" t="s">
        <v>580</v>
      </c>
      <c r="E209" s="1" t="s">
        <v>585</v>
      </c>
      <c r="F209">
        <v>5</v>
      </c>
    </row>
    <row r="210" spans="1:6">
      <c r="A210" t="s">
        <v>251</v>
      </c>
      <c r="B210" t="s">
        <v>252</v>
      </c>
      <c r="C210" t="s">
        <v>726</v>
      </c>
      <c r="D210" t="s">
        <v>601</v>
      </c>
      <c r="E210" t="s">
        <v>683</v>
      </c>
      <c r="F210">
        <v>4</v>
      </c>
    </row>
    <row r="211" spans="1:6">
      <c r="A211" t="s">
        <v>134</v>
      </c>
      <c r="B211" t="s">
        <v>135</v>
      </c>
      <c r="C211" t="s">
        <v>664</v>
      </c>
      <c r="D211" t="s">
        <v>580</v>
      </c>
      <c r="E211" s="1" t="s">
        <v>585</v>
      </c>
      <c r="F211">
        <v>5</v>
      </c>
    </row>
    <row r="212" spans="1:6">
      <c r="A212" t="s">
        <v>253</v>
      </c>
      <c r="B212" t="s">
        <v>212</v>
      </c>
      <c r="C212" t="s">
        <v>704</v>
      </c>
      <c r="D212" t="s">
        <v>574</v>
      </c>
      <c r="E212" t="s">
        <v>577</v>
      </c>
      <c r="F212">
        <v>3</v>
      </c>
    </row>
    <row r="213" spans="1:6">
      <c r="A213" t="s">
        <v>29</v>
      </c>
    </row>
    <row r="214" spans="1:6">
      <c r="A214" t="s">
        <v>254</v>
      </c>
      <c r="B214" t="s">
        <v>218</v>
      </c>
      <c r="C214" t="s">
        <v>707</v>
      </c>
      <c r="D214" t="s">
        <v>599</v>
      </c>
      <c r="E214" t="s">
        <v>570</v>
      </c>
      <c r="F214">
        <v>5</v>
      </c>
    </row>
    <row r="215" spans="1:6">
      <c r="A215" t="s">
        <v>255</v>
      </c>
      <c r="B215" t="s">
        <v>256</v>
      </c>
      <c r="C215" t="s">
        <v>727</v>
      </c>
      <c r="D215" t="s">
        <v>599</v>
      </c>
      <c r="E215" t="s">
        <v>581</v>
      </c>
      <c r="F215">
        <v>1</v>
      </c>
    </row>
    <row r="216" spans="1:6">
      <c r="A216" t="s">
        <v>257</v>
      </c>
      <c r="B216" t="s">
        <v>258</v>
      </c>
      <c r="C216" t="s">
        <v>728</v>
      </c>
      <c r="D216" t="s">
        <v>615</v>
      </c>
      <c r="E216" t="s">
        <v>633</v>
      </c>
      <c r="F216">
        <v>2</v>
      </c>
    </row>
    <row r="217" spans="1:6">
      <c r="A217" t="s">
        <v>257</v>
      </c>
      <c r="B217" t="s">
        <v>258</v>
      </c>
      <c r="C217" t="s">
        <v>728</v>
      </c>
      <c r="D217" t="s">
        <v>615</v>
      </c>
      <c r="E217" t="s">
        <v>633</v>
      </c>
      <c r="F217">
        <v>2</v>
      </c>
    </row>
    <row r="218" spans="1:6">
      <c r="A218" t="s">
        <v>29</v>
      </c>
    </row>
    <row r="219" spans="1:6">
      <c r="A219" t="s">
        <v>67</v>
      </c>
      <c r="B219" t="s">
        <v>68</v>
      </c>
      <c r="C219" t="s">
        <v>622</v>
      </c>
      <c r="D219" t="s">
        <v>567</v>
      </c>
      <c r="E219" t="s">
        <v>583</v>
      </c>
      <c r="F219">
        <v>4</v>
      </c>
    </row>
    <row r="220" spans="1:6">
      <c r="A220" t="s">
        <v>259</v>
      </c>
      <c r="B220" t="s">
        <v>260</v>
      </c>
      <c r="C220" t="s">
        <v>729</v>
      </c>
      <c r="D220" t="s">
        <v>561</v>
      </c>
      <c r="E220" t="s">
        <v>592</v>
      </c>
      <c r="F220">
        <v>8</v>
      </c>
    </row>
    <row r="221" spans="1:6">
      <c r="A221" t="s">
        <v>134</v>
      </c>
      <c r="B221" s="1" t="s">
        <v>150</v>
      </c>
      <c r="C221" t="s">
        <v>664</v>
      </c>
      <c r="D221" t="s">
        <v>580</v>
      </c>
      <c r="E221" s="1" t="s">
        <v>585</v>
      </c>
      <c r="F221">
        <v>5</v>
      </c>
    </row>
    <row r="222" spans="1:6">
      <c r="A222" t="s">
        <v>261</v>
      </c>
      <c r="B222" t="s">
        <v>262</v>
      </c>
      <c r="C222" t="s">
        <v>730</v>
      </c>
      <c r="D222" t="s">
        <v>615</v>
      </c>
      <c r="E222" s="1" t="s">
        <v>585</v>
      </c>
      <c r="F222">
        <v>2</v>
      </c>
    </row>
    <row r="223" spans="1:6">
      <c r="A223" t="s">
        <v>54</v>
      </c>
    </row>
    <row r="224" spans="1:6">
      <c r="A224" t="s">
        <v>263</v>
      </c>
      <c r="B224" t="s">
        <v>264</v>
      </c>
      <c r="C224" t="s">
        <v>731</v>
      </c>
      <c r="D224" t="s">
        <v>596</v>
      </c>
      <c r="E224" t="s">
        <v>570</v>
      </c>
      <c r="F224">
        <v>2</v>
      </c>
    </row>
    <row r="225" spans="1:6">
      <c r="A225" t="s">
        <v>265</v>
      </c>
      <c r="B225" t="s">
        <v>266</v>
      </c>
      <c r="C225" t="s">
        <v>732</v>
      </c>
      <c r="D225" t="s">
        <v>599</v>
      </c>
      <c r="E225" t="s">
        <v>587</v>
      </c>
      <c r="F225">
        <v>1</v>
      </c>
    </row>
    <row r="226" spans="1:6">
      <c r="A226" t="s">
        <v>267</v>
      </c>
      <c r="B226" t="s">
        <v>268</v>
      </c>
      <c r="C226" t="s">
        <v>733</v>
      </c>
      <c r="D226" t="s">
        <v>569</v>
      </c>
      <c r="E226" t="s">
        <v>572</v>
      </c>
      <c r="F226">
        <v>4</v>
      </c>
    </row>
    <row r="227" spans="1:6">
      <c r="A227" t="s">
        <v>25</v>
      </c>
      <c r="B227" t="s">
        <v>26</v>
      </c>
      <c r="C227" t="s">
        <v>584</v>
      </c>
      <c r="D227" t="s">
        <v>561</v>
      </c>
      <c r="E227" t="s">
        <v>585</v>
      </c>
      <c r="F227">
        <v>1</v>
      </c>
    </row>
    <row r="228" spans="1:6">
      <c r="A228" t="s">
        <v>269</v>
      </c>
      <c r="B228" t="s">
        <v>270</v>
      </c>
      <c r="C228" t="s">
        <v>734</v>
      </c>
      <c r="D228" t="s">
        <v>561</v>
      </c>
      <c r="E228" t="s">
        <v>735</v>
      </c>
      <c r="F228">
        <v>5</v>
      </c>
    </row>
    <row r="229" spans="1:6">
      <c r="A229" t="s">
        <v>271</v>
      </c>
      <c r="B229" t="s">
        <v>272</v>
      </c>
      <c r="C229" t="s">
        <v>736</v>
      </c>
      <c r="D229" t="s">
        <v>594</v>
      </c>
      <c r="E229" t="s">
        <v>697</v>
      </c>
      <c r="F229">
        <v>1</v>
      </c>
    </row>
    <row r="230" spans="1:6">
      <c r="A230" t="s">
        <v>29</v>
      </c>
    </row>
    <row r="231" spans="1:6">
      <c r="A231" t="s">
        <v>251</v>
      </c>
      <c r="B231" t="s">
        <v>252</v>
      </c>
      <c r="C231" t="s">
        <v>726</v>
      </c>
      <c r="D231" t="s">
        <v>601</v>
      </c>
      <c r="E231" t="s">
        <v>683</v>
      </c>
      <c r="F231">
        <v>4</v>
      </c>
    </row>
    <row r="232" spans="1:6">
      <c r="A232" t="s">
        <v>273</v>
      </c>
      <c r="B232" t="s">
        <v>274</v>
      </c>
      <c r="C232" t="s">
        <v>737</v>
      </c>
      <c r="D232" t="s">
        <v>594</v>
      </c>
      <c r="E232" t="s">
        <v>577</v>
      </c>
      <c r="F232">
        <v>1</v>
      </c>
    </row>
    <row r="233" spans="1:6">
      <c r="A233" t="s">
        <v>46</v>
      </c>
      <c r="B233" t="s">
        <v>47</v>
      </c>
      <c r="C233" t="s">
        <v>604</v>
      </c>
      <c r="D233" t="s">
        <v>561</v>
      </c>
      <c r="E233" t="s">
        <v>587</v>
      </c>
      <c r="F233">
        <v>1</v>
      </c>
    </row>
    <row r="234" spans="1:6">
      <c r="A234" t="s">
        <v>25</v>
      </c>
      <c r="B234" t="s">
        <v>26</v>
      </c>
      <c r="C234" t="s">
        <v>584</v>
      </c>
      <c r="D234" t="s">
        <v>561</v>
      </c>
      <c r="E234" t="s">
        <v>585</v>
      </c>
      <c r="F234">
        <v>1</v>
      </c>
    </row>
    <row r="235" spans="1:6">
      <c r="A235" t="s">
        <v>275</v>
      </c>
      <c r="B235" t="s">
        <v>276</v>
      </c>
      <c r="C235" t="s">
        <v>738</v>
      </c>
      <c r="D235" t="s">
        <v>615</v>
      </c>
      <c r="E235" t="s">
        <v>585</v>
      </c>
      <c r="F235">
        <v>5</v>
      </c>
    </row>
    <row r="236" spans="1:6">
      <c r="A236" t="s">
        <v>277</v>
      </c>
      <c r="B236" t="s">
        <v>278</v>
      </c>
      <c r="C236" t="s">
        <v>739</v>
      </c>
      <c r="D236" t="s">
        <v>569</v>
      </c>
      <c r="E236" t="s">
        <v>570</v>
      </c>
      <c r="F236">
        <v>7</v>
      </c>
    </row>
    <row r="237" spans="1:6">
      <c r="A237" t="s">
        <v>54</v>
      </c>
    </row>
    <row r="238" spans="1:6">
      <c r="A238" t="s">
        <v>17</v>
      </c>
      <c r="B238" t="s">
        <v>18</v>
      </c>
      <c r="C238" t="s">
        <v>576</v>
      </c>
      <c r="D238" t="s">
        <v>574</v>
      </c>
      <c r="E238" t="s">
        <v>577</v>
      </c>
      <c r="F238">
        <v>1</v>
      </c>
    </row>
    <row r="239" spans="1:6">
      <c r="A239" t="s">
        <v>38</v>
      </c>
      <c r="B239" s="1" t="s">
        <v>163</v>
      </c>
      <c r="C239" t="s">
        <v>677</v>
      </c>
      <c r="D239" t="s">
        <v>561</v>
      </c>
      <c r="E239" s="1" t="s">
        <v>585</v>
      </c>
      <c r="F239">
        <v>2</v>
      </c>
    </row>
    <row r="240" spans="1:6">
      <c r="A240" t="s">
        <v>279</v>
      </c>
      <c r="B240" s="1" t="s">
        <v>280</v>
      </c>
      <c r="C240" t="s">
        <v>740</v>
      </c>
      <c r="D240" t="s">
        <v>564</v>
      </c>
      <c r="E240" s="1" t="s">
        <v>633</v>
      </c>
      <c r="F240">
        <v>2</v>
      </c>
    </row>
    <row r="241" spans="1:6">
      <c r="A241" t="s">
        <v>144</v>
      </c>
      <c r="B241" t="s">
        <v>145</v>
      </c>
      <c r="C241" t="s">
        <v>669</v>
      </c>
      <c r="D241" t="s">
        <v>580</v>
      </c>
      <c r="E241" t="s">
        <v>562</v>
      </c>
      <c r="F241">
        <v>5</v>
      </c>
    </row>
    <row r="242" spans="1:6">
      <c r="A242" t="s">
        <v>29</v>
      </c>
    </row>
    <row r="243" spans="1:6">
      <c r="A243" t="s">
        <v>281</v>
      </c>
      <c r="B243" t="s">
        <v>282</v>
      </c>
      <c r="C243" t="s">
        <v>741</v>
      </c>
      <c r="D243" t="s">
        <v>561</v>
      </c>
      <c r="E243" t="s">
        <v>610</v>
      </c>
      <c r="F243">
        <v>3</v>
      </c>
    </row>
    <row r="244" spans="1:6">
      <c r="A244" t="s">
        <v>283</v>
      </c>
      <c r="B244" t="s">
        <v>284</v>
      </c>
      <c r="C244" t="s">
        <v>742</v>
      </c>
      <c r="D244" t="s">
        <v>594</v>
      </c>
      <c r="E244" t="s">
        <v>581</v>
      </c>
      <c r="F244">
        <v>1</v>
      </c>
    </row>
    <row r="245" spans="1:6">
      <c r="A245" t="s">
        <v>285</v>
      </c>
      <c r="B245" t="s">
        <v>286</v>
      </c>
      <c r="C245" t="s">
        <v>743</v>
      </c>
      <c r="D245" t="s">
        <v>591</v>
      </c>
      <c r="E245" t="s">
        <v>618</v>
      </c>
      <c r="F245">
        <v>5</v>
      </c>
    </row>
    <row r="246" spans="1:6">
      <c r="A246" t="s">
        <v>287</v>
      </c>
      <c r="B246" t="s">
        <v>288</v>
      </c>
      <c r="C246" t="s">
        <v>744</v>
      </c>
      <c r="D246" t="s">
        <v>561</v>
      </c>
      <c r="E246" t="s">
        <v>621</v>
      </c>
      <c r="F246">
        <v>2</v>
      </c>
    </row>
    <row r="247" spans="1:6">
      <c r="A247" t="s">
        <v>29</v>
      </c>
    </row>
    <row r="248" spans="1:6">
      <c r="A248" t="s">
        <v>157</v>
      </c>
      <c r="B248" t="s">
        <v>150</v>
      </c>
      <c r="C248" t="s">
        <v>664</v>
      </c>
      <c r="D248" t="s">
        <v>580</v>
      </c>
      <c r="E248" t="s">
        <v>585</v>
      </c>
      <c r="F248">
        <v>5</v>
      </c>
    </row>
    <row r="249" spans="1:6">
      <c r="A249" t="s">
        <v>289</v>
      </c>
      <c r="B249" t="s">
        <v>290</v>
      </c>
      <c r="C249" t="s">
        <v>745</v>
      </c>
      <c r="D249" t="s">
        <v>596</v>
      </c>
      <c r="E249" t="s">
        <v>746</v>
      </c>
      <c r="F249">
        <v>7</v>
      </c>
    </row>
    <row r="250" spans="1:6">
      <c r="A250" t="s">
        <v>42</v>
      </c>
      <c r="B250" t="s">
        <v>43</v>
      </c>
      <c r="C250" t="s">
        <v>600</v>
      </c>
      <c r="D250" t="s">
        <v>601</v>
      </c>
      <c r="E250" t="s">
        <v>565</v>
      </c>
      <c r="F250">
        <v>4</v>
      </c>
    </row>
    <row r="251" spans="1:6">
      <c r="A251" t="s">
        <v>193</v>
      </c>
      <c r="B251" t="s">
        <v>194</v>
      </c>
      <c r="C251" t="s">
        <v>694</v>
      </c>
      <c r="D251" t="s">
        <v>599</v>
      </c>
      <c r="E251" t="s">
        <v>592</v>
      </c>
      <c r="F251">
        <v>8</v>
      </c>
    </row>
    <row r="252" spans="1:6">
      <c r="A252" t="s">
        <v>16</v>
      </c>
    </row>
    <row r="253" spans="1:6">
      <c r="A253" t="s">
        <v>195</v>
      </c>
    </row>
    <row r="254" spans="1:6">
      <c r="A254" t="s">
        <v>196</v>
      </c>
    </row>
    <row r="255" spans="1:6">
      <c r="A255" t="s">
        <v>291</v>
      </c>
      <c r="B255" t="s">
        <v>242</v>
      </c>
      <c r="C255" t="s">
        <v>721</v>
      </c>
      <c r="D255" t="s">
        <v>569</v>
      </c>
      <c r="E255" t="s">
        <v>621</v>
      </c>
      <c r="F255">
        <v>5</v>
      </c>
    </row>
    <row r="256" spans="1:6">
      <c r="A256" t="s">
        <v>292</v>
      </c>
      <c r="B256" t="s">
        <v>293</v>
      </c>
      <c r="C256" t="s">
        <v>747</v>
      </c>
      <c r="D256" t="s">
        <v>599</v>
      </c>
      <c r="E256" t="s">
        <v>618</v>
      </c>
      <c r="F256">
        <v>7</v>
      </c>
    </row>
    <row r="257" spans="1:6">
      <c r="A257" t="s">
        <v>160</v>
      </c>
      <c r="B257" t="s">
        <v>161</v>
      </c>
      <c r="C257" t="s">
        <v>676</v>
      </c>
      <c r="D257" t="s">
        <v>594</v>
      </c>
      <c r="E257" t="s">
        <v>585</v>
      </c>
      <c r="F257">
        <v>5</v>
      </c>
    </row>
    <row r="258" spans="1:6">
      <c r="A258" t="s">
        <v>144</v>
      </c>
      <c r="B258" t="s">
        <v>145</v>
      </c>
      <c r="C258" t="s">
        <v>669</v>
      </c>
      <c r="D258" t="s">
        <v>580</v>
      </c>
      <c r="E258" t="s">
        <v>562</v>
      </c>
      <c r="F258">
        <v>5</v>
      </c>
    </row>
    <row r="259" spans="1:6">
      <c r="A259" t="s">
        <v>294</v>
      </c>
      <c r="B259" t="s">
        <v>295</v>
      </c>
      <c r="C259" t="s">
        <v>748</v>
      </c>
      <c r="D259" t="s">
        <v>599</v>
      </c>
      <c r="E259" t="s">
        <v>719</v>
      </c>
      <c r="F259">
        <v>2</v>
      </c>
    </row>
    <row r="260" spans="1:6">
      <c r="A260" t="s">
        <v>296</v>
      </c>
    </row>
    <row r="261" spans="1:6">
      <c r="A261" t="s">
        <v>195</v>
      </c>
    </row>
    <row r="262" spans="1:6">
      <c r="A262" t="s">
        <v>228</v>
      </c>
    </row>
    <row r="263" spans="1:6">
      <c r="A263" t="s">
        <v>42</v>
      </c>
      <c r="B263" t="s">
        <v>43</v>
      </c>
      <c r="C263" t="s">
        <v>600</v>
      </c>
      <c r="D263" t="s">
        <v>601</v>
      </c>
      <c r="E263" t="s">
        <v>565</v>
      </c>
      <c r="F263">
        <v>4</v>
      </c>
    </row>
    <row r="264" spans="1:6">
      <c r="A264" t="s">
        <v>193</v>
      </c>
      <c r="B264" t="s">
        <v>194</v>
      </c>
      <c r="C264" t="s">
        <v>694</v>
      </c>
      <c r="D264" t="s">
        <v>599</v>
      </c>
      <c r="E264" t="s">
        <v>592</v>
      </c>
      <c r="F264">
        <v>8</v>
      </c>
    </row>
    <row r="265" spans="1:6">
      <c r="A265" t="s">
        <v>16</v>
      </c>
    </row>
    <row r="266" spans="1:6">
      <c r="A266" t="s">
        <v>195</v>
      </c>
    </row>
    <row r="267" spans="1:6">
      <c r="A267" t="s">
        <v>196</v>
      </c>
    </row>
    <row r="268" spans="1:6">
      <c r="A268" t="s">
        <v>195</v>
      </c>
    </row>
    <row r="269" spans="1:6">
      <c r="A269" t="s">
        <v>297</v>
      </c>
    </row>
    <row r="270" spans="1:6">
      <c r="A270" t="s">
        <v>32</v>
      </c>
      <c r="B270" t="s">
        <v>33</v>
      </c>
      <c r="C270" t="s">
        <v>590</v>
      </c>
      <c r="D270" t="s">
        <v>591</v>
      </c>
      <c r="E270" t="s">
        <v>592</v>
      </c>
      <c r="F270">
        <v>8</v>
      </c>
    </row>
    <row r="271" spans="1:6">
      <c r="A271" t="s">
        <v>79</v>
      </c>
      <c r="B271" t="s">
        <v>80</v>
      </c>
      <c r="C271" t="s">
        <v>629</v>
      </c>
      <c r="D271" t="s">
        <v>596</v>
      </c>
      <c r="E271" t="s">
        <v>610</v>
      </c>
      <c r="F271">
        <v>5</v>
      </c>
    </row>
    <row r="272" spans="1:6">
      <c r="A272" t="s">
        <v>298</v>
      </c>
      <c r="B272" t="s">
        <v>244</v>
      </c>
      <c r="C272" t="s">
        <v>722</v>
      </c>
      <c r="D272" t="s">
        <v>574</v>
      </c>
      <c r="E272" t="s">
        <v>610</v>
      </c>
      <c r="F272">
        <v>1</v>
      </c>
    </row>
    <row r="273" spans="1:6">
      <c r="A273" t="s">
        <v>299</v>
      </c>
      <c r="B273" t="s">
        <v>300</v>
      </c>
      <c r="C273" t="s">
        <v>749</v>
      </c>
      <c r="D273" t="s">
        <v>569</v>
      </c>
      <c r="E273" t="s">
        <v>585</v>
      </c>
      <c r="F273">
        <v>1</v>
      </c>
    </row>
    <row r="274" spans="1:6">
      <c r="A274" t="s">
        <v>29</v>
      </c>
    </row>
    <row r="275" spans="1:6">
      <c r="A275" t="s">
        <v>301</v>
      </c>
      <c r="B275" t="s">
        <v>246</v>
      </c>
      <c r="C275" t="s">
        <v>723</v>
      </c>
      <c r="D275" t="s">
        <v>599</v>
      </c>
      <c r="E275" t="s">
        <v>577</v>
      </c>
      <c r="F275">
        <v>1</v>
      </c>
    </row>
    <row r="276" spans="1:6">
      <c r="A276" t="s">
        <v>302</v>
      </c>
      <c r="B276" t="s">
        <v>303</v>
      </c>
      <c r="C276" t="s">
        <v>750</v>
      </c>
      <c r="D276" t="s">
        <v>564</v>
      </c>
      <c r="E276" t="s">
        <v>627</v>
      </c>
      <c r="F276">
        <v>4</v>
      </c>
    </row>
    <row r="277" spans="1:6">
      <c r="A277" t="s">
        <v>304</v>
      </c>
      <c r="B277" t="s">
        <v>305</v>
      </c>
      <c r="C277" t="s">
        <v>751</v>
      </c>
      <c r="D277" t="s">
        <v>615</v>
      </c>
      <c r="E277" t="s">
        <v>752</v>
      </c>
      <c r="F277">
        <v>5</v>
      </c>
    </row>
    <row r="278" spans="1:6">
      <c r="A278" t="s">
        <v>306</v>
      </c>
      <c r="B278" t="s">
        <v>307</v>
      </c>
      <c r="C278" t="s">
        <v>753</v>
      </c>
      <c r="D278" t="s">
        <v>569</v>
      </c>
      <c r="E278" t="s">
        <v>618</v>
      </c>
      <c r="F278">
        <v>1</v>
      </c>
    </row>
    <row r="279" spans="1:6">
      <c r="A279" t="s">
        <v>308</v>
      </c>
    </row>
    <row r="280" spans="1:6">
      <c r="A280" t="s">
        <v>195</v>
      </c>
    </row>
    <row r="281" spans="1:6">
      <c r="A281" t="s">
        <v>29</v>
      </c>
    </row>
    <row r="282" spans="1:6">
      <c r="A282" t="s">
        <v>309</v>
      </c>
      <c r="B282" t="s">
        <v>310</v>
      </c>
      <c r="C282" t="s">
        <v>754</v>
      </c>
      <c r="D282" t="s">
        <v>564</v>
      </c>
      <c r="E282" t="s">
        <v>570</v>
      </c>
      <c r="F282">
        <v>2</v>
      </c>
    </row>
    <row r="283" spans="1:6">
      <c r="A283" t="s">
        <v>311</v>
      </c>
      <c r="B283" t="s">
        <v>307</v>
      </c>
      <c r="C283" t="s">
        <v>753</v>
      </c>
      <c r="D283" t="s">
        <v>569</v>
      </c>
      <c r="E283" t="s">
        <v>618</v>
      </c>
      <c r="F283">
        <v>1</v>
      </c>
    </row>
    <row r="284" spans="1:6">
      <c r="A284" t="s">
        <v>312</v>
      </c>
      <c r="B284" t="s">
        <v>313</v>
      </c>
      <c r="C284" t="s">
        <v>755</v>
      </c>
      <c r="D284" t="s">
        <v>561</v>
      </c>
      <c r="E284" t="s">
        <v>621</v>
      </c>
      <c r="F284">
        <v>5</v>
      </c>
    </row>
    <row r="285" spans="1:6">
      <c r="A285" t="s">
        <v>314</v>
      </c>
      <c r="B285" t="s">
        <v>315</v>
      </c>
      <c r="C285" t="s">
        <v>756</v>
      </c>
      <c r="D285" t="s">
        <v>596</v>
      </c>
      <c r="E285" t="s">
        <v>610</v>
      </c>
      <c r="F285">
        <v>7</v>
      </c>
    </row>
    <row r="286" spans="1:6">
      <c r="A286" t="s">
        <v>316</v>
      </c>
      <c r="B286" t="s">
        <v>317</v>
      </c>
      <c r="C286" t="s">
        <v>757</v>
      </c>
      <c r="D286" t="s">
        <v>635</v>
      </c>
      <c r="E286" t="s">
        <v>565</v>
      </c>
      <c r="F286">
        <v>4</v>
      </c>
    </row>
    <row r="287" spans="1:6">
      <c r="A287" t="s">
        <v>25</v>
      </c>
      <c r="B287" t="s">
        <v>26</v>
      </c>
      <c r="C287" t="s">
        <v>584</v>
      </c>
      <c r="D287" t="s">
        <v>561</v>
      </c>
      <c r="E287" t="s">
        <v>585</v>
      </c>
      <c r="F287">
        <v>1</v>
      </c>
    </row>
    <row r="288" spans="1:6">
      <c r="A288" t="s">
        <v>81</v>
      </c>
      <c r="B288" t="s">
        <v>82</v>
      </c>
      <c r="C288" t="s">
        <v>630</v>
      </c>
      <c r="D288" t="s">
        <v>574</v>
      </c>
      <c r="E288" t="s">
        <v>585</v>
      </c>
      <c r="F288">
        <v>1</v>
      </c>
    </row>
    <row r="289" spans="1:6">
      <c r="A289" t="s">
        <v>148</v>
      </c>
      <c r="B289" t="s">
        <v>149</v>
      </c>
      <c r="C289" t="s">
        <v>671</v>
      </c>
      <c r="D289" t="s">
        <v>569</v>
      </c>
      <c r="E289" t="s">
        <v>577</v>
      </c>
      <c r="F289">
        <v>5</v>
      </c>
    </row>
    <row r="290" spans="1:6">
      <c r="A290" t="s">
        <v>296</v>
      </c>
    </row>
    <row r="291" spans="1:6">
      <c r="A291" t="s">
        <v>318</v>
      </c>
      <c r="B291" t="s">
        <v>319</v>
      </c>
      <c r="C291" t="s">
        <v>758</v>
      </c>
      <c r="D291" t="s">
        <v>574</v>
      </c>
      <c r="E291" t="s">
        <v>759</v>
      </c>
      <c r="F291">
        <v>1</v>
      </c>
    </row>
    <row r="292" spans="1:6">
      <c r="A292" t="s">
        <v>36</v>
      </c>
      <c r="B292" t="s">
        <v>221</v>
      </c>
      <c r="C292" t="s">
        <v>668</v>
      </c>
      <c r="D292" t="s">
        <v>596</v>
      </c>
      <c r="E292" t="s">
        <v>575</v>
      </c>
      <c r="F292">
        <v>5</v>
      </c>
    </row>
    <row r="293" spans="1:6">
      <c r="A293" t="s">
        <v>320</v>
      </c>
      <c r="B293" t="s">
        <v>53</v>
      </c>
      <c r="C293" t="s">
        <v>607</v>
      </c>
      <c r="D293" t="s">
        <v>569</v>
      </c>
      <c r="E293" s="1" t="s">
        <v>608</v>
      </c>
      <c r="F293">
        <v>7</v>
      </c>
    </row>
    <row r="294" spans="1:6">
      <c r="A294" t="s">
        <v>321</v>
      </c>
      <c r="B294" t="s">
        <v>322</v>
      </c>
      <c r="C294" t="s">
        <v>760</v>
      </c>
      <c r="D294" t="s">
        <v>601</v>
      </c>
      <c r="E294" t="s">
        <v>577</v>
      </c>
      <c r="F294">
        <v>2</v>
      </c>
    </row>
    <row r="295" spans="1:6">
      <c r="A295" t="s">
        <v>29</v>
      </c>
    </row>
    <row r="296" spans="1:6">
      <c r="A296" t="s">
        <v>97</v>
      </c>
      <c r="B296" t="s">
        <v>98</v>
      </c>
      <c r="C296" t="s">
        <v>640</v>
      </c>
      <c r="D296" t="s">
        <v>635</v>
      </c>
      <c r="E296" t="s">
        <v>575</v>
      </c>
      <c r="F296">
        <v>1</v>
      </c>
    </row>
    <row r="297" spans="1:6">
      <c r="A297" t="s">
        <v>36</v>
      </c>
      <c r="B297" s="1" t="s">
        <v>221</v>
      </c>
      <c r="C297" t="s">
        <v>668</v>
      </c>
      <c r="D297" t="s">
        <v>596</v>
      </c>
      <c r="E297" s="1" t="s">
        <v>575</v>
      </c>
      <c r="F297">
        <v>5</v>
      </c>
    </row>
    <row r="298" spans="1:6">
      <c r="A298" t="s">
        <v>323</v>
      </c>
      <c r="B298" t="s">
        <v>264</v>
      </c>
      <c r="C298" t="s">
        <v>731</v>
      </c>
      <c r="D298" t="s">
        <v>596</v>
      </c>
      <c r="E298" t="s">
        <v>570</v>
      </c>
      <c r="F298">
        <v>2</v>
      </c>
    </row>
    <row r="299" spans="1:6">
      <c r="A299" t="s">
        <v>324</v>
      </c>
      <c r="B299" t="s">
        <v>325</v>
      </c>
      <c r="C299" t="s">
        <v>761</v>
      </c>
      <c r="D299" t="s">
        <v>564</v>
      </c>
      <c r="E299" t="s">
        <v>612</v>
      </c>
      <c r="F299">
        <v>1</v>
      </c>
    </row>
    <row r="300" spans="1:6">
      <c r="A300" t="s">
        <v>29</v>
      </c>
    </row>
    <row r="301" spans="1:6">
      <c r="A301" t="s">
        <v>99</v>
      </c>
      <c r="B301" t="s">
        <v>100</v>
      </c>
      <c r="C301" t="s">
        <v>641</v>
      </c>
      <c r="D301" t="s">
        <v>574</v>
      </c>
      <c r="E301" t="s">
        <v>642</v>
      </c>
      <c r="F301">
        <v>1</v>
      </c>
    </row>
    <row r="302" spans="1:6">
      <c r="A302" t="s">
        <v>326</v>
      </c>
      <c r="B302" t="s">
        <v>327</v>
      </c>
      <c r="C302" t="s">
        <v>762</v>
      </c>
      <c r="D302" t="s">
        <v>564</v>
      </c>
      <c r="E302" t="s">
        <v>603</v>
      </c>
      <c r="F302">
        <v>1</v>
      </c>
    </row>
    <row r="303" spans="1:6">
      <c r="A303" t="s">
        <v>328</v>
      </c>
      <c r="B303" t="s">
        <v>329</v>
      </c>
      <c r="C303" t="s">
        <v>763</v>
      </c>
      <c r="D303" t="s">
        <v>574</v>
      </c>
      <c r="E303" t="s">
        <v>612</v>
      </c>
      <c r="F303">
        <v>1</v>
      </c>
    </row>
    <row r="304" spans="1:6">
      <c r="A304" t="s">
        <v>330</v>
      </c>
      <c r="B304" t="s">
        <v>331</v>
      </c>
      <c r="C304" t="s">
        <v>764</v>
      </c>
      <c r="D304" t="s">
        <v>596</v>
      </c>
      <c r="E304" t="s">
        <v>587</v>
      </c>
      <c r="F304">
        <v>5</v>
      </c>
    </row>
    <row r="305" spans="1:6">
      <c r="A305" t="s">
        <v>29</v>
      </c>
    </row>
    <row r="306" spans="1:6">
      <c r="A306" t="s">
        <v>332</v>
      </c>
      <c r="B306" t="s">
        <v>333</v>
      </c>
      <c r="C306" t="s">
        <v>765</v>
      </c>
      <c r="D306" t="s">
        <v>599</v>
      </c>
      <c r="E306" t="s">
        <v>583</v>
      </c>
      <c r="F306">
        <v>4</v>
      </c>
    </row>
    <row r="307" spans="1:6">
      <c r="A307" t="s">
        <v>148</v>
      </c>
      <c r="B307" t="s">
        <v>149</v>
      </c>
      <c r="C307" t="s">
        <v>671</v>
      </c>
      <c r="D307" t="s">
        <v>569</v>
      </c>
      <c r="E307" t="s">
        <v>577</v>
      </c>
      <c r="F307">
        <v>5</v>
      </c>
    </row>
    <row r="308" spans="1:6">
      <c r="A308" t="s">
        <v>334</v>
      </c>
      <c r="B308" t="s">
        <v>335</v>
      </c>
      <c r="C308" t="s">
        <v>766</v>
      </c>
      <c r="D308" t="s">
        <v>564</v>
      </c>
      <c r="E308" t="s">
        <v>575</v>
      </c>
      <c r="F308">
        <v>1</v>
      </c>
    </row>
    <row r="309" spans="1:6">
      <c r="A309" t="s">
        <v>334</v>
      </c>
      <c r="B309" t="s">
        <v>335</v>
      </c>
      <c r="C309" t="s">
        <v>766</v>
      </c>
      <c r="D309" t="s">
        <v>564</v>
      </c>
      <c r="E309" t="s">
        <v>575</v>
      </c>
      <c r="F309">
        <v>1</v>
      </c>
    </row>
    <row r="310" spans="1:6">
      <c r="A310" t="s">
        <v>29</v>
      </c>
    </row>
    <row r="311" spans="1:6">
      <c r="A311" t="s">
        <v>309</v>
      </c>
      <c r="B311" t="s">
        <v>310</v>
      </c>
      <c r="C311" t="s">
        <v>754</v>
      </c>
      <c r="D311" t="s">
        <v>564</v>
      </c>
      <c r="E311" t="s">
        <v>570</v>
      </c>
      <c r="F311">
        <v>2</v>
      </c>
    </row>
    <row r="312" spans="1:6">
      <c r="A312" t="s">
        <v>311</v>
      </c>
      <c r="B312" t="s">
        <v>307</v>
      </c>
      <c r="C312" t="s">
        <v>753</v>
      </c>
      <c r="D312" t="s">
        <v>569</v>
      </c>
      <c r="E312" t="s">
        <v>618</v>
      </c>
      <c r="F312">
        <v>1</v>
      </c>
    </row>
    <row r="313" spans="1:6">
      <c r="A313" t="s">
        <v>314</v>
      </c>
      <c r="B313" t="s">
        <v>315</v>
      </c>
      <c r="C313" t="s">
        <v>756</v>
      </c>
      <c r="D313" t="s">
        <v>596</v>
      </c>
      <c r="E313" t="s">
        <v>610</v>
      </c>
      <c r="F313">
        <v>7</v>
      </c>
    </row>
    <row r="314" spans="1:6">
      <c r="A314" t="s">
        <v>316</v>
      </c>
      <c r="B314" t="s">
        <v>317</v>
      </c>
      <c r="C314" t="s">
        <v>757</v>
      </c>
      <c r="D314" t="s">
        <v>635</v>
      </c>
      <c r="E314" t="s">
        <v>565</v>
      </c>
      <c r="F314">
        <v>4</v>
      </c>
    </row>
    <row r="315" spans="1:6">
      <c r="A315" t="s">
        <v>25</v>
      </c>
      <c r="B315" t="s">
        <v>26</v>
      </c>
      <c r="C315" t="s">
        <v>584</v>
      </c>
      <c r="D315" t="s">
        <v>561</v>
      </c>
      <c r="E315" t="s">
        <v>585</v>
      </c>
      <c r="F315">
        <v>1</v>
      </c>
    </row>
    <row r="316" spans="1:6">
      <c r="A316" t="s">
        <v>336</v>
      </c>
      <c r="B316" t="s">
        <v>337</v>
      </c>
      <c r="C316" t="s">
        <v>767</v>
      </c>
      <c r="D316" t="s">
        <v>601</v>
      </c>
      <c r="E316" t="s">
        <v>746</v>
      </c>
      <c r="F316">
        <v>3</v>
      </c>
    </row>
    <row r="317" spans="1:6">
      <c r="A317" t="s">
        <v>50</v>
      </c>
      <c r="B317" t="s">
        <v>51</v>
      </c>
      <c r="C317" t="s">
        <v>606</v>
      </c>
      <c r="D317" t="s">
        <v>599</v>
      </c>
      <c r="E317" t="s">
        <v>570</v>
      </c>
      <c r="F317">
        <v>1</v>
      </c>
    </row>
    <row r="318" spans="1:6">
      <c r="A318" t="s">
        <v>338</v>
      </c>
      <c r="B318" t="s">
        <v>47</v>
      </c>
      <c r="C318" t="s">
        <v>604</v>
      </c>
      <c r="D318" t="s">
        <v>561</v>
      </c>
      <c r="E318" t="s">
        <v>587</v>
      </c>
      <c r="F318">
        <v>1</v>
      </c>
    </row>
    <row r="319" spans="1:6">
      <c r="A319" t="s">
        <v>339</v>
      </c>
      <c r="B319" t="s">
        <v>340</v>
      </c>
      <c r="C319" t="s">
        <v>768</v>
      </c>
      <c r="D319" t="s">
        <v>615</v>
      </c>
      <c r="E319" t="s">
        <v>575</v>
      </c>
      <c r="F319">
        <v>5</v>
      </c>
    </row>
    <row r="320" spans="1:6">
      <c r="A320" t="s">
        <v>237</v>
      </c>
      <c r="B320" t="s">
        <v>238</v>
      </c>
      <c r="C320" t="s">
        <v>718</v>
      </c>
      <c r="D320" t="s">
        <v>561</v>
      </c>
      <c r="E320" t="s">
        <v>719</v>
      </c>
      <c r="F320">
        <v>2</v>
      </c>
    </row>
    <row r="321" spans="1:6">
      <c r="A321" t="s">
        <v>148</v>
      </c>
      <c r="B321" t="s">
        <v>149</v>
      </c>
      <c r="C321" t="s">
        <v>671</v>
      </c>
      <c r="D321" t="s">
        <v>569</v>
      </c>
      <c r="E321" t="s">
        <v>577</v>
      </c>
      <c r="F321">
        <v>5</v>
      </c>
    </row>
    <row r="322" spans="1:6">
      <c r="A322" t="s">
        <v>296</v>
      </c>
    </row>
    <row r="323" spans="1:6">
      <c r="A323" t="s">
        <v>226</v>
      </c>
      <c r="B323" s="1" t="s">
        <v>227</v>
      </c>
      <c r="C323" t="s">
        <v>713</v>
      </c>
      <c r="D323" t="s">
        <v>569</v>
      </c>
      <c r="E323" s="1" t="s">
        <v>612</v>
      </c>
      <c r="F323">
        <v>5</v>
      </c>
    </row>
    <row r="324" spans="1:6">
      <c r="A324" t="s">
        <v>160</v>
      </c>
      <c r="B324" t="s">
        <v>161</v>
      </c>
      <c r="C324" t="s">
        <v>676</v>
      </c>
      <c r="D324" t="s">
        <v>594</v>
      </c>
      <c r="E324" t="s">
        <v>585</v>
      </c>
      <c r="F324">
        <v>5</v>
      </c>
    </row>
    <row r="325" spans="1:6">
      <c r="A325" t="s">
        <v>341</v>
      </c>
      <c r="B325" t="s">
        <v>342</v>
      </c>
      <c r="C325" t="s">
        <v>769</v>
      </c>
      <c r="D325" t="s">
        <v>620</v>
      </c>
      <c r="E325" t="s">
        <v>621</v>
      </c>
      <c r="F325">
        <v>3</v>
      </c>
    </row>
    <row r="326" spans="1:6">
      <c r="A326" t="s">
        <v>343</v>
      </c>
      <c r="B326" t="s">
        <v>344</v>
      </c>
      <c r="C326" t="s">
        <v>770</v>
      </c>
      <c r="D326" t="s">
        <v>594</v>
      </c>
      <c r="E326" t="s">
        <v>610</v>
      </c>
      <c r="F326">
        <v>1</v>
      </c>
    </row>
    <row r="327" spans="1:6">
      <c r="A327" t="s">
        <v>345</v>
      </c>
      <c r="B327" t="s">
        <v>47</v>
      </c>
      <c r="C327" t="s">
        <v>604</v>
      </c>
      <c r="D327" t="s">
        <v>561</v>
      </c>
      <c r="E327" t="s">
        <v>587</v>
      </c>
      <c r="F327">
        <v>1</v>
      </c>
    </row>
    <row r="328" spans="1:6">
      <c r="A328" t="s">
        <v>29</v>
      </c>
    </row>
    <row r="329" spans="1:6">
      <c r="A329" t="s">
        <v>52</v>
      </c>
      <c r="B329" s="1" t="s">
        <v>53</v>
      </c>
      <c r="C329" t="s">
        <v>607</v>
      </c>
      <c r="D329" t="s">
        <v>569</v>
      </c>
      <c r="E329" s="1" t="s">
        <v>608</v>
      </c>
      <c r="F329">
        <v>7</v>
      </c>
    </row>
    <row r="330" spans="1:6">
      <c r="A330" t="s">
        <v>118</v>
      </c>
      <c r="B330" t="s">
        <v>119</v>
      </c>
      <c r="C330" t="s">
        <v>654</v>
      </c>
      <c r="D330" t="s">
        <v>594</v>
      </c>
      <c r="E330" t="s">
        <v>655</v>
      </c>
      <c r="F330">
        <v>1</v>
      </c>
    </row>
    <row r="331" spans="1:6">
      <c r="A331" t="s">
        <v>346</v>
      </c>
      <c r="B331" t="s">
        <v>137</v>
      </c>
      <c r="C331" t="s">
        <v>665</v>
      </c>
      <c r="D331" t="s">
        <v>615</v>
      </c>
      <c r="E331" t="s">
        <v>610</v>
      </c>
      <c r="F331">
        <v>5</v>
      </c>
    </row>
    <row r="332" spans="1:6">
      <c r="A332" t="s">
        <v>29</v>
      </c>
    </row>
    <row r="333" spans="1:6">
      <c r="A333" t="s">
        <v>347</v>
      </c>
      <c r="B333" t="s">
        <v>348</v>
      </c>
      <c r="C333" t="s">
        <v>771</v>
      </c>
      <c r="D333" t="s">
        <v>574</v>
      </c>
      <c r="E333" t="s">
        <v>746</v>
      </c>
      <c r="F333">
        <v>7</v>
      </c>
    </row>
    <row r="334" spans="1:6">
      <c r="A334" t="s">
        <v>213</v>
      </c>
      <c r="B334" t="s">
        <v>214</v>
      </c>
      <c r="C334" t="s">
        <v>705</v>
      </c>
      <c r="D334" t="s">
        <v>615</v>
      </c>
      <c r="E334" t="s">
        <v>587</v>
      </c>
      <c r="F334">
        <v>5</v>
      </c>
    </row>
    <row r="335" spans="1:6">
      <c r="A335" t="s">
        <v>157</v>
      </c>
      <c r="B335" t="s">
        <v>150</v>
      </c>
      <c r="C335" t="s">
        <v>664</v>
      </c>
      <c r="D335" t="s">
        <v>580</v>
      </c>
      <c r="E335" t="s">
        <v>585</v>
      </c>
      <c r="F335">
        <v>5</v>
      </c>
    </row>
    <row r="336" spans="1:6">
      <c r="A336" t="s">
        <v>97</v>
      </c>
      <c r="B336" t="s">
        <v>98</v>
      </c>
      <c r="C336" t="s">
        <v>640</v>
      </c>
      <c r="D336" t="s">
        <v>635</v>
      </c>
      <c r="E336" t="s">
        <v>575</v>
      </c>
      <c r="F336">
        <v>1</v>
      </c>
    </row>
    <row r="337" spans="1:6">
      <c r="A337" t="s">
        <v>294</v>
      </c>
      <c r="B337" t="s">
        <v>295</v>
      </c>
      <c r="C337" t="s">
        <v>748</v>
      </c>
      <c r="D337" t="s">
        <v>599</v>
      </c>
      <c r="E337" t="s">
        <v>719</v>
      </c>
      <c r="F337">
        <v>2</v>
      </c>
    </row>
    <row r="338" spans="1:6">
      <c r="A338" t="s">
        <v>29</v>
      </c>
    </row>
    <row r="339" spans="1:6">
      <c r="A339" t="s">
        <v>349</v>
      </c>
      <c r="B339" t="s">
        <v>350</v>
      </c>
      <c r="C339" t="s">
        <v>772</v>
      </c>
      <c r="D339" t="s">
        <v>635</v>
      </c>
      <c r="E339" t="s">
        <v>627</v>
      </c>
      <c r="F339">
        <v>8</v>
      </c>
    </row>
    <row r="340" spans="1:6">
      <c r="A340" t="s">
        <v>351</v>
      </c>
      <c r="B340" t="s">
        <v>352</v>
      </c>
      <c r="C340" t="s">
        <v>773</v>
      </c>
      <c r="D340" t="s">
        <v>615</v>
      </c>
      <c r="E340" t="s">
        <v>577</v>
      </c>
      <c r="F340">
        <v>5</v>
      </c>
    </row>
    <row r="341" spans="1:6">
      <c r="A341" t="s">
        <v>353</v>
      </c>
      <c r="B341" t="s">
        <v>354</v>
      </c>
      <c r="C341" t="s">
        <v>774</v>
      </c>
      <c r="D341" t="s">
        <v>564</v>
      </c>
      <c r="E341" t="s">
        <v>562</v>
      </c>
      <c r="F341">
        <v>1</v>
      </c>
    </row>
    <row r="342" spans="1:6">
      <c r="A342" t="s">
        <v>355</v>
      </c>
      <c r="B342" t="s">
        <v>356</v>
      </c>
      <c r="C342" t="s">
        <v>730</v>
      </c>
      <c r="D342" t="s">
        <v>615</v>
      </c>
      <c r="E342" t="s">
        <v>585</v>
      </c>
      <c r="F342">
        <v>2</v>
      </c>
    </row>
    <row r="343" spans="1:6">
      <c r="A343" t="s">
        <v>29</v>
      </c>
    </row>
    <row r="344" spans="1:6">
      <c r="A344" t="s">
        <v>357</v>
      </c>
      <c r="B344" t="s">
        <v>358</v>
      </c>
      <c r="C344" t="s">
        <v>775</v>
      </c>
      <c r="D344" t="s">
        <v>561</v>
      </c>
      <c r="E344" t="s">
        <v>610</v>
      </c>
      <c r="F344">
        <v>1</v>
      </c>
    </row>
    <row r="345" spans="1:6">
      <c r="A345" t="s">
        <v>359</v>
      </c>
      <c r="B345" t="s">
        <v>161</v>
      </c>
      <c r="C345" t="s">
        <v>676</v>
      </c>
      <c r="D345" t="s">
        <v>594</v>
      </c>
      <c r="E345" t="s">
        <v>585</v>
      </c>
      <c r="F345">
        <v>5</v>
      </c>
    </row>
    <row r="346" spans="1:6">
      <c r="A346" t="s">
        <v>360</v>
      </c>
      <c r="B346" t="s">
        <v>361</v>
      </c>
      <c r="C346" t="s">
        <v>776</v>
      </c>
      <c r="D346" t="s">
        <v>567</v>
      </c>
      <c r="E346" s="1" t="s">
        <v>699</v>
      </c>
      <c r="F346">
        <v>3</v>
      </c>
    </row>
    <row r="347" spans="1:6">
      <c r="A347" t="s">
        <v>209</v>
      </c>
      <c r="B347" t="s">
        <v>210</v>
      </c>
      <c r="C347" t="s">
        <v>703</v>
      </c>
      <c r="D347" t="s">
        <v>601</v>
      </c>
      <c r="E347" t="s">
        <v>575</v>
      </c>
      <c r="F347">
        <v>1</v>
      </c>
    </row>
    <row r="348" spans="1:6">
      <c r="A348" t="s">
        <v>29</v>
      </c>
    </row>
    <row r="349" spans="1:6">
      <c r="A349" t="s">
        <v>362</v>
      </c>
      <c r="B349" t="s">
        <v>363</v>
      </c>
      <c r="C349" t="s">
        <v>777</v>
      </c>
      <c r="D349" t="s">
        <v>574</v>
      </c>
      <c r="E349" t="s">
        <v>570</v>
      </c>
      <c r="F349">
        <v>1</v>
      </c>
    </row>
    <row r="350" spans="1:6">
      <c r="A350" t="s">
        <v>73</v>
      </c>
      <c r="B350" t="s">
        <v>74</v>
      </c>
      <c r="C350" t="s">
        <v>625</v>
      </c>
      <c r="D350" t="s">
        <v>561</v>
      </c>
      <c r="E350" t="s">
        <v>587</v>
      </c>
      <c r="F350">
        <v>2</v>
      </c>
    </row>
    <row r="351" spans="1:6">
      <c r="A351" t="s">
        <v>364</v>
      </c>
      <c r="B351" t="s">
        <v>365</v>
      </c>
      <c r="C351" t="s">
        <v>778</v>
      </c>
      <c r="D351" t="s">
        <v>615</v>
      </c>
      <c r="E351" t="s">
        <v>581</v>
      </c>
      <c r="F351">
        <v>5</v>
      </c>
    </row>
    <row r="352" spans="1:6">
      <c r="A352" t="s">
        <v>118</v>
      </c>
      <c r="B352" t="s">
        <v>119</v>
      </c>
      <c r="C352" t="s">
        <v>654</v>
      </c>
      <c r="D352" t="s">
        <v>594</v>
      </c>
      <c r="E352" t="s">
        <v>655</v>
      </c>
      <c r="F352">
        <v>1</v>
      </c>
    </row>
    <row r="353" spans="1:6">
      <c r="A353" t="s">
        <v>29</v>
      </c>
    </row>
    <row r="354" spans="1:6">
      <c r="A354" t="s">
        <v>117</v>
      </c>
      <c r="B354" t="s">
        <v>366</v>
      </c>
      <c r="C354" t="s">
        <v>779</v>
      </c>
      <c r="D354" t="s">
        <v>569</v>
      </c>
      <c r="E354" t="s">
        <v>610</v>
      </c>
      <c r="F354">
        <v>5</v>
      </c>
    </row>
    <row r="355" spans="1:6">
      <c r="A355" t="s">
        <v>367</v>
      </c>
      <c r="B355" t="s">
        <v>368</v>
      </c>
      <c r="C355" t="s">
        <v>780</v>
      </c>
      <c r="D355" t="s">
        <v>574</v>
      </c>
      <c r="E355" t="s">
        <v>572</v>
      </c>
      <c r="F355">
        <v>4</v>
      </c>
    </row>
    <row r="356" spans="1:6">
      <c r="A356" t="s">
        <v>9</v>
      </c>
      <c r="B356" t="s">
        <v>10</v>
      </c>
      <c r="C356" t="s">
        <v>568</v>
      </c>
      <c r="D356" t="s">
        <v>569</v>
      </c>
      <c r="E356" t="s">
        <v>570</v>
      </c>
      <c r="F356">
        <v>3</v>
      </c>
    </row>
    <row r="357" spans="1:6">
      <c r="A357" t="s">
        <v>81</v>
      </c>
      <c r="B357" t="s">
        <v>82</v>
      </c>
      <c r="C357" t="s">
        <v>630</v>
      </c>
      <c r="D357" t="s">
        <v>574</v>
      </c>
      <c r="E357" t="s">
        <v>585</v>
      </c>
      <c r="F357">
        <v>1</v>
      </c>
    </row>
    <row r="358" spans="1:6">
      <c r="A358" t="s">
        <v>29</v>
      </c>
    </row>
    <row r="359" spans="1:6">
      <c r="A359" t="s">
        <v>369</v>
      </c>
      <c r="B359" t="s">
        <v>370</v>
      </c>
      <c r="C359" t="s">
        <v>781</v>
      </c>
      <c r="D359" t="s">
        <v>594</v>
      </c>
      <c r="E359" t="s">
        <v>577</v>
      </c>
      <c r="F359">
        <v>3</v>
      </c>
    </row>
    <row r="360" spans="1:6">
      <c r="A360" t="s">
        <v>128</v>
      </c>
      <c r="B360" t="s">
        <v>129</v>
      </c>
      <c r="C360" t="s">
        <v>661</v>
      </c>
      <c r="D360" t="s">
        <v>599</v>
      </c>
      <c r="E360" t="s">
        <v>589</v>
      </c>
      <c r="F360">
        <v>4</v>
      </c>
    </row>
    <row r="361" spans="1:6">
      <c r="A361" t="s">
        <v>168</v>
      </c>
      <c r="B361" t="s">
        <v>169</v>
      </c>
      <c r="C361" t="s">
        <v>680</v>
      </c>
      <c r="D361" t="s">
        <v>574</v>
      </c>
      <c r="E361" s="1" t="s">
        <v>585</v>
      </c>
      <c r="F361">
        <v>3</v>
      </c>
    </row>
    <row r="362" spans="1:6">
      <c r="A362" t="s">
        <v>25</v>
      </c>
      <c r="B362" t="s">
        <v>26</v>
      </c>
      <c r="C362" t="s">
        <v>584</v>
      </c>
      <c r="D362" t="s">
        <v>561</v>
      </c>
      <c r="E362" t="s">
        <v>585</v>
      </c>
      <c r="F362">
        <v>1</v>
      </c>
    </row>
    <row r="363" spans="1:6">
      <c r="A363" t="s">
        <v>371</v>
      </c>
      <c r="B363" t="s">
        <v>227</v>
      </c>
      <c r="C363" t="s">
        <v>713</v>
      </c>
      <c r="D363" t="s">
        <v>569</v>
      </c>
      <c r="E363" t="s">
        <v>612</v>
      </c>
      <c r="F363">
        <v>5</v>
      </c>
    </row>
    <row r="364" spans="1:6">
      <c r="A364" t="s">
        <v>294</v>
      </c>
      <c r="B364" t="s">
        <v>295</v>
      </c>
      <c r="C364" t="s">
        <v>748</v>
      </c>
      <c r="D364" t="s">
        <v>599</v>
      </c>
      <c r="E364" t="s">
        <v>719</v>
      </c>
      <c r="F364">
        <v>2</v>
      </c>
    </row>
    <row r="365" spans="1:6">
      <c r="A365" t="s">
        <v>29</v>
      </c>
    </row>
    <row r="366" spans="1:6">
      <c r="A366" t="s">
        <v>157</v>
      </c>
      <c r="B366" t="s">
        <v>150</v>
      </c>
      <c r="C366" t="s">
        <v>664</v>
      </c>
      <c r="D366" t="s">
        <v>580</v>
      </c>
      <c r="E366" t="s">
        <v>585</v>
      </c>
      <c r="F366">
        <v>5</v>
      </c>
    </row>
    <row r="367" spans="1:6">
      <c r="A367" t="s">
        <v>372</v>
      </c>
      <c r="B367" t="s">
        <v>284</v>
      </c>
      <c r="C367" t="s">
        <v>742</v>
      </c>
      <c r="D367" t="s">
        <v>594</v>
      </c>
      <c r="E367" t="s">
        <v>581</v>
      </c>
      <c r="F367">
        <v>1</v>
      </c>
    </row>
    <row r="368" spans="1:6">
      <c r="A368" t="s">
        <v>373</v>
      </c>
      <c r="B368" t="s">
        <v>374</v>
      </c>
      <c r="C368" t="s">
        <v>782</v>
      </c>
      <c r="D368" t="s">
        <v>599</v>
      </c>
      <c r="E368" t="s">
        <v>642</v>
      </c>
      <c r="F368">
        <v>1</v>
      </c>
    </row>
    <row r="369" spans="1:6">
      <c r="A369" t="s">
        <v>375</v>
      </c>
      <c r="B369" t="s">
        <v>376</v>
      </c>
      <c r="C369" t="s">
        <v>783</v>
      </c>
      <c r="D369" t="s">
        <v>561</v>
      </c>
      <c r="E369" t="s">
        <v>616</v>
      </c>
      <c r="F369">
        <v>2</v>
      </c>
    </row>
    <row r="370" spans="1:6">
      <c r="A370" t="s">
        <v>377</v>
      </c>
      <c r="B370" t="s">
        <v>378</v>
      </c>
      <c r="C370" t="s">
        <v>784</v>
      </c>
      <c r="D370" t="s">
        <v>561</v>
      </c>
      <c r="E370" t="s">
        <v>616</v>
      </c>
      <c r="F370">
        <v>1</v>
      </c>
    </row>
    <row r="371" spans="1:6">
      <c r="A371" t="s">
        <v>296</v>
      </c>
    </row>
    <row r="372" spans="1:6">
      <c r="A372" t="s">
        <v>379</v>
      </c>
      <c r="B372" t="s">
        <v>380</v>
      </c>
      <c r="C372" t="s">
        <v>785</v>
      </c>
      <c r="D372" t="s">
        <v>569</v>
      </c>
      <c r="E372" t="s">
        <v>575</v>
      </c>
      <c r="F372">
        <v>3</v>
      </c>
    </row>
    <row r="373" spans="1:6">
      <c r="A373" t="s">
        <v>381</v>
      </c>
      <c r="B373" t="s">
        <v>382</v>
      </c>
      <c r="C373" t="s">
        <v>786</v>
      </c>
      <c r="D373" t="s">
        <v>591</v>
      </c>
      <c r="E373" t="s">
        <v>577</v>
      </c>
      <c r="F373">
        <v>5</v>
      </c>
    </row>
    <row r="374" spans="1:6">
      <c r="A374" t="s">
        <v>40</v>
      </c>
      <c r="B374" t="s">
        <v>41</v>
      </c>
      <c r="C374" t="s">
        <v>598</v>
      </c>
      <c r="D374" t="s">
        <v>599</v>
      </c>
      <c r="E374" t="s">
        <v>570</v>
      </c>
      <c r="F374">
        <v>2</v>
      </c>
    </row>
    <row r="375" spans="1:6">
      <c r="A375" t="s">
        <v>38</v>
      </c>
      <c r="B375" s="1" t="s">
        <v>163</v>
      </c>
      <c r="C375" t="s">
        <v>677</v>
      </c>
      <c r="D375" t="s">
        <v>561</v>
      </c>
      <c r="E375" s="1" t="s">
        <v>585</v>
      </c>
      <c r="F375">
        <v>2</v>
      </c>
    </row>
    <row r="376" spans="1:6">
      <c r="A376" t="s">
        <v>29</v>
      </c>
    </row>
    <row r="377" spans="1:6">
      <c r="A377" t="s">
        <v>383</v>
      </c>
      <c r="B377" t="s">
        <v>110</v>
      </c>
      <c r="C377" t="s">
        <v>787</v>
      </c>
      <c r="D377" t="s">
        <v>591</v>
      </c>
      <c r="E377" s="1" t="s">
        <v>585</v>
      </c>
      <c r="F377">
        <v>5</v>
      </c>
    </row>
    <row r="378" spans="1:6">
      <c r="A378" t="s">
        <v>384</v>
      </c>
      <c r="B378" t="s">
        <v>385</v>
      </c>
      <c r="C378" t="s">
        <v>788</v>
      </c>
      <c r="D378" t="s">
        <v>561</v>
      </c>
      <c r="E378" t="s">
        <v>633</v>
      </c>
      <c r="F378">
        <v>5</v>
      </c>
    </row>
    <row r="379" spans="1:6">
      <c r="A379" t="s">
        <v>50</v>
      </c>
      <c r="B379" t="s">
        <v>51</v>
      </c>
      <c r="C379" t="s">
        <v>606</v>
      </c>
      <c r="D379" t="s">
        <v>599</v>
      </c>
      <c r="E379" t="s">
        <v>570</v>
      </c>
      <c r="F379">
        <v>1</v>
      </c>
    </row>
    <row r="380" spans="1:6">
      <c r="A380" t="s">
        <v>118</v>
      </c>
      <c r="B380" t="s">
        <v>119</v>
      </c>
      <c r="C380" t="s">
        <v>654</v>
      </c>
      <c r="D380" t="s">
        <v>594</v>
      </c>
      <c r="E380" t="s">
        <v>655</v>
      </c>
      <c r="F380">
        <v>1</v>
      </c>
    </row>
    <row r="381" spans="1:6">
      <c r="A381" t="s">
        <v>386</v>
      </c>
      <c r="B381" t="s">
        <v>39</v>
      </c>
      <c r="C381" t="s">
        <v>597</v>
      </c>
      <c r="D381" t="s">
        <v>561</v>
      </c>
      <c r="E381" t="s">
        <v>570</v>
      </c>
      <c r="F381">
        <v>2</v>
      </c>
    </row>
    <row r="382" spans="1:6">
      <c r="A382" t="s">
        <v>25</v>
      </c>
      <c r="B382" t="s">
        <v>26</v>
      </c>
      <c r="C382" t="s">
        <v>584</v>
      </c>
      <c r="D382" t="s">
        <v>561</v>
      </c>
      <c r="E382" t="s">
        <v>585</v>
      </c>
      <c r="F382">
        <v>1</v>
      </c>
    </row>
    <row r="383" spans="1:6">
      <c r="A383" t="s">
        <v>101</v>
      </c>
      <c r="B383" t="s">
        <v>102</v>
      </c>
      <c r="C383" t="s">
        <v>643</v>
      </c>
      <c r="D383" t="s">
        <v>574</v>
      </c>
      <c r="E383" t="s">
        <v>612</v>
      </c>
      <c r="F383">
        <v>2</v>
      </c>
    </row>
    <row r="384" spans="1:6">
      <c r="A384" t="s">
        <v>29</v>
      </c>
    </row>
    <row r="385" spans="1:6">
      <c r="A385" t="s">
        <v>387</v>
      </c>
      <c r="B385" t="s">
        <v>388</v>
      </c>
      <c r="C385" t="s">
        <v>789</v>
      </c>
      <c r="D385" t="s">
        <v>615</v>
      </c>
      <c r="E385" s="1" t="s">
        <v>585</v>
      </c>
      <c r="F385">
        <v>7</v>
      </c>
    </row>
    <row r="386" spans="1:6">
      <c r="A386" t="s">
        <v>389</v>
      </c>
      <c r="B386" t="s">
        <v>110</v>
      </c>
      <c r="C386" t="s">
        <v>787</v>
      </c>
      <c r="D386" t="s">
        <v>591</v>
      </c>
      <c r="E386" s="1" t="s">
        <v>585</v>
      </c>
      <c r="F386">
        <v>5</v>
      </c>
    </row>
    <row r="387" spans="1:6">
      <c r="A387" t="s">
        <v>390</v>
      </c>
      <c r="B387" t="s">
        <v>391</v>
      </c>
      <c r="C387" t="s">
        <v>790</v>
      </c>
      <c r="D387" t="s">
        <v>569</v>
      </c>
      <c r="E387" t="s">
        <v>608</v>
      </c>
      <c r="F387">
        <v>5</v>
      </c>
    </row>
    <row r="388" spans="1:6">
      <c r="A388" t="s">
        <v>157</v>
      </c>
      <c r="B388" t="s">
        <v>150</v>
      </c>
      <c r="C388" t="s">
        <v>664</v>
      </c>
      <c r="D388" t="s">
        <v>580</v>
      </c>
      <c r="E388" t="s">
        <v>585</v>
      </c>
      <c r="F388">
        <v>5</v>
      </c>
    </row>
    <row r="389" spans="1:6">
      <c r="A389" t="s">
        <v>392</v>
      </c>
      <c r="B389" t="s">
        <v>230</v>
      </c>
      <c r="C389" t="s">
        <v>714</v>
      </c>
      <c r="D389" t="s">
        <v>599</v>
      </c>
      <c r="E389" t="s">
        <v>587</v>
      </c>
      <c r="F389">
        <v>2</v>
      </c>
    </row>
    <row r="390" spans="1:6">
      <c r="A390" t="s">
        <v>393</v>
      </c>
      <c r="B390" t="s">
        <v>394</v>
      </c>
      <c r="C390" t="s">
        <v>791</v>
      </c>
      <c r="D390" t="s">
        <v>596</v>
      </c>
      <c r="E390" t="s">
        <v>585</v>
      </c>
      <c r="F390">
        <v>5</v>
      </c>
    </row>
    <row r="391" spans="1:6">
      <c r="A391" t="s">
        <v>395</v>
      </c>
      <c r="B391" t="s">
        <v>186</v>
      </c>
      <c r="C391" t="s">
        <v>690</v>
      </c>
      <c r="D391" t="s">
        <v>615</v>
      </c>
      <c r="E391" t="s">
        <v>572</v>
      </c>
      <c r="F391">
        <v>8</v>
      </c>
    </row>
    <row r="392" spans="1:6">
      <c r="A392" t="s">
        <v>126</v>
      </c>
    </row>
    <row r="393" spans="1:6">
      <c r="A393" t="s">
        <v>396</v>
      </c>
      <c r="B393" t="s">
        <v>397</v>
      </c>
      <c r="C393" t="s">
        <v>792</v>
      </c>
      <c r="D393" t="s">
        <v>594</v>
      </c>
      <c r="E393" s="1" t="s">
        <v>608</v>
      </c>
      <c r="F393">
        <v>3</v>
      </c>
    </row>
    <row r="394" spans="1:6">
      <c r="A394" t="s">
        <v>128</v>
      </c>
      <c r="B394" t="s">
        <v>129</v>
      </c>
      <c r="C394" t="s">
        <v>661</v>
      </c>
      <c r="D394" t="s">
        <v>599</v>
      </c>
      <c r="E394" t="s">
        <v>589</v>
      </c>
      <c r="F394">
        <v>4</v>
      </c>
    </row>
    <row r="395" spans="1:6">
      <c r="A395" t="s">
        <v>398</v>
      </c>
      <c r="B395" t="s">
        <v>399</v>
      </c>
      <c r="C395" t="s">
        <v>793</v>
      </c>
      <c r="D395" t="s">
        <v>599</v>
      </c>
      <c r="E395" t="s">
        <v>658</v>
      </c>
      <c r="F395">
        <v>8</v>
      </c>
    </row>
    <row r="396" spans="1:6">
      <c r="A396" t="s">
        <v>25</v>
      </c>
      <c r="B396" t="s">
        <v>26</v>
      </c>
      <c r="C396" t="s">
        <v>584</v>
      </c>
      <c r="D396" t="s">
        <v>561</v>
      </c>
      <c r="E396" t="s">
        <v>585</v>
      </c>
      <c r="F396">
        <v>1</v>
      </c>
    </row>
    <row r="397" spans="1:6">
      <c r="A397" t="s">
        <v>400</v>
      </c>
      <c r="B397" t="s">
        <v>401</v>
      </c>
      <c r="C397" t="s">
        <v>794</v>
      </c>
      <c r="D397" t="s">
        <v>620</v>
      </c>
      <c r="E397" t="s">
        <v>562</v>
      </c>
      <c r="F397">
        <v>1</v>
      </c>
    </row>
    <row r="398" spans="1:6">
      <c r="A398" t="s">
        <v>46</v>
      </c>
      <c r="B398" t="s">
        <v>47</v>
      </c>
      <c r="C398" t="s">
        <v>604</v>
      </c>
      <c r="D398" t="s">
        <v>561</v>
      </c>
      <c r="E398" t="s">
        <v>587</v>
      </c>
      <c r="F398">
        <v>1</v>
      </c>
    </row>
    <row r="399" spans="1:6">
      <c r="A399" t="s">
        <v>29</v>
      </c>
    </row>
    <row r="400" spans="1:6">
      <c r="A400" t="s">
        <v>402</v>
      </c>
      <c r="B400" s="1" t="s">
        <v>72</v>
      </c>
      <c r="C400" s="1"/>
    </row>
    <row r="401" spans="1:6">
      <c r="A401" t="s">
        <v>403</v>
      </c>
      <c r="B401" t="s">
        <v>404</v>
      </c>
      <c r="C401" t="s">
        <v>795</v>
      </c>
      <c r="D401" t="s">
        <v>567</v>
      </c>
      <c r="E401" t="s">
        <v>697</v>
      </c>
      <c r="F401">
        <v>5</v>
      </c>
    </row>
    <row r="402" spans="1:6">
      <c r="A402" t="s">
        <v>405</v>
      </c>
      <c r="B402" t="s">
        <v>406</v>
      </c>
      <c r="C402" t="s">
        <v>796</v>
      </c>
      <c r="D402" t="s">
        <v>561</v>
      </c>
      <c r="E402" t="s">
        <v>746</v>
      </c>
      <c r="F402">
        <v>1</v>
      </c>
    </row>
    <row r="403" spans="1:6">
      <c r="A403" t="s">
        <v>407</v>
      </c>
      <c r="B403" t="s">
        <v>240</v>
      </c>
      <c r="C403" t="s">
        <v>720</v>
      </c>
      <c r="D403" t="s">
        <v>599</v>
      </c>
      <c r="E403" t="s">
        <v>585</v>
      </c>
      <c r="F403">
        <v>2</v>
      </c>
    </row>
    <row r="404" spans="1:6">
      <c r="A404" t="s">
        <v>328</v>
      </c>
      <c r="B404" t="s">
        <v>329</v>
      </c>
      <c r="C404" t="s">
        <v>763</v>
      </c>
      <c r="D404" t="s">
        <v>574</v>
      </c>
      <c r="E404" t="s">
        <v>612</v>
      </c>
      <c r="F404">
        <v>1</v>
      </c>
    </row>
    <row r="405" spans="1:6">
      <c r="A405" t="s">
        <v>75</v>
      </c>
      <c r="B405" t="s">
        <v>76</v>
      </c>
      <c r="C405" t="s">
        <v>626</v>
      </c>
      <c r="D405" t="s">
        <v>561</v>
      </c>
      <c r="E405" t="s">
        <v>627</v>
      </c>
      <c r="F405">
        <v>4</v>
      </c>
    </row>
    <row r="406" spans="1:6">
      <c r="A406" t="s">
        <v>54</v>
      </c>
    </row>
    <row r="407" spans="1:6">
      <c r="A407" t="s">
        <v>408</v>
      </c>
      <c r="B407" t="s">
        <v>35</v>
      </c>
      <c r="C407" t="s">
        <v>593</v>
      </c>
      <c r="D407" t="s">
        <v>594</v>
      </c>
      <c r="E407" t="s">
        <v>585</v>
      </c>
      <c r="F407">
        <v>3</v>
      </c>
    </row>
    <row r="408" spans="1:6">
      <c r="A408" t="s">
        <v>409</v>
      </c>
      <c r="B408" t="s">
        <v>410</v>
      </c>
      <c r="C408" t="s">
        <v>797</v>
      </c>
      <c r="D408" t="s">
        <v>569</v>
      </c>
      <c r="E408" t="s">
        <v>570</v>
      </c>
      <c r="F408">
        <v>5</v>
      </c>
    </row>
    <row r="409" spans="1:6">
      <c r="A409" t="s">
        <v>411</v>
      </c>
      <c r="B409" t="s">
        <v>49</v>
      </c>
      <c r="C409" t="s">
        <v>605</v>
      </c>
      <c r="D409" t="s">
        <v>599</v>
      </c>
      <c r="E409" t="s">
        <v>587</v>
      </c>
      <c r="F409">
        <v>5</v>
      </c>
    </row>
    <row r="410" spans="1:6">
      <c r="A410" t="s">
        <v>50</v>
      </c>
      <c r="B410" t="s">
        <v>51</v>
      </c>
      <c r="C410" t="s">
        <v>606</v>
      </c>
      <c r="D410" t="s">
        <v>599</v>
      </c>
      <c r="E410" t="s">
        <v>570</v>
      </c>
      <c r="F410">
        <v>1</v>
      </c>
    </row>
    <row r="411" spans="1:6">
      <c r="A411" t="s">
        <v>124</v>
      </c>
      <c r="B411" t="s">
        <v>125</v>
      </c>
      <c r="C411" t="s">
        <v>659</v>
      </c>
      <c r="D411" t="s">
        <v>660</v>
      </c>
      <c r="E411" t="s">
        <v>562</v>
      </c>
      <c r="F411">
        <v>1</v>
      </c>
    </row>
    <row r="412" spans="1:6">
      <c r="A412" t="s">
        <v>412</v>
      </c>
      <c r="B412" s="1" t="s">
        <v>413</v>
      </c>
      <c r="C412" t="s">
        <v>798</v>
      </c>
      <c r="D412" t="s">
        <v>635</v>
      </c>
      <c r="E412" s="1" t="s">
        <v>585</v>
      </c>
      <c r="F412">
        <v>7</v>
      </c>
    </row>
    <row r="413" spans="1:6">
      <c r="A413" t="s">
        <v>29</v>
      </c>
    </row>
    <row r="414" spans="1:6">
      <c r="A414" t="s">
        <v>215</v>
      </c>
      <c r="B414" t="s">
        <v>216</v>
      </c>
      <c r="C414" t="s">
        <v>706</v>
      </c>
      <c r="D414" t="s">
        <v>596</v>
      </c>
      <c r="E414" t="s">
        <v>633</v>
      </c>
      <c r="F414">
        <v>2</v>
      </c>
    </row>
    <row r="415" spans="1:6">
      <c r="A415" t="s">
        <v>414</v>
      </c>
      <c r="B415" t="s">
        <v>335</v>
      </c>
      <c r="C415" t="s">
        <v>766</v>
      </c>
      <c r="D415" t="s">
        <v>564</v>
      </c>
      <c r="E415" t="s">
        <v>575</v>
      </c>
      <c r="F415">
        <v>1</v>
      </c>
    </row>
    <row r="416" spans="1:6">
      <c r="A416" t="s">
        <v>415</v>
      </c>
      <c r="B416" t="s">
        <v>416</v>
      </c>
      <c r="C416" t="s">
        <v>799</v>
      </c>
      <c r="D416" t="s">
        <v>569</v>
      </c>
      <c r="E416" t="s">
        <v>616</v>
      </c>
      <c r="F416">
        <v>2</v>
      </c>
    </row>
    <row r="417" spans="1:6">
      <c r="A417" t="s">
        <v>25</v>
      </c>
      <c r="B417" t="s">
        <v>26</v>
      </c>
      <c r="C417" t="s">
        <v>584</v>
      </c>
      <c r="D417" t="s">
        <v>561</v>
      </c>
      <c r="E417" t="s">
        <v>585</v>
      </c>
      <c r="F417">
        <v>1</v>
      </c>
    </row>
    <row r="418" spans="1:6">
      <c r="A418" t="s">
        <v>128</v>
      </c>
      <c r="B418" t="s">
        <v>129</v>
      </c>
      <c r="C418" t="s">
        <v>661</v>
      </c>
      <c r="D418" t="s">
        <v>599</v>
      </c>
      <c r="E418" t="s">
        <v>589</v>
      </c>
      <c r="F418">
        <v>4</v>
      </c>
    </row>
    <row r="419" spans="1:6">
      <c r="A419" t="s">
        <v>417</v>
      </c>
      <c r="B419" t="s">
        <v>418</v>
      </c>
      <c r="C419" t="s">
        <v>800</v>
      </c>
      <c r="D419" t="s">
        <v>574</v>
      </c>
      <c r="E419" t="s">
        <v>627</v>
      </c>
      <c r="F419">
        <v>4</v>
      </c>
    </row>
    <row r="420" spans="1:6">
      <c r="A420" t="s">
        <v>54</v>
      </c>
    </row>
    <row r="421" spans="1:6">
      <c r="A421" t="s">
        <v>419</v>
      </c>
      <c r="B421" t="s">
        <v>420</v>
      </c>
      <c r="C421" t="s">
        <v>801</v>
      </c>
      <c r="D421" t="s">
        <v>599</v>
      </c>
      <c r="E421" t="s">
        <v>616</v>
      </c>
      <c r="F421">
        <v>1</v>
      </c>
    </row>
    <row r="422" spans="1:6">
      <c r="A422" t="s">
        <v>381</v>
      </c>
      <c r="B422" t="s">
        <v>382</v>
      </c>
      <c r="C422" t="s">
        <v>786</v>
      </c>
      <c r="D422" t="s">
        <v>591</v>
      </c>
      <c r="E422" t="s">
        <v>577</v>
      </c>
      <c r="F422">
        <v>5</v>
      </c>
    </row>
    <row r="423" spans="1:6">
      <c r="A423" t="s">
        <v>421</v>
      </c>
      <c r="B423" t="s">
        <v>244</v>
      </c>
      <c r="C423" t="s">
        <v>722</v>
      </c>
      <c r="D423" t="s">
        <v>574</v>
      </c>
      <c r="E423" t="s">
        <v>610</v>
      </c>
      <c r="F423">
        <v>1</v>
      </c>
    </row>
    <row r="424" spans="1:6">
      <c r="A424" t="s">
        <v>25</v>
      </c>
      <c r="B424" t="s">
        <v>26</v>
      </c>
      <c r="C424" t="s">
        <v>584</v>
      </c>
      <c r="D424" t="s">
        <v>561</v>
      </c>
      <c r="E424" t="s">
        <v>585</v>
      </c>
      <c r="F424">
        <v>1</v>
      </c>
    </row>
    <row r="425" spans="1:6">
      <c r="A425" t="s">
        <v>422</v>
      </c>
      <c r="B425" t="s">
        <v>363</v>
      </c>
      <c r="C425" t="s">
        <v>777</v>
      </c>
      <c r="D425" t="s">
        <v>574</v>
      </c>
      <c r="E425" t="s">
        <v>570</v>
      </c>
      <c r="F425">
        <v>1</v>
      </c>
    </row>
    <row r="426" spans="1:6">
      <c r="A426" t="s">
        <v>423</v>
      </c>
      <c r="B426" t="s">
        <v>218</v>
      </c>
      <c r="C426" t="s">
        <v>707</v>
      </c>
      <c r="D426" t="s">
        <v>599</v>
      </c>
      <c r="E426" t="s">
        <v>570</v>
      </c>
      <c r="F426">
        <v>5</v>
      </c>
    </row>
    <row r="427" spans="1:6">
      <c r="A427" t="s">
        <v>29</v>
      </c>
    </row>
    <row r="428" spans="1:6">
      <c r="A428" t="s">
        <v>424</v>
      </c>
      <c r="B428" t="s">
        <v>425</v>
      </c>
      <c r="C428" t="s">
        <v>802</v>
      </c>
      <c r="D428" t="s">
        <v>574</v>
      </c>
      <c r="E428" t="s">
        <v>562</v>
      </c>
      <c r="F428">
        <v>7</v>
      </c>
    </row>
    <row r="429" spans="1:6">
      <c r="A429" t="s">
        <v>426</v>
      </c>
      <c r="B429" t="s">
        <v>427</v>
      </c>
      <c r="C429" t="s">
        <v>803</v>
      </c>
      <c r="D429" t="s">
        <v>635</v>
      </c>
      <c r="E429" t="s">
        <v>612</v>
      </c>
      <c r="F429">
        <v>5</v>
      </c>
    </row>
    <row r="430" spans="1:6">
      <c r="A430" t="s">
        <v>118</v>
      </c>
      <c r="B430" t="s">
        <v>119</v>
      </c>
      <c r="C430" t="s">
        <v>654</v>
      </c>
      <c r="D430" t="s">
        <v>594</v>
      </c>
      <c r="E430" t="s">
        <v>655</v>
      </c>
      <c r="F430">
        <v>1</v>
      </c>
    </row>
    <row r="431" spans="1:6">
      <c r="A431" t="s">
        <v>25</v>
      </c>
      <c r="B431" t="s">
        <v>26</v>
      </c>
      <c r="C431" t="s">
        <v>584</v>
      </c>
      <c r="D431" t="s">
        <v>561</v>
      </c>
      <c r="E431" t="s">
        <v>585</v>
      </c>
      <c r="F431">
        <v>1</v>
      </c>
    </row>
    <row r="432" spans="1:6">
      <c r="A432" t="s">
        <v>428</v>
      </c>
      <c r="B432" t="s">
        <v>429</v>
      </c>
      <c r="C432" t="s">
        <v>804</v>
      </c>
      <c r="D432" t="s">
        <v>596</v>
      </c>
      <c r="E432" t="s">
        <v>570</v>
      </c>
      <c r="F432">
        <v>5</v>
      </c>
    </row>
    <row r="433" spans="1:6">
      <c r="A433" t="s">
        <v>430</v>
      </c>
      <c r="B433" t="s">
        <v>431</v>
      </c>
      <c r="C433" t="s">
        <v>805</v>
      </c>
      <c r="D433" t="s">
        <v>594</v>
      </c>
      <c r="E433" t="s">
        <v>612</v>
      </c>
      <c r="F433">
        <v>5</v>
      </c>
    </row>
    <row r="434" spans="1:6">
      <c r="A434" t="s">
        <v>54</v>
      </c>
    </row>
    <row r="435" spans="1:6">
      <c r="A435" t="s">
        <v>432</v>
      </c>
      <c r="B435" t="s">
        <v>433</v>
      </c>
      <c r="C435" t="s">
        <v>806</v>
      </c>
      <c r="D435" t="s">
        <v>569</v>
      </c>
      <c r="E435" t="s">
        <v>807</v>
      </c>
      <c r="F435">
        <v>8</v>
      </c>
    </row>
    <row r="436" spans="1:6">
      <c r="A436" t="s">
        <v>306</v>
      </c>
      <c r="B436" t="s">
        <v>307</v>
      </c>
      <c r="C436" t="s">
        <v>753</v>
      </c>
      <c r="D436" t="s">
        <v>569</v>
      </c>
      <c r="E436" t="s">
        <v>618</v>
      </c>
      <c r="F436">
        <v>1</v>
      </c>
    </row>
    <row r="437" spans="1:6">
      <c r="A437" t="s">
        <v>179</v>
      </c>
      <c r="B437" t="s">
        <v>180</v>
      </c>
      <c r="C437" t="s">
        <v>687</v>
      </c>
      <c r="D437" t="s">
        <v>574</v>
      </c>
      <c r="E437" t="s">
        <v>562</v>
      </c>
      <c r="F437">
        <v>1</v>
      </c>
    </row>
    <row r="438" spans="1:6">
      <c r="A438" t="s">
        <v>407</v>
      </c>
      <c r="B438" t="s">
        <v>240</v>
      </c>
      <c r="C438" t="s">
        <v>720</v>
      </c>
      <c r="D438" t="s">
        <v>599</v>
      </c>
      <c r="E438" t="s">
        <v>585</v>
      </c>
      <c r="F438">
        <v>2</v>
      </c>
    </row>
    <row r="439" spans="1:6">
      <c r="A439" t="s">
        <v>434</v>
      </c>
      <c r="B439" t="s">
        <v>435</v>
      </c>
      <c r="C439" t="s">
        <v>808</v>
      </c>
      <c r="D439" t="s">
        <v>591</v>
      </c>
      <c r="E439" t="s">
        <v>621</v>
      </c>
      <c r="F439">
        <v>5</v>
      </c>
    </row>
    <row r="440" spans="1:6">
      <c r="A440" t="s">
        <v>48</v>
      </c>
      <c r="B440" t="s">
        <v>49</v>
      </c>
      <c r="C440" t="s">
        <v>605</v>
      </c>
      <c r="D440" t="s">
        <v>599</v>
      </c>
      <c r="E440" t="s">
        <v>587</v>
      </c>
      <c r="F440">
        <v>5</v>
      </c>
    </row>
    <row r="441" spans="1:6">
      <c r="A441" t="s">
        <v>29</v>
      </c>
    </row>
    <row r="442" spans="1:6">
      <c r="A442" t="s">
        <v>436</v>
      </c>
      <c r="B442" t="s">
        <v>437</v>
      </c>
      <c r="C442" t="s">
        <v>809</v>
      </c>
      <c r="D442" t="s">
        <v>567</v>
      </c>
      <c r="E442" t="s">
        <v>621</v>
      </c>
      <c r="F442">
        <v>2</v>
      </c>
    </row>
    <row r="443" spans="1:6">
      <c r="A443" t="s">
        <v>79</v>
      </c>
      <c r="B443" t="s">
        <v>80</v>
      </c>
      <c r="C443" t="s">
        <v>629</v>
      </c>
      <c r="D443" t="s">
        <v>596</v>
      </c>
      <c r="E443" t="s">
        <v>610</v>
      </c>
      <c r="F443">
        <v>5</v>
      </c>
    </row>
    <row r="444" spans="1:6">
      <c r="A444" t="s">
        <v>32</v>
      </c>
      <c r="B444" t="s">
        <v>33</v>
      </c>
      <c r="C444" t="s">
        <v>590</v>
      </c>
      <c r="D444" t="s">
        <v>591</v>
      </c>
      <c r="E444" t="s">
        <v>592</v>
      </c>
      <c r="F444">
        <v>8</v>
      </c>
    </row>
    <row r="445" spans="1:6">
      <c r="A445" t="s">
        <v>157</v>
      </c>
      <c r="B445" t="s">
        <v>150</v>
      </c>
      <c r="C445" t="s">
        <v>664</v>
      </c>
      <c r="D445" t="s">
        <v>580</v>
      </c>
      <c r="E445" t="s">
        <v>585</v>
      </c>
      <c r="F445">
        <v>5</v>
      </c>
    </row>
    <row r="446" spans="1:6">
      <c r="A446" t="s">
        <v>426</v>
      </c>
      <c r="B446" t="s">
        <v>427</v>
      </c>
      <c r="C446" t="s">
        <v>803</v>
      </c>
      <c r="D446" t="s">
        <v>635</v>
      </c>
      <c r="E446" t="s">
        <v>612</v>
      </c>
      <c r="F446">
        <v>5</v>
      </c>
    </row>
    <row r="447" spans="1:6">
      <c r="A447" t="s">
        <v>438</v>
      </c>
      <c r="B447" t="s">
        <v>90</v>
      </c>
      <c r="C447" t="s">
        <v>636</v>
      </c>
      <c r="D447" t="s">
        <v>561</v>
      </c>
      <c r="E447" t="s">
        <v>612</v>
      </c>
      <c r="F447">
        <v>1</v>
      </c>
    </row>
    <row r="448" spans="1:6">
      <c r="A448" t="s">
        <v>54</v>
      </c>
    </row>
    <row r="449" spans="1:6">
      <c r="A449" t="s">
        <v>158</v>
      </c>
      <c r="B449" t="s">
        <v>159</v>
      </c>
      <c r="C449" t="s">
        <v>675</v>
      </c>
      <c r="D449" t="s">
        <v>635</v>
      </c>
      <c r="E449" t="s">
        <v>585</v>
      </c>
      <c r="F449">
        <v>1</v>
      </c>
    </row>
    <row r="450" spans="1:6">
      <c r="A450" t="s">
        <v>67</v>
      </c>
      <c r="B450" t="s">
        <v>68</v>
      </c>
      <c r="C450" t="s">
        <v>622</v>
      </c>
      <c r="D450" t="s">
        <v>567</v>
      </c>
      <c r="E450" t="s">
        <v>583</v>
      </c>
      <c r="F450">
        <v>4</v>
      </c>
    </row>
    <row r="451" spans="1:6">
      <c r="A451" t="s">
        <v>439</v>
      </c>
      <c r="B451" t="s">
        <v>440</v>
      </c>
      <c r="C451" t="s">
        <v>810</v>
      </c>
      <c r="D451" t="s">
        <v>601</v>
      </c>
      <c r="E451" t="s">
        <v>621</v>
      </c>
      <c r="F451">
        <v>2</v>
      </c>
    </row>
    <row r="452" spans="1:6">
      <c r="A452" t="s">
        <v>148</v>
      </c>
      <c r="B452" t="s">
        <v>149</v>
      </c>
      <c r="C452" t="s">
        <v>671</v>
      </c>
      <c r="D452" t="s">
        <v>569</v>
      </c>
      <c r="E452" t="s">
        <v>577</v>
      </c>
      <c r="F452">
        <v>5</v>
      </c>
    </row>
    <row r="453" spans="1:6">
      <c r="A453" t="s">
        <v>441</v>
      </c>
      <c r="B453" t="s">
        <v>442</v>
      </c>
      <c r="C453" t="s">
        <v>811</v>
      </c>
      <c r="D453" t="s">
        <v>561</v>
      </c>
      <c r="E453" t="s">
        <v>577</v>
      </c>
      <c r="F453">
        <v>7</v>
      </c>
    </row>
    <row r="454" spans="1:6">
      <c r="A454" t="s">
        <v>443</v>
      </c>
      <c r="B454" t="s">
        <v>317</v>
      </c>
      <c r="C454" t="s">
        <v>757</v>
      </c>
      <c r="D454" t="s">
        <v>635</v>
      </c>
      <c r="E454" t="s">
        <v>565</v>
      </c>
      <c r="F454">
        <v>4</v>
      </c>
    </row>
    <row r="455" spans="1:6">
      <c r="A455" t="s">
        <v>29</v>
      </c>
    </row>
    <row r="456" spans="1:6">
      <c r="A456" t="s">
        <v>444</v>
      </c>
      <c r="B456" t="s">
        <v>445</v>
      </c>
      <c r="C456" t="s">
        <v>812</v>
      </c>
      <c r="D456" t="s">
        <v>660</v>
      </c>
      <c r="E456" t="s">
        <v>572</v>
      </c>
      <c r="F456">
        <v>4</v>
      </c>
    </row>
    <row r="457" spans="1:6">
      <c r="A457" t="s">
        <v>166</v>
      </c>
      <c r="B457" t="s">
        <v>167</v>
      </c>
      <c r="C457" t="s">
        <v>679</v>
      </c>
      <c r="D457" t="s">
        <v>599</v>
      </c>
      <c r="E457" t="s">
        <v>618</v>
      </c>
      <c r="F457">
        <v>5</v>
      </c>
    </row>
    <row r="458" spans="1:6">
      <c r="A458" t="s">
        <v>446</v>
      </c>
      <c r="B458" t="s">
        <v>447</v>
      </c>
      <c r="C458" t="s">
        <v>813</v>
      </c>
      <c r="D458" t="s">
        <v>569</v>
      </c>
      <c r="E458" t="s">
        <v>612</v>
      </c>
      <c r="F458">
        <v>2</v>
      </c>
    </row>
    <row r="459" spans="1:6">
      <c r="A459" t="s">
        <v>50</v>
      </c>
      <c r="B459" t="s">
        <v>51</v>
      </c>
      <c r="C459" t="s">
        <v>606</v>
      </c>
      <c r="D459" t="s">
        <v>599</v>
      </c>
      <c r="E459" t="s">
        <v>570</v>
      </c>
      <c r="F459">
        <v>1</v>
      </c>
    </row>
    <row r="460" spans="1:6">
      <c r="A460" t="s">
        <v>448</v>
      </c>
      <c r="B460" t="s">
        <v>449</v>
      </c>
      <c r="C460" t="s">
        <v>814</v>
      </c>
      <c r="D460" t="s">
        <v>567</v>
      </c>
      <c r="E460" t="s">
        <v>585</v>
      </c>
      <c r="F460">
        <v>1</v>
      </c>
    </row>
    <row r="461" spans="1:6">
      <c r="A461" t="s">
        <v>57</v>
      </c>
      <c r="B461" s="1" t="s">
        <v>58</v>
      </c>
      <c r="C461" t="s">
        <v>611</v>
      </c>
      <c r="D461" t="s">
        <v>569</v>
      </c>
      <c r="E461" s="1" t="s">
        <v>612</v>
      </c>
      <c r="F461">
        <v>1</v>
      </c>
    </row>
    <row r="462" spans="1:6">
      <c r="A462" t="s">
        <v>54</v>
      </c>
    </row>
    <row r="463" spans="1:6">
      <c r="A463" t="s">
        <v>195</v>
      </c>
    </row>
    <row r="464" spans="1:6">
      <c r="A464" t="s">
        <v>228</v>
      </c>
    </row>
    <row r="465" spans="1:6">
      <c r="A465" t="s">
        <v>17</v>
      </c>
      <c r="B465" t="s">
        <v>18</v>
      </c>
      <c r="C465" t="s">
        <v>576</v>
      </c>
      <c r="D465" t="s">
        <v>574</v>
      </c>
      <c r="E465" t="s">
        <v>577</v>
      </c>
      <c r="F465">
        <v>1</v>
      </c>
    </row>
    <row r="466" spans="1:6">
      <c r="A466" t="s">
        <v>38</v>
      </c>
      <c r="B466" t="s">
        <v>39</v>
      </c>
      <c r="C466" t="s">
        <v>597</v>
      </c>
      <c r="D466" t="s">
        <v>561</v>
      </c>
      <c r="E466" t="s">
        <v>570</v>
      </c>
      <c r="F466">
        <v>2</v>
      </c>
    </row>
    <row r="467" spans="1:6">
      <c r="A467" t="s">
        <v>193</v>
      </c>
      <c r="B467" t="s">
        <v>194</v>
      </c>
      <c r="C467" t="s">
        <v>694</v>
      </c>
      <c r="D467" t="s">
        <v>599</v>
      </c>
      <c r="E467" t="s">
        <v>592</v>
      </c>
      <c r="F467">
        <v>8</v>
      </c>
    </row>
    <row r="468" spans="1:6">
      <c r="A468" t="s">
        <v>16</v>
      </c>
    </row>
    <row r="469" spans="1:6">
      <c r="A469" t="s">
        <v>195</v>
      </c>
    </row>
    <row r="470" spans="1:6">
      <c r="A470" t="s">
        <v>196</v>
      </c>
    </row>
    <row r="471" spans="1:6">
      <c r="A471" t="s">
        <v>42</v>
      </c>
      <c r="B471" t="s">
        <v>43</v>
      </c>
      <c r="C471" t="s">
        <v>600</v>
      </c>
      <c r="D471" t="s">
        <v>601</v>
      </c>
      <c r="E471" t="s">
        <v>565</v>
      </c>
      <c r="F471">
        <v>4</v>
      </c>
    </row>
    <row r="472" spans="1:6">
      <c r="A472" t="s">
        <v>450</v>
      </c>
      <c r="B472" t="s">
        <v>451</v>
      </c>
      <c r="C472" t="s">
        <v>815</v>
      </c>
      <c r="D472" t="s">
        <v>599</v>
      </c>
      <c r="E472" t="s">
        <v>565</v>
      </c>
      <c r="F472">
        <v>8</v>
      </c>
    </row>
    <row r="473" spans="1:6">
      <c r="A473" t="s">
        <v>158</v>
      </c>
      <c r="B473" t="s">
        <v>159</v>
      </c>
      <c r="C473" t="s">
        <v>675</v>
      </c>
      <c r="D473" t="s">
        <v>635</v>
      </c>
      <c r="E473" t="s">
        <v>585</v>
      </c>
      <c r="F473">
        <v>1</v>
      </c>
    </row>
    <row r="474" spans="1:6">
      <c r="A474" t="s">
        <v>452</v>
      </c>
      <c r="B474" t="s">
        <v>410</v>
      </c>
      <c r="C474" t="s">
        <v>797</v>
      </c>
      <c r="D474" t="s">
        <v>569</v>
      </c>
      <c r="E474" t="s">
        <v>570</v>
      </c>
      <c r="F474">
        <v>5</v>
      </c>
    </row>
    <row r="475" spans="1:6">
      <c r="A475" t="s">
        <v>63</v>
      </c>
      <c r="B475" t="s">
        <v>64</v>
      </c>
      <c r="C475" t="s">
        <v>617</v>
      </c>
      <c r="D475" t="s">
        <v>574</v>
      </c>
      <c r="E475" t="s">
        <v>618</v>
      </c>
      <c r="F475">
        <v>2</v>
      </c>
    </row>
    <row r="476" spans="1:6">
      <c r="A476" t="s">
        <v>40</v>
      </c>
      <c r="B476" t="s">
        <v>41</v>
      </c>
      <c r="C476" t="s">
        <v>598</v>
      </c>
      <c r="D476" t="s">
        <v>599</v>
      </c>
      <c r="E476" t="s">
        <v>570</v>
      </c>
      <c r="F476">
        <v>2</v>
      </c>
    </row>
    <row r="477" spans="1:6">
      <c r="A477" t="s">
        <v>32</v>
      </c>
      <c r="B477" t="s">
        <v>33</v>
      </c>
      <c r="C477" t="s">
        <v>590</v>
      </c>
      <c r="D477" t="s">
        <v>591</v>
      </c>
      <c r="E477" t="s">
        <v>592</v>
      </c>
      <c r="F477">
        <v>8</v>
      </c>
    </row>
    <row r="478" spans="1:6">
      <c r="A478" t="s">
        <v>148</v>
      </c>
      <c r="B478" t="s">
        <v>149</v>
      </c>
      <c r="C478" t="s">
        <v>671</v>
      </c>
      <c r="D478" t="s">
        <v>569</v>
      </c>
      <c r="E478" t="s">
        <v>577</v>
      </c>
      <c r="F478">
        <v>5</v>
      </c>
    </row>
    <row r="479" spans="1:6">
      <c r="A479" t="s">
        <v>296</v>
      </c>
    </row>
    <row r="480" spans="1:6">
      <c r="A480" t="s">
        <v>453</v>
      </c>
      <c r="B480" t="s">
        <v>454</v>
      </c>
      <c r="C480" t="s">
        <v>816</v>
      </c>
      <c r="D480" t="s">
        <v>574</v>
      </c>
      <c r="E480" s="1" t="s">
        <v>585</v>
      </c>
      <c r="F480">
        <v>7</v>
      </c>
    </row>
    <row r="481" spans="1:6">
      <c r="A481" t="s">
        <v>237</v>
      </c>
      <c r="B481" t="s">
        <v>238</v>
      </c>
      <c r="C481" t="s">
        <v>718</v>
      </c>
      <c r="D481" t="s">
        <v>561</v>
      </c>
      <c r="E481" t="s">
        <v>719</v>
      </c>
      <c r="F481">
        <v>2</v>
      </c>
    </row>
    <row r="482" spans="1:6">
      <c r="A482" t="s">
        <v>134</v>
      </c>
      <c r="B482" t="s">
        <v>135</v>
      </c>
      <c r="C482" t="s">
        <v>664</v>
      </c>
      <c r="D482" t="s">
        <v>580</v>
      </c>
      <c r="E482" s="1" t="s">
        <v>585</v>
      </c>
      <c r="F482">
        <v>5</v>
      </c>
    </row>
    <row r="483" spans="1:6">
      <c r="A483" t="s">
        <v>455</v>
      </c>
      <c r="B483" t="s">
        <v>363</v>
      </c>
      <c r="C483" t="s">
        <v>777</v>
      </c>
      <c r="D483" t="s">
        <v>574</v>
      </c>
      <c r="E483" t="s">
        <v>570</v>
      </c>
      <c r="F483">
        <v>1</v>
      </c>
    </row>
    <row r="484" spans="1:6">
      <c r="A484" t="s">
        <v>29</v>
      </c>
    </row>
    <row r="485" spans="1:6">
      <c r="A485" t="s">
        <v>157</v>
      </c>
      <c r="B485" t="s">
        <v>150</v>
      </c>
      <c r="C485" t="s">
        <v>664</v>
      </c>
      <c r="D485" t="s">
        <v>580</v>
      </c>
      <c r="E485" t="s">
        <v>585</v>
      </c>
      <c r="F485">
        <v>5</v>
      </c>
    </row>
    <row r="486" spans="1:6">
      <c r="A486" t="s">
        <v>456</v>
      </c>
      <c r="B486" t="s">
        <v>457</v>
      </c>
      <c r="C486" t="s">
        <v>817</v>
      </c>
      <c r="D486" t="s">
        <v>596</v>
      </c>
      <c r="E486" t="s">
        <v>585</v>
      </c>
      <c r="F486">
        <v>7</v>
      </c>
    </row>
    <row r="487" spans="1:6">
      <c r="A487" t="s">
        <v>458</v>
      </c>
      <c r="B487" t="s">
        <v>459</v>
      </c>
      <c r="C487" t="s">
        <v>818</v>
      </c>
      <c r="D487" t="s">
        <v>574</v>
      </c>
      <c r="E487" t="s">
        <v>612</v>
      </c>
      <c r="F487">
        <v>5</v>
      </c>
    </row>
    <row r="488" spans="1:6">
      <c r="A488" t="s">
        <v>460</v>
      </c>
      <c r="B488" s="1" t="s">
        <v>461</v>
      </c>
      <c r="C488" t="s">
        <v>819</v>
      </c>
      <c r="D488" t="s">
        <v>599</v>
      </c>
      <c r="E488" s="1" t="s">
        <v>612</v>
      </c>
      <c r="F488">
        <v>2</v>
      </c>
    </row>
    <row r="489" spans="1:6">
      <c r="A489" t="s">
        <v>294</v>
      </c>
      <c r="B489" t="s">
        <v>295</v>
      </c>
      <c r="C489" t="s">
        <v>748</v>
      </c>
      <c r="D489" t="s">
        <v>599</v>
      </c>
      <c r="E489" t="s">
        <v>719</v>
      </c>
      <c r="F489">
        <v>2</v>
      </c>
    </row>
    <row r="490" spans="1:6">
      <c r="A490" t="s">
        <v>126</v>
      </c>
    </row>
    <row r="491" spans="1:6">
      <c r="A491" t="s">
        <v>462</v>
      </c>
      <c r="B491" t="s">
        <v>463</v>
      </c>
      <c r="C491" t="s">
        <v>820</v>
      </c>
      <c r="D491" t="s">
        <v>599</v>
      </c>
      <c r="E491" t="s">
        <v>610</v>
      </c>
      <c r="F491">
        <v>5</v>
      </c>
    </row>
    <row r="492" spans="1:6">
      <c r="A492" t="s">
        <v>153</v>
      </c>
      <c r="B492" t="s">
        <v>154</v>
      </c>
      <c r="C492" t="s">
        <v>673</v>
      </c>
      <c r="D492" t="s">
        <v>569</v>
      </c>
      <c r="E492" t="s">
        <v>570</v>
      </c>
      <c r="F492">
        <v>1</v>
      </c>
    </row>
    <row r="493" spans="1:6">
      <c r="A493" t="s">
        <v>237</v>
      </c>
      <c r="B493" t="s">
        <v>238</v>
      </c>
      <c r="C493" t="s">
        <v>718</v>
      </c>
      <c r="D493" t="s">
        <v>561</v>
      </c>
      <c r="E493" t="s">
        <v>719</v>
      </c>
      <c r="F493">
        <v>2</v>
      </c>
    </row>
    <row r="494" spans="1:6">
      <c r="A494" t="s">
        <v>134</v>
      </c>
      <c r="B494" t="s">
        <v>135</v>
      </c>
      <c r="C494" t="s">
        <v>664</v>
      </c>
      <c r="D494" t="s">
        <v>580</v>
      </c>
      <c r="E494" s="1" t="s">
        <v>585</v>
      </c>
      <c r="F494">
        <v>5</v>
      </c>
    </row>
    <row r="495" spans="1:6">
      <c r="A495" t="s">
        <v>464</v>
      </c>
      <c r="B495" t="s">
        <v>465</v>
      </c>
      <c r="C495" t="s">
        <v>821</v>
      </c>
      <c r="D495" t="s">
        <v>567</v>
      </c>
      <c r="E495" t="s">
        <v>585</v>
      </c>
      <c r="F495">
        <v>2</v>
      </c>
    </row>
    <row r="496" spans="1:6">
      <c r="A496" t="s">
        <v>29</v>
      </c>
    </row>
    <row r="497" spans="1:6">
      <c r="A497" t="s">
        <v>157</v>
      </c>
      <c r="B497" t="s">
        <v>150</v>
      </c>
      <c r="C497" t="s">
        <v>664</v>
      </c>
      <c r="D497" t="s">
        <v>580</v>
      </c>
      <c r="E497" t="s">
        <v>585</v>
      </c>
      <c r="F497">
        <v>5</v>
      </c>
    </row>
    <row r="498" spans="1:6">
      <c r="A498" t="s">
        <v>466</v>
      </c>
      <c r="B498" t="s">
        <v>467</v>
      </c>
      <c r="C498" t="s">
        <v>822</v>
      </c>
      <c r="D498" t="s">
        <v>561</v>
      </c>
      <c r="E498" t="s">
        <v>583</v>
      </c>
      <c r="F498">
        <v>4</v>
      </c>
    </row>
    <row r="499" spans="1:6">
      <c r="A499" t="s">
        <v>468</v>
      </c>
      <c r="B499" t="s">
        <v>469</v>
      </c>
      <c r="C499" t="s">
        <v>823</v>
      </c>
      <c r="D499" t="s">
        <v>596</v>
      </c>
      <c r="E499" t="s">
        <v>572</v>
      </c>
      <c r="F499">
        <v>8</v>
      </c>
    </row>
    <row r="500" spans="1:6">
      <c r="A500" t="s">
        <v>470</v>
      </c>
      <c r="B500" t="s">
        <v>236</v>
      </c>
      <c r="C500" t="s">
        <v>717</v>
      </c>
      <c r="D500" t="s">
        <v>574</v>
      </c>
      <c r="E500" t="s">
        <v>633</v>
      </c>
      <c r="F500">
        <v>1</v>
      </c>
    </row>
    <row r="501" spans="1:6">
      <c r="A501" t="s">
        <v>426</v>
      </c>
      <c r="B501" t="s">
        <v>427</v>
      </c>
      <c r="C501" t="s">
        <v>803</v>
      </c>
      <c r="D501" t="s">
        <v>635</v>
      </c>
      <c r="E501" t="s">
        <v>612</v>
      </c>
      <c r="F501">
        <v>5</v>
      </c>
    </row>
    <row r="502" spans="1:6">
      <c r="A502" t="s">
        <v>294</v>
      </c>
      <c r="B502" t="s">
        <v>295</v>
      </c>
      <c r="C502" t="s">
        <v>748</v>
      </c>
      <c r="D502" t="s">
        <v>599</v>
      </c>
      <c r="E502" t="s">
        <v>719</v>
      </c>
      <c r="F502">
        <v>2</v>
      </c>
    </row>
    <row r="503" spans="1:6">
      <c r="A503" t="s">
        <v>29</v>
      </c>
    </row>
    <row r="504" spans="1:6">
      <c r="A504" t="s">
        <v>471</v>
      </c>
      <c r="B504" t="s">
        <v>472</v>
      </c>
      <c r="C504" t="s">
        <v>824</v>
      </c>
      <c r="D504" t="s">
        <v>594</v>
      </c>
      <c r="E504" t="s">
        <v>616</v>
      </c>
      <c r="F504">
        <v>3</v>
      </c>
    </row>
    <row r="505" spans="1:6">
      <c r="A505" t="s">
        <v>473</v>
      </c>
      <c r="B505" t="s">
        <v>90</v>
      </c>
      <c r="C505" t="s">
        <v>636</v>
      </c>
      <c r="D505" t="s">
        <v>561</v>
      </c>
      <c r="E505" t="s">
        <v>612</v>
      </c>
      <c r="F505">
        <v>1</v>
      </c>
    </row>
    <row r="506" spans="1:6">
      <c r="A506" t="s">
        <v>474</v>
      </c>
      <c r="B506" t="s">
        <v>475</v>
      </c>
      <c r="C506" t="s">
        <v>825</v>
      </c>
      <c r="D506" t="s">
        <v>561</v>
      </c>
      <c r="E506" t="s">
        <v>570</v>
      </c>
      <c r="F506">
        <v>7</v>
      </c>
    </row>
    <row r="507" spans="1:6">
      <c r="A507" t="s">
        <v>160</v>
      </c>
      <c r="B507" t="s">
        <v>161</v>
      </c>
      <c r="C507" t="s">
        <v>676</v>
      </c>
      <c r="D507" t="s">
        <v>594</v>
      </c>
      <c r="E507" t="s">
        <v>585</v>
      </c>
      <c r="F507">
        <v>5</v>
      </c>
    </row>
    <row r="508" spans="1:6">
      <c r="A508" t="s">
        <v>476</v>
      </c>
      <c r="B508" t="s">
        <v>477</v>
      </c>
      <c r="C508" t="s">
        <v>826</v>
      </c>
      <c r="D508" t="s">
        <v>567</v>
      </c>
      <c r="E508" t="s">
        <v>562</v>
      </c>
      <c r="F508">
        <v>3</v>
      </c>
    </row>
    <row r="509" spans="1:6">
      <c r="A509" t="s">
        <v>237</v>
      </c>
      <c r="B509" t="s">
        <v>238</v>
      </c>
      <c r="C509" t="s">
        <v>718</v>
      </c>
      <c r="D509" t="s">
        <v>561</v>
      </c>
      <c r="E509" t="s">
        <v>719</v>
      </c>
      <c r="F509">
        <v>2</v>
      </c>
    </row>
    <row r="510" spans="1:6">
      <c r="A510" t="s">
        <v>157</v>
      </c>
      <c r="B510" t="s">
        <v>150</v>
      </c>
      <c r="C510" t="s">
        <v>664</v>
      </c>
      <c r="D510" t="s">
        <v>580</v>
      </c>
      <c r="E510" t="s">
        <v>585</v>
      </c>
      <c r="F510">
        <v>5</v>
      </c>
    </row>
    <row r="511" spans="1:6">
      <c r="A511" t="s">
        <v>478</v>
      </c>
      <c r="B511" t="s">
        <v>479</v>
      </c>
      <c r="C511" t="s">
        <v>827</v>
      </c>
      <c r="D511" t="s">
        <v>594</v>
      </c>
      <c r="E511" t="s">
        <v>603</v>
      </c>
      <c r="F511">
        <v>1</v>
      </c>
    </row>
    <row r="512" spans="1:6">
      <c r="A512" t="s">
        <v>25</v>
      </c>
      <c r="B512" t="s">
        <v>26</v>
      </c>
      <c r="C512" t="s">
        <v>584</v>
      </c>
      <c r="D512" t="s">
        <v>561</v>
      </c>
      <c r="E512" t="s">
        <v>585</v>
      </c>
      <c r="F512">
        <v>1</v>
      </c>
    </row>
    <row r="513" spans="1:6">
      <c r="A513" t="s">
        <v>29</v>
      </c>
    </row>
    <row r="514" spans="1:6">
      <c r="A514" t="s">
        <v>480</v>
      </c>
      <c r="B514" t="s">
        <v>481</v>
      </c>
      <c r="C514" t="s">
        <v>828</v>
      </c>
      <c r="D514" t="s">
        <v>561</v>
      </c>
      <c r="E514" t="s">
        <v>565</v>
      </c>
      <c r="F514">
        <v>4</v>
      </c>
    </row>
    <row r="515" spans="1:6">
      <c r="A515" t="s">
        <v>124</v>
      </c>
      <c r="B515" t="s">
        <v>125</v>
      </c>
      <c r="C515" t="s">
        <v>659</v>
      </c>
      <c r="D515" t="s">
        <v>660</v>
      </c>
      <c r="E515" t="s">
        <v>562</v>
      </c>
      <c r="F515">
        <v>1</v>
      </c>
    </row>
    <row r="516" spans="1:6">
      <c r="A516" t="s">
        <v>412</v>
      </c>
      <c r="B516" t="s">
        <v>482</v>
      </c>
      <c r="C516" t="s">
        <v>829</v>
      </c>
      <c r="D516" t="s">
        <v>635</v>
      </c>
      <c r="E516" s="1" t="s">
        <v>699</v>
      </c>
      <c r="F516">
        <v>7</v>
      </c>
    </row>
    <row r="517" spans="1:6">
      <c r="A517" t="s">
        <v>483</v>
      </c>
      <c r="B517" t="s">
        <v>358</v>
      </c>
      <c r="C517" t="s">
        <v>775</v>
      </c>
      <c r="D517" t="s">
        <v>561</v>
      </c>
      <c r="E517" t="s">
        <v>610</v>
      </c>
      <c r="F517">
        <v>1</v>
      </c>
    </row>
    <row r="518" spans="1:6">
      <c r="A518" t="s">
        <v>67</v>
      </c>
      <c r="B518" t="s">
        <v>68</v>
      </c>
      <c r="C518" t="s">
        <v>622</v>
      </c>
      <c r="D518" t="s">
        <v>567</v>
      </c>
      <c r="E518" t="s">
        <v>583</v>
      </c>
      <c r="F518">
        <v>4</v>
      </c>
    </row>
    <row r="519" spans="1:6">
      <c r="A519" t="s">
        <v>484</v>
      </c>
      <c r="B519" t="s">
        <v>137</v>
      </c>
      <c r="C519" t="s">
        <v>665</v>
      </c>
      <c r="D519" t="s">
        <v>615</v>
      </c>
      <c r="E519" t="s">
        <v>610</v>
      </c>
      <c r="F519">
        <v>5</v>
      </c>
    </row>
    <row r="520" spans="1:6">
      <c r="A520" t="s">
        <v>407</v>
      </c>
      <c r="B520" t="s">
        <v>240</v>
      </c>
      <c r="C520" t="s">
        <v>720</v>
      </c>
      <c r="D520" t="s">
        <v>599</v>
      </c>
      <c r="E520" t="s">
        <v>585</v>
      </c>
      <c r="F520">
        <v>2</v>
      </c>
    </row>
    <row r="521" spans="1:6">
      <c r="A521" t="s">
        <v>128</v>
      </c>
      <c r="B521" t="s">
        <v>129</v>
      </c>
      <c r="C521" t="s">
        <v>661</v>
      </c>
      <c r="D521" t="s">
        <v>599</v>
      </c>
      <c r="E521" t="s">
        <v>589</v>
      </c>
      <c r="F521">
        <v>4</v>
      </c>
    </row>
    <row r="522" spans="1:6">
      <c r="A522" t="s">
        <v>485</v>
      </c>
      <c r="B522" t="s">
        <v>486</v>
      </c>
      <c r="C522" t="s">
        <v>830</v>
      </c>
      <c r="D522" t="s">
        <v>574</v>
      </c>
      <c r="E522" t="s">
        <v>746</v>
      </c>
      <c r="F522">
        <v>3</v>
      </c>
    </row>
    <row r="523" spans="1:6">
      <c r="A523" t="s">
        <v>126</v>
      </c>
    </row>
    <row r="524" spans="1:6">
      <c r="A524" t="s">
        <v>474</v>
      </c>
      <c r="B524" t="s">
        <v>475</v>
      </c>
      <c r="C524" t="s">
        <v>825</v>
      </c>
      <c r="D524" t="s">
        <v>561</v>
      </c>
      <c r="E524" t="s">
        <v>570</v>
      </c>
      <c r="F524">
        <v>7</v>
      </c>
    </row>
    <row r="525" spans="1:6">
      <c r="A525" t="s">
        <v>160</v>
      </c>
      <c r="B525" t="s">
        <v>161</v>
      </c>
      <c r="C525" t="s">
        <v>676</v>
      </c>
      <c r="D525" t="s">
        <v>594</v>
      </c>
      <c r="E525" t="s">
        <v>585</v>
      </c>
      <c r="F525">
        <v>5</v>
      </c>
    </row>
    <row r="526" spans="1:6">
      <c r="A526" t="s">
        <v>67</v>
      </c>
      <c r="B526" t="s">
        <v>68</v>
      </c>
      <c r="C526" t="s">
        <v>622</v>
      </c>
      <c r="D526" t="s">
        <v>567</v>
      </c>
      <c r="E526" t="s">
        <v>583</v>
      </c>
      <c r="F526">
        <v>4</v>
      </c>
    </row>
    <row r="527" spans="1:6">
      <c r="A527" t="s">
        <v>476</v>
      </c>
      <c r="B527" t="s">
        <v>487</v>
      </c>
      <c r="C527" t="s">
        <v>831</v>
      </c>
      <c r="D527" t="s">
        <v>567</v>
      </c>
      <c r="E527" t="s">
        <v>603</v>
      </c>
      <c r="F527">
        <v>3</v>
      </c>
    </row>
    <row r="528" spans="1:6">
      <c r="A528" t="s">
        <v>237</v>
      </c>
      <c r="B528" t="s">
        <v>238</v>
      </c>
      <c r="C528" t="s">
        <v>718</v>
      </c>
      <c r="D528" t="s">
        <v>561</v>
      </c>
      <c r="E528" t="s">
        <v>719</v>
      </c>
      <c r="F528">
        <v>2</v>
      </c>
    </row>
    <row r="529" spans="1:6">
      <c r="A529" t="s">
        <v>157</v>
      </c>
      <c r="B529" t="s">
        <v>150</v>
      </c>
      <c r="C529" t="s">
        <v>664</v>
      </c>
      <c r="D529" t="s">
        <v>580</v>
      </c>
      <c r="E529" t="s">
        <v>585</v>
      </c>
      <c r="F529">
        <v>5</v>
      </c>
    </row>
    <row r="530" spans="1:6">
      <c r="A530" t="s">
        <v>478</v>
      </c>
      <c r="B530" t="s">
        <v>479</v>
      </c>
      <c r="C530" t="s">
        <v>827</v>
      </c>
      <c r="D530" t="s">
        <v>594</v>
      </c>
      <c r="E530" t="s">
        <v>603</v>
      </c>
      <c r="F530">
        <v>1</v>
      </c>
    </row>
    <row r="531" spans="1:6">
      <c r="A531" t="s">
        <v>25</v>
      </c>
      <c r="B531" t="s">
        <v>26</v>
      </c>
      <c r="C531" t="s">
        <v>584</v>
      </c>
      <c r="D531" t="s">
        <v>561</v>
      </c>
      <c r="E531" t="s">
        <v>585</v>
      </c>
      <c r="F531">
        <v>1</v>
      </c>
    </row>
    <row r="532" spans="1:6">
      <c r="A532" t="s">
        <v>29</v>
      </c>
    </row>
    <row r="533" spans="1:6">
      <c r="A533" t="s">
        <v>480</v>
      </c>
      <c r="B533" t="s">
        <v>481</v>
      </c>
      <c r="C533" t="s">
        <v>828</v>
      </c>
      <c r="D533" t="s">
        <v>561</v>
      </c>
      <c r="E533" t="s">
        <v>565</v>
      </c>
      <c r="F533">
        <v>4</v>
      </c>
    </row>
    <row r="534" spans="1:6">
      <c r="A534" t="s">
        <v>488</v>
      </c>
      <c r="B534" t="s">
        <v>489</v>
      </c>
      <c r="C534" t="s">
        <v>832</v>
      </c>
      <c r="D534" t="s">
        <v>596</v>
      </c>
      <c r="E534" t="s">
        <v>583</v>
      </c>
      <c r="F534">
        <v>8</v>
      </c>
    </row>
    <row r="535" spans="1:6">
      <c r="A535" t="s">
        <v>40</v>
      </c>
      <c r="B535" t="s">
        <v>41</v>
      </c>
      <c r="C535" t="s">
        <v>598</v>
      </c>
      <c r="D535" t="s">
        <v>599</v>
      </c>
      <c r="E535" t="s">
        <v>570</v>
      </c>
      <c r="F535">
        <v>2</v>
      </c>
    </row>
    <row r="536" spans="1:6">
      <c r="A536" t="s">
        <v>490</v>
      </c>
      <c r="B536" s="1" t="s">
        <v>491</v>
      </c>
      <c r="C536" t="s">
        <v>833</v>
      </c>
      <c r="D536" t="s">
        <v>649</v>
      </c>
      <c r="E536" s="1" t="s">
        <v>834</v>
      </c>
      <c r="F536">
        <v>2</v>
      </c>
    </row>
    <row r="537" spans="1:6">
      <c r="A537" t="s">
        <v>492</v>
      </c>
      <c r="B537" t="s">
        <v>493</v>
      </c>
      <c r="C537" t="s">
        <v>835</v>
      </c>
      <c r="D537" t="s">
        <v>594</v>
      </c>
      <c r="E537" t="s">
        <v>616</v>
      </c>
      <c r="F537">
        <v>1</v>
      </c>
    </row>
    <row r="538" spans="1:6">
      <c r="A538" t="s">
        <v>428</v>
      </c>
      <c r="B538" t="s">
        <v>429</v>
      </c>
      <c r="C538" t="s">
        <v>804</v>
      </c>
      <c r="D538" t="s">
        <v>596</v>
      </c>
      <c r="E538" t="s">
        <v>570</v>
      </c>
      <c r="F538">
        <v>5</v>
      </c>
    </row>
    <row r="539" spans="1:6">
      <c r="A539" t="s">
        <v>494</v>
      </c>
      <c r="B539" t="s">
        <v>495</v>
      </c>
      <c r="C539" t="s">
        <v>836</v>
      </c>
      <c r="D539" t="s">
        <v>561</v>
      </c>
      <c r="E539" t="s">
        <v>712</v>
      </c>
      <c r="F539">
        <v>2</v>
      </c>
    </row>
    <row r="540" spans="1:6">
      <c r="A540" t="s">
        <v>294</v>
      </c>
      <c r="B540" t="s">
        <v>295</v>
      </c>
      <c r="C540" t="s">
        <v>748</v>
      </c>
      <c r="D540" t="s">
        <v>599</v>
      </c>
      <c r="E540" t="s">
        <v>719</v>
      </c>
      <c r="F540">
        <v>2</v>
      </c>
    </row>
    <row r="541" spans="1:6">
      <c r="A541" t="s">
        <v>29</v>
      </c>
    </row>
    <row r="542" spans="1:6">
      <c r="A542" t="s">
        <v>157</v>
      </c>
      <c r="B542" t="s">
        <v>150</v>
      </c>
      <c r="C542" t="s">
        <v>664</v>
      </c>
      <c r="D542" t="s">
        <v>580</v>
      </c>
      <c r="E542" t="s">
        <v>585</v>
      </c>
      <c r="F542">
        <v>5</v>
      </c>
    </row>
    <row r="543" spans="1:6">
      <c r="A543" t="s">
        <v>496</v>
      </c>
      <c r="B543" t="s">
        <v>497</v>
      </c>
      <c r="C543" t="s">
        <v>837</v>
      </c>
      <c r="D543" t="s">
        <v>599</v>
      </c>
      <c r="E543" t="s">
        <v>587</v>
      </c>
      <c r="F543">
        <v>7</v>
      </c>
    </row>
    <row r="544" spans="1:6">
      <c r="A544" t="s">
        <v>291</v>
      </c>
      <c r="B544" t="s">
        <v>242</v>
      </c>
      <c r="C544" t="s">
        <v>721</v>
      </c>
      <c r="D544" t="s">
        <v>569</v>
      </c>
      <c r="E544" t="s">
        <v>621</v>
      </c>
      <c r="F544">
        <v>5</v>
      </c>
    </row>
    <row r="545" spans="1:6">
      <c r="A545" t="s">
        <v>424</v>
      </c>
      <c r="B545" t="s">
        <v>425</v>
      </c>
      <c r="C545" t="s">
        <v>802</v>
      </c>
      <c r="D545" t="s">
        <v>574</v>
      </c>
      <c r="E545" t="s">
        <v>562</v>
      </c>
      <c r="F545">
        <v>7</v>
      </c>
    </row>
    <row r="546" spans="1:6">
      <c r="A546" t="s">
        <v>148</v>
      </c>
      <c r="B546" t="s">
        <v>149</v>
      </c>
      <c r="C546" t="s">
        <v>671</v>
      </c>
      <c r="D546" t="s">
        <v>569</v>
      </c>
      <c r="E546" t="s">
        <v>577</v>
      </c>
      <c r="F546">
        <v>5</v>
      </c>
    </row>
    <row r="547" spans="1:6">
      <c r="A547" t="s">
        <v>296</v>
      </c>
    </row>
    <row r="548" spans="1:6">
      <c r="A548" t="s">
        <v>498</v>
      </c>
      <c r="B548" t="s">
        <v>499</v>
      </c>
      <c r="C548" t="s">
        <v>838</v>
      </c>
      <c r="D548" t="s">
        <v>564</v>
      </c>
      <c r="E548" t="s">
        <v>839</v>
      </c>
      <c r="F548">
        <v>2</v>
      </c>
    </row>
    <row r="549" spans="1:6">
      <c r="A549" t="s">
        <v>452</v>
      </c>
      <c r="B549" t="s">
        <v>410</v>
      </c>
      <c r="C549" t="s">
        <v>797</v>
      </c>
      <c r="D549" t="s">
        <v>569</v>
      </c>
      <c r="E549" t="s">
        <v>570</v>
      </c>
      <c r="F549">
        <v>5</v>
      </c>
    </row>
    <row r="550" spans="1:6">
      <c r="A550" t="s">
        <v>124</v>
      </c>
      <c r="B550" t="s">
        <v>125</v>
      </c>
      <c r="C550" t="s">
        <v>659</v>
      </c>
      <c r="D550" t="s">
        <v>660</v>
      </c>
      <c r="E550" t="s">
        <v>562</v>
      </c>
      <c r="F550">
        <v>1</v>
      </c>
    </row>
    <row r="551" spans="1:6">
      <c r="A551" t="s">
        <v>412</v>
      </c>
      <c r="B551" t="s">
        <v>482</v>
      </c>
      <c r="C551" t="s">
        <v>829</v>
      </c>
      <c r="D551" t="s">
        <v>635</v>
      </c>
      <c r="E551" t="s">
        <v>699</v>
      </c>
      <c r="F551">
        <v>7</v>
      </c>
    </row>
    <row r="552" spans="1:6">
      <c r="A552" t="s">
        <v>25</v>
      </c>
      <c r="B552" t="s">
        <v>26</v>
      </c>
      <c r="C552" t="s">
        <v>584</v>
      </c>
      <c r="D552" t="s">
        <v>561</v>
      </c>
      <c r="E552" t="s">
        <v>585</v>
      </c>
      <c r="F552">
        <v>1</v>
      </c>
    </row>
    <row r="553" spans="1:6">
      <c r="A553" t="s">
        <v>111</v>
      </c>
      <c r="B553" t="s">
        <v>112</v>
      </c>
      <c r="C553" t="s">
        <v>651</v>
      </c>
      <c r="D553" t="s">
        <v>594</v>
      </c>
      <c r="E553" t="s">
        <v>642</v>
      </c>
      <c r="F553">
        <v>1</v>
      </c>
    </row>
    <row r="554" spans="1:6">
      <c r="A554" t="s">
        <v>29</v>
      </c>
    </row>
    <row r="555" spans="1:6">
      <c r="A555" t="s">
        <v>488</v>
      </c>
      <c r="B555" t="s">
        <v>489</v>
      </c>
      <c r="C555" t="s">
        <v>832</v>
      </c>
      <c r="D555" t="s">
        <v>596</v>
      </c>
      <c r="E555" t="s">
        <v>583</v>
      </c>
      <c r="F555">
        <v>8</v>
      </c>
    </row>
    <row r="556" spans="1:6">
      <c r="A556" t="s">
        <v>500</v>
      </c>
      <c r="B556" t="s">
        <v>501</v>
      </c>
      <c r="C556" t="s">
        <v>840</v>
      </c>
      <c r="D556" t="s">
        <v>594</v>
      </c>
      <c r="E556" t="s">
        <v>572</v>
      </c>
      <c r="F556">
        <v>4</v>
      </c>
    </row>
    <row r="557" spans="1:6">
      <c r="A557" t="s">
        <v>229</v>
      </c>
      <c r="B557" t="s">
        <v>230</v>
      </c>
      <c r="C557" t="s">
        <v>714</v>
      </c>
      <c r="D557" t="s">
        <v>599</v>
      </c>
      <c r="E557" t="s">
        <v>587</v>
      </c>
      <c r="F557">
        <v>2</v>
      </c>
    </row>
    <row r="558" spans="1:6">
      <c r="A558" t="s">
        <v>502</v>
      </c>
      <c r="B558" t="s">
        <v>39</v>
      </c>
      <c r="C558" t="s">
        <v>597</v>
      </c>
      <c r="D558" t="s">
        <v>561</v>
      </c>
      <c r="E558" t="s">
        <v>570</v>
      </c>
      <c r="F558">
        <v>2</v>
      </c>
    </row>
    <row r="559" spans="1:6">
      <c r="A559" t="s">
        <v>29</v>
      </c>
    </row>
    <row r="560" spans="1:6">
      <c r="A560" t="s">
        <v>503</v>
      </c>
      <c r="B560" t="s">
        <v>504</v>
      </c>
      <c r="C560" t="s">
        <v>841</v>
      </c>
      <c r="D560" t="s">
        <v>594</v>
      </c>
      <c r="E560" t="s">
        <v>577</v>
      </c>
      <c r="F560">
        <v>2</v>
      </c>
    </row>
    <row r="561" spans="1:6">
      <c r="A561" t="s">
        <v>311</v>
      </c>
      <c r="B561" t="s">
        <v>307</v>
      </c>
      <c r="C561" t="s">
        <v>753</v>
      </c>
      <c r="D561" t="s">
        <v>569</v>
      </c>
      <c r="E561" t="s">
        <v>618</v>
      </c>
      <c r="F561">
        <v>1</v>
      </c>
    </row>
    <row r="562" spans="1:6">
      <c r="A562" t="s">
        <v>381</v>
      </c>
      <c r="B562" t="s">
        <v>491</v>
      </c>
      <c r="C562" t="s">
        <v>786</v>
      </c>
      <c r="D562" t="s">
        <v>591</v>
      </c>
      <c r="E562" t="s">
        <v>577</v>
      </c>
      <c r="F562">
        <v>5</v>
      </c>
    </row>
    <row r="563" spans="1:6">
      <c r="A563" t="s">
        <v>25</v>
      </c>
      <c r="B563" t="s">
        <v>26</v>
      </c>
      <c r="C563" t="s">
        <v>584</v>
      </c>
      <c r="D563" t="s">
        <v>561</v>
      </c>
      <c r="E563" t="s">
        <v>585</v>
      </c>
      <c r="F563">
        <v>1</v>
      </c>
    </row>
    <row r="564" spans="1:6">
      <c r="A564" t="s">
        <v>132</v>
      </c>
      <c r="B564" t="s">
        <v>133</v>
      </c>
      <c r="C564" t="s">
        <v>663</v>
      </c>
      <c r="D564" t="s">
        <v>574</v>
      </c>
      <c r="E564" t="s">
        <v>577</v>
      </c>
      <c r="F564">
        <v>2</v>
      </c>
    </row>
    <row r="565" spans="1:6">
      <c r="A565" t="s">
        <v>229</v>
      </c>
      <c r="B565" t="s">
        <v>230</v>
      </c>
      <c r="C565" t="s">
        <v>714</v>
      </c>
      <c r="D565" t="s">
        <v>599</v>
      </c>
      <c r="E565" t="s">
        <v>587</v>
      </c>
      <c r="F565">
        <v>2</v>
      </c>
    </row>
    <row r="566" spans="1:6">
      <c r="A566" t="s">
        <v>29</v>
      </c>
    </row>
    <row r="567" spans="1:6">
      <c r="A567" t="s">
        <v>505</v>
      </c>
      <c r="B567" t="s">
        <v>506</v>
      </c>
      <c r="C567" t="s">
        <v>842</v>
      </c>
      <c r="D567" t="s">
        <v>574</v>
      </c>
      <c r="E567" t="s">
        <v>618</v>
      </c>
      <c r="F567">
        <v>1</v>
      </c>
    </row>
    <row r="568" spans="1:6">
      <c r="A568" t="s">
        <v>128</v>
      </c>
      <c r="B568" t="s">
        <v>129</v>
      </c>
      <c r="C568" t="s">
        <v>661</v>
      </c>
      <c r="D568" t="s">
        <v>599</v>
      </c>
      <c r="E568" t="s">
        <v>589</v>
      </c>
      <c r="F568">
        <v>4</v>
      </c>
    </row>
    <row r="569" spans="1:6">
      <c r="A569" t="s">
        <v>507</v>
      </c>
      <c r="B569" t="s">
        <v>242</v>
      </c>
      <c r="C569" t="s">
        <v>721</v>
      </c>
      <c r="D569" t="s">
        <v>569</v>
      </c>
      <c r="E569" t="s">
        <v>621</v>
      </c>
      <c r="F569">
        <v>5</v>
      </c>
    </row>
    <row r="570" spans="1:6">
      <c r="A570" t="s">
        <v>157</v>
      </c>
      <c r="B570" t="s">
        <v>150</v>
      </c>
      <c r="C570" t="s">
        <v>664</v>
      </c>
      <c r="D570" t="s">
        <v>580</v>
      </c>
      <c r="E570" t="s">
        <v>585</v>
      </c>
      <c r="F570">
        <v>5</v>
      </c>
    </row>
    <row r="571" spans="1:6">
      <c r="A571" t="s">
        <v>468</v>
      </c>
      <c r="B571" t="s">
        <v>469</v>
      </c>
      <c r="C571" t="s">
        <v>823</v>
      </c>
      <c r="D571" t="s">
        <v>596</v>
      </c>
      <c r="E571" t="s">
        <v>572</v>
      </c>
      <c r="F571">
        <v>8</v>
      </c>
    </row>
    <row r="572" spans="1:6">
      <c r="A572" t="s">
        <v>508</v>
      </c>
      <c r="B572" t="s">
        <v>310</v>
      </c>
      <c r="C572" t="s">
        <v>754</v>
      </c>
      <c r="D572" t="s">
        <v>564</v>
      </c>
      <c r="E572" t="s">
        <v>570</v>
      </c>
      <c r="F572">
        <v>2</v>
      </c>
    </row>
    <row r="573" spans="1:6">
      <c r="A573" t="s">
        <v>54</v>
      </c>
    </row>
    <row r="574" spans="1:6">
      <c r="A574" t="s">
        <v>509</v>
      </c>
      <c r="B574" t="s">
        <v>167</v>
      </c>
      <c r="C574" t="s">
        <v>679</v>
      </c>
      <c r="D574" t="s">
        <v>599</v>
      </c>
      <c r="E574" t="s">
        <v>618</v>
      </c>
      <c r="F574">
        <v>5</v>
      </c>
    </row>
    <row r="575" spans="1:6">
      <c r="A575" t="s">
        <v>118</v>
      </c>
      <c r="B575" t="s">
        <v>119</v>
      </c>
      <c r="C575" t="s">
        <v>654</v>
      </c>
      <c r="D575" t="s">
        <v>594</v>
      </c>
      <c r="E575" t="s">
        <v>655</v>
      </c>
      <c r="F575">
        <v>1</v>
      </c>
    </row>
    <row r="576" spans="1:6">
      <c r="A576" t="s">
        <v>101</v>
      </c>
      <c r="B576" t="s">
        <v>102</v>
      </c>
      <c r="C576" t="s">
        <v>643</v>
      </c>
      <c r="D576" t="s">
        <v>574</v>
      </c>
      <c r="E576" t="s">
        <v>612</v>
      </c>
      <c r="F576">
        <v>2</v>
      </c>
    </row>
    <row r="577" spans="1:6">
      <c r="A577" t="s">
        <v>25</v>
      </c>
      <c r="B577" t="s">
        <v>26</v>
      </c>
      <c r="C577" t="s">
        <v>584</v>
      </c>
      <c r="D577" t="s">
        <v>561</v>
      </c>
      <c r="E577" t="s">
        <v>585</v>
      </c>
      <c r="F577">
        <v>1</v>
      </c>
    </row>
    <row r="578" spans="1:6">
      <c r="A578" t="s">
        <v>55</v>
      </c>
      <c r="B578" t="s">
        <v>56</v>
      </c>
      <c r="C578" t="s">
        <v>609</v>
      </c>
      <c r="D578" t="s">
        <v>564</v>
      </c>
      <c r="E578" t="s">
        <v>610</v>
      </c>
      <c r="F578">
        <v>1</v>
      </c>
    </row>
    <row r="579" spans="1:6">
      <c r="A579" t="s">
        <v>57</v>
      </c>
      <c r="B579" s="1" t="s">
        <v>58</v>
      </c>
      <c r="C579" s="1" t="s">
        <v>611</v>
      </c>
      <c r="D579" t="s">
        <v>569</v>
      </c>
      <c r="E579" s="1" t="s">
        <v>612</v>
      </c>
      <c r="F579">
        <v>1</v>
      </c>
    </row>
    <row r="580" spans="1:6">
      <c r="A580" t="s">
        <v>29</v>
      </c>
    </row>
    <row r="581" spans="1:6">
      <c r="A581" t="s">
        <v>40</v>
      </c>
      <c r="B581" t="s">
        <v>41</v>
      </c>
      <c r="C581" t="s">
        <v>598</v>
      </c>
      <c r="D581" t="s">
        <v>599</v>
      </c>
      <c r="E581" t="s">
        <v>570</v>
      </c>
      <c r="F581">
        <v>2</v>
      </c>
    </row>
    <row r="582" spans="1:6">
      <c r="A582" t="s">
        <v>99</v>
      </c>
      <c r="B582" t="s">
        <v>100</v>
      </c>
      <c r="C582" t="s">
        <v>641</v>
      </c>
      <c r="D582" t="s">
        <v>574</v>
      </c>
      <c r="E582" t="s">
        <v>642</v>
      </c>
      <c r="F582">
        <v>1</v>
      </c>
    </row>
    <row r="583" spans="1:6">
      <c r="A583" t="s">
        <v>111</v>
      </c>
      <c r="B583" t="s">
        <v>112</v>
      </c>
      <c r="C583" t="s">
        <v>651</v>
      </c>
      <c r="D583" t="s">
        <v>594</v>
      </c>
      <c r="E583" t="s">
        <v>642</v>
      </c>
      <c r="F583">
        <v>1</v>
      </c>
    </row>
    <row r="584" spans="1:6">
      <c r="A584" t="s">
        <v>25</v>
      </c>
      <c r="B584" t="s">
        <v>26</v>
      </c>
      <c r="C584" t="s">
        <v>584</v>
      </c>
      <c r="D584" t="s">
        <v>561</v>
      </c>
      <c r="E584" t="s">
        <v>585</v>
      </c>
      <c r="F584">
        <v>1</v>
      </c>
    </row>
    <row r="585" spans="1:6">
      <c r="A585" t="s">
        <v>79</v>
      </c>
      <c r="B585" t="s">
        <v>80</v>
      </c>
      <c r="C585" t="s">
        <v>629</v>
      </c>
      <c r="D585" t="s">
        <v>596</v>
      </c>
      <c r="E585" t="s">
        <v>610</v>
      </c>
      <c r="F585">
        <v>5</v>
      </c>
    </row>
    <row r="586" spans="1:6">
      <c r="A586" t="s">
        <v>32</v>
      </c>
      <c r="B586" t="s">
        <v>33</v>
      </c>
      <c r="C586" t="s">
        <v>590</v>
      </c>
      <c r="D586" t="s">
        <v>591</v>
      </c>
      <c r="E586" t="s">
        <v>592</v>
      </c>
      <c r="F586">
        <v>8</v>
      </c>
    </row>
    <row r="587" spans="1:6">
      <c r="A587" t="s">
        <v>29</v>
      </c>
    </row>
    <row r="588" spans="1:6">
      <c r="A588" t="s">
        <v>510</v>
      </c>
      <c r="B588" t="s">
        <v>356</v>
      </c>
      <c r="C588" t="s">
        <v>730</v>
      </c>
      <c r="D588" s="1" t="s">
        <v>615</v>
      </c>
      <c r="E588" t="s">
        <v>585</v>
      </c>
      <c r="F588">
        <v>2</v>
      </c>
    </row>
    <row r="589" spans="1:6">
      <c r="A589" t="s">
        <v>443</v>
      </c>
      <c r="B589" t="s">
        <v>317</v>
      </c>
      <c r="C589" t="s">
        <v>757</v>
      </c>
      <c r="D589" t="s">
        <v>635</v>
      </c>
      <c r="E589" t="s">
        <v>565</v>
      </c>
      <c r="F589">
        <v>4</v>
      </c>
    </row>
    <row r="590" spans="1:6">
      <c r="A590" t="s">
        <v>25</v>
      </c>
      <c r="B590" t="s">
        <v>26</v>
      </c>
      <c r="C590" t="s">
        <v>584</v>
      </c>
      <c r="D590" t="s">
        <v>561</v>
      </c>
      <c r="E590" t="s">
        <v>585</v>
      </c>
      <c r="F590">
        <v>1</v>
      </c>
    </row>
    <row r="591" spans="1:6">
      <c r="A591" t="s">
        <v>157</v>
      </c>
      <c r="B591" t="s">
        <v>150</v>
      </c>
      <c r="C591" t="s">
        <v>664</v>
      </c>
      <c r="D591" t="s">
        <v>580</v>
      </c>
      <c r="E591" t="s">
        <v>585</v>
      </c>
      <c r="F591">
        <v>5</v>
      </c>
    </row>
    <row r="592" spans="1:6">
      <c r="A592" t="s">
        <v>292</v>
      </c>
      <c r="B592" t="s">
        <v>293</v>
      </c>
      <c r="C592" t="s">
        <v>747</v>
      </c>
      <c r="D592" t="s">
        <v>599</v>
      </c>
      <c r="E592" t="s">
        <v>618</v>
      </c>
      <c r="F592">
        <v>7</v>
      </c>
    </row>
    <row r="593" spans="1:6">
      <c r="A593" t="s">
        <v>243</v>
      </c>
      <c r="B593" t="s">
        <v>244</v>
      </c>
      <c r="C593" t="s">
        <v>722</v>
      </c>
      <c r="D593" t="s">
        <v>574</v>
      </c>
      <c r="E593" t="s">
        <v>610</v>
      </c>
      <c r="F593">
        <v>1</v>
      </c>
    </row>
    <row r="594" spans="1:6">
      <c r="A594" t="s">
        <v>29</v>
      </c>
    </row>
    <row r="595" spans="1:6">
      <c r="A595" t="s">
        <v>511</v>
      </c>
      <c r="B595" t="s">
        <v>512</v>
      </c>
      <c r="C595" t="s">
        <v>823</v>
      </c>
      <c r="D595" t="s">
        <v>596</v>
      </c>
      <c r="E595" t="s">
        <v>572</v>
      </c>
      <c r="F595">
        <v>8</v>
      </c>
    </row>
    <row r="596" spans="1:6">
      <c r="A596" t="s">
        <v>513</v>
      </c>
      <c r="B596" t="s">
        <v>156</v>
      </c>
      <c r="C596" t="s">
        <v>843</v>
      </c>
      <c r="D596" t="s">
        <v>591</v>
      </c>
      <c r="E596" s="1" t="s">
        <v>585</v>
      </c>
      <c r="F596">
        <v>7</v>
      </c>
    </row>
    <row r="597" spans="1:6">
      <c r="A597" t="s">
        <v>25</v>
      </c>
      <c r="B597" t="s">
        <v>26</v>
      </c>
      <c r="C597" t="s">
        <v>584</v>
      </c>
      <c r="D597" t="s">
        <v>561</v>
      </c>
      <c r="E597" t="s">
        <v>585</v>
      </c>
      <c r="F597">
        <v>1</v>
      </c>
    </row>
    <row r="598" spans="1:6">
      <c r="A598" t="s">
        <v>157</v>
      </c>
      <c r="B598" t="s">
        <v>150</v>
      </c>
      <c r="C598" t="s">
        <v>664</v>
      </c>
      <c r="D598" t="s">
        <v>580</v>
      </c>
      <c r="E598" t="s">
        <v>585</v>
      </c>
      <c r="F598">
        <v>5</v>
      </c>
    </row>
    <row r="599" spans="1:6">
      <c r="A599" t="s">
        <v>514</v>
      </c>
      <c r="B599" t="s">
        <v>515</v>
      </c>
      <c r="C599" t="s">
        <v>844</v>
      </c>
      <c r="D599" t="s">
        <v>574</v>
      </c>
      <c r="E599" t="s">
        <v>610</v>
      </c>
      <c r="F599">
        <v>5</v>
      </c>
    </row>
    <row r="600" spans="1:6">
      <c r="A600" t="s">
        <v>516</v>
      </c>
      <c r="B600" t="s">
        <v>20</v>
      </c>
      <c r="C600" t="s">
        <v>578</v>
      </c>
      <c r="D600" t="s">
        <v>574</v>
      </c>
      <c r="E600" t="s">
        <v>565</v>
      </c>
      <c r="F600">
        <v>4</v>
      </c>
    </row>
    <row r="601" spans="1:6">
      <c r="A601" t="s">
        <v>29</v>
      </c>
    </row>
    <row r="602" spans="1:6">
      <c r="A602" t="s">
        <v>508</v>
      </c>
      <c r="B602" t="s">
        <v>310</v>
      </c>
      <c r="C602" t="s">
        <v>754</v>
      </c>
      <c r="D602" t="s">
        <v>564</v>
      </c>
      <c r="E602" t="s">
        <v>570</v>
      </c>
      <c r="F602">
        <v>2</v>
      </c>
    </row>
    <row r="603" spans="1:6">
      <c r="A603" t="s">
        <v>25</v>
      </c>
      <c r="B603" t="s">
        <v>26</v>
      </c>
      <c r="C603" t="s">
        <v>584</v>
      </c>
      <c r="D603" t="s">
        <v>561</v>
      </c>
      <c r="E603" t="s">
        <v>585</v>
      </c>
      <c r="F603">
        <v>1</v>
      </c>
    </row>
    <row r="604" spans="1:6">
      <c r="A604" t="s">
        <v>428</v>
      </c>
      <c r="B604" t="s">
        <v>429</v>
      </c>
      <c r="C604" t="s">
        <v>804</v>
      </c>
      <c r="D604" t="s">
        <v>596</v>
      </c>
      <c r="E604" t="s">
        <v>570</v>
      </c>
      <c r="F604">
        <v>5</v>
      </c>
    </row>
    <row r="605" spans="1:6">
      <c r="A605" t="s">
        <v>517</v>
      </c>
      <c r="B605" t="s">
        <v>284</v>
      </c>
      <c r="C605" t="s">
        <v>742</v>
      </c>
      <c r="D605" t="s">
        <v>594</v>
      </c>
      <c r="E605" t="s">
        <v>581</v>
      </c>
      <c r="F605">
        <v>1</v>
      </c>
    </row>
    <row r="606" spans="1:6">
      <c r="A606" t="s">
        <v>29</v>
      </c>
    </row>
    <row r="607" spans="1:6">
      <c r="A607" t="s">
        <v>518</v>
      </c>
      <c r="B607" t="s">
        <v>519</v>
      </c>
      <c r="C607" t="s">
        <v>845</v>
      </c>
      <c r="D607" t="s">
        <v>599</v>
      </c>
      <c r="E607" t="s">
        <v>612</v>
      </c>
      <c r="F607">
        <v>7</v>
      </c>
    </row>
    <row r="608" spans="1:6">
      <c r="A608" t="s">
        <v>25</v>
      </c>
      <c r="B608" t="s">
        <v>26</v>
      </c>
      <c r="C608" t="s">
        <v>584</v>
      </c>
      <c r="D608" t="s">
        <v>561</v>
      </c>
      <c r="E608" t="s">
        <v>585</v>
      </c>
      <c r="F608">
        <v>1</v>
      </c>
    </row>
    <row r="609" spans="1:6">
      <c r="A609" t="s">
        <v>67</v>
      </c>
      <c r="B609" t="s">
        <v>68</v>
      </c>
      <c r="C609" t="s">
        <v>622</v>
      </c>
      <c r="D609" t="s">
        <v>567</v>
      </c>
      <c r="E609" t="s">
        <v>583</v>
      </c>
      <c r="F609">
        <v>4</v>
      </c>
    </row>
    <row r="610" spans="1:6">
      <c r="A610" t="s">
        <v>520</v>
      </c>
      <c r="B610" t="s">
        <v>521</v>
      </c>
      <c r="C610" t="s">
        <v>846</v>
      </c>
      <c r="D610" t="s">
        <v>594</v>
      </c>
      <c r="E610" t="s">
        <v>807</v>
      </c>
      <c r="F610">
        <v>8</v>
      </c>
    </row>
    <row r="611" spans="1:6">
      <c r="A611" t="s">
        <v>29</v>
      </c>
    </row>
    <row r="612" spans="1:6">
      <c r="A612" t="s">
        <v>181</v>
      </c>
      <c r="B612" t="s">
        <v>182</v>
      </c>
      <c r="C612" t="s">
        <v>688</v>
      </c>
      <c r="D612" t="s">
        <v>574</v>
      </c>
      <c r="E612" t="s">
        <v>585</v>
      </c>
      <c r="F612">
        <v>2</v>
      </c>
    </row>
    <row r="613" spans="1:6">
      <c r="A613" t="s">
        <v>522</v>
      </c>
      <c r="B613" t="s">
        <v>288</v>
      </c>
      <c r="C613" t="s">
        <v>744</v>
      </c>
      <c r="D613" t="s">
        <v>561</v>
      </c>
      <c r="E613" t="s">
        <v>621</v>
      </c>
      <c r="F613">
        <v>2</v>
      </c>
    </row>
    <row r="614" spans="1:6">
      <c r="A614" t="s">
        <v>488</v>
      </c>
      <c r="B614" t="s">
        <v>489</v>
      </c>
      <c r="C614" t="s">
        <v>832</v>
      </c>
      <c r="D614" t="s">
        <v>596</v>
      </c>
      <c r="E614" t="s">
        <v>583</v>
      </c>
      <c r="F614">
        <v>8</v>
      </c>
    </row>
    <row r="615" spans="1:6">
      <c r="A615" t="s">
        <v>237</v>
      </c>
      <c r="B615" t="s">
        <v>238</v>
      </c>
      <c r="C615" t="s">
        <v>718</v>
      </c>
      <c r="D615" t="s">
        <v>561</v>
      </c>
      <c r="E615" t="s">
        <v>719</v>
      </c>
      <c r="F615">
        <v>2</v>
      </c>
    </row>
    <row r="616" spans="1:6">
      <c r="A616" t="s">
        <v>25</v>
      </c>
      <c r="B616" t="s">
        <v>26</v>
      </c>
      <c r="C616" t="s">
        <v>584</v>
      </c>
      <c r="D616" t="s">
        <v>561</v>
      </c>
      <c r="E616" t="s">
        <v>585</v>
      </c>
      <c r="F616">
        <v>1</v>
      </c>
    </row>
    <row r="617" spans="1:6">
      <c r="A617" t="s">
        <v>428</v>
      </c>
      <c r="B617" t="s">
        <v>429</v>
      </c>
      <c r="C617" t="s">
        <v>804</v>
      </c>
      <c r="D617" t="s">
        <v>596</v>
      </c>
      <c r="E617" t="s">
        <v>570</v>
      </c>
      <c r="F617">
        <v>5</v>
      </c>
    </row>
    <row r="618" spans="1:6">
      <c r="A618" t="s">
        <v>494</v>
      </c>
      <c r="B618" t="s">
        <v>495</v>
      </c>
      <c r="C618" t="s">
        <v>836</v>
      </c>
      <c r="D618" t="s">
        <v>561</v>
      </c>
      <c r="E618" t="s">
        <v>712</v>
      </c>
      <c r="F618">
        <v>2</v>
      </c>
    </row>
    <row r="619" spans="1:6">
      <c r="A619" t="s">
        <v>523</v>
      </c>
      <c r="B619" t="s">
        <v>524</v>
      </c>
      <c r="C619" t="s">
        <v>847</v>
      </c>
      <c r="D619" t="s">
        <v>561</v>
      </c>
      <c r="E619" t="s">
        <v>575</v>
      </c>
      <c r="F619">
        <v>5</v>
      </c>
    </row>
    <row r="620" spans="1:6">
      <c r="A620" t="s">
        <v>294</v>
      </c>
      <c r="B620" t="s">
        <v>295</v>
      </c>
      <c r="C620" t="s">
        <v>748</v>
      </c>
      <c r="D620" t="s">
        <v>599</v>
      </c>
      <c r="E620" t="s">
        <v>719</v>
      </c>
      <c r="F620">
        <v>2</v>
      </c>
    </row>
    <row r="621" spans="1:6">
      <c r="A621" t="s">
        <v>29</v>
      </c>
    </row>
    <row r="622" spans="1:6">
      <c r="A622" t="s">
        <v>157</v>
      </c>
      <c r="B622" t="s">
        <v>150</v>
      </c>
      <c r="C622" t="s">
        <v>664</v>
      </c>
      <c r="D622" t="s">
        <v>580</v>
      </c>
      <c r="E622" t="s">
        <v>585</v>
      </c>
      <c r="F622">
        <v>5</v>
      </c>
    </row>
    <row r="623" spans="1:6">
      <c r="A623" t="s">
        <v>381</v>
      </c>
      <c r="B623" s="1" t="s">
        <v>525</v>
      </c>
      <c r="C623" t="s">
        <v>786</v>
      </c>
      <c r="D623" s="1" t="s">
        <v>591</v>
      </c>
      <c r="E623" s="1" t="s">
        <v>577</v>
      </c>
      <c r="F623">
        <v>5</v>
      </c>
    </row>
    <row r="624" spans="1:6">
      <c r="A624" t="s">
        <v>40</v>
      </c>
      <c r="B624" t="s">
        <v>41</v>
      </c>
      <c r="C624" t="s">
        <v>598</v>
      </c>
      <c r="D624" t="s">
        <v>599</v>
      </c>
      <c r="E624" t="s">
        <v>570</v>
      </c>
      <c r="F624">
        <v>2</v>
      </c>
    </row>
    <row r="625" spans="1:6">
      <c r="A625" t="s">
        <v>38</v>
      </c>
      <c r="B625" t="s">
        <v>39</v>
      </c>
      <c r="C625" t="s">
        <v>597</v>
      </c>
      <c r="D625" t="s">
        <v>561</v>
      </c>
      <c r="E625" t="s">
        <v>570</v>
      </c>
      <c r="F625">
        <v>2</v>
      </c>
    </row>
    <row r="626" spans="1:6">
      <c r="A626" t="s">
        <v>25</v>
      </c>
      <c r="B626" t="s">
        <v>26</v>
      </c>
      <c r="C626" t="s">
        <v>584</v>
      </c>
      <c r="D626" t="s">
        <v>561</v>
      </c>
      <c r="E626" t="s">
        <v>585</v>
      </c>
      <c r="F626">
        <v>1</v>
      </c>
    </row>
    <row r="627" spans="1:6">
      <c r="A627" t="s">
        <v>132</v>
      </c>
      <c r="B627" t="s">
        <v>133</v>
      </c>
      <c r="C627" t="s">
        <v>663</v>
      </c>
      <c r="D627" t="s">
        <v>574</v>
      </c>
      <c r="E627" t="s">
        <v>577</v>
      </c>
      <c r="F627">
        <v>2</v>
      </c>
    </row>
    <row r="628" spans="1:6">
      <c r="A628" t="s">
        <v>526</v>
      </c>
      <c r="B628" t="s">
        <v>527</v>
      </c>
      <c r="C628" t="s">
        <v>848</v>
      </c>
      <c r="D628" t="s">
        <v>594</v>
      </c>
      <c r="E628" t="s">
        <v>612</v>
      </c>
      <c r="F628">
        <v>1</v>
      </c>
    </row>
    <row r="629" spans="1:6">
      <c r="A629" t="s">
        <v>528</v>
      </c>
      <c r="B629" t="s">
        <v>20</v>
      </c>
      <c r="C629" t="s">
        <v>578</v>
      </c>
      <c r="D629" t="s">
        <v>574</v>
      </c>
      <c r="E629" t="s">
        <v>565</v>
      </c>
      <c r="F629">
        <v>4</v>
      </c>
    </row>
    <row r="630" spans="1:6">
      <c r="A630" t="s">
        <v>54</v>
      </c>
    </row>
    <row r="631" spans="1:6">
      <c r="A631" t="s">
        <v>195</v>
      </c>
    </row>
    <row r="632" spans="1:6">
      <c r="A632" t="s">
        <v>228</v>
      </c>
    </row>
    <row r="633" spans="1:6">
      <c r="A633" t="s">
        <v>42</v>
      </c>
      <c r="B633" t="s">
        <v>43</v>
      </c>
      <c r="C633" t="s">
        <v>600</v>
      </c>
      <c r="D633" t="s">
        <v>601</v>
      </c>
      <c r="E633" t="s">
        <v>565</v>
      </c>
      <c r="F633">
        <v>4</v>
      </c>
    </row>
    <row r="634" spans="1:6">
      <c r="A634" t="s">
        <v>529</v>
      </c>
      <c r="B634" t="s">
        <v>530</v>
      </c>
      <c r="C634" t="s">
        <v>849</v>
      </c>
      <c r="D634" t="s">
        <v>569</v>
      </c>
      <c r="E634" t="s">
        <v>585</v>
      </c>
      <c r="F634">
        <v>2</v>
      </c>
    </row>
    <row r="635" spans="1:6">
      <c r="A635" t="s">
        <v>157</v>
      </c>
      <c r="B635" t="s">
        <v>150</v>
      </c>
      <c r="C635" t="s">
        <v>664</v>
      </c>
      <c r="D635" t="s">
        <v>580</v>
      </c>
      <c r="E635" t="s">
        <v>585</v>
      </c>
      <c r="F635">
        <v>5</v>
      </c>
    </row>
    <row r="636" spans="1:6">
      <c r="A636" t="s">
        <v>531</v>
      </c>
      <c r="B636" t="s">
        <v>532</v>
      </c>
      <c r="C636" t="s">
        <v>850</v>
      </c>
      <c r="D636" t="s">
        <v>574</v>
      </c>
      <c r="E636" t="s">
        <v>633</v>
      </c>
      <c r="F636">
        <v>3</v>
      </c>
    </row>
    <row r="637" spans="1:6">
      <c r="A637" t="s">
        <v>29</v>
      </c>
    </row>
    <row r="638" spans="1:6">
      <c r="A638" t="s">
        <v>533</v>
      </c>
      <c r="B638" s="1" t="s">
        <v>534</v>
      </c>
      <c r="C638" t="s">
        <v>851</v>
      </c>
      <c r="D638" t="s">
        <v>574</v>
      </c>
      <c r="E638" s="1" t="s">
        <v>562</v>
      </c>
      <c r="F638">
        <v>2</v>
      </c>
    </row>
    <row r="639" spans="1:6">
      <c r="A639" t="s">
        <v>535</v>
      </c>
      <c r="B639" t="s">
        <v>536</v>
      </c>
      <c r="C639" t="s">
        <v>852</v>
      </c>
      <c r="D639" t="s">
        <v>561</v>
      </c>
      <c r="E639" t="s">
        <v>642</v>
      </c>
      <c r="F639">
        <v>2</v>
      </c>
    </row>
    <row r="640" spans="1:6">
      <c r="A640" t="s">
        <v>537</v>
      </c>
      <c r="B640" t="s">
        <v>344</v>
      </c>
      <c r="C640" t="s">
        <v>770</v>
      </c>
      <c r="D640" t="s">
        <v>594</v>
      </c>
      <c r="E640" t="s">
        <v>610</v>
      </c>
      <c r="F640">
        <v>1</v>
      </c>
    </row>
    <row r="641" spans="1:6">
      <c r="A641" t="s">
        <v>538</v>
      </c>
      <c r="B641" t="s">
        <v>76</v>
      </c>
      <c r="C641" t="s">
        <v>626</v>
      </c>
      <c r="D641" t="s">
        <v>561</v>
      </c>
      <c r="E641" t="s">
        <v>627</v>
      </c>
      <c r="F641">
        <v>4</v>
      </c>
    </row>
    <row r="642" spans="1:6">
      <c r="A642" t="s">
        <v>54</v>
      </c>
    </row>
    <row r="643" spans="1:6">
      <c r="A643" t="s">
        <v>539</v>
      </c>
      <c r="B643" t="s">
        <v>540</v>
      </c>
      <c r="C643" t="s">
        <v>853</v>
      </c>
      <c r="D643" t="s">
        <v>569</v>
      </c>
      <c r="E643" t="s">
        <v>697</v>
      </c>
      <c r="F643">
        <v>5</v>
      </c>
    </row>
    <row r="644" spans="1:6">
      <c r="A644" t="s">
        <v>541</v>
      </c>
      <c r="B644" t="s">
        <v>542</v>
      </c>
      <c r="C644" t="s">
        <v>854</v>
      </c>
      <c r="D644" t="s">
        <v>569</v>
      </c>
      <c r="E644" t="s">
        <v>583</v>
      </c>
      <c r="F644">
        <v>8</v>
      </c>
    </row>
    <row r="645" spans="1:6">
      <c r="A645" t="s">
        <v>34</v>
      </c>
      <c r="B645" t="s">
        <v>35</v>
      </c>
      <c r="C645" t="s">
        <v>593</v>
      </c>
      <c r="D645" t="s">
        <v>594</v>
      </c>
      <c r="E645" t="s">
        <v>585</v>
      </c>
      <c r="F645">
        <v>3</v>
      </c>
    </row>
    <row r="646" spans="1:6">
      <c r="A646" t="s">
        <v>494</v>
      </c>
      <c r="B646" t="s">
        <v>495</v>
      </c>
      <c r="C646" t="s">
        <v>836</v>
      </c>
      <c r="D646" t="s">
        <v>561</v>
      </c>
      <c r="E646" t="s">
        <v>712</v>
      </c>
      <c r="F646">
        <v>2</v>
      </c>
    </row>
    <row r="647" spans="1:6">
      <c r="A647" t="s">
        <v>29</v>
      </c>
    </row>
    <row r="648" spans="1:6">
      <c r="A648" t="s">
        <v>543</v>
      </c>
      <c r="B648" t="s">
        <v>544</v>
      </c>
      <c r="C648" t="s">
        <v>855</v>
      </c>
      <c r="D648" t="s">
        <v>567</v>
      </c>
      <c r="E648" t="s">
        <v>646</v>
      </c>
      <c r="F648">
        <v>1</v>
      </c>
    </row>
    <row r="649" spans="1:6">
      <c r="A649" t="s">
        <v>545</v>
      </c>
      <c r="B649" t="s">
        <v>546</v>
      </c>
      <c r="C649" t="s">
        <v>856</v>
      </c>
      <c r="D649" t="s">
        <v>567</v>
      </c>
      <c r="E649" t="s">
        <v>603</v>
      </c>
      <c r="F649">
        <v>5</v>
      </c>
    </row>
    <row r="650" spans="1:6">
      <c r="A650" t="s">
        <v>547</v>
      </c>
      <c r="B650" t="s">
        <v>340</v>
      </c>
      <c r="C650" t="s">
        <v>768</v>
      </c>
      <c r="D650" t="s">
        <v>615</v>
      </c>
      <c r="E650" t="s">
        <v>575</v>
      </c>
      <c r="F650">
        <v>5</v>
      </c>
    </row>
    <row r="651" spans="1:6">
      <c r="A651" t="s">
        <v>548</v>
      </c>
      <c r="B651" t="s">
        <v>549</v>
      </c>
      <c r="C651" t="s">
        <v>857</v>
      </c>
      <c r="D651" t="s">
        <v>561</v>
      </c>
      <c r="E651" t="s">
        <v>565</v>
      </c>
      <c r="F651">
        <v>8</v>
      </c>
    </row>
    <row r="652" spans="1:6">
      <c r="A652" t="s">
        <v>29</v>
      </c>
    </row>
    <row r="653" spans="1:6">
      <c r="A653" t="s">
        <v>328</v>
      </c>
      <c r="B653" t="s">
        <v>329</v>
      </c>
      <c r="C653" t="s">
        <v>763</v>
      </c>
      <c r="D653" t="s">
        <v>574</v>
      </c>
      <c r="E653" t="s">
        <v>612</v>
      </c>
      <c r="F653">
        <v>1</v>
      </c>
    </row>
    <row r="654" spans="1:6">
      <c r="A654" t="s">
        <v>40</v>
      </c>
      <c r="B654" t="s">
        <v>41</v>
      </c>
      <c r="C654" t="s">
        <v>598</v>
      </c>
      <c r="D654" t="s">
        <v>599</v>
      </c>
      <c r="E654" t="s">
        <v>570</v>
      </c>
      <c r="F654">
        <v>2</v>
      </c>
    </row>
    <row r="655" spans="1:6">
      <c r="A655" t="s">
        <v>550</v>
      </c>
      <c r="B655" t="s">
        <v>551</v>
      </c>
      <c r="C655" t="s">
        <v>858</v>
      </c>
      <c r="D655" t="s">
        <v>561</v>
      </c>
      <c r="E655" t="s">
        <v>581</v>
      </c>
      <c r="F655">
        <v>2</v>
      </c>
    </row>
    <row r="656" spans="1:6">
      <c r="A656" t="s">
        <v>552</v>
      </c>
      <c r="B656" t="s">
        <v>553</v>
      </c>
      <c r="C656" t="s">
        <v>859</v>
      </c>
      <c r="D656" t="s">
        <v>561</v>
      </c>
      <c r="E656" t="s">
        <v>719</v>
      </c>
      <c r="F656">
        <v>7</v>
      </c>
    </row>
    <row r="657" spans="1:6">
      <c r="A657" t="s">
        <v>148</v>
      </c>
      <c r="B657" t="s">
        <v>149</v>
      </c>
      <c r="C657" t="s">
        <v>671</v>
      </c>
      <c r="D657" t="s">
        <v>569</v>
      </c>
      <c r="E657" t="s">
        <v>577</v>
      </c>
      <c r="F657">
        <v>5</v>
      </c>
    </row>
    <row r="658" spans="1:6">
      <c r="A658" t="s">
        <v>46</v>
      </c>
      <c r="B658" t="s">
        <v>47</v>
      </c>
      <c r="C658" t="s">
        <v>604</v>
      </c>
      <c r="D658" t="s">
        <v>561</v>
      </c>
      <c r="E658" t="s">
        <v>587</v>
      </c>
      <c r="F658">
        <v>1</v>
      </c>
    </row>
    <row r="659" spans="1:6">
      <c r="A659" t="s">
        <v>554</v>
      </c>
      <c r="B659" t="s">
        <v>555</v>
      </c>
      <c r="C659" t="s">
        <v>860</v>
      </c>
      <c r="D659" t="s">
        <v>635</v>
      </c>
      <c r="E659" t="s">
        <v>612</v>
      </c>
      <c r="F659">
        <v>1</v>
      </c>
    </row>
    <row r="660" spans="1:6">
      <c r="A660" t="s">
        <v>29</v>
      </c>
    </row>
    <row r="661" spans="1:6">
      <c r="A661" t="s">
        <v>67</v>
      </c>
      <c r="B661" t="s">
        <v>68</v>
      </c>
      <c r="C661" t="s">
        <v>622</v>
      </c>
      <c r="D661" t="s">
        <v>567</v>
      </c>
      <c r="E661" t="s">
        <v>583</v>
      </c>
      <c r="F661">
        <v>4</v>
      </c>
    </row>
    <row r="662" spans="1:6">
      <c r="A662" t="s">
        <v>158</v>
      </c>
      <c r="B662" t="s">
        <v>159</v>
      </c>
      <c r="C662" t="s">
        <v>675</v>
      </c>
      <c r="D662" t="s">
        <v>635</v>
      </c>
      <c r="E662" t="s">
        <v>585</v>
      </c>
      <c r="F662">
        <v>1</v>
      </c>
    </row>
    <row r="663" spans="1:6">
      <c r="A663" t="s">
        <v>97</v>
      </c>
      <c r="B663" t="s">
        <v>98</v>
      </c>
      <c r="C663" t="s">
        <v>640</v>
      </c>
      <c r="D663" t="s">
        <v>635</v>
      </c>
      <c r="E663" t="s">
        <v>575</v>
      </c>
      <c r="F663">
        <v>1</v>
      </c>
    </row>
    <row r="664" spans="1:6">
      <c r="A664" t="s">
        <v>226</v>
      </c>
      <c r="B664" s="1" t="s">
        <v>227</v>
      </c>
      <c r="C664" t="s">
        <v>713</v>
      </c>
      <c r="D664" t="s">
        <v>569</v>
      </c>
      <c r="E664" s="1" t="s">
        <v>612</v>
      </c>
      <c r="F664">
        <v>5</v>
      </c>
    </row>
    <row r="665" spans="1:6">
      <c r="A665" t="s">
        <v>25</v>
      </c>
      <c r="B665" t="s">
        <v>26</v>
      </c>
      <c r="C665" t="s">
        <v>584</v>
      </c>
      <c r="D665" t="s">
        <v>561</v>
      </c>
      <c r="E665" t="s">
        <v>585</v>
      </c>
      <c r="F665">
        <v>1</v>
      </c>
    </row>
    <row r="666" spans="1:6">
      <c r="A666" t="s">
        <v>34</v>
      </c>
      <c r="B666" t="s">
        <v>35</v>
      </c>
      <c r="C666" t="s">
        <v>593</v>
      </c>
      <c r="D666" t="s">
        <v>594</v>
      </c>
      <c r="E666" t="s">
        <v>585</v>
      </c>
      <c r="F666">
        <v>3</v>
      </c>
    </row>
    <row r="667" spans="1:6">
      <c r="A667" t="s">
        <v>113</v>
      </c>
      <c r="B667" t="s">
        <v>114</v>
      </c>
      <c r="C667" t="s">
        <v>652</v>
      </c>
      <c r="D667" t="s">
        <v>567</v>
      </c>
      <c r="E667" t="s">
        <v>565</v>
      </c>
      <c r="F667">
        <v>8</v>
      </c>
    </row>
    <row r="668" spans="1:6">
      <c r="A668" t="s">
        <v>54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B8C82-ADD8-4BEC-9438-9929DF5B945E}">
  <dimension ref="A1:F668"/>
  <sheetViews>
    <sheetView workbookViewId="0">
      <selection activeCell="D2" sqref="D2"/>
    </sheetView>
  </sheetViews>
  <sheetFormatPr defaultRowHeight="25.5"/>
  <cols>
    <col min="1" max="1" width="4.6640625" bestFit="1" customWidth="1"/>
    <col min="2" max="3" width="8.1640625" bestFit="1" customWidth="1"/>
    <col min="4" max="6" width="11.83203125" bestFit="1" customWidth="1"/>
    <col min="8" max="8" width="9.08203125" bestFit="1" customWidth="1"/>
  </cols>
  <sheetData>
    <row r="1" spans="1:6">
      <c r="A1" t="s">
        <v>0</v>
      </c>
      <c r="B1" t="s">
        <v>1</v>
      </c>
      <c r="C1" t="s">
        <v>556</v>
      </c>
      <c r="D1" t="s">
        <v>557</v>
      </c>
      <c r="E1" t="s">
        <v>558</v>
      </c>
      <c r="F1" t="s">
        <v>559</v>
      </c>
    </row>
    <row r="2" spans="1:6">
      <c r="A2" t="s">
        <v>2</v>
      </c>
      <c r="D2" t="str">
        <f xml:space="preserve"> IF($B2="", "", _xlfn.XLOOKUP(RIGHT($B2), 聲母對照表[十五音], 聲母對照表[台語音標], "N/A"))</f>
        <v/>
      </c>
      <c r="E2" t="e" cm="1" vm="1">
        <f t="array" ref="E2">_xlfn._xlws.PY(1,1,B2:B103,F2:F103)</f>
        <v>#VALUE!</v>
      </c>
      <c r="F2" t="str">
        <f xml:space="preserve"> IF($B2="", "", _xlfn.XLOOKUP(MID($B2,2,1), 聲調對照表[十五音調號], 聲調對照表[傳統八聲調], "N/A"))</f>
        <v/>
      </c>
    </row>
    <row r="3" spans="1:6">
      <c r="A3" t="s">
        <v>3</v>
      </c>
      <c r="B3" t="s">
        <v>4</v>
      </c>
      <c r="C3" t="s">
        <v>560</v>
      </c>
      <c r="D3" t="str">
        <f xml:space="preserve"> IF($B3="", "", _xlfn.XLOOKUP(RIGHT($B3), 聲母對照表[十五音], 聲母對照表[台語音標], "N/A"))</f>
        <v>z</v>
      </c>
      <c r="F3">
        <f xml:space="preserve"> IF($B3="", "", _xlfn.XLOOKUP(MID($B3,2,1), 聲調對照表[十五音調號], 聲調對照表[傳統八聲調], "N/A"))</f>
        <v>5</v>
      </c>
    </row>
    <row r="4" spans="1:6">
      <c r="A4" t="s">
        <v>5</v>
      </c>
      <c r="B4" t="s">
        <v>6</v>
      </c>
      <c r="C4" t="s">
        <v>563</v>
      </c>
      <c r="D4" t="str">
        <f xml:space="preserve"> IF($B4="", "", _xlfn.XLOOKUP(RIGHT($B4), 聲母對照表[十五音], 聲母對照表[台語音標], "N/A"))</f>
        <v>c</v>
      </c>
      <c r="E4" t="str">
        <f xml:space="preserve"> IF($B4="", "", _xlfn.XLOOKUP(LEFT($B4), 韻母對照表[十五音], 韻母對照表[台語音標], "N/A"))</f>
        <v>ik</v>
      </c>
      <c r="F4">
        <f xml:space="preserve"> IF($B4="", "", _xlfn.XLOOKUP(MID($B4,2,1), 聲調對照表[十五音調號], 聲調對照表[傳統八聲調], "N/A"))</f>
        <v>4</v>
      </c>
    </row>
    <row r="5" spans="1:6">
      <c r="A5" t="s">
        <v>7</v>
      </c>
      <c r="B5" t="s">
        <v>8</v>
      </c>
      <c r="C5" t="s">
        <v>566</v>
      </c>
      <c r="D5" t="str">
        <f xml:space="preserve"> IF($B5="", "", _xlfn.XLOOKUP(RIGHT($B5), 聲母對照表[十五音], 聲母對照表[台語音標], "N/A"))</f>
        <v>p</v>
      </c>
      <c r="E5" t="str">
        <f xml:space="preserve"> IF($B5="", "", _xlfn.XLOOKUP(LEFT($B5), 韻母對照表[十五音], 韻母對照表[台語音標], "N/A"))</f>
        <v>ik</v>
      </c>
      <c r="F5">
        <f xml:space="preserve"> IF($B5="", "", _xlfn.XLOOKUP(MID($B5,2,1), 聲調對照表[十五音調號], 聲調對照表[傳統八聲調], "N/A"))</f>
        <v>4</v>
      </c>
    </row>
    <row r="6" spans="1:6">
      <c r="A6" t="s">
        <v>9</v>
      </c>
      <c r="B6" t="s">
        <v>10</v>
      </c>
      <c r="C6" t="s">
        <v>568</v>
      </c>
      <c r="D6" t="str">
        <f xml:space="preserve"> IF($B6="", "", _xlfn.XLOOKUP(RIGHT($B6), 聲母對照表[十五音], 聲母對照表[台語音標], "N/A"))</f>
        <v>h</v>
      </c>
      <c r="E6" t="str">
        <f xml:space="preserve"> IF($B6="", "", _xlfn.XLOOKUP(LEFT($B6), 韻母對照表[十五音], 韻母對照表[台語音標], "N/A"))</f>
        <v>u</v>
      </c>
      <c r="F6">
        <f xml:space="preserve"> IF($B6="", "", _xlfn.XLOOKUP(MID($B6,2,1), 聲調對照表[十五音調號], 聲調對照表[傳統八聲調], "N/A"))</f>
        <v>3</v>
      </c>
    </row>
    <row r="7" spans="1:6">
      <c r="A7" t="s">
        <v>11</v>
      </c>
      <c r="D7" t="str">
        <f xml:space="preserve"> IF($B7="", "", _xlfn.XLOOKUP(RIGHT($B7), 聲母對照表[十五音], 聲母對照表[台語音標], "N/A"))</f>
        <v/>
      </c>
      <c r="E7" t="str">
        <f xml:space="preserve"> IF($B7="", "", _xlfn.XLOOKUP(LEFT($B7), 韻母對照表[十五音], 韻母對照表[台語音標], "N/A"))</f>
        <v/>
      </c>
      <c r="F7" t="str">
        <f xml:space="preserve"> IF($B7="", "", _xlfn.XLOOKUP(MID($B7,2,1), 聲調對照表[十五音調號], 聲調對照表[傳統八聲調], "N/A"))</f>
        <v/>
      </c>
    </row>
    <row r="8" spans="1:6">
      <c r="A8" t="s">
        <v>12</v>
      </c>
      <c r="B8" t="s">
        <v>13</v>
      </c>
      <c r="C8" t="s">
        <v>571</v>
      </c>
      <c r="D8" t="str">
        <f xml:space="preserve"> IF($B8="", "", _xlfn.XLOOKUP(RIGHT($B8), 聲母對照表[十五音], 聲母對照表[台語音標], "N/A"))</f>
        <v>p</v>
      </c>
      <c r="E8" t="str">
        <f xml:space="preserve"> IF($B8="", "", _xlfn.XLOOKUP(LEFT($B8), 韻母對照表[十五音], 韻母對照表[台語音標], "N/A"))</f>
        <v>ok</v>
      </c>
      <c r="F8">
        <f xml:space="preserve"> IF($B8="", "", _xlfn.XLOOKUP(MID($B8,2,1), 聲調對照表[十五音調號], 聲調對照表[傳統八聲調], "N/A"))</f>
        <v>4</v>
      </c>
    </row>
    <row r="9" spans="1:6">
      <c r="A9" t="s">
        <v>14</v>
      </c>
      <c r="B9" t="s">
        <v>15</v>
      </c>
      <c r="C9" t="s">
        <v>573</v>
      </c>
      <c r="D9" t="str">
        <f xml:space="preserve"> IF($B9="", "", _xlfn.XLOOKUP(RIGHT($B9), 聲母對照表[十五音], 聲母對照表[台語音標], "N/A"))</f>
        <v>s</v>
      </c>
      <c r="E9" t="str">
        <f xml:space="preserve"> IF($B9="", "", _xlfn.XLOOKUP(LEFT($B9), 韻母對照表[十五音], 韻母對照表[台語音標], "N/A"))</f>
        <v>ok</v>
      </c>
      <c r="F9">
        <f xml:space="preserve"> IF($B9="", "", _xlfn.XLOOKUP(MID($B9,2,1), 聲調對照表[十五音調號], 聲調對照表[傳統八聲調], "N/A"))</f>
        <v>3</v>
      </c>
    </row>
    <row r="10" spans="1:6">
      <c r="A10" t="s">
        <v>16</v>
      </c>
      <c r="D10" t="str">
        <f xml:space="preserve"> IF($B10="", "", _xlfn.XLOOKUP(RIGHT($B10), 聲母對照表[十五音], 聲母對照表[台語音標], "N/A"))</f>
        <v/>
      </c>
      <c r="E10" t="str">
        <f xml:space="preserve"> IF($B10="", "", _xlfn.XLOOKUP(LEFT($B10), 韻母對照表[十五音], 韻母對照表[台語音標], "N/A"))</f>
        <v/>
      </c>
      <c r="F10" t="str">
        <f xml:space="preserve"> IF($B10="", "", _xlfn.XLOOKUP(MID($B10,2,1), 聲調對照表[十五音調號], 聲調對照表[傳統八聲調], "N/A"))</f>
        <v/>
      </c>
    </row>
    <row r="11" spans="1:6">
      <c r="A11" t="s">
        <v>17</v>
      </c>
      <c r="B11" t="s">
        <v>18</v>
      </c>
      <c r="C11" t="s">
        <v>576</v>
      </c>
      <c r="D11" t="str">
        <f xml:space="preserve"> IF($B11="", "", _xlfn.XLOOKUP(RIGHT($B11), 聲母對照表[十五音], 聲母對照表[台語音標], "N/A"))</f>
        <v>s</v>
      </c>
      <c r="E11" t="str">
        <f xml:space="preserve"> IF($B11="", "", _xlfn.XLOOKUP(LEFT($B11), 韻母對照表[十五音], 韻母對照表[台語音標], "N/A"))</f>
        <v>oo</v>
      </c>
      <c r="F11">
        <f xml:space="preserve"> IF($B11="", "", _xlfn.XLOOKUP(MID($B11,2,1), 聲調對照表[十五音調號], 聲調對照表[傳統八聲調], "N/A"))</f>
        <v>1</v>
      </c>
    </row>
    <row r="12" spans="1:6">
      <c r="A12" t="s">
        <v>19</v>
      </c>
      <c r="B12" t="s">
        <v>20</v>
      </c>
      <c r="C12" t="s">
        <v>578</v>
      </c>
      <c r="D12" t="str">
        <f xml:space="preserve"> IF($B12="", "", _xlfn.XLOOKUP(RIGHT($B12), 聲母對照表[十五音], 聲母對照表[台語音標], "N/A"))</f>
        <v>s</v>
      </c>
      <c r="E12" t="str">
        <f xml:space="preserve"> IF($B12="", "", _xlfn.XLOOKUP(LEFT($B12), 韻母對照表[十五音], 韻母對照表[台語音標], "N/A"))</f>
        <v>ik</v>
      </c>
      <c r="F12">
        <f xml:space="preserve"> IF($B12="", "", _xlfn.XLOOKUP(MID($B12,2,1), 聲調對照表[十五音調號], 聲調對照表[傳統八聲調], "N/A"))</f>
        <v>4</v>
      </c>
    </row>
    <row r="13" spans="1:6">
      <c r="A13" t="s">
        <v>21</v>
      </c>
      <c r="B13" t="s">
        <v>22</v>
      </c>
      <c r="C13" t="s">
        <v>579</v>
      </c>
      <c r="D13" t="str">
        <f xml:space="preserve"> IF($B13="", "", _xlfn.XLOOKUP(RIGHT($B13), 聲母對照表[十五音], 聲母對照表[台語音標], "N/A"))</f>
        <v>j</v>
      </c>
      <c r="E13" t="str">
        <f xml:space="preserve"> IF($B13="", "", _xlfn.XLOOKUP(LEFT($B13), 韻母對照表[十五音], 韻母對照表[台語音標], "N/A"))</f>
        <v>im</v>
      </c>
      <c r="F13">
        <f xml:space="preserve"> IF($B13="", "", _xlfn.XLOOKUP(MID($B13,2,1), 聲調對照表[十五音調號], 聲調對照表[傳統八聲調], "N/A"))</f>
        <v>5</v>
      </c>
    </row>
    <row r="14" spans="1:6">
      <c r="A14" t="s">
        <v>23</v>
      </c>
      <c r="B14" t="s">
        <v>24</v>
      </c>
      <c r="C14" t="s">
        <v>582</v>
      </c>
      <c r="D14" t="str">
        <f xml:space="preserve"> IF($B14="", "", _xlfn.XLOOKUP(RIGHT($B14), 聲母對照表[十五音], 聲母對照表[台語音標], "N/A"))</f>
        <v>s</v>
      </c>
      <c r="E14" t="str">
        <f xml:space="preserve"> IF($B14="", "", _xlfn.XLOOKUP(LEFT($B14), 韻母對照表[十五音], 韻母對照表[台語音標], "N/A"))</f>
        <v>un</v>
      </c>
      <c r="F14">
        <f xml:space="preserve"> IF($B14="", "", _xlfn.XLOOKUP(MID($B14,2,1), 聲調對照表[十五音調號], 聲調對照表[傳統八聲調], "N/A"))</f>
        <v>4</v>
      </c>
    </row>
    <row r="15" spans="1:6">
      <c r="A15" t="s">
        <v>25</v>
      </c>
      <c r="B15" t="s">
        <v>26</v>
      </c>
      <c r="C15" t="s">
        <v>584</v>
      </c>
      <c r="D15" t="str">
        <f xml:space="preserve"> IF($B15="", "", _xlfn.XLOOKUP(RIGHT($B15), 聲母對照表[十五音], 聲母對照表[台語音標], "N/A"))</f>
        <v>z</v>
      </c>
      <c r="E15" t="str">
        <f xml:space="preserve"> IF($B15="", "", _xlfn.XLOOKUP(LEFT($B15), 韻母對照表[十五音], 韻母對照表[台語音標], "N/A"))</f>
        <v>i</v>
      </c>
      <c r="F15">
        <f xml:space="preserve"> IF($B15="", "", _xlfn.XLOOKUP(MID($B15,2,1), 聲調對照表[十五音調號], 聲調對照表[傳統八聲調], "N/A"))</f>
        <v>1</v>
      </c>
    </row>
    <row r="16" spans="1:6">
      <c r="A16" t="s">
        <v>27</v>
      </c>
      <c r="B16" t="s">
        <v>28</v>
      </c>
      <c r="C16" t="s">
        <v>586</v>
      </c>
      <c r="D16" t="str">
        <f xml:space="preserve"> IF($B16="", "", _xlfn.XLOOKUP(RIGHT($B16), 聲母對照表[十五音], 聲母對照表[台語音標], "N/A"))</f>
        <v>c</v>
      </c>
      <c r="E16" t="str">
        <f xml:space="preserve"> IF($B16="", "", _xlfn.XLOOKUP(LEFT($B16), 韻母對照表[十五音], 韻母對照表[台語音標], "N/A"))</f>
        <v>iu</v>
      </c>
      <c r="F16">
        <f xml:space="preserve"> IF($B16="", "", _xlfn.XLOOKUP(MID($B16,2,1), 聲調對照表[十五音調號], 聲調對照表[傳統八聲調], "N/A"))</f>
        <v>1</v>
      </c>
    </row>
    <row r="17" spans="1:6">
      <c r="A17" t="s">
        <v>29</v>
      </c>
      <c r="D17" t="str">
        <f xml:space="preserve"> IF($B17="", "", _xlfn.XLOOKUP(RIGHT($B17), 聲母對照表[十五音], 聲母對照表[台語音標], "N/A"))</f>
        <v/>
      </c>
      <c r="E17" t="str">
        <f xml:space="preserve"> IF($B17="", "", _xlfn.XLOOKUP(LEFT($B17), 韻母對照表[十五音], 韻母對照表[台語音標], "N/A"))</f>
        <v/>
      </c>
      <c r="F17" t="str">
        <f xml:space="preserve"> IF($B17="", "", _xlfn.XLOOKUP(MID($B17,2,1), 聲調對照表[十五音調號], 聲調對照表[傳統八聲調], "N/A"))</f>
        <v/>
      </c>
    </row>
    <row r="18" spans="1:6">
      <c r="A18" t="s">
        <v>30</v>
      </c>
      <c r="B18" t="s">
        <v>31</v>
      </c>
      <c r="C18" t="s">
        <v>588</v>
      </c>
      <c r="D18" t="str">
        <f xml:space="preserve"> IF($B18="", "", _xlfn.XLOOKUP(RIGHT($B18), 聲母對照表[十五音], 聲母對照表[台語音標], "N/A"))</f>
        <v>c</v>
      </c>
      <c r="E18" t="str">
        <f xml:space="preserve"> IF($B18="", "", _xlfn.XLOOKUP(LEFT($B18), 韻母對照表[十五音], 韻母對照表[台語音標], "N/A"))</f>
        <v>in</v>
      </c>
      <c r="F18">
        <f xml:space="preserve"> IF($B18="", "", _xlfn.XLOOKUP(MID($B18,2,1), 聲調對照表[十五音調號], 聲調對照表[傳統八聲調], "N/A"))</f>
        <v>4</v>
      </c>
    </row>
    <row r="19" spans="1:6">
      <c r="A19" t="s">
        <v>32</v>
      </c>
      <c r="B19" t="s">
        <v>33</v>
      </c>
      <c r="C19" t="s">
        <v>590</v>
      </c>
      <c r="D19" t="str">
        <f xml:space="preserve"> IF($B19="", "", _xlfn.XLOOKUP(RIGHT($B19), 聲母對照表[十五音], 聲母對照表[台語音標], "N/A"))</f>
        <v>g</v>
      </c>
      <c r="E19" t="str">
        <f xml:space="preserve"> IF($B19="", "", _xlfn.XLOOKUP(LEFT($B19), 韻母對照表[十五音], 韻母對照表[台語音標], "N/A"))</f>
        <v>uan</v>
      </c>
      <c r="F19">
        <f xml:space="preserve"> IF($B19="", "", _xlfn.XLOOKUP(MID($B19,2,1), 聲調對照表[十五音調號], 聲調對照表[傳統八聲調], "N/A"))</f>
        <v>8</v>
      </c>
    </row>
    <row r="20" spans="1:6">
      <c r="A20" t="s">
        <v>34</v>
      </c>
      <c r="B20" t="s">
        <v>35</v>
      </c>
      <c r="C20" t="s">
        <v>593</v>
      </c>
      <c r="D20" t="str">
        <f xml:space="preserve"> IF($B20="", "", _xlfn.XLOOKUP(RIGHT($B20), 聲母對照表[十五音], 聲母對照表[台語音標], "N/A"))</f>
        <v>k</v>
      </c>
      <c r="E20" t="str">
        <f xml:space="preserve"> IF($B20="", "", _xlfn.XLOOKUP(LEFT($B20), 韻母對照表[十五音], 韻母對照表[台語音標], "N/A"))</f>
        <v>i</v>
      </c>
      <c r="F20">
        <f xml:space="preserve"> IF($B20="", "", _xlfn.XLOOKUP(MID($B20,2,1), 聲調對照表[十五音調號], 聲調對照表[傳統八聲調], "N/A"))</f>
        <v>3</v>
      </c>
    </row>
    <row r="21" spans="1:6">
      <c r="A21" t="s">
        <v>36</v>
      </c>
      <c r="B21" s="51" t="s">
        <v>1808</v>
      </c>
      <c r="C21" s="51" t="s">
        <v>1809</v>
      </c>
      <c r="D21" t="str">
        <f xml:space="preserve"> IF($B21="", "", _xlfn.XLOOKUP(RIGHT($B21), 聲母對照表[十五音], 聲母對照表[台語音標], "N/A"))</f>
        <v>b</v>
      </c>
      <c r="E21" t="str">
        <f xml:space="preserve"> IF($B21="", "", _xlfn.XLOOKUP(LEFT($B21), 韻母對照表[十五音], 韻母對照表[台語音標], "N/A"))</f>
        <v>ok</v>
      </c>
      <c r="F21">
        <f xml:space="preserve"> IF($B21="", "", _xlfn.XLOOKUP(MID($B21,2,1), 聲調對照表[十五音調號], 聲調對照表[傳統八聲調], "N/A"))</f>
        <v>7</v>
      </c>
    </row>
    <row r="22" spans="1:6">
      <c r="A22" t="s">
        <v>29</v>
      </c>
      <c r="D22" t="str">
        <f xml:space="preserve"> IF($B22="", "", _xlfn.XLOOKUP(RIGHT($B22), 聲母對照表[十五音], 聲母對照表[台語音標], "N/A"))</f>
        <v/>
      </c>
      <c r="E22" t="str">
        <f xml:space="preserve"> IF($B22="", "", _xlfn.XLOOKUP(LEFT($B22), 韻母對照表[十五音], 韻母對照表[台語音標], "N/A"))</f>
        <v/>
      </c>
      <c r="F22" t="str">
        <f xml:space="preserve"> IF($B22="", "", _xlfn.XLOOKUP(MID($B22,2,1), 聲調對照表[十五音調號], 聲調對照表[傳統八聲調], "N/A"))</f>
        <v/>
      </c>
    </row>
    <row r="23" spans="1:6">
      <c r="A23" t="s">
        <v>17</v>
      </c>
      <c r="B23" t="s">
        <v>18</v>
      </c>
      <c r="C23" t="s">
        <v>576</v>
      </c>
      <c r="D23" t="str">
        <f xml:space="preserve"> IF($B23="", "", _xlfn.XLOOKUP(RIGHT($B23), 聲母對照表[十五音], 聲母對照表[台語音標], "N/A"))</f>
        <v>s</v>
      </c>
      <c r="E23" t="str">
        <f xml:space="preserve"> IF($B23="", "", _xlfn.XLOOKUP(LEFT($B23), 韻母對照表[十五音], 韻母對照表[台語音標], "N/A"))</f>
        <v>oo</v>
      </c>
      <c r="F23">
        <f xml:space="preserve"> IF($B23="", "", _xlfn.XLOOKUP(MID($B23,2,1), 聲調對照表[十五音調號], 聲調對照表[傳統八聲調], "N/A"))</f>
        <v>1</v>
      </c>
    </row>
    <row r="24" spans="1:6">
      <c r="A24" t="s">
        <v>38</v>
      </c>
      <c r="B24" t="s">
        <v>39</v>
      </c>
      <c r="C24" t="s">
        <v>597</v>
      </c>
      <c r="D24" t="str">
        <f xml:space="preserve"> IF($B24="", "", _xlfn.XLOOKUP(RIGHT($B24), 聲母對照表[十五音], 聲母對照表[台語音標], "N/A"))</f>
        <v>z</v>
      </c>
      <c r="E24" t="str">
        <f xml:space="preserve"> IF($B24="", "", _xlfn.XLOOKUP(LEFT($B24), 韻母對照表[十五音], 韻母對照表[台語音標], "N/A"))</f>
        <v>u</v>
      </c>
      <c r="F24">
        <f xml:space="preserve"> IF($B24="", "", _xlfn.XLOOKUP(MID($B24,2,1), 聲調對照表[十五音調號], 聲調對照表[傳統八聲調], "N/A"))</f>
        <v>2</v>
      </c>
    </row>
    <row r="25" spans="1:6">
      <c r="A25" t="s">
        <v>40</v>
      </c>
      <c r="B25" t="s">
        <v>41</v>
      </c>
      <c r="C25" t="s">
        <v>946</v>
      </c>
      <c r="D25" t="str">
        <f xml:space="preserve"> IF($B25="", "", _xlfn.XLOOKUP(RIGHT($B25), 聲母對照表[十五音], 聲母對照表[台語音標], "N/A"))</f>
        <v>Ø</v>
      </c>
      <c r="E25" t="str">
        <f xml:space="preserve"> IF($B25="", "", _xlfn.XLOOKUP(LEFT($B25), 韻母對照表[十五音], 韻母對照表[台語音標], "N/A"))</f>
        <v>u</v>
      </c>
      <c r="F25">
        <f xml:space="preserve"> IF($B25="", "", _xlfn.XLOOKUP(MID($B25,2,1), 聲調對照表[十五音調號], 聲調對照表[傳統八聲調], "N/A"))</f>
        <v>2</v>
      </c>
    </row>
    <row r="26" spans="1:6">
      <c r="A26" t="s">
        <v>42</v>
      </c>
      <c r="B26" t="s">
        <v>43</v>
      </c>
      <c r="C26" t="s">
        <v>600</v>
      </c>
      <c r="D26" t="str">
        <f xml:space="preserve"> IF($B26="", "", _xlfn.XLOOKUP(RIGHT($B26), 聲母對照表[十五音], 聲母對照表[台語音標], "N/A"))</f>
        <v>kh</v>
      </c>
      <c r="E26" t="str">
        <f xml:space="preserve"> IF($B26="", "", _xlfn.XLOOKUP(LEFT($B26), 韻母對照表[十五音], 韻母對照表[台語音標], "N/A"))</f>
        <v>ik</v>
      </c>
      <c r="F26">
        <f xml:space="preserve"> IF($B26="", "", _xlfn.XLOOKUP(MID($B26,2,1), 聲調對照表[十五音調號], 聲調對照表[傳統八聲調], "N/A"))</f>
        <v>4</v>
      </c>
    </row>
    <row r="27" spans="1:6">
      <c r="A27" t="s">
        <v>44</v>
      </c>
      <c r="B27" t="s">
        <v>45</v>
      </c>
      <c r="C27" t="s">
        <v>602</v>
      </c>
      <c r="D27" t="str">
        <f xml:space="preserve"> IF($B27="", "", _xlfn.XLOOKUP(RIGHT($B27), 聲母對照表[十五音], 聲母對照表[台語音標], "N/A"))</f>
        <v>h</v>
      </c>
      <c r="E27" t="str">
        <f xml:space="preserve"> IF($B27="", "", _xlfn.XLOOKUP(LEFT($B27), 韻母對照表[十五音], 韻母對照表[台語音標], "N/A"))</f>
        <v>uan</v>
      </c>
      <c r="F27">
        <f xml:space="preserve"> IF($B27="", "", _xlfn.XLOOKUP(MID($B27,2,1), 聲調對照表[十五音調號], 聲調對照表[傳統八聲調], "N/A"))</f>
        <v>3</v>
      </c>
    </row>
    <row r="28" spans="1:6">
      <c r="A28" t="s">
        <v>46</v>
      </c>
      <c r="B28" t="s">
        <v>47</v>
      </c>
      <c r="C28" t="s">
        <v>604</v>
      </c>
      <c r="D28" t="str">
        <f xml:space="preserve"> IF($B28="", "", _xlfn.XLOOKUP(RIGHT($B28), 聲母對照表[十五音], 聲母對照表[台語音標], "N/A"))</f>
        <v>z</v>
      </c>
      <c r="E28" t="str">
        <f xml:space="preserve"> IF($B28="", "", _xlfn.XLOOKUP(LEFT($B28), 韻母對照表[十五音], 韻母對照表[台語音標], "N/A"))</f>
        <v>iu</v>
      </c>
      <c r="F28">
        <f xml:space="preserve"> IF($B28="", "", _xlfn.XLOOKUP(MID($B28,2,1), 聲調對照表[十五音調號], 聲調對照表[傳統八聲調], "N/A"))</f>
        <v>1</v>
      </c>
    </row>
    <row r="29" spans="1:6">
      <c r="A29" t="s">
        <v>48</v>
      </c>
      <c r="B29" t="s">
        <v>49</v>
      </c>
      <c r="C29" t="s">
        <v>949</v>
      </c>
      <c r="D29" t="str">
        <f xml:space="preserve"> IF($B29="", "", _xlfn.XLOOKUP(RIGHT($B29), 聲母對照表[十五音], 聲母對照表[台語音標], "N/A"))</f>
        <v>Ø</v>
      </c>
      <c r="E29" t="str">
        <f xml:space="preserve"> IF($B29="", "", _xlfn.XLOOKUP(LEFT($B29), 韻母對照表[十五音], 韻母對照表[台語音標], "N/A"))</f>
        <v>iu</v>
      </c>
      <c r="F29">
        <f xml:space="preserve"> IF($B29="", "", _xlfn.XLOOKUP(MID($B29,2,1), 聲調對照表[十五音調號], 聲調對照表[傳統八聲調], "N/A"))</f>
        <v>5</v>
      </c>
    </row>
    <row r="30" spans="1:6">
      <c r="A30" t="s">
        <v>50</v>
      </c>
      <c r="B30" t="s">
        <v>51</v>
      </c>
      <c r="C30" t="s">
        <v>950</v>
      </c>
      <c r="D30" t="str">
        <f xml:space="preserve"> IF($B30="", "", _xlfn.XLOOKUP(RIGHT($B30), 聲母對照表[十五音], 聲母對照表[台語音標], "N/A"))</f>
        <v>Ø</v>
      </c>
      <c r="E30" t="str">
        <f xml:space="preserve"> IF($B30="", "", _xlfn.XLOOKUP(LEFT($B30), 韻母對照表[十五音], 韻母對照表[台語音標], "N/A"))</f>
        <v>u</v>
      </c>
      <c r="F30">
        <f xml:space="preserve"> IF($B30="", "", _xlfn.XLOOKUP(MID($B30,2,1), 聲調對照表[十五音調號], 聲調對照表[傳統八聲調], "N/A"))</f>
        <v>1</v>
      </c>
    </row>
    <row r="31" spans="1:6">
      <c r="A31" t="s">
        <v>5</v>
      </c>
      <c r="B31" t="s">
        <v>6</v>
      </c>
      <c r="C31" t="s">
        <v>563</v>
      </c>
      <c r="D31" t="str">
        <f xml:space="preserve"> IF($B31="", "", _xlfn.XLOOKUP(RIGHT($B31), 聲母對照表[十五音], 聲母對照表[台語音標], "N/A"))</f>
        <v>c</v>
      </c>
      <c r="E31" t="str">
        <f xml:space="preserve"> IF($B31="", "", _xlfn.XLOOKUP(LEFT($B31), 韻母對照表[十五音], 韻母對照表[台語音標], "N/A"))</f>
        <v>ik</v>
      </c>
      <c r="F31">
        <f xml:space="preserve"> IF($B31="", "", _xlfn.XLOOKUP(MID($B31,2,1), 聲調對照表[十五音調號], 聲調對照表[傳統八聲調], "N/A"))</f>
        <v>4</v>
      </c>
    </row>
    <row r="32" spans="1:6">
      <c r="A32" t="s">
        <v>7</v>
      </c>
      <c r="B32" t="s">
        <v>8</v>
      </c>
      <c r="C32" t="s">
        <v>566</v>
      </c>
      <c r="D32" t="str">
        <f xml:space="preserve"> IF($B32="", "", _xlfn.XLOOKUP(RIGHT($B32), 聲母對照表[十五音], 聲母對照表[台語音標], "N/A"))</f>
        <v>p</v>
      </c>
      <c r="E32" t="str">
        <f xml:space="preserve"> IF($B32="", "", _xlfn.XLOOKUP(LEFT($B32), 韻母對照表[十五音], 韻母對照表[台語音標], "N/A"))</f>
        <v>ik</v>
      </c>
      <c r="F32">
        <f xml:space="preserve"> IF($B32="", "", _xlfn.XLOOKUP(MID($B32,2,1), 聲調對照表[十五音調號], 聲調對照表[傳統八聲調], "N/A"))</f>
        <v>4</v>
      </c>
    </row>
    <row r="33" spans="1:6">
      <c r="A33" t="s">
        <v>25</v>
      </c>
      <c r="B33" t="s">
        <v>26</v>
      </c>
      <c r="C33" t="s">
        <v>584</v>
      </c>
      <c r="D33" t="str">
        <f xml:space="preserve"> IF($B33="", "", _xlfn.XLOOKUP(RIGHT($B33), 聲母對照表[十五音], 聲母對照表[台語音標], "N/A"))</f>
        <v>z</v>
      </c>
      <c r="E33" t="str">
        <f xml:space="preserve"> IF($B33="", "", _xlfn.XLOOKUP(LEFT($B33), 韻母對照表[十五音], 韻母對照表[台語音標], "N/A"))</f>
        <v>i</v>
      </c>
      <c r="F33">
        <f xml:space="preserve"> IF($B33="", "", _xlfn.XLOOKUP(MID($B33,2,1), 聲調對照表[十五音調號], 聲調對照表[傳統八聲調], "N/A"))</f>
        <v>1</v>
      </c>
    </row>
    <row r="34" spans="1:6">
      <c r="A34" t="s">
        <v>52</v>
      </c>
      <c r="B34" t="s">
        <v>53</v>
      </c>
      <c r="C34" t="s">
        <v>951</v>
      </c>
      <c r="D34" t="str">
        <f xml:space="preserve"> IF($B34="", "", _xlfn.XLOOKUP(RIGHT($B34), 聲母對照表[十五音], 聲母對照表[台語音標], "N/A"))</f>
        <v>h</v>
      </c>
      <c r="E34" t="str">
        <f xml:space="preserve"> IF($B34="", "", _xlfn.XLOOKUP(LEFT($B34), 韻母對照表[十五音], 韻母對照表[台語音標], "N/A"))</f>
        <v>a</v>
      </c>
      <c r="F34">
        <f xml:space="preserve"> IF($B34="", "", _xlfn.XLOOKUP(MID($B34,2,1), 聲調對照表[十五音調號], 聲調對照表[傳統八聲調], "N/A"))</f>
        <v>2</v>
      </c>
    </row>
    <row r="35" spans="1:6">
      <c r="A35" t="s">
        <v>54</v>
      </c>
      <c r="D35" t="str">
        <f xml:space="preserve"> IF($B35="", "", _xlfn.XLOOKUP(RIGHT($B35), 聲母對照表[十五音], 聲母對照表[台語音標], "N/A"))</f>
        <v/>
      </c>
      <c r="E35" t="str">
        <f xml:space="preserve"> IF($B35="", "", _xlfn.XLOOKUP(LEFT($B35), 韻母對照表[十五音], 韻母對照表[台語音標], "N/A"))</f>
        <v/>
      </c>
      <c r="F35" t="str">
        <f xml:space="preserve"> IF($B35="", "", _xlfn.XLOOKUP(MID($B35,2,1), 聲調對照表[十五音調號], 聲調對照表[傳統八聲調], "N/A"))</f>
        <v/>
      </c>
    </row>
    <row r="36" spans="1:6">
      <c r="A36" t="s">
        <v>55</v>
      </c>
      <c r="B36" t="s">
        <v>56</v>
      </c>
      <c r="C36" t="s">
        <v>609</v>
      </c>
      <c r="D36" t="str">
        <f xml:space="preserve"> IF($B36="", "", _xlfn.XLOOKUP(RIGHT($B36), 聲母對照表[十五音], 聲母對照表[台語音標], "N/A"))</f>
        <v>c</v>
      </c>
      <c r="E36" t="str">
        <f xml:space="preserve"> IF($B36="", "", _xlfn.XLOOKUP(LEFT($B36), 韻母對照表[十五音], 韻母對照表[台語音標], "N/A"))</f>
        <v>ik</v>
      </c>
      <c r="F36">
        <f xml:space="preserve"> IF($B36="", "", _xlfn.XLOOKUP(MID($B36,2,1), 聲調對照表[十五音調號], 聲調對照表[傳統八聲調], "N/A"))</f>
        <v>1</v>
      </c>
    </row>
    <row r="37" spans="1:6">
      <c r="A37" t="s">
        <v>57</v>
      </c>
      <c r="B37" s="51" t="s">
        <v>1810</v>
      </c>
      <c r="C37" s="51" t="s">
        <v>1811</v>
      </c>
      <c r="D37" t="str">
        <f xml:space="preserve"> IF($B37="", "", _xlfn.XLOOKUP(RIGHT($B37), 聲母對照表[十五音], 聲母對照表[台語音標], "N/A"))</f>
        <v>h</v>
      </c>
      <c r="E37" t="str">
        <f xml:space="preserve"> IF($B37="", "", _xlfn.XLOOKUP(LEFT($B37), 韻母對照表[十五音], 韻母對照表[台語音標], "N/A"))</f>
        <v>ok</v>
      </c>
      <c r="F37">
        <f xml:space="preserve"> IF($B37="", "", _xlfn.XLOOKUP(MID($B37,2,1), 聲調對照表[十五音調號], 聲調對照表[傳統八聲調], "N/A"))</f>
        <v>1</v>
      </c>
    </row>
    <row r="38" spans="1:6">
      <c r="A38" t="s">
        <v>59</v>
      </c>
      <c r="B38" t="s">
        <v>60</v>
      </c>
      <c r="C38" t="s">
        <v>613</v>
      </c>
      <c r="D38" t="str">
        <f xml:space="preserve"> IF($B38="", "", _xlfn.XLOOKUP(RIGHT($B38), 聲母對照表[十五音], 聲母對照表[台語音標], "N/A"))</f>
        <v>s</v>
      </c>
      <c r="E38" t="str">
        <f xml:space="preserve"> IF($B38="", "", _xlfn.XLOOKUP(LEFT($B38), 韻母對照表[十五音], 韻母對照表[台語音標], "N/A"))</f>
        <v>u</v>
      </c>
      <c r="F38">
        <f xml:space="preserve"> IF($B38="", "", _xlfn.XLOOKUP(MID($B38,2,1), 聲調對照表[十五音調號], 聲調對照表[傳統八聲調], "N/A"))</f>
        <v>5</v>
      </c>
    </row>
    <row r="39" spans="1:6">
      <c r="A39" t="s">
        <v>61</v>
      </c>
      <c r="B39" t="s">
        <v>62</v>
      </c>
      <c r="C39" t="s">
        <v>614</v>
      </c>
      <c r="D39" t="str">
        <f xml:space="preserve"> IF($B39="", "", _xlfn.XLOOKUP(RIGHT($B39), 聲母對照表[十五音], 聲母對照表[台語音標], "N/A"))</f>
        <v>l</v>
      </c>
      <c r="E39" t="str">
        <f xml:space="preserve"> IF($B39="", "", _xlfn.XLOOKUP(LEFT($B39), 韻母對照表[十五音], 韻母對照表[台語音標], "N/A"))</f>
        <v>ai</v>
      </c>
      <c r="F39">
        <f xml:space="preserve"> IF($B39="", "", _xlfn.XLOOKUP(MID($B39,2,1), 聲調對照表[十五音調號], 聲調對照表[傳統八聲調], "N/A"))</f>
        <v>5</v>
      </c>
    </row>
    <row r="40" spans="1:6">
      <c r="A40" t="s">
        <v>29</v>
      </c>
      <c r="D40" t="str">
        <f xml:space="preserve"> IF($B40="", "", _xlfn.XLOOKUP(RIGHT($B40), 聲母對照表[十五音], 聲母對照表[台語音標], "N/A"))</f>
        <v/>
      </c>
      <c r="E40" t="str">
        <f xml:space="preserve"> IF($B40="", "", _xlfn.XLOOKUP(LEFT($B40), 韻母對照表[十五音], 韻母對照表[台語音標], "N/A"))</f>
        <v/>
      </c>
      <c r="F40" t="str">
        <f xml:space="preserve"> IF($B40="", "", _xlfn.XLOOKUP(MID($B40,2,1), 聲調對照表[十五音調號], 聲調對照表[傳統八聲調], "N/A"))</f>
        <v/>
      </c>
    </row>
    <row r="41" spans="1:6">
      <c r="A41" t="s">
        <v>63</v>
      </c>
      <c r="B41" t="s">
        <v>64</v>
      </c>
      <c r="C41" t="s">
        <v>617</v>
      </c>
      <c r="D41" t="str">
        <f xml:space="preserve"> IF($B41="", "", _xlfn.XLOOKUP(RIGHT($B41), 聲母對照表[十五音], 聲母對照表[台語音標], "N/A"))</f>
        <v>s</v>
      </c>
      <c r="E41" t="str">
        <f xml:space="preserve"> IF($B41="", "", _xlfn.XLOOKUP(LEFT($B41), 韻母對照表[十五音], 韻母對照表[台語音標], "N/A"))</f>
        <v>ui</v>
      </c>
      <c r="F41">
        <f xml:space="preserve"> IF($B41="", "", _xlfn.XLOOKUP(MID($B41,2,1), 聲調對照表[十五音調號], 聲調對照表[傳統八聲調], "N/A"))</f>
        <v>2</v>
      </c>
    </row>
    <row r="42" spans="1:6">
      <c r="A42" t="s">
        <v>65</v>
      </c>
      <c r="B42" t="s">
        <v>66</v>
      </c>
      <c r="C42" t="s">
        <v>619</v>
      </c>
      <c r="D42" t="str">
        <f xml:space="preserve"> IF($B42="", "", _xlfn.XLOOKUP(RIGHT($B42), 聲母對照表[十五音], 聲母對照表[台語音標], "N/A"))</f>
        <v>ph</v>
      </c>
      <c r="E42" t="str">
        <f xml:space="preserve"> IF($B42="", "", _xlfn.XLOOKUP(LEFT($B42), 韻母對照表[十五音], 韻母對照表[台語音標], "N/A"))</f>
        <v>o</v>
      </c>
      <c r="F42">
        <f xml:space="preserve"> IF($B42="", "", _xlfn.XLOOKUP(MID($B42,2,1), 聲調對照表[十五音調號], 聲調對照表[傳統八聲調], "N/A"))</f>
        <v>1</v>
      </c>
    </row>
    <row r="43" spans="1:6">
      <c r="A43" t="s">
        <v>67</v>
      </c>
      <c r="B43" t="s">
        <v>68</v>
      </c>
      <c r="C43" t="s">
        <v>622</v>
      </c>
      <c r="D43" t="str">
        <f xml:space="preserve"> IF($B43="", "", _xlfn.XLOOKUP(RIGHT($B43), 聲母對照表[十五音], 聲母對照表[台語音標], "N/A"))</f>
        <v>p</v>
      </c>
      <c r="E43" t="str">
        <f xml:space="preserve"> IF($B43="", "", _xlfn.XLOOKUP(LEFT($B43), 韻母對照表[十五音], 韻母對照表[台語音標], "N/A"))</f>
        <v>un</v>
      </c>
      <c r="F43">
        <f xml:space="preserve"> IF($B43="", "", _xlfn.XLOOKUP(MID($B43,2,1), 聲調對照表[十五音調號], 聲調對照表[傳統八聲調], "N/A"))</f>
        <v>4</v>
      </c>
    </row>
    <row r="44" spans="1:6">
      <c r="A44" t="s">
        <v>69</v>
      </c>
      <c r="B44" t="s">
        <v>70</v>
      </c>
      <c r="C44" t="s">
        <v>623</v>
      </c>
      <c r="D44" t="str">
        <f xml:space="preserve"> IF($B44="", "", _xlfn.XLOOKUP(RIGHT($B44), 聲母對照表[十五音], 聲母對照表[台語音標], "N/A"))</f>
        <v>h</v>
      </c>
      <c r="E44" t="str">
        <f xml:space="preserve"> IF($B44="", "", _xlfn.XLOOKUP(LEFT($B44), 韻母對照表[十五音], 韻母對照表[台語音標], "N/A"))</f>
        <v>ik</v>
      </c>
      <c r="F44">
        <f xml:space="preserve"> IF($B44="", "", _xlfn.XLOOKUP(MID($B44,2,1), 聲調對照表[十五音調號], 聲調對照表[傳統八聲調], "N/A"))</f>
        <v>1</v>
      </c>
    </row>
    <row r="45" spans="1:6">
      <c r="A45" t="s">
        <v>29</v>
      </c>
      <c r="D45" t="str">
        <f xml:space="preserve"> IF($B45="", "", _xlfn.XLOOKUP(RIGHT($B45), 聲母對照表[十五音], 聲母對照表[台語音標], "N/A"))</f>
        <v/>
      </c>
      <c r="E45" t="str">
        <f xml:space="preserve"> IF($B45="", "", _xlfn.XLOOKUP(LEFT($B45), 韻母對照表[十五音], 韻母對照表[台語音標], "N/A"))</f>
        <v/>
      </c>
      <c r="F45" t="str">
        <f xml:space="preserve"> IF($B45="", "", _xlfn.XLOOKUP(MID($B45,2,1), 聲調對照表[十五音調號], 聲調對照表[傳統八聲調], "N/A"))</f>
        <v/>
      </c>
    </row>
    <row r="46" spans="1:6">
      <c r="A46" t="s">
        <v>71</v>
      </c>
      <c r="B46" t="s">
        <v>72</v>
      </c>
      <c r="C46" t="s">
        <v>957</v>
      </c>
      <c r="D46" t="str">
        <f xml:space="preserve"> IF($B46="", "", _xlfn.XLOOKUP(RIGHT($B46), 聲母對照表[十五音], 聲母對照表[台語音標], "N/A"))</f>
        <v>k</v>
      </c>
      <c r="E46" t="str">
        <f xml:space="preserve"> IF($B46="", "", _xlfn.XLOOKUP(LEFT($B46), 韻母對照表[十五音], 韻母對照表[台語音標], "N/A"))</f>
        <v>u</v>
      </c>
      <c r="F46">
        <f xml:space="preserve"> IF($B46="", "", _xlfn.XLOOKUP(MID($B46,2,1), 聲調對照表[十五音調號], 聲調對照表[傳統八聲調], "N/A"))</f>
        <v>2</v>
      </c>
    </row>
    <row r="47" spans="1:6">
      <c r="A47" t="s">
        <v>73</v>
      </c>
      <c r="B47" t="s">
        <v>74</v>
      </c>
      <c r="C47" t="s">
        <v>625</v>
      </c>
      <c r="D47" t="str">
        <f xml:space="preserve"> IF($B47="", "", _xlfn.XLOOKUP(RIGHT($B47), 聲母對照表[十五音], 聲母對照表[台語音標], "N/A"))</f>
        <v>z</v>
      </c>
      <c r="E47" t="str">
        <f xml:space="preserve"> IF($B47="", "", _xlfn.XLOOKUP(LEFT($B47), 韻母對照表[十五音], 韻母對照表[台語音標], "N/A"))</f>
        <v>iu</v>
      </c>
      <c r="F47">
        <f xml:space="preserve"> IF($B47="", "", _xlfn.XLOOKUP(MID($B47,2,1), 聲調對照表[十五音調號], 聲調對照表[傳統八聲調], "N/A"))</f>
        <v>2</v>
      </c>
    </row>
    <row r="48" spans="1:6">
      <c r="A48" t="s">
        <v>75</v>
      </c>
      <c r="B48" t="s">
        <v>76</v>
      </c>
      <c r="C48" t="s">
        <v>626</v>
      </c>
      <c r="D48" t="str">
        <f xml:space="preserve"> IF($B48="", "", _xlfn.XLOOKUP(RIGHT($B48), 聲母對照表[十五音], 聲母對照表[台語音標], "N/A"))</f>
        <v>z</v>
      </c>
      <c r="E48" t="str">
        <f xml:space="preserve"> IF($B48="", "", _xlfn.XLOOKUP(LEFT($B48), 韻母對照表[十五音], 韻母對照表[台語音標], "N/A"))</f>
        <v>iok</v>
      </c>
      <c r="F48">
        <f xml:space="preserve"> IF($B48="", "", _xlfn.XLOOKUP(MID($B48,2,1), 聲調對照表[十五音調號], 聲調對照表[傳統八聲調], "N/A"))</f>
        <v>4</v>
      </c>
    </row>
    <row r="49" spans="1:6">
      <c r="A49" t="s">
        <v>42</v>
      </c>
      <c r="B49" t="s">
        <v>43</v>
      </c>
      <c r="C49" t="s">
        <v>600</v>
      </c>
      <c r="D49" t="str">
        <f xml:space="preserve"> IF($B49="", "", _xlfn.XLOOKUP(RIGHT($B49), 聲母對照表[十五音], 聲母對照表[台語音標], "N/A"))</f>
        <v>kh</v>
      </c>
      <c r="E49" t="str">
        <f xml:space="preserve"> IF($B49="", "", _xlfn.XLOOKUP(LEFT($B49), 韻母對照表[十五音], 韻母對照表[台語音標], "N/A"))</f>
        <v>ik</v>
      </c>
      <c r="F49">
        <f xml:space="preserve"> IF($B49="", "", _xlfn.XLOOKUP(MID($B49,2,1), 聲調對照表[十五音調號], 聲調對照表[傳統八聲調], "N/A"))</f>
        <v>4</v>
      </c>
    </row>
    <row r="50" spans="1:6">
      <c r="A50" t="s">
        <v>29</v>
      </c>
      <c r="D50" t="str">
        <f xml:space="preserve"> IF($B50="", "", _xlfn.XLOOKUP(RIGHT($B50), 聲母對照表[十五音], 聲母對照表[台語音標], "N/A"))</f>
        <v/>
      </c>
      <c r="E50" t="str">
        <f xml:space="preserve"> IF($B50="", "", _xlfn.XLOOKUP(LEFT($B50), 韻母對照表[十五音], 韻母對照表[台語音標], "N/A"))</f>
        <v/>
      </c>
      <c r="F50" t="str">
        <f xml:space="preserve"> IF($B50="", "", _xlfn.XLOOKUP(MID($B50,2,1), 聲調對照表[十五音調號], 聲調對照表[傳統八聲調], "N/A"))</f>
        <v/>
      </c>
    </row>
    <row r="51" spans="1:6">
      <c r="A51" t="s">
        <v>77</v>
      </c>
      <c r="B51" t="s">
        <v>78</v>
      </c>
      <c r="C51" t="s">
        <v>628</v>
      </c>
      <c r="D51" t="str">
        <f xml:space="preserve"> IF($B51="", "", _xlfn.XLOOKUP(RIGHT($B51), 聲母對照表[十五音], 聲母對照表[台語音標], "N/A"))</f>
        <v>s</v>
      </c>
      <c r="E51" t="str">
        <f xml:space="preserve"> IF($B51="", "", _xlfn.XLOOKUP(LEFT($B51), 韻母對照表[十五音], 韻母對照表[台語音標], "N/A"))</f>
        <v>iok</v>
      </c>
      <c r="F51">
        <f xml:space="preserve"> IF($B51="", "", _xlfn.XLOOKUP(MID($B51,2,1), 聲調對照表[十五音調號], 聲調對照表[傳統八聲調], "N/A"))</f>
        <v>7</v>
      </c>
    </row>
    <row r="52" spans="1:6">
      <c r="A52" t="s">
        <v>79</v>
      </c>
      <c r="B52" t="s">
        <v>80</v>
      </c>
      <c r="C52" t="s">
        <v>629</v>
      </c>
      <c r="D52" t="str">
        <f xml:space="preserve"> IF($B52="", "", _xlfn.XLOOKUP(RIGHT($B52), 聲母對照表[十五音], 聲母對照表[台語音標], "N/A"))</f>
        <v>b</v>
      </c>
      <c r="E52" t="str">
        <f xml:space="preserve"> IF($B52="", "", _xlfn.XLOOKUP(LEFT($B52), 韻母對照表[十五音], 韻母對照表[台語音標], "N/A"))</f>
        <v>ik</v>
      </c>
      <c r="F52">
        <f xml:space="preserve"> IF($B52="", "", _xlfn.XLOOKUP(MID($B52,2,1), 聲調對照表[十五音調號], 聲調對照表[傳統八聲調], "N/A"))</f>
        <v>5</v>
      </c>
    </row>
    <row r="53" spans="1:6">
      <c r="A53" t="s">
        <v>32</v>
      </c>
      <c r="B53" t="s">
        <v>33</v>
      </c>
      <c r="C53" t="s">
        <v>590</v>
      </c>
      <c r="D53" t="str">
        <f xml:space="preserve"> IF($B53="", "", _xlfn.XLOOKUP(RIGHT($B53), 聲母對照表[十五音], 聲母對照表[台語音標], "N/A"))</f>
        <v>g</v>
      </c>
      <c r="E53" t="str">
        <f xml:space="preserve"> IF($B53="", "", _xlfn.XLOOKUP(LEFT($B53), 韻母對照表[十五音], 韻母對照表[台語音標], "N/A"))</f>
        <v>uan</v>
      </c>
      <c r="F53">
        <f xml:space="preserve"> IF($B53="", "", _xlfn.XLOOKUP(MID($B53,2,1), 聲調對照表[十五音調號], 聲調對照表[傳統八聲調], "N/A"))</f>
        <v>8</v>
      </c>
    </row>
    <row r="54" spans="1:6">
      <c r="A54" t="s">
        <v>25</v>
      </c>
      <c r="B54" t="s">
        <v>26</v>
      </c>
      <c r="C54" t="s">
        <v>584</v>
      </c>
      <c r="D54" t="str">
        <f xml:space="preserve"> IF($B54="", "", _xlfn.XLOOKUP(RIGHT($B54), 聲母對照表[十五音], 聲母對照表[台語音標], "N/A"))</f>
        <v>z</v>
      </c>
      <c r="E54" t="str">
        <f xml:space="preserve"> IF($B54="", "", _xlfn.XLOOKUP(LEFT($B54), 韻母對照表[十五音], 韻母對照表[台語音標], "N/A"))</f>
        <v>i</v>
      </c>
      <c r="F54">
        <f xml:space="preserve"> IF($B54="", "", _xlfn.XLOOKUP(MID($B54,2,1), 聲調對照表[十五音調號], 聲調對照表[傳統八聲調], "N/A"))</f>
        <v>1</v>
      </c>
    </row>
    <row r="55" spans="1:6">
      <c r="A55" t="s">
        <v>81</v>
      </c>
      <c r="B55" t="s">
        <v>82</v>
      </c>
      <c r="C55" t="s">
        <v>630</v>
      </c>
      <c r="D55" t="str">
        <f xml:space="preserve"> IF($B55="", "", _xlfn.XLOOKUP(RIGHT($B55), 聲母對照表[十五音], 聲母對照表[台語音標], "N/A"))</f>
        <v>s</v>
      </c>
      <c r="E55" t="str">
        <f xml:space="preserve"> IF($B55="", "", _xlfn.XLOOKUP(LEFT($B55), 韻母對照表[十五音], 韻母對照表[台語音標], "N/A"))</f>
        <v>i</v>
      </c>
      <c r="F55">
        <f xml:space="preserve"> IF($B55="", "", _xlfn.XLOOKUP(MID($B55,2,1), 聲調對照表[十五音調號], 聲調對照表[傳統八聲調], "N/A"))</f>
        <v>1</v>
      </c>
    </row>
    <row r="56" spans="1:6">
      <c r="A56" t="s">
        <v>29</v>
      </c>
      <c r="D56" t="str">
        <f xml:space="preserve"> IF($B56="", "", _xlfn.XLOOKUP(RIGHT($B56), 聲母對照表[十五音], 聲母對照表[台語音標], "N/A"))</f>
        <v/>
      </c>
      <c r="E56" t="str">
        <f xml:space="preserve"> IF($B56="", "", _xlfn.XLOOKUP(LEFT($B56), 韻母對照表[十五音], 韻母對照表[台語音標], "N/A"))</f>
        <v/>
      </c>
      <c r="F56" t="str">
        <f xml:space="preserve"> IF($B56="", "", _xlfn.XLOOKUP(MID($B56,2,1), 聲調對照表[十五音調號], 聲調對照表[傳統八聲調], "N/A"))</f>
        <v/>
      </c>
    </row>
    <row r="57" spans="1:6">
      <c r="A57" t="s">
        <v>83</v>
      </c>
      <c r="B57" t="s">
        <v>84</v>
      </c>
      <c r="C57" t="s">
        <v>631</v>
      </c>
      <c r="D57" t="str">
        <f xml:space="preserve"> IF($B57="", "", _xlfn.XLOOKUP(RIGHT($B57), 聲母對照表[十五音], 聲母對照表[台語音標], "N/A"))</f>
        <v>k</v>
      </c>
      <c r="E57" t="str">
        <f xml:space="preserve"> IF($B57="", "", _xlfn.XLOOKUP(LEFT($B57), 韻母對照表[十五音], 韻母對照表[台語音標], "N/A"))</f>
        <v>o</v>
      </c>
      <c r="F57">
        <f xml:space="preserve"> IF($B57="", "", _xlfn.XLOOKUP(MID($B57,2,1), 聲調對照表[十五音調號], 聲調對照表[傳統八聲調], "N/A"))</f>
        <v>1</v>
      </c>
    </row>
    <row r="58" spans="1:6">
      <c r="A58" t="s">
        <v>85</v>
      </c>
      <c r="B58" t="s">
        <v>86</v>
      </c>
      <c r="C58" t="s">
        <v>958</v>
      </c>
      <c r="D58" t="str">
        <f xml:space="preserve"> IF($B58="", "", _xlfn.XLOOKUP(RIGHT($B58), 聲母對照表[十五音], 聲母對照表[台語音標], "N/A"))</f>
        <v>Ø</v>
      </c>
      <c r="E58" t="str">
        <f xml:space="preserve"> IF($B58="", "", _xlfn.XLOOKUP(LEFT($B58), 韻母對照表[十五音], 韻母對照表[台語音標], "N/A"))</f>
        <v>iau</v>
      </c>
      <c r="F58">
        <f xml:space="preserve"> IF($B58="", "", _xlfn.XLOOKUP(MID($B58,2,1), 聲調對照表[十五音調號], 聲調對照表[傳統八聲調], "N/A"))</f>
        <v>2</v>
      </c>
    </row>
    <row r="59" spans="1:6">
      <c r="A59" t="s">
        <v>87</v>
      </c>
      <c r="B59" t="s">
        <v>88</v>
      </c>
      <c r="C59" t="s">
        <v>634</v>
      </c>
      <c r="D59" t="str">
        <f xml:space="preserve"> IF($B59="", "", _xlfn.XLOOKUP(RIGHT($B59), 聲母對照表[十五音], 聲母對照表[台語音標], "N/A"))</f>
        <v>t</v>
      </c>
      <c r="E59" t="str">
        <f xml:space="preserve"> IF($B59="", "", _xlfn.XLOOKUP(LEFT($B59), 韻母對照表[十五音], 韻母對照表[台語音標], "N/A"))</f>
        <v>iau</v>
      </c>
      <c r="F59">
        <f xml:space="preserve"> IF($B59="", "", _xlfn.XLOOKUP(MID($B59,2,1), 聲調對照表[十五音調號], 聲調對照表[傳統八聲調], "N/A"))</f>
        <v>2</v>
      </c>
    </row>
    <row r="60" spans="1:6">
      <c r="A60" t="s">
        <v>25</v>
      </c>
      <c r="B60" t="s">
        <v>26</v>
      </c>
      <c r="C60" t="s">
        <v>584</v>
      </c>
      <c r="D60" t="str">
        <f xml:space="preserve"> IF($B60="", "", _xlfn.XLOOKUP(RIGHT($B60), 聲母對照表[十五音], 聲母對照表[台語音標], "N/A"))</f>
        <v>z</v>
      </c>
      <c r="E60" t="str">
        <f xml:space="preserve"> IF($B60="", "", _xlfn.XLOOKUP(LEFT($B60), 韻母對照表[十五音], 韻母對照表[台語音標], "N/A"))</f>
        <v>i</v>
      </c>
      <c r="F60">
        <f xml:space="preserve"> IF($B60="", "", _xlfn.XLOOKUP(MID($B60,2,1), 聲調對照表[十五音調號], 聲調對照表[傳統八聲調], "N/A"))</f>
        <v>1</v>
      </c>
    </row>
    <row r="61" spans="1:6">
      <c r="A61" t="s">
        <v>89</v>
      </c>
      <c r="B61" t="s">
        <v>90</v>
      </c>
      <c r="C61" t="s">
        <v>636</v>
      </c>
      <c r="D61" t="str">
        <f xml:space="preserve"> IF($B61="", "", _xlfn.XLOOKUP(RIGHT($B61), 聲母對照表[十五音], 聲母對照表[台語音標], "N/A"))</f>
        <v>z</v>
      </c>
      <c r="E61" t="str">
        <f xml:space="preserve"> IF($B61="", "", _xlfn.XLOOKUP(LEFT($B61), 韻母對照表[十五音], 韻母對照表[台語音標], "N/A"))</f>
        <v>iok</v>
      </c>
      <c r="F61">
        <f xml:space="preserve"> IF($B61="", "", _xlfn.XLOOKUP(MID($B61,2,1), 聲調對照表[十五音調號], 聲調對照表[傳統八聲調], "N/A"))</f>
        <v>1</v>
      </c>
    </row>
    <row r="62" spans="1:6">
      <c r="A62" t="s">
        <v>54</v>
      </c>
      <c r="D62" t="str">
        <f xml:space="preserve"> IF($B62="", "", _xlfn.XLOOKUP(RIGHT($B62), 聲母對照表[十五音], 聲母對照表[台語音標], "N/A"))</f>
        <v/>
      </c>
      <c r="E62" t="str">
        <f xml:space="preserve"> IF($B62="", "", _xlfn.XLOOKUP(LEFT($B62), 韻母對照表[十五音], 韻母對照表[台語音標], "N/A"))</f>
        <v/>
      </c>
      <c r="F62" t="str">
        <f xml:space="preserve"> IF($B62="", "", _xlfn.XLOOKUP(MID($B62,2,1), 聲調對照表[十五音調號], 聲調對照表[傳統八聲調], "N/A"))</f>
        <v/>
      </c>
    </row>
    <row r="63" spans="1:6">
      <c r="A63" t="s">
        <v>91</v>
      </c>
      <c r="B63" t="s">
        <v>92</v>
      </c>
      <c r="C63" t="s">
        <v>637</v>
      </c>
      <c r="D63" t="str">
        <f xml:space="preserve"> IF($B63="", "", _xlfn.XLOOKUP(RIGHT($B63), 聲母對照表[十五音], 聲母對照表[台語音標], "N/A"))</f>
        <v>s</v>
      </c>
      <c r="E63" t="str">
        <f xml:space="preserve"> IF($B63="", "", _xlfn.XLOOKUP(LEFT($B63), 韻母對照表[十五音], 韻母對照表[台語音標], "N/A"))</f>
        <v>iau</v>
      </c>
      <c r="F63">
        <f xml:space="preserve"> IF($B63="", "", _xlfn.XLOOKUP(MID($B63,2,1), 聲調對照表[十五音調號], 聲調對照表[傳統八聲調], "N/A"))</f>
        <v>2</v>
      </c>
    </row>
    <row r="64" spans="1:6">
      <c r="A64" t="s">
        <v>93</v>
      </c>
      <c r="B64" t="s">
        <v>94</v>
      </c>
      <c r="C64" t="s">
        <v>960</v>
      </c>
      <c r="D64" t="str">
        <f xml:space="preserve"> IF($B64="", "", _xlfn.XLOOKUP(RIGHT($B64), 聲母對照表[十五音], 聲母對照表[台語音標], "N/A"))</f>
        <v>Ø</v>
      </c>
      <c r="E64" t="str">
        <f xml:space="preserve"> IF($B64="", "", _xlfn.XLOOKUP(LEFT($B64), 韻母對照表[十五音], 韻母對照表[台語音標], "N/A"))</f>
        <v>ian</v>
      </c>
      <c r="F64">
        <f xml:space="preserve"> IF($B64="", "", _xlfn.XLOOKUP(MID($B64,2,1), 聲調對照表[十五音調號], 聲調對照表[傳統八聲調], "N/A"))</f>
        <v>1</v>
      </c>
    </row>
    <row r="65" spans="1:6">
      <c r="A65" t="s">
        <v>29</v>
      </c>
      <c r="D65" t="str">
        <f xml:space="preserve"> IF($B65="", "", _xlfn.XLOOKUP(RIGHT($B65), 聲母對照表[十五音], 聲母對照表[台語音標], "N/A"))</f>
        <v/>
      </c>
      <c r="E65" t="str">
        <f xml:space="preserve"> IF($B65="", "", _xlfn.XLOOKUP(LEFT($B65), 韻母對照表[十五音], 韻母對照表[台語音標], "N/A"))</f>
        <v/>
      </c>
      <c r="F65" t="str">
        <f xml:space="preserve"> IF($B65="", "", _xlfn.XLOOKUP(MID($B65,2,1), 聲調對照表[十五音調號], 聲調對照表[傳統八聲調], "N/A"))</f>
        <v/>
      </c>
    </row>
    <row r="66" spans="1:6">
      <c r="A66" t="s">
        <v>32</v>
      </c>
      <c r="B66" t="s">
        <v>33</v>
      </c>
      <c r="C66" t="s">
        <v>590</v>
      </c>
      <c r="D66" t="str">
        <f xml:space="preserve"> IF($B66="", "", _xlfn.XLOOKUP(RIGHT($B66), 聲母對照表[十五音], 聲母對照表[台語音標], "N/A"))</f>
        <v>g</v>
      </c>
      <c r="E66" t="str">
        <f xml:space="preserve"> IF($B66="", "", _xlfn.XLOOKUP(LEFT($B66), 韻母對照表[十五音], 韻母對照表[台語音標], "N/A"))</f>
        <v>uan</v>
      </c>
      <c r="F66">
        <f xml:space="preserve"> IF($B66="", "", _xlfn.XLOOKUP(MID($B66,2,1), 聲調對照表[十五音調號], 聲調對照表[傳統八聲調], "N/A"))</f>
        <v>8</v>
      </c>
    </row>
    <row r="67" spans="1:6">
      <c r="A67" t="s">
        <v>95</v>
      </c>
      <c r="B67" t="s">
        <v>96</v>
      </c>
      <c r="C67" t="s">
        <v>639</v>
      </c>
      <c r="D67" t="str">
        <f xml:space="preserve"> IF($B67="", "", _xlfn.XLOOKUP(RIGHT($B67), 聲母對照表[十五音], 聲母對照表[台語音標], "N/A"))</f>
        <v>c</v>
      </c>
      <c r="E67" t="str">
        <f xml:space="preserve"> IF($B67="", "", _xlfn.XLOOKUP(LEFT($B67), 韻母對照表[十五音], 韻母對照表[台語音標], "N/A"))</f>
        <v>ui</v>
      </c>
      <c r="F67">
        <f xml:space="preserve"> IF($B67="", "", _xlfn.XLOOKUP(MID($B67,2,1), 聲調對照表[十五音調號], 聲調對照表[傳統八聲調], "N/A"))</f>
        <v>3</v>
      </c>
    </row>
    <row r="68" spans="1:6">
      <c r="A68" t="s">
        <v>50</v>
      </c>
      <c r="B68" t="s">
        <v>51</v>
      </c>
      <c r="C68" t="s">
        <v>950</v>
      </c>
      <c r="D68" t="str">
        <f xml:space="preserve"> IF($B68="", "", _xlfn.XLOOKUP(RIGHT($B68), 聲母對照表[十五音], 聲母對照表[台語音標], "N/A"))</f>
        <v>Ø</v>
      </c>
      <c r="E68" t="str">
        <f xml:space="preserve"> IF($B68="", "", _xlfn.XLOOKUP(LEFT($B68), 韻母對照表[十五音], 韻母對照表[台語音標], "N/A"))</f>
        <v>u</v>
      </c>
      <c r="F68">
        <f xml:space="preserve"> IF($B68="", "", _xlfn.XLOOKUP(MID($B68,2,1), 聲調對照表[十五音調號], 聲調對照表[傳統八聲調], "N/A"))</f>
        <v>1</v>
      </c>
    </row>
    <row r="69" spans="1:6">
      <c r="A69" t="s">
        <v>97</v>
      </c>
      <c r="B69" t="s">
        <v>98</v>
      </c>
      <c r="C69" t="s">
        <v>640</v>
      </c>
      <c r="D69" t="str">
        <f xml:space="preserve"> IF($B69="", "", _xlfn.XLOOKUP(RIGHT($B69), 聲母對照表[十五音], 聲母對照表[台語音標], "N/A"))</f>
        <v>t</v>
      </c>
      <c r="E69" t="str">
        <f xml:space="preserve"> IF($B69="", "", _xlfn.XLOOKUP(LEFT($B69), 韻母對照表[十五音], 韻母對照表[台語音標], "N/A"))</f>
        <v>ok</v>
      </c>
      <c r="F69">
        <f xml:space="preserve"> IF($B69="", "", _xlfn.XLOOKUP(MID($B69,2,1), 聲調對照表[十五音調號], 聲調對照表[傳統八聲調], "N/A"))</f>
        <v>1</v>
      </c>
    </row>
    <row r="70" spans="1:6">
      <c r="A70" t="s">
        <v>99</v>
      </c>
      <c r="B70" t="s">
        <v>100</v>
      </c>
      <c r="C70" t="s">
        <v>641</v>
      </c>
      <c r="D70" t="str">
        <f xml:space="preserve"> IF($B70="", "", _xlfn.XLOOKUP(RIGHT($B70), 聲母對照表[十五音], 聲母對照表[台語音標], "N/A"))</f>
        <v>s</v>
      </c>
      <c r="E70" t="str">
        <f xml:space="preserve"> IF($B70="", "", _xlfn.XLOOKUP(LEFT($B70), 韻母對照表[十五音], 韻母對照表[台語音標], "N/A"))</f>
        <v>an</v>
      </c>
      <c r="F70">
        <f xml:space="preserve"> IF($B70="", "", _xlfn.XLOOKUP(MID($B70,2,1), 聲調對照表[十五音調號], 聲調對照表[傳統八聲調], "N/A"))</f>
        <v>1</v>
      </c>
    </row>
    <row r="71" spans="1:6">
      <c r="A71" t="s">
        <v>25</v>
      </c>
      <c r="B71" t="s">
        <v>26</v>
      </c>
      <c r="C71" t="s">
        <v>584</v>
      </c>
      <c r="D71" t="str">
        <f xml:space="preserve"> IF($B71="", "", _xlfn.XLOOKUP(RIGHT($B71), 聲母對照表[十五音], 聲母對照表[台語音標], "N/A"))</f>
        <v>z</v>
      </c>
      <c r="E71" t="str">
        <f xml:space="preserve"> IF($B71="", "", _xlfn.XLOOKUP(LEFT($B71), 韻母對照表[十五音], 韻母對照表[台語音標], "N/A"))</f>
        <v>i</v>
      </c>
      <c r="F71">
        <f xml:space="preserve"> IF($B71="", "", _xlfn.XLOOKUP(MID($B71,2,1), 聲調對照表[十五音調號], 聲調對照表[傳統八聲調], "N/A"))</f>
        <v>1</v>
      </c>
    </row>
    <row r="72" spans="1:6">
      <c r="A72" t="s">
        <v>101</v>
      </c>
      <c r="B72" t="s">
        <v>102</v>
      </c>
      <c r="C72" t="s">
        <v>643</v>
      </c>
      <c r="D72" t="str">
        <f xml:space="preserve"> IF($B72="", "", _xlfn.XLOOKUP(RIGHT($B72), 聲母對照表[十五音], 聲母對照表[台語音標], "N/A"))</f>
        <v>s</v>
      </c>
      <c r="E72" t="str">
        <f xml:space="preserve"> IF($B72="", "", _xlfn.XLOOKUP(LEFT($B72), 韻母對照表[十五音], 韻母對照表[台語音標], "N/A"))</f>
        <v>iok</v>
      </c>
      <c r="F72">
        <f xml:space="preserve"> IF($B72="", "", _xlfn.XLOOKUP(MID($B72,2,1), 聲調對照表[十五音調號], 聲調對照表[傳統八聲調], "N/A"))</f>
        <v>2</v>
      </c>
    </row>
    <row r="73" spans="1:6">
      <c r="A73" t="s">
        <v>29</v>
      </c>
      <c r="D73" t="str">
        <f xml:space="preserve"> IF($B73="", "", _xlfn.XLOOKUP(RIGHT($B73), 聲母對照表[十五音], 聲母對照表[台語音標], "N/A"))</f>
        <v/>
      </c>
      <c r="E73" t="str">
        <f xml:space="preserve"> IF($B73="", "", _xlfn.XLOOKUP(LEFT($B73), 韻母對照表[十五音], 韻母對照表[台語音標], "N/A"))</f>
        <v/>
      </c>
      <c r="F73" t="str">
        <f xml:space="preserve"> IF($B73="", "", _xlfn.XLOOKUP(MID($B73,2,1), 聲調對照表[十五音調號], 聲調對照表[傳統八聲調], "N/A"))</f>
        <v/>
      </c>
    </row>
    <row r="74" spans="1:6">
      <c r="A74" t="s">
        <v>103</v>
      </c>
      <c r="B74" t="s">
        <v>104</v>
      </c>
      <c r="C74" t="s">
        <v>644</v>
      </c>
      <c r="D74" t="str">
        <f xml:space="preserve"> IF($B74="", "", _xlfn.XLOOKUP(RIGHT($B74), 聲母對照表[十五音], 聲母對照表[台語音標], "N/A"))</f>
        <v>p</v>
      </c>
      <c r="E74" t="str">
        <f xml:space="preserve"> IF($B74="", "", _xlfn.XLOOKUP(LEFT($B74), 韻母對照表[十五音], 韻母對照表[台語音標], "N/A"))</f>
        <v>ai</v>
      </c>
      <c r="F74">
        <f xml:space="preserve"> IF($B74="", "", _xlfn.XLOOKUP(MID($B74,2,1), 聲調對照表[十五音調號], 聲調對照表[傳統八聲調], "N/A"))</f>
        <v>5</v>
      </c>
    </row>
    <row r="75" spans="1:6">
      <c r="A75" t="s">
        <v>105</v>
      </c>
      <c r="B75" t="s">
        <v>106</v>
      </c>
      <c r="C75" t="s">
        <v>645</v>
      </c>
      <c r="D75" t="str">
        <f xml:space="preserve"> IF($B75="", "", _xlfn.XLOOKUP(RIGHT($B75), 聲母對照表[十五音], 聲母對照表[台語音標], "N/A"))</f>
        <v>h</v>
      </c>
      <c r="E75" t="str">
        <f xml:space="preserve"> IF($B75="", "", _xlfn.XLOOKUP(LEFT($B75), 韻母對照表[十五音], 韻母對照表[台語音標], "N/A"))</f>
        <v>ue</v>
      </c>
      <c r="F75">
        <f xml:space="preserve"> IF($B75="", "", _xlfn.XLOOKUP(MID($B75,2,1), 聲調對照表[十五音調號], 聲調對照表[傳統八聲調], "N/A"))</f>
        <v>5</v>
      </c>
    </row>
    <row r="76" spans="1:6">
      <c r="A76" t="s">
        <v>50</v>
      </c>
      <c r="B76" t="s">
        <v>51</v>
      </c>
      <c r="C76" t="s">
        <v>950</v>
      </c>
      <c r="D76" t="str">
        <f xml:space="preserve"> IF($B76="", "", _xlfn.XLOOKUP(RIGHT($B76), 聲母對照表[十五音], 聲母對照表[台語音標], "N/A"))</f>
        <v>Ø</v>
      </c>
      <c r="E76" t="str">
        <f xml:space="preserve"> IF($B76="", "", _xlfn.XLOOKUP(LEFT($B76), 韻母對照表[十五音], 韻母對照表[台語音標], "N/A"))</f>
        <v>u</v>
      </c>
      <c r="F76">
        <f xml:space="preserve"> IF($B76="", "", _xlfn.XLOOKUP(MID($B76,2,1), 聲調對照表[十五音調號], 聲調對照表[傳統八聲調], "N/A"))</f>
        <v>1</v>
      </c>
    </row>
    <row r="77" spans="1:6">
      <c r="A77" t="s">
        <v>107</v>
      </c>
      <c r="B77" t="s">
        <v>108</v>
      </c>
      <c r="C77" t="s">
        <v>647</v>
      </c>
      <c r="D77" t="str">
        <f xml:space="preserve"> IF($B77="", "", _xlfn.XLOOKUP(RIGHT($B77), 聲母對照表[十五音], 聲母對照表[台語音標], "N/A"))</f>
        <v>t</v>
      </c>
      <c r="E77" t="str">
        <f xml:space="preserve"> IF($B77="", "", _xlfn.XLOOKUP(LEFT($B77), 韻母對照表[十五音], 韻母對照表[台語音標], "N/A"))</f>
        <v>oo</v>
      </c>
      <c r="F77">
        <f xml:space="preserve"> IF($B77="", "", _xlfn.XLOOKUP(MID($B77,2,1), 聲調對照表[十五音調號], 聲調對照表[傳統八聲調], "N/A"))</f>
        <v>2</v>
      </c>
    </row>
    <row r="78" spans="1:6">
      <c r="A78" t="s">
        <v>109</v>
      </c>
      <c r="B78" t="s">
        <v>110</v>
      </c>
      <c r="C78" t="s">
        <v>963</v>
      </c>
      <c r="D78" t="str">
        <f xml:space="preserve"> IF($B78="", "", _xlfn.XLOOKUP(RIGHT($B78), 聲母對照表[十五音], 聲母對照表[台語音標], "N/A"))</f>
        <v>g</v>
      </c>
      <c r="E78" t="str">
        <f xml:space="preserve"> IF($B78="", "", _xlfn.XLOOKUP(LEFT($B78), 韻母對照表[十五音], 韻母對照表[台語音標], "N/A"))</f>
        <v>u</v>
      </c>
      <c r="F78">
        <f xml:space="preserve"> IF($B78="", "", _xlfn.XLOOKUP(MID($B78,2,1), 聲調對照表[十五音調號], 聲調對照表[傳統八聲調], "N/A"))</f>
        <v>5</v>
      </c>
    </row>
    <row r="79" spans="1:6">
      <c r="A79" t="s">
        <v>25</v>
      </c>
      <c r="B79" t="s">
        <v>26</v>
      </c>
      <c r="C79" t="s">
        <v>584</v>
      </c>
      <c r="D79" t="str">
        <f xml:space="preserve"> IF($B79="", "", _xlfn.XLOOKUP(RIGHT($B79), 聲母對照表[十五音], 聲母對照表[台語音標], "N/A"))</f>
        <v>z</v>
      </c>
      <c r="E79" t="str">
        <f xml:space="preserve"> IF($B79="", "", _xlfn.XLOOKUP(LEFT($B79), 韻母對照表[十五音], 韻母對照表[台語音標], "N/A"))</f>
        <v>i</v>
      </c>
      <c r="F79">
        <f xml:space="preserve"> IF($B79="", "", _xlfn.XLOOKUP(MID($B79,2,1), 聲調對照表[十五音調號], 聲調對照表[傳統八聲調], "N/A"))</f>
        <v>1</v>
      </c>
    </row>
    <row r="80" spans="1:6">
      <c r="A80" t="s">
        <v>111</v>
      </c>
      <c r="B80" t="s">
        <v>112</v>
      </c>
      <c r="C80" t="s">
        <v>651</v>
      </c>
      <c r="D80" t="str">
        <f xml:space="preserve"> IF($B80="", "", _xlfn.XLOOKUP(RIGHT($B80), 聲母對照表[十五音], 聲母對照表[台語音標], "N/A"))</f>
        <v>k</v>
      </c>
      <c r="E80" t="str">
        <f xml:space="preserve"> IF($B80="", "", _xlfn.XLOOKUP(LEFT($B80), 韻母對照表[十五音], 韻母對照表[台語音標], "N/A"))</f>
        <v>an</v>
      </c>
      <c r="F80">
        <f xml:space="preserve"> IF($B80="", "", _xlfn.XLOOKUP(MID($B80,2,1), 聲調對照表[十五音調號], 聲調對照表[傳統八聲調], "N/A"))</f>
        <v>1</v>
      </c>
    </row>
    <row r="81" spans="1:6">
      <c r="A81" t="s">
        <v>29</v>
      </c>
      <c r="D81" t="str">
        <f xml:space="preserve"> IF($B81="", "", _xlfn.XLOOKUP(RIGHT($B81), 聲母對照表[十五音], 聲母對照表[台語音標], "N/A"))</f>
        <v/>
      </c>
      <c r="E81" t="str">
        <f xml:space="preserve"> IF($B81="", "", _xlfn.XLOOKUP(LEFT($B81), 韻母對照表[十五音], 韻母對照表[台語音標], "N/A"))</f>
        <v/>
      </c>
      <c r="F81" t="str">
        <f xml:space="preserve"> IF($B81="", "", _xlfn.XLOOKUP(MID($B81,2,1), 聲調對照表[十五音調號], 聲調對照表[傳統八聲調], "N/A"))</f>
        <v/>
      </c>
    </row>
    <row r="82" spans="1:6">
      <c r="A82" t="s">
        <v>113</v>
      </c>
      <c r="B82" t="s">
        <v>114</v>
      </c>
      <c r="C82" t="s">
        <v>652</v>
      </c>
      <c r="D82" t="str">
        <f xml:space="preserve"> IF($B82="", "", _xlfn.XLOOKUP(RIGHT($B82), 聲母對照表[十五音], 聲母對照表[台語音標], "N/A"))</f>
        <v>p</v>
      </c>
      <c r="E82" t="str">
        <f xml:space="preserve"> IF($B82="", "", _xlfn.XLOOKUP(LEFT($B82), 韻母對照表[十五音], 韻母對照表[台語音標], "N/A"))</f>
        <v>ik</v>
      </c>
      <c r="F82">
        <f xml:space="preserve"> IF($B82="", "", _xlfn.XLOOKUP(MID($B82,2,1), 聲調對照表[十五音調號], 聲調對照表[傳統八聲調], "N/A"))</f>
        <v>8</v>
      </c>
    </row>
    <row r="83" spans="1:6">
      <c r="A83" t="s">
        <v>115</v>
      </c>
      <c r="B83" t="s">
        <v>116</v>
      </c>
      <c r="C83" t="s">
        <v>653</v>
      </c>
      <c r="D83" t="str">
        <f xml:space="preserve"> IF($B83="", "", _xlfn.XLOOKUP(RIGHT($B83), 聲母對照表[十五音], 聲母對照表[台語音標], "N/A"))</f>
        <v>l</v>
      </c>
      <c r="E83" t="str">
        <f xml:space="preserve"> IF($B83="", "", _xlfn.XLOOKUP(LEFT($B83), 韻母對照表[十五音], 韻母對照表[台語音標], "N/A"))</f>
        <v>oo</v>
      </c>
      <c r="F83">
        <f xml:space="preserve"> IF($B83="", "", _xlfn.XLOOKUP(MID($B83,2,1), 聲調對照表[十五音調號], 聲調對照表[傳統八聲調], "N/A"))</f>
        <v>7</v>
      </c>
    </row>
    <row r="84" spans="1:6">
      <c r="A84" t="s">
        <v>117</v>
      </c>
      <c r="B84" t="s">
        <v>70</v>
      </c>
      <c r="C84" t="s">
        <v>623</v>
      </c>
      <c r="D84" t="str">
        <f xml:space="preserve"> IF($B84="", "", _xlfn.XLOOKUP(RIGHT($B84), 聲母對照表[十五音], 聲母對照表[台語音標], "N/A"))</f>
        <v>h</v>
      </c>
      <c r="E84" t="str">
        <f xml:space="preserve"> IF($B84="", "", _xlfn.XLOOKUP(LEFT($B84), 韻母對照表[十五音], 韻母對照表[台語音標], "N/A"))</f>
        <v>ik</v>
      </c>
      <c r="F84">
        <f xml:space="preserve"> IF($B84="", "", _xlfn.XLOOKUP(MID($B84,2,1), 聲調對照表[十五音調號], 聲調對照表[傳統八聲調], "N/A"))</f>
        <v>1</v>
      </c>
    </row>
    <row r="85" spans="1:6">
      <c r="A85" t="s">
        <v>118</v>
      </c>
      <c r="B85" t="s">
        <v>119</v>
      </c>
      <c r="C85" t="s">
        <v>654</v>
      </c>
      <c r="D85" t="str">
        <f xml:space="preserve"> IF($B85="", "", _xlfn.XLOOKUP(RIGHT($B85), 聲母對照表[十五音], 聲母對照表[台語音標], "N/A"))</f>
        <v>k</v>
      </c>
      <c r="E85" t="str">
        <f xml:space="preserve"> IF($B85="", "", _xlfn.XLOOKUP(LEFT($B85), 韻母對照表[十五音], 韻母對照表[台語音標], "N/A"))</f>
        <v>ak</v>
      </c>
      <c r="F85">
        <f xml:space="preserve"> IF($B85="", "", _xlfn.XLOOKUP(MID($B85,2,1), 聲調對照表[十五音調號], 聲調對照表[傳統八聲調], "N/A"))</f>
        <v>1</v>
      </c>
    </row>
    <row r="86" spans="1:6">
      <c r="A86" t="s">
        <v>29</v>
      </c>
      <c r="D86" t="str">
        <f xml:space="preserve"> IF($B86="", "", _xlfn.XLOOKUP(RIGHT($B86), 聲母對照表[十五音], 聲母對照表[台語音標], "N/A"))</f>
        <v/>
      </c>
      <c r="E86" t="str">
        <f xml:space="preserve"> IF($B86="", "", _xlfn.XLOOKUP(LEFT($B86), 韻母對照表[十五音], 韻母對照表[台語音標], "N/A"))</f>
        <v/>
      </c>
      <c r="F86" t="str">
        <f xml:space="preserve"> IF($B86="", "", _xlfn.XLOOKUP(MID($B86,2,1), 聲調對照表[十五音調號], 聲調對照表[傳統八聲調], "N/A"))</f>
        <v/>
      </c>
    </row>
    <row r="87" spans="1:6">
      <c r="A87" t="s">
        <v>63</v>
      </c>
      <c r="B87" t="s">
        <v>64</v>
      </c>
      <c r="C87" t="s">
        <v>617</v>
      </c>
      <c r="D87" t="str">
        <f xml:space="preserve"> IF($B87="", "", _xlfn.XLOOKUP(RIGHT($B87), 聲母對照表[十五音], 聲母對照表[台語音標], "N/A"))</f>
        <v>s</v>
      </c>
      <c r="E87" t="str">
        <f xml:space="preserve"> IF($B87="", "", _xlfn.XLOOKUP(LEFT($B87), 韻母對照表[十五音], 韻母對照表[台語音標], "N/A"))</f>
        <v>ui</v>
      </c>
      <c r="F87">
        <f xml:space="preserve"> IF($B87="", "", _xlfn.XLOOKUP(MID($B87,2,1), 聲調對照表[十五音調號], 聲調對照表[傳統八聲調], "N/A"))</f>
        <v>2</v>
      </c>
    </row>
    <row r="88" spans="1:6">
      <c r="A88" t="s">
        <v>120</v>
      </c>
      <c r="B88" t="s">
        <v>121</v>
      </c>
      <c r="C88" t="s">
        <v>656</v>
      </c>
      <c r="D88" t="str">
        <f xml:space="preserve"> IF($B88="", "", _xlfn.XLOOKUP(RIGHT($B88), 聲母對照表[十五音], 聲母對照表[台語音標], "N/A"))</f>
        <v>k</v>
      </c>
      <c r="E88" t="str">
        <f xml:space="preserve"> IF($B88="", "", _xlfn.XLOOKUP(LEFT($B88), 韻母對照表[十五音], 韻母對照表[台語音標], "N/A"))</f>
        <v>ok</v>
      </c>
      <c r="F88">
        <f xml:space="preserve"> IF($B88="", "", _xlfn.XLOOKUP(MID($B88,2,1), 聲調對照表[十五音調號], 聲調對照表[傳統八聲調], "N/A"))</f>
        <v>1</v>
      </c>
    </row>
    <row r="89" spans="1:6">
      <c r="A89" t="s">
        <v>122</v>
      </c>
      <c r="B89" t="s">
        <v>123</v>
      </c>
      <c r="C89" t="s">
        <v>657</v>
      </c>
      <c r="D89" t="str">
        <f xml:space="preserve"> IF($B89="", "", _xlfn.XLOOKUP(RIGHT($B89), 聲母對照表[十五音], 聲母對照表[台語音標], "N/A"))</f>
        <v>z</v>
      </c>
      <c r="E89" t="str">
        <f xml:space="preserve"> IF($B89="", "", _xlfn.XLOOKUP(LEFT($B89), 韻母對照表[十五音], 韻母對照表[台語音標], "N/A"))</f>
        <v>iam</v>
      </c>
      <c r="F89">
        <f xml:space="preserve"> IF($B89="", "", _xlfn.XLOOKUP(MID($B89,2,1), 聲調對照表[十五音調號], 聲調對照表[傳統八聲調], "N/A"))</f>
        <v>4</v>
      </c>
    </row>
    <row r="90" spans="1:6">
      <c r="A90" t="s">
        <v>124</v>
      </c>
      <c r="B90" t="s">
        <v>125</v>
      </c>
      <c r="C90" t="s">
        <v>659</v>
      </c>
      <c r="D90" t="str">
        <f xml:space="preserve"> IF($B90="", "", _xlfn.XLOOKUP(RIGHT($B90), 聲母對照表[十五音], 聲母對照表[台語音標], "N/A"))</f>
        <v>th</v>
      </c>
      <c r="E90" t="str">
        <f xml:space="preserve"> IF($B90="", "", _xlfn.XLOOKUP(LEFT($B90), 韻母對照表[十五音], 韻母對照表[台語音標], "N/A"))</f>
        <v>ian</v>
      </c>
      <c r="F90">
        <f xml:space="preserve"> IF($B90="", "", _xlfn.XLOOKUP(MID($B90,2,1), 聲調對照表[十五音調號], 聲調對照表[傳統八聲調], "N/A"))</f>
        <v>1</v>
      </c>
    </row>
    <row r="91" spans="1:6">
      <c r="A91" t="s">
        <v>126</v>
      </c>
      <c r="D91" t="str">
        <f xml:space="preserve"> IF($B91="", "", _xlfn.XLOOKUP(RIGHT($B91), 聲母對照表[十五音], 聲母對照表[台語音標], "N/A"))</f>
        <v/>
      </c>
      <c r="E91" t="str">
        <f xml:space="preserve"> IF($B91="", "", _xlfn.XLOOKUP(LEFT($B91), 韻母對照表[十五音], 韻母對照表[台語音標], "N/A"))</f>
        <v/>
      </c>
      <c r="F91" t="str">
        <f xml:space="preserve"> IF($B91="", "", _xlfn.XLOOKUP(MID($B91,2,1), 聲調對照表[十五音調號], 聲調對照表[傳統八聲調], "N/A"))</f>
        <v/>
      </c>
    </row>
    <row r="92" spans="1:6">
      <c r="A92" t="s">
        <v>127</v>
      </c>
      <c r="B92" t="s">
        <v>90</v>
      </c>
      <c r="C92" t="s">
        <v>636</v>
      </c>
      <c r="D92" t="str">
        <f xml:space="preserve"> IF($B92="", "", _xlfn.XLOOKUP(RIGHT($B92), 聲母對照表[十五音], 聲母對照表[台語音標], "N/A"))</f>
        <v>z</v>
      </c>
      <c r="E92" t="str">
        <f xml:space="preserve"> IF($B92="", "", _xlfn.XLOOKUP(LEFT($B92), 韻母對照表[十五音], 韻母對照表[台語音標], "N/A"))</f>
        <v>iok</v>
      </c>
      <c r="F92">
        <f xml:space="preserve"> IF($B92="", "", _xlfn.XLOOKUP(MID($B92,2,1), 聲調對照表[十五音調號], 聲調對照表[傳統八聲調], "N/A"))</f>
        <v>1</v>
      </c>
    </row>
    <row r="93" spans="1:6">
      <c r="A93" t="s">
        <v>128</v>
      </c>
      <c r="B93" t="s">
        <v>129</v>
      </c>
      <c r="C93" t="s">
        <v>966</v>
      </c>
      <c r="D93" t="str">
        <f xml:space="preserve"> IF($B93="", "", _xlfn.XLOOKUP(RIGHT($B93), 聲母對照表[十五音], 聲母對照表[台語音標], "N/A"))</f>
        <v>Ø</v>
      </c>
      <c r="E93" t="str">
        <f xml:space="preserve"> IF($B93="", "", _xlfn.XLOOKUP(LEFT($B93), 韻母對照表[十五音], 韻母對照表[台語音標], "N/A"))</f>
        <v>in</v>
      </c>
      <c r="F93">
        <f xml:space="preserve"> IF($B93="", "", _xlfn.XLOOKUP(MID($B93,2,1), 聲調對照表[十五音調號], 聲調對照表[傳統八聲調], "N/A"))</f>
        <v>4</v>
      </c>
    </row>
    <row r="94" spans="1:6">
      <c r="A94" t="s">
        <v>130</v>
      </c>
      <c r="B94" t="s">
        <v>131</v>
      </c>
      <c r="C94" t="s">
        <v>967</v>
      </c>
      <c r="D94" t="str">
        <f xml:space="preserve"> IF($B94="", "", _xlfn.XLOOKUP(RIGHT($B94), 聲母對照表[十五音], 聲母對照表[台語音標], "N/A"))</f>
        <v>Ø</v>
      </c>
      <c r="E94" t="str">
        <f xml:space="preserve"> IF($B94="", "", _xlfn.XLOOKUP(LEFT($B94), 韻母對照表[十五音], 韻母對照表[台語音標], "N/A"))</f>
        <v>ui</v>
      </c>
      <c r="F94">
        <f xml:space="preserve"> IF($B94="", "", _xlfn.XLOOKUP(MID($B94,2,1), 聲調對照表[十五音調號], 聲調對照表[傳統八聲調], "N/A"))</f>
        <v>2</v>
      </c>
    </row>
    <row r="95" spans="1:6">
      <c r="A95" t="s">
        <v>25</v>
      </c>
      <c r="B95" t="s">
        <v>26</v>
      </c>
      <c r="C95" t="s">
        <v>584</v>
      </c>
      <c r="D95" t="str">
        <f xml:space="preserve"> IF($B95="", "", _xlfn.XLOOKUP(RIGHT($B95), 聲母對照表[十五音], 聲母對照表[台語音標], "N/A"))</f>
        <v>z</v>
      </c>
      <c r="E95" t="str">
        <f xml:space="preserve"> IF($B95="", "", _xlfn.XLOOKUP(LEFT($B95), 韻母對照表[十五音], 韻母對照表[台語音標], "N/A"))</f>
        <v>i</v>
      </c>
      <c r="F95">
        <f xml:space="preserve"> IF($B95="", "", _xlfn.XLOOKUP(MID($B95,2,1), 聲調對照表[十五音調號], 聲調對照表[傳統八聲調], "N/A"))</f>
        <v>1</v>
      </c>
    </row>
    <row r="96" spans="1:6">
      <c r="A96" t="s">
        <v>132</v>
      </c>
      <c r="B96" t="s">
        <v>133</v>
      </c>
      <c r="C96" t="s">
        <v>663</v>
      </c>
      <c r="D96" t="str">
        <f xml:space="preserve"> IF($B96="", "", _xlfn.XLOOKUP(RIGHT($B96), 聲母對照表[十五音], 聲母對照表[台語音標], "N/A"))</f>
        <v>s</v>
      </c>
      <c r="E96" t="str">
        <f xml:space="preserve"> IF($B96="", "", _xlfn.XLOOKUP(LEFT($B96), 韻母對照表[十五音], 韻母對照表[台語音標], "N/A"))</f>
        <v>oo</v>
      </c>
      <c r="F96">
        <f xml:space="preserve"> IF($B96="", "", _xlfn.XLOOKUP(MID($B96,2,1), 聲調對照表[十五音調號], 聲調對照表[傳統八聲調], "N/A"))</f>
        <v>2</v>
      </c>
    </row>
    <row r="97" spans="1:6">
      <c r="A97" t="s">
        <v>134</v>
      </c>
      <c r="B97" t="s">
        <v>135</v>
      </c>
      <c r="C97" t="s">
        <v>968</v>
      </c>
      <c r="D97" t="str">
        <f xml:space="preserve"> IF($B97="", "", _xlfn.XLOOKUP(RIGHT($B97), 聲母對照表[十五音], 聲母對照表[台語音標], "N/A"))</f>
        <v>j</v>
      </c>
      <c r="E97" t="str">
        <f xml:space="preserve"> IF($B97="", "", _xlfn.XLOOKUP(LEFT($B97), 韻母對照表[十五音], 韻母對照表[台語音標], "N/A"))</f>
        <v>u</v>
      </c>
      <c r="F97">
        <f xml:space="preserve"> IF($B97="", "", _xlfn.XLOOKUP(MID($B97,2,1), 聲調對照表[十五音調號], 聲調對照表[傳統八聲調], "N/A"))</f>
        <v>5</v>
      </c>
    </row>
    <row r="98" spans="1:6">
      <c r="A98" t="s">
        <v>29</v>
      </c>
      <c r="D98" t="str">
        <f xml:space="preserve"> IF($B98="", "", _xlfn.XLOOKUP(RIGHT($B98), 聲母對照表[十五音], 聲母對照表[台語音標], "N/A"))</f>
        <v/>
      </c>
      <c r="E98" t="str">
        <f xml:space="preserve"> IF($B98="", "", _xlfn.XLOOKUP(LEFT($B98), 韻母對照表[十五音], 韻母對照表[台語音標], "N/A"))</f>
        <v/>
      </c>
      <c r="F98" t="str">
        <f xml:space="preserve"> IF($B98="", "", _xlfn.XLOOKUP(MID($B98,2,1), 聲調對照表[十五音調號], 聲調對照表[傳統八聲調], "N/A"))</f>
        <v/>
      </c>
    </row>
    <row r="99" spans="1:6">
      <c r="A99" t="s">
        <v>136</v>
      </c>
      <c r="B99" t="s">
        <v>137</v>
      </c>
      <c r="C99" t="s">
        <v>665</v>
      </c>
      <c r="D99" t="str">
        <f xml:space="preserve"> IF($B99="", "", _xlfn.XLOOKUP(RIGHT($B99), 聲母對照表[十五音], 聲母對照表[台語音標], "N/A"))</f>
        <v>l</v>
      </c>
      <c r="E99" t="str">
        <f xml:space="preserve"> IF($B99="", "", _xlfn.XLOOKUP(LEFT($B99), 韻母對照表[十五音], 韻母對照表[台語音標], "N/A"))</f>
        <v>ik</v>
      </c>
      <c r="F99">
        <f xml:space="preserve"> IF($B99="", "", _xlfn.XLOOKUP(MID($B99,2,1), 聲調對照表[十五音調號], 聲調對照表[傳統八聲調], "N/A"))</f>
        <v>5</v>
      </c>
    </row>
    <row r="100" spans="1:6">
      <c r="A100" t="s">
        <v>138</v>
      </c>
      <c r="B100" t="s">
        <v>139</v>
      </c>
      <c r="C100" t="s">
        <v>969</v>
      </c>
      <c r="D100" t="str">
        <f xml:space="preserve"> IF($B100="", "", _xlfn.XLOOKUP(RIGHT($B100), 聲母對照表[十五音], 聲母對照表[台語音標], "N/A"))</f>
        <v>b</v>
      </c>
      <c r="E100" t="str">
        <f xml:space="preserve"> IF($B100="", "", _xlfn.XLOOKUP(LEFT($B100), 韻母對照表[十五音], 韻母對照表[台語音標], "N/A"))</f>
        <v>uan</v>
      </c>
      <c r="F100">
        <f xml:space="preserve"> IF($B100="", "", _xlfn.XLOOKUP(MID($B100,2,1), 聲調對照表[十五音調號], 聲調對照表[傳統八聲調], "N/A"))</f>
        <v>7</v>
      </c>
    </row>
    <row r="101" spans="1:6">
      <c r="A101" t="s">
        <v>140</v>
      </c>
      <c r="B101" t="s">
        <v>141</v>
      </c>
      <c r="C101" t="s">
        <v>667</v>
      </c>
      <c r="D101" t="str">
        <f xml:space="preserve"> IF($B101="", "", _xlfn.XLOOKUP(RIGHT($B101), 聲母對照表[十五音], 聲母對照表[台語音標], "N/A"))</f>
        <v>kh</v>
      </c>
      <c r="E101" t="str">
        <f xml:space="preserve"> IF($B101="", "", _xlfn.XLOOKUP(LEFT($B101), 韻母對照表[十五音], 韻母對照表[台語音標], "N/A"))</f>
        <v>ik</v>
      </c>
      <c r="F101">
        <f xml:space="preserve"> IF($B101="", "", _xlfn.XLOOKUP(MID($B101,2,1), 聲調對照表[十五音調號], 聲調對照表[傳統八聲調], "N/A"))</f>
        <v>1</v>
      </c>
    </row>
    <row r="102" spans="1:6">
      <c r="A102" t="s">
        <v>25</v>
      </c>
      <c r="B102" t="s">
        <v>26</v>
      </c>
      <c r="C102" t="s">
        <v>584</v>
      </c>
      <c r="D102" t="str">
        <f xml:space="preserve"> IF($B102="", "", _xlfn.XLOOKUP(RIGHT($B102), 聲母對照表[十五音], 聲母對照表[台語音標], "N/A"))</f>
        <v>z</v>
      </c>
      <c r="E102" t="str">
        <f xml:space="preserve"> IF($B102="", "", _xlfn.XLOOKUP(LEFT($B102), 韻母對照表[十五音], 韻母對照表[台語音標], "N/A"))</f>
        <v>i</v>
      </c>
      <c r="F102">
        <f xml:space="preserve"> IF($B102="", "", _xlfn.XLOOKUP(MID($B102,2,1), 聲調對照表[十五音調號], 聲調對照表[傳統八聲調], "N/A"))</f>
        <v>1</v>
      </c>
    </row>
    <row r="103" spans="1:6">
      <c r="A103" t="s">
        <v>142</v>
      </c>
      <c r="B103" t="s">
        <v>143</v>
      </c>
      <c r="C103" t="s">
        <v>668</v>
      </c>
      <c r="D103" t="str">
        <f xml:space="preserve"> IF($B103="", "", _xlfn.XLOOKUP(RIGHT($B103), 聲母對照表[十五音], 聲母對照表[台語音標], "N/A"))</f>
        <v>b</v>
      </c>
      <c r="E103" t="str">
        <f xml:space="preserve"> IF($B103="", "", _xlfn.XLOOKUP(LEFT($B103), 韻母對照表[十五音], 韻母對照表[台語音標], "N/A"))</f>
        <v>ok</v>
      </c>
      <c r="F103">
        <f xml:space="preserve"> IF($B103="", "", _xlfn.XLOOKUP(MID($B103,2,1), 聲調對照表[十五音調號], 聲調對照表[傳統八聲調], "N/A"))</f>
        <v>5</v>
      </c>
    </row>
    <row r="104" spans="1:6">
      <c r="A104" t="s">
        <v>144</v>
      </c>
      <c r="B104" t="s">
        <v>145</v>
      </c>
      <c r="C104" t="s">
        <v>669</v>
      </c>
      <c r="D104" t="str">
        <f xml:space="preserve"> IF($B104="", "", _xlfn.XLOOKUP(RIGHT($B104), 聲母對照表[十五音], 聲母對照表[台語音標], "N/A"))</f>
        <v>j</v>
      </c>
      <c r="E104" t="str">
        <f xml:space="preserve"> IF($B104="", "", _xlfn.XLOOKUP(LEFT($B104), 韻母對照表[十五音], 韻母對照表[台語音標], "N/A"))</f>
        <v>ian</v>
      </c>
      <c r="F104">
        <f xml:space="preserve"> IF($B104="", "", _xlfn.XLOOKUP(MID($B104,2,1), 聲調對照表[十五音調號], 聲調對照表[傳統八聲調], "N/A"))</f>
        <v>5</v>
      </c>
    </row>
    <row r="105" spans="1:6">
      <c r="A105" t="s">
        <v>54</v>
      </c>
      <c r="D105" t="str">
        <f xml:space="preserve"> IF($B105="", "", _xlfn.XLOOKUP(RIGHT($B105), 聲母對照表[十五音], 聲母對照表[台語音標], "N/A"))</f>
        <v/>
      </c>
      <c r="E105" t="str">
        <f xml:space="preserve"> IF($B105="", "", _xlfn.XLOOKUP(LEFT($B105), 韻母對照表[十五音], 韻母對照表[台語音標], "N/A"))</f>
        <v/>
      </c>
      <c r="F105" t="str">
        <f xml:space="preserve"> IF($B105="", "", _xlfn.XLOOKUP(MID($B105,2,1), 聲調對照表[十五音調號], 聲調對照表[傳統八聲調], "N/A"))</f>
        <v/>
      </c>
    </row>
    <row r="106" spans="1:6">
      <c r="A106" t="s">
        <v>146</v>
      </c>
      <c r="B106" t="s">
        <v>147</v>
      </c>
      <c r="C106" t="s">
        <v>670</v>
      </c>
      <c r="D106" t="str">
        <f xml:space="preserve"> IF($B106="", "", _xlfn.XLOOKUP(RIGHT($B106), 聲母對照表[十五音], 聲母對照表[台語音標], "N/A"))</f>
        <v>h</v>
      </c>
      <c r="E106" t="str">
        <f xml:space="preserve"> IF($B106="", "", _xlfn.XLOOKUP(LEFT($B106), 韻母對照表[十五音], 韻母對照表[台語音標], "N/A"))</f>
        <v>o</v>
      </c>
      <c r="F106">
        <f xml:space="preserve"> IF($B106="", "", _xlfn.XLOOKUP(MID($B106,2,1), 聲調對照表[十五音調號], 聲調對照表[傳統八聲調], "N/A"))</f>
        <v>2</v>
      </c>
    </row>
    <row r="107" spans="1:6">
      <c r="A107" t="s">
        <v>146</v>
      </c>
      <c r="B107" t="s">
        <v>147</v>
      </c>
      <c r="C107" t="s">
        <v>670</v>
      </c>
      <c r="D107" t="str">
        <f xml:space="preserve"> IF($B107="", "", _xlfn.XLOOKUP(RIGHT($B107), 聲母對照表[十五音], 聲母對照表[台語音標], "N/A"))</f>
        <v>h</v>
      </c>
      <c r="E107" t="str">
        <f xml:space="preserve"> IF($B107="", "", _xlfn.XLOOKUP(LEFT($B107), 韻母對照表[十五音], 韻母對照表[台語音標], "N/A"))</f>
        <v>o</v>
      </c>
      <c r="F107">
        <f xml:space="preserve"> IF($B107="", "", _xlfn.XLOOKUP(MID($B107,2,1), 聲調對照表[十五音調號], 聲調對照表[傳統八聲調], "N/A"))</f>
        <v>2</v>
      </c>
    </row>
    <row r="108" spans="1:6">
      <c r="A108" t="s">
        <v>148</v>
      </c>
      <c r="B108" t="s">
        <v>149</v>
      </c>
      <c r="C108" t="s">
        <v>671</v>
      </c>
      <c r="D108" t="str">
        <f xml:space="preserve"> IF($B108="", "", _xlfn.XLOOKUP(RIGHT($B108), 聲母對照表[十五音], 聲母對照表[台語音標], "N/A"))</f>
        <v>h</v>
      </c>
      <c r="E108" t="str">
        <f xml:space="preserve"> IF($B108="", "", _xlfn.XLOOKUP(LEFT($B108), 韻母對照表[十五音], 韻母對照表[台語音標], "N/A"))</f>
        <v>oo</v>
      </c>
      <c r="F108">
        <f xml:space="preserve"> IF($B108="", "", _xlfn.XLOOKUP(MID($B108,2,1), 聲調對照表[十五音調號], 聲調對照表[傳統八聲調], "N/A"))</f>
        <v>5</v>
      </c>
    </row>
    <row r="109" spans="1:6">
      <c r="A109" t="s">
        <v>134</v>
      </c>
      <c r="B109" s="52" t="s">
        <v>1812</v>
      </c>
      <c r="C109" s="51" t="s">
        <v>1813</v>
      </c>
      <c r="D109" t="str">
        <f xml:space="preserve"> IF($B109="", "", _xlfn.XLOOKUP(RIGHT($B109), 聲母對照表[十五音], 聲母對照表[台語音標], "N/A"))</f>
        <v>j</v>
      </c>
      <c r="E109" t="str">
        <f xml:space="preserve"> IF($B109="", "", _xlfn.XLOOKUP(LEFT($B109), 韻母對照表[十五音], 韻母對照表[台語音標], "N/A"))</f>
        <v>u</v>
      </c>
      <c r="F109">
        <f xml:space="preserve"> IF($B109="", "", _xlfn.XLOOKUP(MID($B109,2,1), 聲調對照表[十五音調號], 聲調對照表[傳統八聲調], "N/A"))</f>
        <v>5</v>
      </c>
    </row>
    <row r="110" spans="1:6">
      <c r="A110" t="s">
        <v>151</v>
      </c>
      <c r="B110" t="s">
        <v>152</v>
      </c>
      <c r="C110" t="s">
        <v>672</v>
      </c>
      <c r="D110" t="str">
        <f xml:space="preserve"> IF($B110="", "", _xlfn.XLOOKUP(RIGHT($B110), 聲母對照表[十五音], 聲母對照表[台語音標], "N/A"))</f>
        <v>p</v>
      </c>
      <c r="E110" t="str">
        <f xml:space="preserve"> IF($B110="", "", _xlfn.XLOOKUP(LEFT($B110), 韻母對照表[十五音], 韻母對照表[台語音標], "N/A"))</f>
        <v>ik</v>
      </c>
      <c r="F110">
        <f xml:space="preserve"> IF($B110="", "", _xlfn.XLOOKUP(MID($B110,2,1), 聲調對照表[十五音調號], 聲調對照表[傳統八聲調], "N/A"))</f>
        <v>5</v>
      </c>
    </row>
    <row r="111" spans="1:6">
      <c r="A111" t="s">
        <v>153</v>
      </c>
      <c r="B111" t="s">
        <v>154</v>
      </c>
      <c r="C111" t="s">
        <v>673</v>
      </c>
      <c r="D111" t="str">
        <f xml:space="preserve"> IF($B111="", "", _xlfn.XLOOKUP(RIGHT($B111), 聲母對照表[十五音], 聲母對照表[台語音標], "N/A"))</f>
        <v>h</v>
      </c>
      <c r="E111" t="str">
        <f xml:space="preserve"> IF($B111="", "", _xlfn.XLOOKUP(LEFT($B111), 韻母對照表[十五音], 韻母對照表[台語音標], "N/A"))</f>
        <v>u</v>
      </c>
      <c r="F111">
        <f xml:space="preserve"> IF($B111="", "", _xlfn.XLOOKUP(MID($B111,2,1), 聲調對照表[十五音調號], 聲調對照表[傳統八聲調], "N/A"))</f>
        <v>1</v>
      </c>
    </row>
    <row r="112" spans="1:6">
      <c r="A112" t="s">
        <v>155</v>
      </c>
      <c r="B112" t="s">
        <v>156</v>
      </c>
      <c r="C112" t="s">
        <v>970</v>
      </c>
      <c r="D112" t="str">
        <f xml:space="preserve"> IF($B112="", "", _xlfn.XLOOKUP(RIGHT($B112), 聲母對照表[十五音], 聲母對照表[台語音標], "N/A"))</f>
        <v>g</v>
      </c>
      <c r="E112" t="str">
        <f xml:space="preserve"> IF($B112="", "", _xlfn.XLOOKUP(LEFT($B112), 韻母對照表[十五音], 韻母對照表[台語音標], "N/A"))</f>
        <v>u</v>
      </c>
      <c r="F112">
        <f xml:space="preserve"> IF($B112="", "", _xlfn.XLOOKUP(MID($B112,2,1), 聲調對照表[十五音調號], 聲調對照表[傳統八聲調], "N/A"))</f>
        <v>7</v>
      </c>
    </row>
    <row r="113" spans="1:6">
      <c r="A113" t="s">
        <v>57</v>
      </c>
      <c r="B113" s="51" t="s">
        <v>1810</v>
      </c>
      <c r="C113" s="51" t="s">
        <v>1811</v>
      </c>
      <c r="D113" t="str">
        <f xml:space="preserve"> IF($B113="", "", _xlfn.XLOOKUP(RIGHT($B113), 聲母對照表[十五音], 聲母對照表[台語音標], "N/A"))</f>
        <v>h</v>
      </c>
      <c r="E113" t="str">
        <f xml:space="preserve"> IF($B113="", "", _xlfn.XLOOKUP(LEFT($B113), 韻母對照表[十五音], 韻母對照表[台語音標], "N/A"))</f>
        <v>ok</v>
      </c>
      <c r="F113">
        <f xml:space="preserve"> IF($B113="", "", _xlfn.XLOOKUP(MID($B113,2,1), 聲調對照表[十五音調號], 聲調對照表[傳統八聲調], "N/A"))</f>
        <v>1</v>
      </c>
    </row>
    <row r="114" spans="1:6">
      <c r="A114" t="s">
        <v>29</v>
      </c>
      <c r="D114" t="str">
        <f xml:space="preserve"> IF($B114="", "", _xlfn.XLOOKUP(RIGHT($B114), 聲母對照表[十五音], 聲母對照表[台語音標], "N/A"))</f>
        <v/>
      </c>
      <c r="E114" t="str">
        <f xml:space="preserve"> IF($B114="", "", _xlfn.XLOOKUP(LEFT($B114), 韻母對照表[十五音], 韻母對照表[台語音標], "N/A"))</f>
        <v/>
      </c>
      <c r="F114" t="str">
        <f xml:space="preserve"> IF($B114="", "", _xlfn.XLOOKUP(MID($B114,2,1), 聲調對照表[十五音調號], 聲調對照表[傳統八聲調], "N/A"))</f>
        <v/>
      </c>
    </row>
    <row r="115" spans="1:6">
      <c r="A115" t="s">
        <v>157</v>
      </c>
      <c r="B115" t="s">
        <v>150</v>
      </c>
      <c r="C115" t="s">
        <v>664</v>
      </c>
      <c r="D115" t="str">
        <f xml:space="preserve"> IF($B115="", "", _xlfn.XLOOKUP(RIGHT($B115), 聲母對照表[十五音], 聲母對照表[台語音標], "N/A"))</f>
        <v>j</v>
      </c>
      <c r="E115" t="str">
        <f xml:space="preserve"> IF($B115="", "", _xlfn.XLOOKUP(LEFT($B115), 韻母對照表[十五音], 韻母對照表[台語音標], "N/A"))</f>
        <v>i</v>
      </c>
      <c r="F115">
        <f xml:space="preserve"> IF($B115="", "", _xlfn.XLOOKUP(MID($B115,2,1), 聲調對照表[十五音調號], 聲調對照表[傳統八聲調], "N/A"))</f>
        <v>5</v>
      </c>
    </row>
    <row r="116" spans="1:6">
      <c r="A116" t="s">
        <v>67</v>
      </c>
      <c r="B116" t="s">
        <v>68</v>
      </c>
      <c r="C116" t="s">
        <v>622</v>
      </c>
      <c r="D116" t="str">
        <f xml:space="preserve"> IF($B116="", "", _xlfn.XLOOKUP(RIGHT($B116), 聲母對照表[十五音], 聲母對照表[台語音標], "N/A"))</f>
        <v>p</v>
      </c>
      <c r="E116" t="str">
        <f xml:space="preserve"> IF($B116="", "", _xlfn.XLOOKUP(LEFT($B116), 韻母對照表[十五音], 韻母對照表[台語音標], "N/A"))</f>
        <v>un</v>
      </c>
      <c r="F116">
        <f xml:space="preserve"> IF($B116="", "", _xlfn.XLOOKUP(MID($B116,2,1), 聲調對照表[十五音調號], 聲調對照表[傳統八聲調], "N/A"))</f>
        <v>4</v>
      </c>
    </row>
    <row r="117" spans="1:6">
      <c r="A117" t="s">
        <v>158</v>
      </c>
      <c r="B117" t="s">
        <v>159</v>
      </c>
      <c r="C117" t="s">
        <v>675</v>
      </c>
      <c r="D117" t="str">
        <f xml:space="preserve"> IF($B117="", "", _xlfn.XLOOKUP(RIGHT($B117), 聲母對照表[十五音], 聲母對照表[台語音標], "N/A"))</f>
        <v>t</v>
      </c>
      <c r="E117" t="str">
        <f xml:space="preserve"> IF($B117="", "", _xlfn.XLOOKUP(LEFT($B117), 韻母對照表[十五音], 韻母對照表[台語音標], "N/A"))</f>
        <v>i</v>
      </c>
      <c r="F117">
        <f xml:space="preserve"> IF($B117="", "", _xlfn.XLOOKUP(MID($B117,2,1), 聲調對照表[十五音調號], 聲調對照表[傳統八聲調], "N/A"))</f>
        <v>1</v>
      </c>
    </row>
    <row r="118" spans="1:6">
      <c r="A118" t="s">
        <v>160</v>
      </c>
      <c r="B118" t="s">
        <v>161</v>
      </c>
      <c r="C118" t="s">
        <v>676</v>
      </c>
      <c r="D118" t="str">
        <f xml:space="preserve"> IF($B118="", "", _xlfn.XLOOKUP(RIGHT($B118), 聲母對照表[十五音], 聲母對照表[台語音標], "N/A"))</f>
        <v>k</v>
      </c>
      <c r="E118" t="str">
        <f xml:space="preserve"> IF($B118="", "", _xlfn.XLOOKUP(LEFT($B118), 韻母對照表[十五音], 韻母對照表[台語音標], "N/A"))</f>
        <v>i</v>
      </c>
      <c r="F118">
        <f xml:space="preserve"> IF($B118="", "", _xlfn.XLOOKUP(MID($B118,2,1), 聲調對照表[十五音調號], 聲調對照表[傳統八聲調], "N/A"))</f>
        <v>5</v>
      </c>
    </row>
    <row r="119" spans="1:6">
      <c r="A119" t="s">
        <v>132</v>
      </c>
      <c r="B119" t="s">
        <v>133</v>
      </c>
      <c r="C119" t="s">
        <v>663</v>
      </c>
      <c r="D119" t="str">
        <f xml:space="preserve"> IF($B119="", "", _xlfn.XLOOKUP(RIGHT($B119), 聲母對照表[十五音], 聲母對照表[台語音標], "N/A"))</f>
        <v>s</v>
      </c>
      <c r="E119" t="str">
        <f xml:space="preserve"> IF($B119="", "", _xlfn.XLOOKUP(LEFT($B119), 韻母對照表[十五音], 韻母對照表[台語音標], "N/A"))</f>
        <v>oo</v>
      </c>
      <c r="F119">
        <f xml:space="preserve"> IF($B119="", "", _xlfn.XLOOKUP(MID($B119,2,1), 聲調對照表[十五音調號], 聲調對照表[傳統八聲調], "N/A"))</f>
        <v>2</v>
      </c>
    </row>
    <row r="120" spans="1:6">
      <c r="A120" t="s">
        <v>162</v>
      </c>
      <c r="B120" t="s">
        <v>163</v>
      </c>
      <c r="C120" t="s">
        <v>677</v>
      </c>
      <c r="D120" t="str">
        <f xml:space="preserve"> IF($B120="", "", _xlfn.XLOOKUP(RIGHT($B120), 聲母對照表[十五音], 聲母對照表[台語音標], "N/A"))</f>
        <v>z</v>
      </c>
      <c r="E120" t="str">
        <f xml:space="preserve"> IF($B120="", "", _xlfn.XLOOKUP(LEFT($B120), 韻母對照表[十五音], 韻母對照表[台語音標], "N/A"))</f>
        <v>i</v>
      </c>
      <c r="F120">
        <f xml:space="preserve"> IF($B120="", "", _xlfn.XLOOKUP(MID($B120,2,1), 聲調對照表[十五音調號], 聲調對照表[傳統八聲調], "N/A"))</f>
        <v>2</v>
      </c>
    </row>
    <row r="121" spans="1:6">
      <c r="A121" t="s">
        <v>126</v>
      </c>
      <c r="D121" t="str">
        <f xml:space="preserve"> IF($B121="", "", _xlfn.XLOOKUP(RIGHT($B121), 聲母對照表[十五音], 聲母對照表[台語音標], "N/A"))</f>
        <v/>
      </c>
      <c r="E121" t="str">
        <f xml:space="preserve"> IF($B121="", "", _xlfn.XLOOKUP(LEFT($B121), 韻母對照表[十五音], 韻母對照表[台語音標], "N/A"))</f>
        <v/>
      </c>
      <c r="F121" t="str">
        <f xml:space="preserve"> IF($B121="", "", _xlfn.XLOOKUP(MID($B121,2,1), 聲調對照表[十五音調號], 聲調對照表[傳統八聲調], "N/A"))</f>
        <v/>
      </c>
    </row>
    <row r="122" spans="1:6">
      <c r="A122" t="s">
        <v>164</v>
      </c>
      <c r="B122" t="s">
        <v>165</v>
      </c>
      <c r="C122" t="s">
        <v>678</v>
      </c>
      <c r="D122" t="str">
        <f xml:space="preserve"> IF($B122="", "", _xlfn.XLOOKUP(RIGHT($B122), 聲母對照表[十五音], 聲母對照表[台語音標], "N/A"))</f>
        <v>ph</v>
      </c>
      <c r="E122" t="str">
        <f xml:space="preserve"> IF($B122="", "", _xlfn.XLOOKUP(LEFT($B122), 韻母對照表[十五音], 韻母對照表[台語音標], "N/A"))</f>
        <v>iau</v>
      </c>
      <c r="F122">
        <f xml:space="preserve"> IF($B122="", "", _xlfn.XLOOKUP(MID($B122,2,1), 聲調對照表[十五音調號], 聲調對照表[傳統八聲調], "N/A"))</f>
        <v>1</v>
      </c>
    </row>
    <row r="123" spans="1:6">
      <c r="A123" t="s">
        <v>164</v>
      </c>
      <c r="B123" t="s">
        <v>165</v>
      </c>
      <c r="C123" t="s">
        <v>678</v>
      </c>
      <c r="D123" t="str">
        <f xml:space="preserve"> IF($B123="", "", _xlfn.XLOOKUP(RIGHT($B123), 聲母對照表[十五音], 聲母對照表[台語音標], "N/A"))</f>
        <v>ph</v>
      </c>
      <c r="E123" t="str">
        <f xml:space="preserve"> IF($B123="", "", _xlfn.XLOOKUP(LEFT($B123), 韻母對照表[十五音], 韻母對照表[台語音標], "N/A"))</f>
        <v>iau</v>
      </c>
      <c r="F123">
        <f xml:space="preserve"> IF($B123="", "", _xlfn.XLOOKUP(MID($B123,2,1), 聲調對照表[十五音調號], 聲調對照表[傳統八聲調], "N/A"))</f>
        <v>1</v>
      </c>
    </row>
    <row r="124" spans="1:6">
      <c r="A124" t="s">
        <v>148</v>
      </c>
      <c r="B124" t="s">
        <v>149</v>
      </c>
      <c r="C124" t="s">
        <v>671</v>
      </c>
      <c r="D124" t="str">
        <f xml:space="preserve"> IF($B124="", "", _xlfn.XLOOKUP(RIGHT($B124), 聲母對照表[十五音], 聲母對照表[台語音標], "N/A"))</f>
        <v>h</v>
      </c>
      <c r="E124" t="str">
        <f xml:space="preserve"> IF($B124="", "", _xlfn.XLOOKUP(LEFT($B124), 韻母對照表[十五音], 韻母對照表[台語音標], "N/A"))</f>
        <v>oo</v>
      </c>
      <c r="F124">
        <f xml:space="preserve"> IF($B124="", "", _xlfn.XLOOKUP(MID($B124,2,1), 聲調對照表[十五音調號], 聲調對照表[傳統八聲調], "N/A"))</f>
        <v>5</v>
      </c>
    </row>
    <row r="125" spans="1:6">
      <c r="A125" t="s">
        <v>134</v>
      </c>
      <c r="B125" t="s">
        <v>135</v>
      </c>
      <c r="C125" t="s">
        <v>968</v>
      </c>
      <c r="D125" t="str">
        <f xml:space="preserve"> IF($B125="", "", _xlfn.XLOOKUP(RIGHT($B125), 聲母對照表[十五音], 聲母對照表[台語音標], "N/A"))</f>
        <v>j</v>
      </c>
      <c r="E125" t="str">
        <f xml:space="preserve"> IF($B125="", "", _xlfn.XLOOKUP(LEFT($B125), 韻母對照表[十五音], 韻母對照表[台語音標], "N/A"))</f>
        <v>u</v>
      </c>
      <c r="F125">
        <f xml:space="preserve"> IF($B125="", "", _xlfn.XLOOKUP(MID($B125,2,1), 聲調對照表[十五音調號], 聲調對照表[傳統八聲調], "N/A"))</f>
        <v>5</v>
      </c>
    </row>
    <row r="126" spans="1:6">
      <c r="A126" t="s">
        <v>166</v>
      </c>
      <c r="B126" t="s">
        <v>167</v>
      </c>
      <c r="C126" t="s">
        <v>971</v>
      </c>
      <c r="D126" t="str">
        <f xml:space="preserve"> IF($B126="", "", _xlfn.XLOOKUP(RIGHT($B126), 聲母對照表[十五音], 聲母對照表[台語音標], "N/A"))</f>
        <v>Ø</v>
      </c>
      <c r="E126" t="str">
        <f xml:space="preserve"> IF($B126="", "", _xlfn.XLOOKUP(LEFT($B126), 韻母對照表[十五音], 韻母對照表[台語音標], "N/A"))</f>
        <v>ui</v>
      </c>
      <c r="F126">
        <f xml:space="preserve"> IF($B126="", "", _xlfn.XLOOKUP(MID($B126,2,1), 聲調對照表[十五音調號], 聲調對照表[傳統八聲調], "N/A"))</f>
        <v>5</v>
      </c>
    </row>
    <row r="127" spans="1:6">
      <c r="A127" t="s">
        <v>168</v>
      </c>
      <c r="B127" t="s">
        <v>169</v>
      </c>
      <c r="C127" t="s">
        <v>972</v>
      </c>
      <c r="D127" t="str">
        <f xml:space="preserve"> IF($B127="", "", _xlfn.XLOOKUP(RIGHT($B127), 聲母對照表[十五音], 聲母對照表[台語音標], "N/A"))</f>
        <v>s</v>
      </c>
      <c r="E127" t="str">
        <f xml:space="preserve"> IF($B127="", "", _xlfn.XLOOKUP(LEFT($B127), 韻母對照表[十五音], 韻母對照表[台語音標], "N/A"))</f>
        <v>e</v>
      </c>
      <c r="F127">
        <f xml:space="preserve"> IF($B127="", "", _xlfn.XLOOKUP(MID($B127,2,1), 聲調對照表[十五音調號], 聲調對照表[傳統八聲調], "N/A"))</f>
        <v>3</v>
      </c>
    </row>
    <row r="128" spans="1:6">
      <c r="A128" t="s">
        <v>170</v>
      </c>
      <c r="B128" t="s">
        <v>171</v>
      </c>
      <c r="C128" t="s">
        <v>681</v>
      </c>
      <c r="D128" t="str">
        <f xml:space="preserve"> IF($B128="", "", _xlfn.XLOOKUP(RIGHT($B128), 聲母對照表[十五音], 聲母對照表[台語音標], "N/A"))</f>
        <v>t</v>
      </c>
      <c r="E128" t="str">
        <f xml:space="preserve"> IF($B128="", "", _xlfn.XLOOKUP(LEFT($B128), 韻母對照表[十五音], 韻母對照表[台語音標], "N/A"))</f>
        <v>ok</v>
      </c>
      <c r="F128">
        <f xml:space="preserve"> IF($B128="", "", _xlfn.XLOOKUP(MID($B128,2,1), 聲調對照表[十五音調號], 聲調對照表[傳統八聲調], "N/A"))</f>
        <v>8</v>
      </c>
    </row>
    <row r="129" spans="1:6">
      <c r="A129" t="s">
        <v>172</v>
      </c>
      <c r="B129" t="s">
        <v>173</v>
      </c>
      <c r="C129" t="s">
        <v>682</v>
      </c>
      <c r="D129" t="str">
        <f xml:space="preserve"> IF($B129="", "", _xlfn.XLOOKUP(RIGHT($B129), 聲母對照表[十五音], 聲母對照表[台語音標], "N/A"))</f>
        <v>l</v>
      </c>
      <c r="E129" t="str">
        <f xml:space="preserve"> IF($B129="", "", _xlfn.XLOOKUP(LEFT($B129), 韻母對照表[十五音], 韻母對照表[台語音標], "N/A"))</f>
        <v>im</v>
      </c>
      <c r="F129">
        <f xml:space="preserve"> IF($B129="", "", _xlfn.XLOOKUP(MID($B129,2,1), 聲調對照表[十五音調號], 聲調對照表[傳統八聲調], "N/A"))</f>
        <v>8</v>
      </c>
    </row>
    <row r="130" spans="1:6">
      <c r="A130" t="s">
        <v>29</v>
      </c>
      <c r="D130" t="str">
        <f xml:space="preserve"> IF($B130="", "", _xlfn.XLOOKUP(RIGHT($B130), 聲母對照表[十五音], 聲母對照表[台語音標], "N/A"))</f>
        <v/>
      </c>
      <c r="E130" t="str">
        <f xml:space="preserve"> IF($B130="", "", _xlfn.XLOOKUP(LEFT($B130), 韻母對照表[十五音], 韻母對照表[台語音標], "N/A"))</f>
        <v/>
      </c>
      <c r="F130" t="str">
        <f xml:space="preserve"> IF($B130="", "", _xlfn.XLOOKUP(MID($B130,2,1), 聲調對照表[十五音調號], 聲調對照表[傳統八聲調], "N/A"))</f>
        <v/>
      </c>
    </row>
    <row r="131" spans="1:6">
      <c r="A131" t="s">
        <v>174</v>
      </c>
      <c r="B131" t="s">
        <v>41</v>
      </c>
      <c r="C131" t="s">
        <v>946</v>
      </c>
      <c r="D131" t="str">
        <f xml:space="preserve"> IF($B131="", "", _xlfn.XLOOKUP(RIGHT($B131), 聲母對照表[十五音], 聲母對照表[台語音標], "N/A"))</f>
        <v>Ø</v>
      </c>
      <c r="E131" t="str">
        <f xml:space="preserve"> IF($B131="", "", _xlfn.XLOOKUP(LEFT($B131), 韻母對照表[十五音], 韻母對照表[台語音標], "N/A"))</f>
        <v>u</v>
      </c>
      <c r="F131">
        <f xml:space="preserve"> IF($B131="", "", _xlfn.XLOOKUP(MID($B131,2,1), 聲調對照表[十五音調號], 聲調對照表[傳統八聲調], "N/A"))</f>
        <v>2</v>
      </c>
    </row>
    <row r="132" spans="1:6">
      <c r="A132" t="s">
        <v>175</v>
      </c>
      <c r="B132" t="s">
        <v>176</v>
      </c>
      <c r="C132" t="s">
        <v>684</v>
      </c>
      <c r="D132" t="str">
        <f xml:space="preserve"> IF($B132="", "", _xlfn.XLOOKUP(RIGHT($B132), 聲母對照表[十五音], 聲母對照表[台語音標], "N/A"))</f>
        <v>h</v>
      </c>
      <c r="E132" t="str">
        <f xml:space="preserve"> IF($B132="", "", _xlfn.XLOOKUP(LEFT($B132), 韻母對照表[十五音], 韻母對照表[台語音標], "N/A"))</f>
        <v>ua</v>
      </c>
      <c r="F132">
        <f xml:space="preserve"> IF($B132="", "", _xlfn.XLOOKUP(MID($B132,2,1), 聲調對照表[十五音調號], 聲調對照表[傳統八聲調], "N/A"))</f>
        <v>3</v>
      </c>
    </row>
    <row r="133" spans="1:6">
      <c r="A133" t="s">
        <v>157</v>
      </c>
      <c r="B133" t="s">
        <v>150</v>
      </c>
      <c r="C133" t="s">
        <v>664</v>
      </c>
      <c r="D133" t="str">
        <f xml:space="preserve"> IF($B133="", "", _xlfn.XLOOKUP(RIGHT($B133), 聲母對照表[十五音], 聲母對照表[台語音標], "N/A"))</f>
        <v>j</v>
      </c>
      <c r="E133" t="str">
        <f xml:space="preserve"> IF($B133="", "", _xlfn.XLOOKUP(LEFT($B133), 韻母對照表[十五音], 韻母對照表[台語音標], "N/A"))</f>
        <v>i</v>
      </c>
      <c r="F133">
        <f xml:space="preserve"> IF($B133="", "", _xlfn.XLOOKUP(MID($B133,2,1), 聲調對照表[十五音調號], 聲調對照表[傳統八聲調], "N/A"))</f>
        <v>5</v>
      </c>
    </row>
    <row r="134" spans="1:6">
      <c r="A134" t="s">
        <v>177</v>
      </c>
      <c r="B134" t="s">
        <v>178</v>
      </c>
      <c r="C134" t="s">
        <v>686</v>
      </c>
      <c r="D134" t="str">
        <f xml:space="preserve"> IF($B134="", "", _xlfn.XLOOKUP(RIGHT($B134), 聲母對照表[十五音], 聲母對照表[台語音標], "N/A"))</f>
        <v>t</v>
      </c>
      <c r="E134" t="str">
        <f xml:space="preserve"> IF($B134="", "", _xlfn.XLOOKUP(LEFT($B134), 韻母對照表[十五音], 韻母對照表[台語音標], "N/A"))</f>
        <v>ik</v>
      </c>
      <c r="F134">
        <f xml:space="preserve"> IF($B134="", "", _xlfn.XLOOKUP(MID($B134,2,1), 聲調對照表[十五音調號], 聲調對照表[傳統八聲調], "N/A"))</f>
        <v>1</v>
      </c>
    </row>
    <row r="135" spans="1:6">
      <c r="A135" t="s">
        <v>179</v>
      </c>
      <c r="B135" t="s">
        <v>180</v>
      </c>
      <c r="C135" t="s">
        <v>687</v>
      </c>
      <c r="D135" t="str">
        <f xml:space="preserve"> IF($B135="", "", _xlfn.XLOOKUP(RIGHT($B135), 聲母對照表[十五音], 聲母對照表[台語音標], "N/A"))</f>
        <v>s</v>
      </c>
      <c r="E135" t="str">
        <f xml:space="preserve"> IF($B135="", "", _xlfn.XLOOKUP(LEFT($B135), 韻母對照表[十五音], 韻母對照表[台語音標], "N/A"))</f>
        <v>ian</v>
      </c>
      <c r="F135">
        <f xml:space="preserve"> IF($B135="", "", _xlfn.XLOOKUP(MID($B135,2,1), 聲調對照表[十五音調號], 聲調對照表[傳統八聲調], "N/A"))</f>
        <v>1</v>
      </c>
    </row>
    <row r="136" spans="1:6">
      <c r="A136" t="s">
        <v>54</v>
      </c>
      <c r="D136" t="str">
        <f xml:space="preserve"> IF($B136="", "", _xlfn.XLOOKUP(RIGHT($B136), 聲母對照表[十五音], 聲母對照表[台語音標], "N/A"))</f>
        <v/>
      </c>
      <c r="E136" t="str">
        <f xml:space="preserve"> IF($B136="", "", _xlfn.XLOOKUP(LEFT($B136), 韻母對照表[十五音], 韻母對照表[台語音標], "N/A"))</f>
        <v/>
      </c>
      <c r="F136" t="str">
        <f xml:space="preserve"> IF($B136="", "", _xlfn.XLOOKUP(MID($B136,2,1), 聲調對照表[十五音調號], 聲調對照表[傳統八聲調], "N/A"))</f>
        <v/>
      </c>
    </row>
    <row r="137" spans="1:6">
      <c r="A137" t="s">
        <v>50</v>
      </c>
      <c r="B137" t="s">
        <v>51</v>
      </c>
      <c r="C137" t="s">
        <v>950</v>
      </c>
      <c r="D137" t="str">
        <f xml:space="preserve"> IF($B137="", "", _xlfn.XLOOKUP(RIGHT($B137), 聲母對照表[十五音], 聲母對照表[台語音標], "N/A"))</f>
        <v>Ø</v>
      </c>
      <c r="E137" t="str">
        <f xml:space="preserve"> IF($B137="", "", _xlfn.XLOOKUP(LEFT($B137), 韻母對照表[十五音], 韻母對照表[台語音標], "N/A"))</f>
        <v>u</v>
      </c>
      <c r="F137">
        <f xml:space="preserve"> IF($B137="", "", _xlfn.XLOOKUP(MID($B137,2,1), 聲調對照表[十五音調號], 聲調對照表[傳統八聲調], "N/A"))</f>
        <v>1</v>
      </c>
    </row>
    <row r="138" spans="1:6">
      <c r="A138" t="s">
        <v>181</v>
      </c>
      <c r="B138" t="s">
        <v>182</v>
      </c>
      <c r="C138" t="s">
        <v>688</v>
      </c>
      <c r="D138" t="str">
        <f xml:space="preserve"> IF($B138="", "", _xlfn.XLOOKUP(RIGHT($B138), 聲母對照表[十五音], 聲母對照表[台語音標], "N/A"))</f>
        <v>s</v>
      </c>
      <c r="E138" t="str">
        <f xml:space="preserve"> IF($B138="", "", _xlfn.XLOOKUP(LEFT($B138), 韻母對照表[十五音], 韻母對照表[台語音標], "N/A"))</f>
        <v>i</v>
      </c>
      <c r="F138">
        <f xml:space="preserve"> IF($B138="", "", _xlfn.XLOOKUP(MID($B138,2,1), 聲調對照表[十五音調號], 聲調對照表[傳統八聲調], "N/A"))</f>
        <v>2</v>
      </c>
    </row>
    <row r="139" spans="1:6">
      <c r="A139" t="s">
        <v>183</v>
      </c>
      <c r="B139" t="s">
        <v>184</v>
      </c>
      <c r="C139" t="s">
        <v>975</v>
      </c>
      <c r="D139" t="str">
        <f xml:space="preserve"> IF($B139="", "", _xlfn.XLOOKUP(RIGHT($B139), 聲母對照表[十五音], 聲母對照表[台語音標], "N/A"))</f>
        <v>Ø</v>
      </c>
      <c r="E139" t="str">
        <f xml:space="preserve"> IF($B139="", "", _xlfn.XLOOKUP(LEFT($B139), 韻母對照表[十五音], 韻母對照表[台語音標], "N/A"))</f>
        <v>im</v>
      </c>
      <c r="F139">
        <f xml:space="preserve"> IF($B139="", "", _xlfn.XLOOKUP(MID($B139,2,1), 聲調對照表[十五音調號], 聲調對照表[傳統八聲調], "N/A"))</f>
        <v>2</v>
      </c>
    </row>
    <row r="140" spans="1:6">
      <c r="A140" t="s">
        <v>73</v>
      </c>
      <c r="B140" t="s">
        <v>74</v>
      </c>
      <c r="C140" t="s">
        <v>625</v>
      </c>
      <c r="D140" t="str">
        <f xml:space="preserve"> IF($B140="", "", _xlfn.XLOOKUP(RIGHT($B140), 聲母對照表[十五音], 聲母對照表[台語音標], "N/A"))</f>
        <v>z</v>
      </c>
      <c r="E140" t="str">
        <f xml:space="preserve"> IF($B140="", "", _xlfn.XLOOKUP(LEFT($B140), 韻母對照表[十五音], 韻母對照表[台語音標], "N/A"))</f>
        <v>iu</v>
      </c>
      <c r="F140">
        <f xml:space="preserve"> IF($B140="", "", _xlfn.XLOOKUP(MID($B140,2,1), 聲調對照表[十五音調號], 聲調對照表[傳統八聲調], "N/A"))</f>
        <v>2</v>
      </c>
    </row>
    <row r="141" spans="1:6">
      <c r="A141" t="s">
        <v>185</v>
      </c>
      <c r="B141" t="s">
        <v>186</v>
      </c>
      <c r="C141" t="s">
        <v>690</v>
      </c>
      <c r="D141" t="str">
        <f xml:space="preserve"> IF($B141="", "", _xlfn.XLOOKUP(RIGHT($B141), 聲母對照表[十五音], 聲母對照表[台語音標], "N/A"))</f>
        <v>l</v>
      </c>
      <c r="E141" t="str">
        <f xml:space="preserve"> IF($B141="", "", _xlfn.XLOOKUP(LEFT($B141), 韻母對照表[十五音], 韻母對照表[台語音標], "N/A"))</f>
        <v>ok</v>
      </c>
      <c r="F141">
        <f xml:space="preserve"> IF($B141="", "", _xlfn.XLOOKUP(MID($B141,2,1), 聲調對照表[十五音調號], 聲調對照表[傳統八聲調], "N/A"))</f>
        <v>8</v>
      </c>
    </row>
    <row r="142" spans="1:6">
      <c r="A142" t="s">
        <v>187</v>
      </c>
      <c r="B142" t="s">
        <v>188</v>
      </c>
      <c r="C142" t="s">
        <v>691</v>
      </c>
      <c r="D142" t="str">
        <f xml:space="preserve"> IF($B142="", "", _xlfn.XLOOKUP(RIGHT($B142), 聲母對照表[十五音], 聲母對照表[台語音標], "N/A"))</f>
        <v>s</v>
      </c>
      <c r="E142" t="str">
        <f xml:space="preserve"> IF($B142="", "", _xlfn.XLOOKUP(LEFT($B142), 韻母對照表[十五音], 韻母對照表[台語音標], "N/A"))</f>
        <v>im</v>
      </c>
      <c r="F142">
        <f xml:space="preserve"> IF($B142="", "", _xlfn.XLOOKUP(MID($B142,2,1), 聲調對照表[十五音調號], 聲調對照表[傳統八聲調], "N/A"))</f>
        <v>2</v>
      </c>
    </row>
    <row r="143" spans="1:6">
      <c r="A143" t="s">
        <v>29</v>
      </c>
      <c r="D143" t="str">
        <f xml:space="preserve"> IF($B143="", "", _xlfn.XLOOKUP(RIGHT($B143), 聲母對照表[十五音], 聲母對照表[台語音標], "N/A"))</f>
        <v/>
      </c>
      <c r="E143" t="str">
        <f xml:space="preserve"> IF($B143="", "", _xlfn.XLOOKUP(LEFT($B143), 韻母對照表[十五音], 韻母對照表[台語音標], "N/A"))</f>
        <v/>
      </c>
      <c r="F143" t="str">
        <f xml:space="preserve"> IF($B143="", "", _xlfn.XLOOKUP(MID($B143,2,1), 聲調對照表[十五音調號], 聲調對照表[傳統八聲調], "N/A"))</f>
        <v/>
      </c>
    </row>
    <row r="144" spans="1:6">
      <c r="A144" t="s">
        <v>189</v>
      </c>
      <c r="B144" t="s">
        <v>190</v>
      </c>
      <c r="C144" t="s">
        <v>692</v>
      </c>
      <c r="D144" t="str">
        <f xml:space="preserve"> IF($B144="", "", _xlfn.XLOOKUP(RIGHT($B144), 聲母對照表[十五音], 聲母對照表[台語音標], "N/A"))</f>
        <v>kh</v>
      </c>
      <c r="E144" t="str">
        <f xml:space="preserve"> IF($B144="", "", _xlfn.XLOOKUP(LEFT($B144), 韻母對照表[十五音], 韻母對照表[台語音標], "N/A"))</f>
        <v>oo</v>
      </c>
      <c r="F144">
        <f xml:space="preserve"> IF($B144="", "", _xlfn.XLOOKUP(MID($B144,2,1), 聲調對照表[十五音調號], 聲調對照表[傳統八聲調], "N/A"))</f>
        <v>3</v>
      </c>
    </row>
    <row r="145" spans="1:6">
      <c r="A145" t="s">
        <v>191</v>
      </c>
      <c r="B145" t="s">
        <v>192</v>
      </c>
      <c r="C145" t="s">
        <v>693</v>
      </c>
      <c r="D145" t="str">
        <f xml:space="preserve"> IF($B145="", "", _xlfn.XLOOKUP(RIGHT($B145), 聲母對照表[十五音], 聲母對照表[台語音標], "N/A"))</f>
        <v>h</v>
      </c>
      <c r="E145" t="str">
        <f xml:space="preserve"> IF($B145="", "", _xlfn.XLOOKUP(LEFT($B145), 韻母對照表[十五音], 韻母對照表[台語音標], "N/A"))</f>
        <v>ian</v>
      </c>
      <c r="F145">
        <f xml:space="preserve"> IF($B145="", "", _xlfn.XLOOKUP(MID($B145,2,1), 聲調對照表[十五音調號], 聲調對照表[傳統八聲調], "N/A"))</f>
        <v>5</v>
      </c>
    </row>
    <row r="146" spans="1:6">
      <c r="A146" t="s">
        <v>157</v>
      </c>
      <c r="B146" t="s">
        <v>150</v>
      </c>
      <c r="C146" t="s">
        <v>664</v>
      </c>
      <c r="D146" t="str">
        <f xml:space="preserve"> IF($B146="", "", _xlfn.XLOOKUP(RIGHT($B146), 聲母對照表[十五音], 聲母對照表[台語音標], "N/A"))</f>
        <v>j</v>
      </c>
      <c r="E146" t="str">
        <f xml:space="preserve"> IF($B146="", "", _xlfn.XLOOKUP(LEFT($B146), 韻母對照表[十五音], 韻母對照表[台語音標], "N/A"))</f>
        <v>i</v>
      </c>
      <c r="F146">
        <f xml:space="preserve"> IF($B146="", "", _xlfn.XLOOKUP(MID($B146,2,1), 聲調對照表[十五音調號], 聲調對照表[傳統八聲調], "N/A"))</f>
        <v>5</v>
      </c>
    </row>
    <row r="147" spans="1:6">
      <c r="A147" t="s">
        <v>83</v>
      </c>
      <c r="B147" t="s">
        <v>84</v>
      </c>
      <c r="C147" t="s">
        <v>631</v>
      </c>
      <c r="D147" t="str">
        <f xml:space="preserve"> IF($B147="", "", _xlfn.XLOOKUP(RIGHT($B147), 聲母對照表[十五音], 聲母對照表[台語音標], "N/A"))</f>
        <v>k</v>
      </c>
      <c r="E147" t="str">
        <f xml:space="preserve"> IF($B147="", "", _xlfn.XLOOKUP(LEFT($B147), 韻母對照表[十五音], 韻母對照表[台語音標], "N/A"))</f>
        <v>o</v>
      </c>
      <c r="F147">
        <f xml:space="preserve"> IF($B147="", "", _xlfn.XLOOKUP(MID($B147,2,1), 聲調對照表[十五音調號], 聲調對照表[傳統八聲調], "N/A"))</f>
        <v>1</v>
      </c>
    </row>
    <row r="148" spans="1:6">
      <c r="A148" t="s">
        <v>25</v>
      </c>
      <c r="B148" t="s">
        <v>26</v>
      </c>
      <c r="C148" t="s">
        <v>584</v>
      </c>
      <c r="D148" t="str">
        <f xml:space="preserve"> IF($B148="", "", _xlfn.XLOOKUP(RIGHT($B148), 聲母對照表[十五音], 聲母對照表[台語音標], "N/A"))</f>
        <v>z</v>
      </c>
      <c r="E148" t="str">
        <f xml:space="preserve"> IF($B148="", "", _xlfn.XLOOKUP(LEFT($B148), 韻母對照表[十五音], 韻母對照表[台語音標], "N/A"))</f>
        <v>i</v>
      </c>
      <c r="F148">
        <f xml:space="preserve"> IF($B148="", "", _xlfn.XLOOKUP(MID($B148,2,1), 聲調對照表[十五音調號], 聲調對照表[傳統八聲調], "N/A"))</f>
        <v>1</v>
      </c>
    </row>
    <row r="149" spans="1:6">
      <c r="A149" t="s">
        <v>54</v>
      </c>
      <c r="D149" t="str">
        <f xml:space="preserve"> IF($B149="", "", _xlfn.XLOOKUP(RIGHT($B149), 聲母對照表[十五音], 聲母對照表[台語音標], "N/A"))</f>
        <v/>
      </c>
      <c r="E149" t="str">
        <f xml:space="preserve"> IF($B149="", "", _xlfn.XLOOKUP(LEFT($B149), 韻母對照表[十五音], 韻母對照表[台語音標], "N/A"))</f>
        <v/>
      </c>
      <c r="F149" t="str">
        <f xml:space="preserve"> IF($B149="", "", _xlfn.XLOOKUP(MID($B149,2,1), 聲調對照表[十五音調號], 聲調對照表[傳統八聲調], "N/A"))</f>
        <v/>
      </c>
    </row>
    <row r="150" spans="1:6">
      <c r="A150" t="s">
        <v>83</v>
      </c>
      <c r="B150" t="s">
        <v>84</v>
      </c>
      <c r="C150" t="s">
        <v>631</v>
      </c>
      <c r="D150" t="str">
        <f xml:space="preserve"> IF($B150="", "", _xlfn.XLOOKUP(RIGHT($B150), 聲母對照表[十五音], 聲母對照表[台語音標], "N/A"))</f>
        <v>k</v>
      </c>
      <c r="E150" t="str">
        <f xml:space="preserve"> IF($B150="", "", _xlfn.XLOOKUP(LEFT($B150), 韻母對照表[十五音], 韻母對照表[台語音標], "N/A"))</f>
        <v>o</v>
      </c>
      <c r="F150">
        <f xml:space="preserve"> IF($B150="", "", _xlfn.XLOOKUP(MID($B150,2,1), 聲調對照表[十五音調號], 聲調對照表[傳統八聲調], "N/A"))</f>
        <v>1</v>
      </c>
    </row>
    <row r="151" spans="1:6">
      <c r="A151" t="s">
        <v>193</v>
      </c>
      <c r="B151" t="s">
        <v>194</v>
      </c>
      <c r="C151" t="s">
        <v>976</v>
      </c>
      <c r="D151" t="str">
        <f xml:space="preserve"> IF($B151="", "", _xlfn.XLOOKUP(RIGHT($B151), 聲母對照表[十五音], 聲母對照表[台語音標], "N/A"))</f>
        <v>Ø</v>
      </c>
      <c r="E151" t="str">
        <f xml:space="preserve"> IF($B151="", "", _xlfn.XLOOKUP(LEFT($B151), 韻母對照表[十五音], 韻母對照表[台語音標], "N/A"))</f>
        <v>uan</v>
      </c>
      <c r="F151">
        <f xml:space="preserve"> IF($B151="", "", _xlfn.XLOOKUP(MID($B151,2,1), 聲調對照表[十五音調號], 聲調對照表[傳統八聲調], "N/A"))</f>
        <v>8</v>
      </c>
    </row>
    <row r="152" spans="1:6">
      <c r="A152" t="s">
        <v>16</v>
      </c>
      <c r="D152" t="str">
        <f xml:space="preserve"> IF($B152="", "", _xlfn.XLOOKUP(RIGHT($B152), 聲母對照表[十五音], 聲母對照表[台語音標], "N/A"))</f>
        <v/>
      </c>
      <c r="E152" t="str">
        <f xml:space="preserve"> IF($B152="", "", _xlfn.XLOOKUP(LEFT($B152), 韻母對照表[十五音], 韻母對照表[台語音標], "N/A"))</f>
        <v/>
      </c>
      <c r="F152" t="str">
        <f xml:space="preserve"> IF($B152="", "", _xlfn.XLOOKUP(MID($B152,2,1), 聲調對照表[十五音調號], 聲調對照表[傳統八聲調], "N/A"))</f>
        <v/>
      </c>
    </row>
    <row r="153" spans="1:6">
      <c r="A153" t="s">
        <v>195</v>
      </c>
      <c r="D153" t="str">
        <f xml:space="preserve"> IF($B153="", "", _xlfn.XLOOKUP(RIGHT($B153), 聲母對照表[十五音], 聲母對照表[台語音標], "N/A"))</f>
        <v/>
      </c>
      <c r="E153" t="str">
        <f xml:space="preserve"> IF($B153="", "", _xlfn.XLOOKUP(LEFT($B153), 韻母對照表[十五音], 韻母對照表[台語音標], "N/A"))</f>
        <v/>
      </c>
      <c r="F153" t="str">
        <f xml:space="preserve"> IF($B153="", "", _xlfn.XLOOKUP(MID($B153,2,1), 聲調對照表[十五音調號], 聲調對照表[傳統八聲調], "N/A"))</f>
        <v/>
      </c>
    </row>
    <row r="154" spans="1:6">
      <c r="A154" t="s">
        <v>196</v>
      </c>
      <c r="D154" t="str">
        <f xml:space="preserve"> IF($B154="", "", _xlfn.XLOOKUP(RIGHT($B154), 聲母對照表[十五音], 聲母對照表[台語音標], "N/A"))</f>
        <v/>
      </c>
      <c r="E154" t="str">
        <f xml:space="preserve"> IF($B154="", "", _xlfn.XLOOKUP(LEFT($B154), 韻母對照表[十五音], 韻母對照表[台語音標], "N/A"))</f>
        <v/>
      </c>
      <c r="F154" t="str">
        <f xml:space="preserve"> IF($B154="", "", _xlfn.XLOOKUP(MID($B154,2,1), 聲調對照表[十五音調號], 聲調對照表[傳統八聲調], "N/A"))</f>
        <v/>
      </c>
    </row>
    <row r="155" spans="1:6">
      <c r="A155" t="s">
        <v>197</v>
      </c>
      <c r="B155" t="s">
        <v>198</v>
      </c>
      <c r="C155" t="s">
        <v>695</v>
      </c>
      <c r="D155" t="str">
        <f xml:space="preserve"> IF($B155="", "", _xlfn.XLOOKUP(RIGHT($B155), 聲母對照表[十五音], 聲母對照表[台語音標], "N/A"))</f>
        <v>k</v>
      </c>
      <c r="E155" t="str">
        <f xml:space="preserve"> IF($B155="", "", _xlfn.XLOOKUP(LEFT($B155), 韻母對照表[十五音], 韻母對照表[台語音標], "N/A"))</f>
        <v>ue</v>
      </c>
      <c r="F155">
        <f xml:space="preserve"> IF($B155="", "", _xlfn.XLOOKUP(MID($B155,2,1), 聲調對照表[十五音調號], 聲調對照表[傳統八聲調], "N/A"))</f>
        <v>3</v>
      </c>
    </row>
    <row r="156" spans="1:6">
      <c r="A156" t="s">
        <v>199</v>
      </c>
      <c r="B156" t="s">
        <v>200</v>
      </c>
      <c r="C156" t="s">
        <v>696</v>
      </c>
      <c r="D156" t="str">
        <f xml:space="preserve"> IF($B156="", "", _xlfn.XLOOKUP(RIGHT($B156), 聲母對照表[十五音], 聲母對照表[台語音標], "N/A"))</f>
        <v>z</v>
      </c>
      <c r="E156" t="str">
        <f xml:space="preserve"> IF($B156="", "", _xlfn.XLOOKUP(LEFT($B156), 韻母對照表[十五音], 韻母對照表[台語音標], "N/A"))</f>
        <v>au</v>
      </c>
      <c r="F156">
        <f xml:space="preserve"> IF($B156="", "", _xlfn.XLOOKUP(MID($B156,2,1), 聲調對照表[十五音調號], 聲調對照表[傳統八聲調], "N/A"))</f>
        <v>7</v>
      </c>
    </row>
    <row r="157" spans="1:6">
      <c r="A157" t="s">
        <v>201</v>
      </c>
      <c r="B157" t="s">
        <v>202</v>
      </c>
      <c r="C157" t="s">
        <v>978</v>
      </c>
      <c r="D157" t="str">
        <f xml:space="preserve"> IF($B157="", "", _xlfn.XLOOKUP(RIGHT($B157), 聲母對照表[十五音], 聲母對照表[台語音標], "N/A"))</f>
        <v>h</v>
      </c>
      <c r="E157" t="str">
        <f xml:space="preserve"> IF($B157="", "", _xlfn.XLOOKUP(LEFT($B157), 韻母對照表[十五音], 韻母對照表[台語音標], "N/A"))</f>
        <v>e</v>
      </c>
      <c r="F157">
        <f xml:space="preserve"> IF($B157="", "", _xlfn.XLOOKUP(MID($B157,2,1), 聲調對照表[十五音調號], 聲調對照表[傳統八聲調], "N/A"))</f>
        <v>5</v>
      </c>
    </row>
    <row r="158" spans="1:6">
      <c r="A158" t="s">
        <v>203</v>
      </c>
      <c r="B158" t="s">
        <v>204</v>
      </c>
      <c r="C158" t="s">
        <v>700</v>
      </c>
      <c r="D158" t="str">
        <f xml:space="preserve"> IF($B158="", "", _xlfn.XLOOKUP(RIGHT($B158), 聲母對照表[十五音], 聲母對照表[台語音標], "N/A"))</f>
        <v>l</v>
      </c>
      <c r="E158" t="str">
        <f xml:space="preserve"> IF($B158="", "", _xlfn.XLOOKUP(LEFT($B158), 韻母對照表[十五音], 韻母對照表[台語音標], "N/A"))</f>
        <v>an</v>
      </c>
      <c r="F158">
        <f xml:space="preserve"> IF($B158="", "", _xlfn.XLOOKUP(MID($B158,2,1), 聲調對照表[十五音調號], 聲調對照表[傳統八聲調], "N/A"))</f>
        <v>5</v>
      </c>
    </row>
    <row r="159" spans="1:6">
      <c r="A159" t="s">
        <v>205</v>
      </c>
      <c r="B159" t="s">
        <v>206</v>
      </c>
      <c r="C159" t="s">
        <v>701</v>
      </c>
      <c r="D159" t="str">
        <f xml:space="preserve"> IF($B159="", "", _xlfn.XLOOKUP(RIGHT($B159), 聲母對照表[十五音], 聲母對照表[台語音標], "N/A"))</f>
        <v>z</v>
      </c>
      <c r="E159" t="str">
        <f xml:space="preserve"> IF($B159="", "", _xlfn.XLOOKUP(LEFT($B159), 韻母對照表[十五音], 韻母對照表[台語音標], "N/A"))</f>
        <v>iok</v>
      </c>
      <c r="F159">
        <f xml:space="preserve"> IF($B159="", "", _xlfn.XLOOKUP(MID($B159,2,1), 聲調對照表[十五音調號], 聲調對照表[傳統八聲調], "N/A"))</f>
        <v>2</v>
      </c>
    </row>
    <row r="160" spans="1:6">
      <c r="A160" t="s">
        <v>29</v>
      </c>
      <c r="D160" t="str">
        <f xml:space="preserve"> IF($B160="", "", _xlfn.XLOOKUP(RIGHT($B160), 聲母對照表[十五音], 聲母對照表[台語音標], "N/A"))</f>
        <v/>
      </c>
      <c r="E160" t="str">
        <f xml:space="preserve"> IF($B160="", "", _xlfn.XLOOKUP(LEFT($B160), 韻母對照表[十五音], 韻母對照表[台語音標], "N/A"))</f>
        <v/>
      </c>
      <c r="F160" t="str">
        <f xml:space="preserve"> IF($B160="", "", _xlfn.XLOOKUP(MID($B160,2,1), 聲調對照表[十五音調號], 聲調對照表[傳統八聲調], "N/A"))</f>
        <v/>
      </c>
    </row>
    <row r="161" spans="1:6">
      <c r="A161" t="s">
        <v>207</v>
      </c>
      <c r="B161" t="s">
        <v>208</v>
      </c>
      <c r="C161" t="s">
        <v>702</v>
      </c>
      <c r="D161" t="str">
        <f xml:space="preserve"> IF($B161="", "", _xlfn.XLOOKUP(RIGHT($B161), 聲母對照表[十五音], 聲母對照表[台語音標], "N/A"))</f>
        <v>k</v>
      </c>
      <c r="E161" t="str">
        <f xml:space="preserve"> IF($B161="", "", _xlfn.XLOOKUP(LEFT($B161), 韻母對照表[十五音], 韻母對照表[台語音標], "N/A"))</f>
        <v>ik</v>
      </c>
      <c r="F161">
        <f xml:space="preserve"> IF($B161="", "", _xlfn.XLOOKUP(MID($B161,2,1), 聲調對照表[十五音調號], 聲調對照表[傳統八聲調], "N/A"))</f>
        <v>4</v>
      </c>
    </row>
    <row r="162" spans="1:6">
      <c r="A162" t="s">
        <v>209</v>
      </c>
      <c r="B162" t="s">
        <v>210</v>
      </c>
      <c r="C162" t="s">
        <v>703</v>
      </c>
      <c r="D162" t="str">
        <f xml:space="preserve"> IF($B162="", "", _xlfn.XLOOKUP(RIGHT($B162), 聲母對照表[十五音], 聲母對照表[台語音標], "N/A"))</f>
        <v>kh</v>
      </c>
      <c r="E162" t="str">
        <f xml:space="preserve"> IF($B162="", "", _xlfn.XLOOKUP(LEFT($B162), 韻母對照表[十五音], 韻母對照表[台語音標], "N/A"))</f>
        <v>ok</v>
      </c>
      <c r="F162">
        <f xml:space="preserve"> IF($B162="", "", _xlfn.XLOOKUP(MID($B162,2,1), 聲調對照表[十五音調號], 聲調對照表[傳統八聲調], "N/A"))</f>
        <v>1</v>
      </c>
    </row>
    <row r="163" spans="1:6">
      <c r="A163" t="s">
        <v>79</v>
      </c>
      <c r="B163" t="s">
        <v>80</v>
      </c>
      <c r="C163" t="s">
        <v>629</v>
      </c>
      <c r="D163" t="str">
        <f xml:space="preserve"> IF($B163="", "", _xlfn.XLOOKUP(RIGHT($B163), 聲母對照表[十五音], 聲母對照表[台語音標], "N/A"))</f>
        <v>b</v>
      </c>
      <c r="E163" t="str">
        <f xml:space="preserve"> IF($B163="", "", _xlfn.XLOOKUP(LEFT($B163), 韻母對照表[十五音], 韻母對照表[台語音標], "N/A"))</f>
        <v>ik</v>
      </c>
      <c r="F163">
        <f xml:space="preserve"> IF($B163="", "", _xlfn.XLOOKUP(MID($B163,2,1), 聲調對照表[十五音調號], 聲調對照表[傳統八聲調], "N/A"))</f>
        <v>5</v>
      </c>
    </row>
    <row r="164" spans="1:6">
      <c r="A164" t="s">
        <v>201</v>
      </c>
      <c r="B164" t="s">
        <v>202</v>
      </c>
      <c r="C164" t="s">
        <v>978</v>
      </c>
      <c r="D164" t="str">
        <f xml:space="preserve"> IF($B164="", "", _xlfn.XLOOKUP(RIGHT($B164), 聲母對照表[十五音], 聲母對照表[台語音標], "N/A"))</f>
        <v>h</v>
      </c>
      <c r="E164" t="str">
        <f xml:space="preserve"> IF($B164="", "", _xlfn.XLOOKUP(LEFT($B164), 韻母對照表[十五音], 韻母對照表[台語音標], "N/A"))</f>
        <v>e</v>
      </c>
      <c r="F164">
        <f xml:space="preserve"> IF($B164="", "", _xlfn.XLOOKUP(MID($B164,2,1), 聲調對照表[十五音調號], 聲調對照表[傳統八聲調], "N/A"))</f>
        <v>5</v>
      </c>
    </row>
    <row r="165" spans="1:6">
      <c r="A165" t="s">
        <v>211</v>
      </c>
      <c r="B165" t="s">
        <v>212</v>
      </c>
      <c r="C165" t="s">
        <v>704</v>
      </c>
      <c r="D165" t="str">
        <f xml:space="preserve"> IF($B165="", "", _xlfn.XLOOKUP(RIGHT($B165), 聲母對照表[十五音], 聲母對照表[台語音標], "N/A"))</f>
        <v>s</v>
      </c>
      <c r="E165" t="str">
        <f xml:space="preserve"> IF($B165="", "", _xlfn.XLOOKUP(LEFT($B165), 韻母對照表[十五音], 韻母對照表[台語音標], "N/A"))</f>
        <v>oo</v>
      </c>
      <c r="F165">
        <f xml:space="preserve"> IF($B165="", "", _xlfn.XLOOKUP(MID($B165,2,1), 聲調對照表[十五音調號], 聲調對照表[傳統八聲調], "N/A"))</f>
        <v>3</v>
      </c>
    </row>
    <row r="166" spans="1:6">
      <c r="A166" t="s">
        <v>213</v>
      </c>
      <c r="B166" t="s">
        <v>214</v>
      </c>
      <c r="C166" t="s">
        <v>705</v>
      </c>
      <c r="D166" t="str">
        <f xml:space="preserve"> IF($B166="", "", _xlfn.XLOOKUP(RIGHT($B166), 聲母對照表[十五音], 聲母對照表[台語音標], "N/A"))</f>
        <v>l</v>
      </c>
      <c r="E166" t="str">
        <f xml:space="preserve"> IF($B166="", "", _xlfn.XLOOKUP(LEFT($B166), 韻母對照表[十五音], 韻母對照表[台語音標], "N/A"))</f>
        <v>iu</v>
      </c>
      <c r="F166">
        <f xml:space="preserve"> IF($B166="", "", _xlfn.XLOOKUP(MID($B166,2,1), 聲調對照表[十五音調號], 聲調對照表[傳統八聲調], "N/A"))</f>
        <v>5</v>
      </c>
    </row>
    <row r="167" spans="1:6">
      <c r="A167" t="s">
        <v>120</v>
      </c>
      <c r="B167" t="s">
        <v>121</v>
      </c>
      <c r="C167" t="s">
        <v>656</v>
      </c>
      <c r="D167" t="str">
        <f xml:space="preserve"> IF($B167="", "", _xlfn.XLOOKUP(RIGHT($B167), 聲母對照表[十五音], 聲母對照表[台語音標], "N/A"))</f>
        <v>k</v>
      </c>
      <c r="E167" t="str">
        <f xml:space="preserve"> IF($B167="", "", _xlfn.XLOOKUP(LEFT($B167), 韻母對照表[十五音], 韻母對照表[台語音標], "N/A"))</f>
        <v>ok</v>
      </c>
      <c r="F167">
        <f xml:space="preserve"> IF($B167="", "", _xlfn.XLOOKUP(MID($B167,2,1), 聲調對照表[十五音調號], 聲調對照表[傳統八聲調], "N/A"))</f>
        <v>1</v>
      </c>
    </row>
    <row r="168" spans="1:6">
      <c r="A168" t="s">
        <v>54</v>
      </c>
      <c r="D168" t="str">
        <f xml:space="preserve"> IF($B168="", "", _xlfn.XLOOKUP(RIGHT($B168), 聲母對照表[十五音], 聲母對照表[台語音標], "N/A"))</f>
        <v/>
      </c>
      <c r="E168" t="str">
        <f xml:space="preserve"> IF($B168="", "", _xlfn.XLOOKUP(LEFT($B168), 韻母對照表[十五音], 韻母對照表[台語音標], "N/A"))</f>
        <v/>
      </c>
      <c r="F168" t="str">
        <f xml:space="preserve"> IF($B168="", "", _xlfn.XLOOKUP(MID($B168,2,1), 聲調對照表[十五音調號], 聲調對照表[傳統八聲調], "N/A"))</f>
        <v/>
      </c>
    </row>
    <row r="169" spans="1:6">
      <c r="A169" t="s">
        <v>215</v>
      </c>
      <c r="B169" t="s">
        <v>216</v>
      </c>
      <c r="C169" t="s">
        <v>706</v>
      </c>
      <c r="D169" t="str">
        <f xml:space="preserve"> IF($B169="", "", _xlfn.XLOOKUP(RIGHT($B169), 聲母對照表[十五音], 聲母對照表[台語音標], "N/A"))</f>
        <v>b</v>
      </c>
      <c r="E169" t="str">
        <f xml:space="preserve"> IF($B169="", "", _xlfn.XLOOKUP(LEFT($B169), 韻母對照表[十五音], 韻母對照表[台語音標], "N/A"))</f>
        <v>iau</v>
      </c>
      <c r="F169">
        <f xml:space="preserve"> IF($B169="", "", _xlfn.XLOOKUP(MID($B169,2,1), 聲調對照表[十五音調號], 聲調對照表[傳統八聲調], "N/A"))</f>
        <v>2</v>
      </c>
    </row>
    <row r="170" spans="1:6">
      <c r="A170" t="s">
        <v>215</v>
      </c>
      <c r="B170" t="s">
        <v>216</v>
      </c>
      <c r="C170" t="s">
        <v>706</v>
      </c>
      <c r="D170" t="str">
        <f xml:space="preserve"> IF($B170="", "", _xlfn.XLOOKUP(RIGHT($B170), 聲母對照表[十五音], 聲母對照表[台語音標], "N/A"))</f>
        <v>b</v>
      </c>
      <c r="E170" t="str">
        <f xml:space="preserve"> IF($B170="", "", _xlfn.XLOOKUP(LEFT($B170), 韻母對照表[十五音], 韻母對照表[台語音標], "N/A"))</f>
        <v>iau</v>
      </c>
      <c r="F170">
        <f xml:space="preserve"> IF($B170="", "", _xlfn.XLOOKUP(MID($B170,2,1), 聲調對照表[十五音調號], 聲調對照表[傳統八聲調], "N/A"))</f>
        <v>2</v>
      </c>
    </row>
    <row r="171" spans="1:6">
      <c r="A171" t="s">
        <v>201</v>
      </c>
      <c r="B171" t="s">
        <v>202</v>
      </c>
      <c r="C171" t="s">
        <v>978</v>
      </c>
      <c r="D171" t="str">
        <f xml:space="preserve"> IF($B171="", "", _xlfn.XLOOKUP(RIGHT($B171), 聲母對照表[十五音], 聲母對照表[台語音標], "N/A"))</f>
        <v>h</v>
      </c>
      <c r="E171" t="str">
        <f xml:space="preserve"> IF($B171="", "", _xlfn.XLOOKUP(LEFT($B171), 韻母對照表[十五音], 韻母對照表[台語音標], "N/A"))</f>
        <v>e</v>
      </c>
      <c r="F171">
        <f xml:space="preserve"> IF($B171="", "", _xlfn.XLOOKUP(MID($B171,2,1), 聲調對照表[十五音調號], 聲調對照表[傳統八聲調], "N/A"))</f>
        <v>5</v>
      </c>
    </row>
    <row r="172" spans="1:6">
      <c r="A172" t="s">
        <v>217</v>
      </c>
      <c r="B172" t="s">
        <v>218</v>
      </c>
      <c r="C172" t="s">
        <v>979</v>
      </c>
      <c r="D172" t="str">
        <f xml:space="preserve"> IF($B172="", "", _xlfn.XLOOKUP(RIGHT($B172), 聲母對照表[十五音], 聲母對照表[台語音標], "N/A"))</f>
        <v>Ø</v>
      </c>
      <c r="E172" t="str">
        <f xml:space="preserve"> IF($B172="", "", _xlfn.XLOOKUP(LEFT($B172), 韻母對照表[十五音], 韻母對照表[台語音標], "N/A"))</f>
        <v>u</v>
      </c>
      <c r="F172">
        <f xml:space="preserve"> IF($B172="", "", _xlfn.XLOOKUP(MID($B172,2,1), 聲調對照表[十五音調號], 聲調對照表[傳統八聲調], "N/A"))</f>
        <v>5</v>
      </c>
    </row>
    <row r="173" spans="1:6">
      <c r="A173" t="s">
        <v>219</v>
      </c>
      <c r="B173" t="s">
        <v>220</v>
      </c>
      <c r="C173" t="s">
        <v>708</v>
      </c>
      <c r="D173" t="str">
        <f xml:space="preserve"> IF($B173="", "", _xlfn.XLOOKUP(RIGHT($B173), 聲母對照表[十五音], 聲母對照表[台語音標], "N/A"))</f>
        <v>h</v>
      </c>
      <c r="E173" t="str">
        <f xml:space="preserve"> IF($B173="", "", _xlfn.XLOOKUP(LEFT($B173), 韻母對照表[十五音], 韻母對照表[台語音標], "N/A"))</f>
        <v>uai</v>
      </c>
      <c r="F173">
        <f xml:space="preserve"> IF($B173="", "", _xlfn.XLOOKUP(MID($B173,2,1), 聲調對照表[十五音調號], 聲調對照表[傳統八聲調], "N/A"))</f>
        <v>5</v>
      </c>
    </row>
    <row r="174" spans="1:6">
      <c r="A174" t="s">
        <v>29</v>
      </c>
      <c r="D174" t="str">
        <f xml:space="preserve"> IF($B174="", "", _xlfn.XLOOKUP(RIGHT($B174), 聲母對照表[十五音], 聲母對照表[台語音標], "N/A"))</f>
        <v/>
      </c>
      <c r="E174" t="str">
        <f xml:space="preserve"> IF($B174="", "", _xlfn.XLOOKUP(LEFT($B174), 韻母對照表[十五音], 韻母對照表[台語音標], "N/A"))</f>
        <v/>
      </c>
      <c r="F174" t="str">
        <f xml:space="preserve"> IF($B174="", "", _xlfn.XLOOKUP(MID($B174,2,1), 聲調對照表[十五音調號], 聲調對照表[傳統八聲調], "N/A"))</f>
        <v/>
      </c>
    </row>
    <row r="175" spans="1:6">
      <c r="A175" t="s">
        <v>36</v>
      </c>
      <c r="B175" s="51" t="s">
        <v>1808</v>
      </c>
      <c r="C175" s="51" t="s">
        <v>1809</v>
      </c>
      <c r="D175" t="str">
        <f xml:space="preserve"> IF($B175="", "", _xlfn.XLOOKUP(RIGHT($B175), 聲母對照表[十五音], 聲母對照表[台語音標], "N/A"))</f>
        <v>b</v>
      </c>
      <c r="E175" t="str">
        <f xml:space="preserve"> IF($B175="", "", _xlfn.XLOOKUP(LEFT($B175), 韻母對照表[十五音], 韻母對照表[台語音標], "N/A"))</f>
        <v>ok</v>
      </c>
      <c r="F175">
        <f xml:space="preserve"> IF($B175="", "", _xlfn.XLOOKUP(MID($B175,2,1), 聲調對照表[十五音調號], 聲調對照表[傳統八聲調], "N/A"))</f>
        <v>7</v>
      </c>
    </row>
    <row r="176" spans="1:6">
      <c r="A176" t="s">
        <v>222</v>
      </c>
      <c r="B176" t="s">
        <v>223</v>
      </c>
      <c r="C176" t="s">
        <v>710</v>
      </c>
      <c r="D176" t="str">
        <f xml:space="preserve"> IF($B176="", "", _xlfn.XLOOKUP(RIGHT($B176), 聲母對照表[十五音], 聲母對照表[台語音標], "N/A"))</f>
        <v>b</v>
      </c>
      <c r="E176" t="str">
        <f xml:space="preserve"> IF($B176="", "", _xlfn.XLOOKUP(LEFT($B176), 韻母對照表[十五音], 韻母對照表[台語音標], "N/A"))</f>
        <v>i</v>
      </c>
      <c r="F176">
        <f xml:space="preserve"> IF($B176="", "", _xlfn.XLOOKUP(MID($B176,2,1), 聲調對照表[十五音調號], 聲調對照表[傳統八聲調], "N/A"))</f>
        <v>2</v>
      </c>
    </row>
    <row r="177" spans="1:6">
      <c r="A177" t="s">
        <v>224</v>
      </c>
      <c r="B177" t="s">
        <v>225</v>
      </c>
      <c r="C177" t="s">
        <v>711</v>
      </c>
      <c r="D177" t="str">
        <f xml:space="preserve"> IF($B177="", "", _xlfn.XLOOKUP(RIGHT($B177), 聲母對照表[十五音], 聲母對照表[台語音標], "N/A"))</f>
        <v>j</v>
      </c>
      <c r="E177" t="str">
        <f xml:space="preserve"> IF($B177="", "", _xlfn.XLOOKUP(LEFT($B177), 韻母對照表[十五音], 韻母對照表[台語音標], "N/A"))</f>
        <v>in</v>
      </c>
      <c r="F177">
        <f xml:space="preserve"> IF($B177="", "", _xlfn.XLOOKUP(MID($B177,2,1), 聲調對照表[十五音調號], 聲調對照表[傳統八聲調], "N/A"))</f>
        <v>5</v>
      </c>
    </row>
    <row r="178" spans="1:6">
      <c r="A178" t="s">
        <v>201</v>
      </c>
      <c r="B178" t="s">
        <v>202</v>
      </c>
      <c r="C178" t="s">
        <v>978</v>
      </c>
      <c r="D178" t="str">
        <f xml:space="preserve"> IF($B178="", "", _xlfn.XLOOKUP(RIGHT($B178), 聲母對照表[十五音], 聲母對照表[台語音標], "N/A"))</f>
        <v>h</v>
      </c>
      <c r="E178" t="str">
        <f xml:space="preserve"> IF($B178="", "", _xlfn.XLOOKUP(LEFT($B178), 韻母對照表[十五音], 韻母對照表[台語音標], "N/A"))</f>
        <v>e</v>
      </c>
      <c r="F178">
        <f xml:space="preserve"> IF($B178="", "", _xlfn.XLOOKUP(MID($B178,2,1), 聲調對照表[十五音調號], 聲調對照表[傳統八聲調], "N/A"))</f>
        <v>5</v>
      </c>
    </row>
    <row r="179" spans="1:6">
      <c r="A179" t="s">
        <v>124</v>
      </c>
      <c r="B179" t="s">
        <v>125</v>
      </c>
      <c r="C179" t="s">
        <v>659</v>
      </c>
      <c r="D179" t="str">
        <f xml:space="preserve"> IF($B179="", "", _xlfn.XLOOKUP(RIGHT($B179), 聲母對照表[十五音], 聲母對照表[台語音標], "N/A"))</f>
        <v>th</v>
      </c>
      <c r="E179" t="str">
        <f xml:space="preserve"> IF($B179="", "", _xlfn.XLOOKUP(LEFT($B179), 韻母對照表[十五音], 韻母對照表[台語音標], "N/A"))</f>
        <v>ian</v>
      </c>
      <c r="F179">
        <f xml:space="preserve"> IF($B179="", "", _xlfn.XLOOKUP(MID($B179,2,1), 聲調對照表[十五音調號], 聲調對照表[傳統八聲調], "N/A"))</f>
        <v>1</v>
      </c>
    </row>
    <row r="180" spans="1:6">
      <c r="A180" t="s">
        <v>128</v>
      </c>
      <c r="B180" t="s">
        <v>129</v>
      </c>
      <c r="C180" t="s">
        <v>966</v>
      </c>
      <c r="D180" t="str">
        <f xml:space="preserve"> IF($B180="", "", _xlfn.XLOOKUP(RIGHT($B180), 聲母對照表[十五音], 聲母對照表[台語音標], "N/A"))</f>
        <v>Ø</v>
      </c>
      <c r="E180" t="str">
        <f xml:space="preserve"> IF($B180="", "", _xlfn.XLOOKUP(LEFT($B180), 韻母對照表[十五音], 韻母對照表[台語音標], "N/A"))</f>
        <v>in</v>
      </c>
      <c r="F180">
        <f xml:space="preserve"> IF($B180="", "", _xlfn.XLOOKUP(MID($B180,2,1), 聲調對照表[十五音調號], 聲調對照表[傳統八聲調], "N/A"))</f>
        <v>4</v>
      </c>
    </row>
    <row r="181" spans="1:6">
      <c r="A181" t="s">
        <v>226</v>
      </c>
      <c r="B181" s="51" t="s">
        <v>1814</v>
      </c>
      <c r="C181" s="51" t="s">
        <v>1815</v>
      </c>
      <c r="D181" t="str">
        <f xml:space="preserve"> IF($B181="", "", _xlfn.XLOOKUP(RIGHT($B181), 聲母對照表[十五音], 聲母對照表[台語音標], "N/A"))</f>
        <v>h</v>
      </c>
      <c r="E181" t="str">
        <f xml:space="preserve"> IF($B181="", "", _xlfn.XLOOKUP(LEFT($B181), 韻母對照表[十五音], 韻母對照表[台語音標], "N/A"))</f>
        <v>N/A</v>
      </c>
      <c r="F181">
        <f xml:space="preserve"> IF($B181="", "", _xlfn.XLOOKUP(MID($B181,2,1), 聲調對照表[十五音調號], 聲調對照表[傳統八聲調], "N/A"))</f>
        <v>5</v>
      </c>
    </row>
    <row r="182" spans="1:6">
      <c r="A182" t="s">
        <v>54</v>
      </c>
      <c r="D182" t="str">
        <f xml:space="preserve"> IF($B182="", "", _xlfn.XLOOKUP(RIGHT($B182), 聲母對照表[十五音], 聲母對照表[台語音標], "N/A"))</f>
        <v/>
      </c>
      <c r="E182" t="str">
        <f xml:space="preserve"> IF($B182="", "", _xlfn.XLOOKUP(LEFT($B182), 韻母對照表[十五音], 韻母對照表[台語音標], "N/A"))</f>
        <v/>
      </c>
      <c r="F182" t="str">
        <f xml:space="preserve"> IF($B182="", "", _xlfn.XLOOKUP(MID($B182,2,1), 聲調對照表[十五音調號], 聲調對照表[傳統八聲調], "N/A"))</f>
        <v/>
      </c>
    </row>
    <row r="183" spans="1:6">
      <c r="A183" t="s">
        <v>195</v>
      </c>
      <c r="D183" t="str">
        <f xml:space="preserve"> IF($B183="", "", _xlfn.XLOOKUP(RIGHT($B183), 聲母對照表[十五音], 聲母對照表[台語音標], "N/A"))</f>
        <v/>
      </c>
      <c r="E183" t="str">
        <f xml:space="preserve"> IF($B183="", "", _xlfn.XLOOKUP(LEFT($B183), 韻母對照表[十五音], 韻母對照表[台語音標], "N/A"))</f>
        <v/>
      </c>
      <c r="F183" t="str">
        <f xml:space="preserve"> IF($B183="", "", _xlfn.XLOOKUP(MID($B183,2,1), 聲調對照表[十五音調號], 聲調對照表[傳統八聲調], "N/A"))</f>
        <v/>
      </c>
    </row>
    <row r="184" spans="1:6">
      <c r="A184" t="s">
        <v>228</v>
      </c>
      <c r="D184" t="str">
        <f xml:space="preserve"> IF($B184="", "", _xlfn.XLOOKUP(RIGHT($B184), 聲母對照表[十五音], 聲母對照表[台語音標], "N/A"))</f>
        <v/>
      </c>
      <c r="E184" t="str">
        <f xml:space="preserve"> IF($B184="", "", _xlfn.XLOOKUP(LEFT($B184), 韻母對照表[十五音], 韻母對照表[台語音標], "N/A"))</f>
        <v/>
      </c>
      <c r="F184" t="str">
        <f xml:space="preserve"> IF($B184="", "", _xlfn.XLOOKUP(MID($B184,2,1), 聲調對照表[十五音調號], 聲調對照表[傳統八聲調], "N/A"))</f>
        <v/>
      </c>
    </row>
    <row r="185" spans="1:6">
      <c r="A185" t="s">
        <v>42</v>
      </c>
      <c r="B185" t="s">
        <v>43</v>
      </c>
      <c r="C185" t="s">
        <v>600</v>
      </c>
      <c r="D185" t="str">
        <f xml:space="preserve"> IF($B185="", "", _xlfn.XLOOKUP(RIGHT($B185), 聲母對照表[十五音], 聲母對照表[台語音標], "N/A"))</f>
        <v>kh</v>
      </c>
      <c r="E185" t="str">
        <f xml:space="preserve"> IF($B185="", "", _xlfn.XLOOKUP(LEFT($B185), 韻母對照表[十五音], 韻母對照表[台語音標], "N/A"))</f>
        <v>ik</v>
      </c>
      <c r="F185">
        <f xml:space="preserve"> IF($B185="", "", _xlfn.XLOOKUP(MID($B185,2,1), 聲調對照表[十五音調號], 聲調對照表[傳統八聲調], "N/A"))</f>
        <v>4</v>
      </c>
    </row>
    <row r="186" spans="1:6">
      <c r="A186" t="s">
        <v>229</v>
      </c>
      <c r="B186" t="s">
        <v>230</v>
      </c>
      <c r="C186" t="s">
        <v>981</v>
      </c>
      <c r="D186" t="str">
        <f xml:space="preserve"> IF($B186="", "", _xlfn.XLOOKUP(RIGHT($B186), 聲母對照表[十五音], 聲母對照表[台語音標], "N/A"))</f>
        <v>Ø</v>
      </c>
      <c r="E186" t="str">
        <f xml:space="preserve"> IF($B186="", "", _xlfn.XLOOKUP(LEFT($B186), 韻母對照表[十五音], 韻母對照表[台語音標], "N/A"))</f>
        <v>iu</v>
      </c>
      <c r="F186">
        <f xml:space="preserve"> IF($B186="", "", _xlfn.XLOOKUP(MID($B186,2,1), 聲調對照表[十五音調號], 聲調對照表[傳統八聲調], "N/A"))</f>
        <v>2</v>
      </c>
    </row>
    <row r="187" spans="1:6">
      <c r="A187" t="s">
        <v>231</v>
      </c>
      <c r="B187" t="s">
        <v>232</v>
      </c>
      <c r="C187" t="s">
        <v>715</v>
      </c>
      <c r="D187" t="str">
        <f xml:space="preserve"> IF($B187="", "", _xlfn.XLOOKUP(RIGHT($B187), 聲母對照表[十五音], 聲母對照表[台語音標], "N/A"))</f>
        <v>c</v>
      </c>
      <c r="E187" t="str">
        <f xml:space="preserve"> IF($B187="", "", _xlfn.XLOOKUP(LEFT($B187), 韻母對照表[十五音], 韻母對照表[台語音標], "N/A"))</f>
        <v>ui</v>
      </c>
      <c r="F187">
        <f xml:space="preserve"> IF($B187="", "", _xlfn.XLOOKUP(MID($B187,2,1), 聲調對照表[十五音調號], 聲調對照表[傳統八聲調], "N/A"))</f>
        <v>1</v>
      </c>
    </row>
    <row r="188" spans="1:6">
      <c r="A188" t="s">
        <v>233</v>
      </c>
      <c r="B188" t="s">
        <v>234</v>
      </c>
      <c r="C188" t="s">
        <v>716</v>
      </c>
      <c r="D188" t="str">
        <f xml:space="preserve"> IF($B188="", "", _xlfn.XLOOKUP(RIGHT($B188), 聲母對照表[十五音], 聲母對照表[台語音標], "N/A"))</f>
        <v>t</v>
      </c>
      <c r="E188" t="str">
        <f xml:space="preserve"> IF($B188="", "", _xlfn.XLOOKUP(LEFT($B188), 韻母對照表[十五音], 韻母對照表[台語音標], "N/A"))</f>
        <v>ok</v>
      </c>
      <c r="F188">
        <f xml:space="preserve"> IF($B188="", "", _xlfn.XLOOKUP(MID($B188,2,1), 聲調對照表[十五音調號], 聲調對照表[傳統八聲調], "N/A"))</f>
        <v>5</v>
      </c>
    </row>
    <row r="189" spans="1:6">
      <c r="A189" t="s">
        <v>235</v>
      </c>
      <c r="B189" t="s">
        <v>236</v>
      </c>
      <c r="C189" t="s">
        <v>717</v>
      </c>
      <c r="D189" t="str">
        <f xml:space="preserve"> IF($B189="", "", _xlfn.XLOOKUP(RIGHT($B189), 聲母對照表[十五音], 聲母對照表[台語音標], "N/A"))</f>
        <v>s</v>
      </c>
      <c r="E189" t="str">
        <f xml:space="preserve"> IF($B189="", "", _xlfn.XLOOKUP(LEFT($B189), 韻母對照表[十五音], 韻母對照表[台語音標], "N/A"))</f>
        <v>iau</v>
      </c>
      <c r="F189">
        <f xml:space="preserve"> IF($B189="", "", _xlfn.XLOOKUP(MID($B189,2,1), 聲調對照表[十五音調號], 聲調對照表[傳統八聲調], "N/A"))</f>
        <v>1</v>
      </c>
    </row>
    <row r="190" spans="1:6">
      <c r="A190" t="s">
        <v>237</v>
      </c>
      <c r="B190" t="s">
        <v>238</v>
      </c>
      <c r="C190" t="s">
        <v>718</v>
      </c>
      <c r="D190" t="str">
        <f xml:space="preserve"> IF($B190="", "", _xlfn.XLOOKUP(RIGHT($B190), 聲母對照表[十五音], 聲母對照表[台語音標], "N/A"))</f>
        <v>z</v>
      </c>
      <c r="E190" t="str">
        <f xml:space="preserve"> IF($B190="", "", _xlfn.XLOOKUP(LEFT($B190), 韻母對照表[十五音], 韻母對照表[台語音標], "N/A"))</f>
        <v>ia</v>
      </c>
      <c r="F190">
        <f xml:space="preserve"> IF($B190="", "", _xlfn.XLOOKUP(MID($B190,2,1), 聲調對照表[十五音調號], 聲調對照表[傳統八聲調], "N/A"))</f>
        <v>2</v>
      </c>
    </row>
    <row r="191" spans="1:6">
      <c r="A191" t="s">
        <v>29</v>
      </c>
      <c r="D191" t="str">
        <f xml:space="preserve"> IF($B191="", "", _xlfn.XLOOKUP(RIGHT($B191), 聲母對照表[十五音], 聲母對照表[台語音標], "N/A"))</f>
        <v/>
      </c>
      <c r="E191" t="str">
        <f xml:space="preserve"> IF($B191="", "", _xlfn.XLOOKUP(LEFT($B191), 韻母對照表[十五音], 韻母對照表[台語音標], "N/A"))</f>
        <v/>
      </c>
      <c r="F191" t="str">
        <f xml:space="preserve"> IF($B191="", "", _xlfn.XLOOKUP(MID($B191,2,1), 聲調對照表[十五音調號], 聲調對照表[傳統八聲調], "N/A"))</f>
        <v/>
      </c>
    </row>
    <row r="192" spans="1:6">
      <c r="A192" t="s">
        <v>239</v>
      </c>
      <c r="B192" t="s">
        <v>240</v>
      </c>
      <c r="C192" t="s">
        <v>983</v>
      </c>
      <c r="D192" t="str">
        <f xml:space="preserve"> IF($B192="", "", _xlfn.XLOOKUP(RIGHT($B192), 聲母對照表[十五音], 聲母對照表[台語音標], "N/A"))</f>
        <v>Ø</v>
      </c>
      <c r="E192" t="str">
        <f xml:space="preserve"> IF($B192="", "", _xlfn.XLOOKUP(LEFT($B192), 韻母對照表[十五音], 韻母對照表[台語音標], "N/A"))</f>
        <v>i</v>
      </c>
      <c r="F192">
        <f xml:space="preserve"> IF($B192="", "", _xlfn.XLOOKUP(MID($B192,2,1), 聲調對照表[十五音調號], 聲調對照表[傳統八聲調], "N/A"))</f>
        <v>2</v>
      </c>
    </row>
    <row r="193" spans="1:6">
      <c r="A193" t="s">
        <v>83</v>
      </c>
      <c r="B193" t="s">
        <v>84</v>
      </c>
      <c r="C193" t="s">
        <v>631</v>
      </c>
      <c r="D193" t="str">
        <f xml:space="preserve"> IF($B193="", "", _xlfn.XLOOKUP(RIGHT($B193), 聲母對照表[十五音], 聲母對照表[台語音標], "N/A"))</f>
        <v>k</v>
      </c>
      <c r="E193" t="str">
        <f xml:space="preserve"> IF($B193="", "", _xlfn.XLOOKUP(LEFT($B193), 韻母對照表[十五音], 韻母對照表[台語音標], "N/A"))</f>
        <v>o</v>
      </c>
      <c r="F193">
        <f xml:space="preserve"> IF($B193="", "", _xlfn.XLOOKUP(MID($B193,2,1), 聲調對照表[十五音調號], 聲調對照表[傳統八聲調], "N/A"))</f>
        <v>1</v>
      </c>
    </row>
    <row r="194" spans="1:6">
      <c r="A194" t="s">
        <v>157</v>
      </c>
      <c r="B194" t="s">
        <v>150</v>
      </c>
      <c r="C194" t="s">
        <v>664</v>
      </c>
      <c r="D194" t="str">
        <f xml:space="preserve"> IF($B194="", "", _xlfn.XLOOKUP(RIGHT($B194), 聲母對照表[十五音], 聲母對照表[台語音標], "N/A"))</f>
        <v>j</v>
      </c>
      <c r="E194" t="str">
        <f xml:space="preserve"> IF($B194="", "", _xlfn.XLOOKUP(LEFT($B194), 韻母對照表[十五音], 韻母對照表[台語音標], "N/A"))</f>
        <v>i</v>
      </c>
      <c r="F194">
        <f xml:space="preserve"> IF($B194="", "", _xlfn.XLOOKUP(MID($B194,2,1), 聲調對照表[十五音調號], 聲調對照表[傳統八聲調], "N/A"))</f>
        <v>5</v>
      </c>
    </row>
    <row r="195" spans="1:6">
      <c r="A195" t="s">
        <v>241</v>
      </c>
      <c r="B195" t="s">
        <v>242</v>
      </c>
      <c r="C195" t="s">
        <v>721</v>
      </c>
      <c r="D195" t="str">
        <f xml:space="preserve"> IF($B195="", "", _xlfn.XLOOKUP(RIGHT($B195), 聲母對照表[十五音], 聲母對照表[台語音標], "N/A"))</f>
        <v>h</v>
      </c>
      <c r="E195" t="str">
        <f xml:space="preserve"> IF($B195="", "", _xlfn.XLOOKUP(LEFT($B195), 韻母對照表[十五音], 韻母對照表[台語音標], "N/A"))</f>
        <v>o</v>
      </c>
      <c r="F195">
        <f xml:space="preserve"> IF($B195="", "", _xlfn.XLOOKUP(MID($B195,2,1), 聲調對照表[十五音調號], 聲調對照表[傳統八聲調], "N/A"))</f>
        <v>5</v>
      </c>
    </row>
    <row r="196" spans="1:6">
      <c r="A196" t="s">
        <v>25</v>
      </c>
      <c r="B196" t="s">
        <v>26</v>
      </c>
      <c r="C196" t="s">
        <v>584</v>
      </c>
      <c r="D196" t="str">
        <f xml:space="preserve"> IF($B196="", "", _xlfn.XLOOKUP(RIGHT($B196), 聲母對照表[十五音], 聲母對照表[台語音標], "N/A"))</f>
        <v>z</v>
      </c>
      <c r="E196" t="str">
        <f xml:space="preserve"> IF($B196="", "", _xlfn.XLOOKUP(LEFT($B196), 韻母對照表[十五音], 韻母對照表[台語音標], "N/A"))</f>
        <v>i</v>
      </c>
      <c r="F196">
        <f xml:space="preserve"> IF($B196="", "", _xlfn.XLOOKUP(MID($B196,2,1), 聲調對照表[十五音調號], 聲調對照表[傳統八聲調], "N/A"))</f>
        <v>1</v>
      </c>
    </row>
    <row r="197" spans="1:6">
      <c r="A197" t="s">
        <v>29</v>
      </c>
      <c r="D197" t="str">
        <f xml:space="preserve"> IF($B197="", "", _xlfn.XLOOKUP(RIGHT($B197), 聲母對照表[十五音], 聲母對照表[台語音標], "N/A"))</f>
        <v/>
      </c>
      <c r="E197" t="str">
        <f xml:space="preserve"> IF($B197="", "", _xlfn.XLOOKUP(LEFT($B197), 韻母對照表[十五音], 韻母對照表[台語音標], "N/A"))</f>
        <v/>
      </c>
      <c r="F197" t="str">
        <f xml:space="preserve"> IF($B197="", "", _xlfn.XLOOKUP(MID($B197,2,1), 聲調對照表[十五音調號], 聲調對照表[傳統八聲調], "N/A"))</f>
        <v/>
      </c>
    </row>
    <row r="198" spans="1:6">
      <c r="A198" t="s">
        <v>160</v>
      </c>
      <c r="B198" t="s">
        <v>161</v>
      </c>
      <c r="C198" t="s">
        <v>676</v>
      </c>
      <c r="D198" t="str">
        <f xml:space="preserve"> IF($B198="", "", _xlfn.XLOOKUP(RIGHT($B198), 聲母對照表[十五音], 聲母對照表[台語音標], "N/A"))</f>
        <v>k</v>
      </c>
      <c r="E198" t="str">
        <f xml:space="preserve"> IF($B198="", "", _xlfn.XLOOKUP(LEFT($B198), 韻母對照表[十五音], 韻母對照表[台語音標], "N/A"))</f>
        <v>i</v>
      </c>
      <c r="F198">
        <f xml:space="preserve"> IF($B198="", "", _xlfn.XLOOKUP(MID($B198,2,1), 聲調對照表[十五音調號], 聲調對照表[傳統八聲調], "N/A"))</f>
        <v>5</v>
      </c>
    </row>
    <row r="199" spans="1:6">
      <c r="A199" t="s">
        <v>243</v>
      </c>
      <c r="B199" t="s">
        <v>244</v>
      </c>
      <c r="C199" t="s">
        <v>722</v>
      </c>
      <c r="D199" t="str">
        <f xml:space="preserve"> IF($B199="", "", _xlfn.XLOOKUP(RIGHT($B199), 聲母對照表[十五音], 聲母對照表[台語音標], "N/A"))</f>
        <v>s</v>
      </c>
      <c r="E199" t="str">
        <f xml:space="preserve"> IF($B199="", "", _xlfn.XLOOKUP(LEFT($B199), 韻母對照表[十五音], 韻母對照表[台語音標], "N/A"))</f>
        <v>ik</v>
      </c>
      <c r="F199">
        <f xml:space="preserve"> IF($B199="", "", _xlfn.XLOOKUP(MID($B199,2,1), 聲調對照表[十五音調號], 聲調對照表[傳統八聲調], "N/A"))</f>
        <v>1</v>
      </c>
    </row>
    <row r="200" spans="1:6">
      <c r="A200" t="s">
        <v>245</v>
      </c>
      <c r="B200" t="s">
        <v>246</v>
      </c>
      <c r="C200" t="s">
        <v>984</v>
      </c>
      <c r="D200" t="str">
        <f xml:space="preserve"> IF($B200="", "", _xlfn.XLOOKUP(RIGHT($B200), 聲母對照表[十五音], 聲母對照表[台語音標], "N/A"))</f>
        <v>Ø</v>
      </c>
      <c r="E200" t="str">
        <f xml:space="preserve"> IF($B200="", "", _xlfn.XLOOKUP(LEFT($B200), 韻母對照表[十五音], 韻母對照表[台語音標], "N/A"))</f>
        <v>oo</v>
      </c>
      <c r="F200">
        <f xml:space="preserve"> IF($B200="", "", _xlfn.XLOOKUP(MID($B200,2,1), 聲調對照表[十五音調號], 聲調對照表[傳統八聲調], "N/A"))</f>
        <v>1</v>
      </c>
    </row>
    <row r="201" spans="1:6">
      <c r="A201" t="s">
        <v>245</v>
      </c>
      <c r="B201" t="s">
        <v>246</v>
      </c>
      <c r="C201" t="s">
        <v>984</v>
      </c>
      <c r="D201" t="str">
        <f xml:space="preserve"> IF($B201="", "", _xlfn.XLOOKUP(RIGHT($B201), 聲母對照表[十五音], 聲母對照表[台語音標], "N/A"))</f>
        <v>Ø</v>
      </c>
      <c r="E201" t="str">
        <f xml:space="preserve"> IF($B201="", "", _xlfn.XLOOKUP(LEFT($B201), 韻母對照表[十五音], 韻母對照表[台語音標], "N/A"))</f>
        <v>oo</v>
      </c>
      <c r="F201">
        <f xml:space="preserve"> IF($B201="", "", _xlfn.XLOOKUP(MID($B201,2,1), 聲調對照表[十五音調號], 聲調對照表[傳統八聲調], "N/A"))</f>
        <v>1</v>
      </c>
    </row>
    <row r="202" spans="1:6">
      <c r="A202" t="s">
        <v>144</v>
      </c>
      <c r="B202" t="s">
        <v>145</v>
      </c>
      <c r="C202" t="s">
        <v>669</v>
      </c>
      <c r="D202" t="str">
        <f xml:space="preserve"> IF($B202="", "", _xlfn.XLOOKUP(RIGHT($B202), 聲母對照表[十五音], 聲母對照表[台語音標], "N/A"))</f>
        <v>j</v>
      </c>
      <c r="E202" t="str">
        <f xml:space="preserve"> IF($B202="", "", _xlfn.XLOOKUP(LEFT($B202), 韻母對照表[十五音], 韻母對照表[台語音標], "N/A"))</f>
        <v>ian</v>
      </c>
      <c r="F202">
        <f xml:space="preserve"> IF($B202="", "", _xlfn.XLOOKUP(MID($B202,2,1), 聲調對照表[十五音調號], 聲調對照表[傳統八聲調], "N/A"))</f>
        <v>5</v>
      </c>
    </row>
    <row r="203" spans="1:6">
      <c r="A203" t="s">
        <v>29</v>
      </c>
      <c r="D203" t="str">
        <f xml:space="preserve"> IF($B203="", "", _xlfn.XLOOKUP(RIGHT($B203), 聲母對照表[十五音], 聲母對照表[台語音標], "N/A"))</f>
        <v/>
      </c>
      <c r="E203" t="str">
        <f xml:space="preserve"> IF($B203="", "", _xlfn.XLOOKUP(LEFT($B203), 韻母對照表[十五音], 韻母對照表[台語音標], "N/A"))</f>
        <v/>
      </c>
      <c r="F203" t="str">
        <f xml:space="preserve"> IF($B203="", "", _xlfn.XLOOKUP(MID($B203,2,1), 聲調對照表[十五音調號], 聲調對照表[傳統八聲調], "N/A"))</f>
        <v/>
      </c>
    </row>
    <row r="204" spans="1:6">
      <c r="A204" t="s">
        <v>134</v>
      </c>
      <c r="B204" t="s">
        <v>135</v>
      </c>
      <c r="C204" t="s">
        <v>968</v>
      </c>
      <c r="D204" t="str">
        <f xml:space="preserve"> IF($B204="", "", _xlfn.XLOOKUP(RIGHT($B204), 聲母對照表[十五音], 聲母對照表[台語音標], "N/A"))</f>
        <v>j</v>
      </c>
      <c r="E204" t="str">
        <f xml:space="preserve"> IF($B204="", "", _xlfn.XLOOKUP(LEFT($B204), 韻母對照表[十五音], 韻母對照表[台語音標], "N/A"))</f>
        <v>u</v>
      </c>
      <c r="F204">
        <f xml:space="preserve"> IF($B204="", "", _xlfn.XLOOKUP(MID($B204,2,1), 聲調對照表[十五音調號], 聲調對照表[傳統八聲調], "N/A"))</f>
        <v>5</v>
      </c>
    </row>
    <row r="205" spans="1:6">
      <c r="A205" t="s">
        <v>247</v>
      </c>
      <c r="B205" t="s">
        <v>248</v>
      </c>
      <c r="C205" t="s">
        <v>985</v>
      </c>
      <c r="D205" t="str">
        <f xml:space="preserve"> IF($B205="", "", _xlfn.XLOOKUP(RIGHT($B205), 聲母對照表[十五音], 聲母對照表[台語音標], "N/A"))</f>
        <v>Ø</v>
      </c>
      <c r="E205" t="str">
        <f xml:space="preserve"> IF($B205="", "", _xlfn.XLOOKUP(LEFT($B205), 韻母對照表[十五音], 韻母對照表[台語音標], "N/A"))</f>
        <v>uan</v>
      </c>
      <c r="F205">
        <f xml:space="preserve"> IF($B205="", "", _xlfn.XLOOKUP(MID($B205,2,1), 聲調對照表[十五音調號], 聲調對照表[傳統八聲調], "N/A"))</f>
        <v>1</v>
      </c>
    </row>
    <row r="206" spans="1:6">
      <c r="A206" t="s">
        <v>134</v>
      </c>
      <c r="B206" t="s">
        <v>135</v>
      </c>
      <c r="C206" t="s">
        <v>968</v>
      </c>
      <c r="D206" t="str">
        <f xml:space="preserve"> IF($B206="", "", _xlfn.XLOOKUP(RIGHT($B206), 聲母對照表[十五音], 聲母對照表[台語音標], "N/A"))</f>
        <v>j</v>
      </c>
      <c r="E206" t="str">
        <f xml:space="preserve"> IF($B206="", "", _xlfn.XLOOKUP(LEFT($B206), 韻母對照表[十五音], 韻母對照表[台語音標], "N/A"))</f>
        <v>u</v>
      </c>
      <c r="F206">
        <f xml:space="preserve"> IF($B206="", "", _xlfn.XLOOKUP(MID($B206,2,1), 聲調對照表[十五音調號], 聲調對照表[傳統八聲調], "N/A"))</f>
        <v>5</v>
      </c>
    </row>
    <row r="207" spans="1:6">
      <c r="A207" t="s">
        <v>249</v>
      </c>
      <c r="B207" t="s">
        <v>250</v>
      </c>
      <c r="C207" t="s">
        <v>725</v>
      </c>
      <c r="D207" t="str">
        <f xml:space="preserve"> IF($B207="", "", _xlfn.XLOOKUP(RIGHT($B207), 聲母對照表[十五音], 聲母對照表[台語音標], "N/A"))</f>
        <v>b</v>
      </c>
      <c r="E207" t="str">
        <f xml:space="preserve"> IF($B207="", "", _xlfn.XLOOKUP(LEFT($B207), 韻母對照表[十五音], 韻母對照表[台語音標], "N/A"))</f>
        <v>oo</v>
      </c>
      <c r="F207">
        <f xml:space="preserve"> IF($B207="", "", _xlfn.XLOOKUP(MID($B207,2,1), 聲調對照表[十五音調號], 聲調對照表[傳統八聲調], "N/A"))</f>
        <v>7</v>
      </c>
    </row>
    <row r="208" spans="1:6">
      <c r="A208" t="s">
        <v>29</v>
      </c>
      <c r="D208" t="str">
        <f xml:space="preserve"> IF($B208="", "", _xlfn.XLOOKUP(RIGHT($B208), 聲母對照表[十五音], 聲母對照表[台語音標], "N/A"))</f>
        <v/>
      </c>
      <c r="E208" t="str">
        <f xml:space="preserve"> IF($B208="", "", _xlfn.XLOOKUP(LEFT($B208), 韻母對照表[十五音], 韻母對照表[台語音標], "N/A"))</f>
        <v/>
      </c>
      <c r="F208" t="str">
        <f xml:space="preserve"> IF($B208="", "", _xlfn.XLOOKUP(MID($B208,2,1), 聲調對照表[十五音調號], 聲調對照表[傳統八聲調], "N/A"))</f>
        <v/>
      </c>
    </row>
    <row r="209" spans="1:6">
      <c r="A209" t="s">
        <v>134</v>
      </c>
      <c r="B209" t="s">
        <v>135</v>
      </c>
      <c r="C209" t="s">
        <v>968</v>
      </c>
      <c r="D209" t="str">
        <f xml:space="preserve"> IF($B209="", "", _xlfn.XLOOKUP(RIGHT($B209), 聲母對照表[十五音], 聲母對照表[台語音標], "N/A"))</f>
        <v>j</v>
      </c>
      <c r="E209" t="str">
        <f xml:space="preserve"> IF($B209="", "", _xlfn.XLOOKUP(LEFT($B209), 韻母對照表[十五音], 韻母對照表[台語音標], "N/A"))</f>
        <v>u</v>
      </c>
      <c r="F209">
        <f xml:space="preserve"> IF($B209="", "", _xlfn.XLOOKUP(MID($B209,2,1), 聲調對照表[十五音調號], 聲調對照表[傳統八聲調], "N/A"))</f>
        <v>5</v>
      </c>
    </row>
    <row r="210" spans="1:6">
      <c r="A210" t="s">
        <v>251</v>
      </c>
      <c r="B210" t="s">
        <v>252</v>
      </c>
      <c r="C210" t="s">
        <v>726</v>
      </c>
      <c r="D210" t="str">
        <f xml:space="preserve"> IF($B210="", "", _xlfn.XLOOKUP(RIGHT($B210), 聲母對照表[十五音], 聲母對照表[台語音標], "N/A"))</f>
        <v>kh</v>
      </c>
      <c r="E210" t="str">
        <f xml:space="preserve"> IF($B210="", "", _xlfn.XLOOKUP(LEFT($B210), 韻母對照表[十五音], 韻母對照表[台語音標], "N/A"))</f>
        <v>im</v>
      </c>
      <c r="F210">
        <f xml:space="preserve"> IF($B210="", "", _xlfn.XLOOKUP(MID($B210,2,1), 聲調對照表[十五音調號], 聲調對照表[傳統八聲調], "N/A"))</f>
        <v>4</v>
      </c>
    </row>
    <row r="211" spans="1:6">
      <c r="A211" t="s">
        <v>134</v>
      </c>
      <c r="B211" t="s">
        <v>135</v>
      </c>
      <c r="C211" t="s">
        <v>968</v>
      </c>
      <c r="D211" t="str">
        <f xml:space="preserve"> IF($B211="", "", _xlfn.XLOOKUP(RIGHT($B211), 聲母對照表[十五音], 聲母對照表[台語音標], "N/A"))</f>
        <v>j</v>
      </c>
      <c r="E211" t="str">
        <f xml:space="preserve"> IF($B211="", "", _xlfn.XLOOKUP(LEFT($B211), 韻母對照表[十五音], 韻母對照表[台語音標], "N/A"))</f>
        <v>u</v>
      </c>
      <c r="F211">
        <f xml:space="preserve"> IF($B211="", "", _xlfn.XLOOKUP(MID($B211,2,1), 聲調對照表[十五音調號], 聲調對照表[傳統八聲調], "N/A"))</f>
        <v>5</v>
      </c>
    </row>
    <row r="212" spans="1:6">
      <c r="A212" t="s">
        <v>253</v>
      </c>
      <c r="B212" t="s">
        <v>212</v>
      </c>
      <c r="C212" t="s">
        <v>704</v>
      </c>
      <c r="D212" t="str">
        <f xml:space="preserve"> IF($B212="", "", _xlfn.XLOOKUP(RIGHT($B212), 聲母對照表[十五音], 聲母對照表[台語音標], "N/A"))</f>
        <v>s</v>
      </c>
      <c r="E212" t="str">
        <f xml:space="preserve"> IF($B212="", "", _xlfn.XLOOKUP(LEFT($B212), 韻母對照表[十五音], 韻母對照表[台語音標], "N/A"))</f>
        <v>oo</v>
      </c>
      <c r="F212">
        <f xml:space="preserve"> IF($B212="", "", _xlfn.XLOOKUP(MID($B212,2,1), 聲調對照表[十五音調號], 聲調對照表[傳統八聲調], "N/A"))</f>
        <v>3</v>
      </c>
    </row>
    <row r="213" spans="1:6">
      <c r="A213" t="s">
        <v>29</v>
      </c>
      <c r="D213" t="str">
        <f xml:space="preserve"> IF($B213="", "", _xlfn.XLOOKUP(RIGHT($B213), 聲母對照表[十五音], 聲母對照表[台語音標], "N/A"))</f>
        <v/>
      </c>
      <c r="E213" t="str">
        <f xml:space="preserve"> IF($B213="", "", _xlfn.XLOOKUP(LEFT($B213), 韻母對照表[十五音], 韻母對照表[台語音標], "N/A"))</f>
        <v/>
      </c>
      <c r="F213" t="str">
        <f xml:space="preserve"> IF($B213="", "", _xlfn.XLOOKUP(MID($B213,2,1), 聲調對照表[十五音調號], 聲調對照表[傳統八聲調], "N/A"))</f>
        <v/>
      </c>
    </row>
    <row r="214" spans="1:6">
      <c r="A214" t="s">
        <v>254</v>
      </c>
      <c r="B214" t="s">
        <v>218</v>
      </c>
      <c r="C214" t="s">
        <v>979</v>
      </c>
      <c r="D214" t="str">
        <f xml:space="preserve"> IF($B214="", "", _xlfn.XLOOKUP(RIGHT($B214), 聲母對照表[十五音], 聲母對照表[台語音標], "N/A"))</f>
        <v>Ø</v>
      </c>
      <c r="E214" t="str">
        <f xml:space="preserve"> IF($B214="", "", _xlfn.XLOOKUP(LEFT($B214), 韻母對照表[十五音], 韻母對照表[台語音標], "N/A"))</f>
        <v>u</v>
      </c>
      <c r="F214">
        <f xml:space="preserve"> IF($B214="", "", _xlfn.XLOOKUP(MID($B214,2,1), 聲調對照表[十五音調號], 聲調對照表[傳統八聲調], "N/A"))</f>
        <v>5</v>
      </c>
    </row>
    <row r="215" spans="1:6">
      <c r="A215" t="s">
        <v>255</v>
      </c>
      <c r="B215" t="s">
        <v>256</v>
      </c>
      <c r="C215" t="s">
        <v>986</v>
      </c>
      <c r="D215" t="str">
        <f xml:space="preserve"> IF($B215="", "", _xlfn.XLOOKUP(RIGHT($B215), 聲母對照表[十五音], 聲母對照表[台語音標], "N/A"))</f>
        <v>Ø</v>
      </c>
      <c r="E215" t="str">
        <f xml:space="preserve"> IF($B215="", "", _xlfn.XLOOKUP(LEFT($B215), 韻母對照表[十五音], 韻母對照表[台語音標], "N/A"))</f>
        <v>im</v>
      </c>
      <c r="F215">
        <f xml:space="preserve"> IF($B215="", "", _xlfn.XLOOKUP(MID($B215,2,1), 聲調對照表[十五音調號], 聲調對照表[傳統八聲調], "N/A"))</f>
        <v>1</v>
      </c>
    </row>
    <row r="216" spans="1:6">
      <c r="A216" t="s">
        <v>257</v>
      </c>
      <c r="B216" t="s">
        <v>258</v>
      </c>
      <c r="C216" t="s">
        <v>728</v>
      </c>
      <c r="D216" t="str">
        <f xml:space="preserve"> IF($B216="", "", _xlfn.XLOOKUP(RIGHT($B216), 聲母對照表[十五音], 聲母對照表[台語音標], "N/A"))</f>
        <v>l</v>
      </c>
      <c r="E216" t="str">
        <f xml:space="preserve"> IF($B216="", "", _xlfn.XLOOKUP(LEFT($B216), 韻母對照表[十五音], 韻母對照表[台語音標], "N/A"))</f>
        <v>iau</v>
      </c>
      <c r="F216">
        <f xml:space="preserve"> IF($B216="", "", _xlfn.XLOOKUP(MID($B216,2,1), 聲調對照表[十五音調號], 聲調對照表[傳統八聲調], "N/A"))</f>
        <v>2</v>
      </c>
    </row>
    <row r="217" spans="1:6">
      <c r="A217" t="s">
        <v>257</v>
      </c>
      <c r="B217" t="s">
        <v>258</v>
      </c>
      <c r="C217" t="s">
        <v>728</v>
      </c>
      <c r="D217" t="str">
        <f xml:space="preserve"> IF($B217="", "", _xlfn.XLOOKUP(RIGHT($B217), 聲母對照表[十五音], 聲母對照表[台語音標], "N/A"))</f>
        <v>l</v>
      </c>
      <c r="E217" t="str">
        <f xml:space="preserve"> IF($B217="", "", _xlfn.XLOOKUP(LEFT($B217), 韻母對照表[十五音], 韻母對照表[台語音標], "N/A"))</f>
        <v>iau</v>
      </c>
      <c r="F217">
        <f xml:space="preserve"> IF($B217="", "", _xlfn.XLOOKUP(MID($B217,2,1), 聲調對照表[十五音調號], 聲調對照表[傳統八聲調], "N/A"))</f>
        <v>2</v>
      </c>
    </row>
    <row r="218" spans="1:6">
      <c r="A218" t="s">
        <v>29</v>
      </c>
      <c r="D218" t="str">
        <f xml:space="preserve"> IF($B218="", "", _xlfn.XLOOKUP(RIGHT($B218), 聲母對照表[十五音], 聲母對照表[台語音標], "N/A"))</f>
        <v/>
      </c>
      <c r="E218" t="str">
        <f xml:space="preserve"> IF($B218="", "", _xlfn.XLOOKUP(LEFT($B218), 韻母對照表[十五音], 韻母對照表[台語音標], "N/A"))</f>
        <v/>
      </c>
      <c r="F218" t="str">
        <f xml:space="preserve"> IF($B218="", "", _xlfn.XLOOKUP(MID($B218,2,1), 聲調對照表[十五音調號], 聲調對照表[傳統八聲調], "N/A"))</f>
        <v/>
      </c>
    </row>
    <row r="219" spans="1:6">
      <c r="A219" t="s">
        <v>67</v>
      </c>
      <c r="B219" t="s">
        <v>68</v>
      </c>
      <c r="C219" t="s">
        <v>622</v>
      </c>
      <c r="D219" t="str">
        <f xml:space="preserve"> IF($B219="", "", _xlfn.XLOOKUP(RIGHT($B219), 聲母對照表[十五音], 聲母對照表[台語音標], "N/A"))</f>
        <v>p</v>
      </c>
      <c r="E219" t="str">
        <f xml:space="preserve"> IF($B219="", "", _xlfn.XLOOKUP(LEFT($B219), 韻母對照表[十五音], 韻母對照表[台語音標], "N/A"))</f>
        <v>un</v>
      </c>
      <c r="F219">
        <f xml:space="preserve"> IF($B219="", "", _xlfn.XLOOKUP(MID($B219,2,1), 聲調對照表[十五音調號], 聲調對照表[傳統八聲調], "N/A"))</f>
        <v>4</v>
      </c>
    </row>
    <row r="220" spans="1:6">
      <c r="A220" t="s">
        <v>259</v>
      </c>
      <c r="B220" t="s">
        <v>260</v>
      </c>
      <c r="C220" t="s">
        <v>729</v>
      </c>
      <c r="D220" t="str">
        <f xml:space="preserve"> IF($B220="", "", _xlfn.XLOOKUP(RIGHT($B220), 聲母對照表[十五音], 聲母對照表[台語音標], "N/A"))</f>
        <v>z</v>
      </c>
      <c r="E220" t="str">
        <f xml:space="preserve"> IF($B220="", "", _xlfn.XLOOKUP(LEFT($B220), 韻母對照表[十五音], 韻母對照表[台語音標], "N/A"))</f>
        <v>uan</v>
      </c>
      <c r="F220">
        <f xml:space="preserve"> IF($B220="", "", _xlfn.XLOOKUP(MID($B220,2,1), 聲調對照表[十五音調號], 聲調對照表[傳統八聲調], "N/A"))</f>
        <v>8</v>
      </c>
    </row>
    <row r="221" spans="1:6">
      <c r="A221" t="s">
        <v>134</v>
      </c>
      <c r="B221" s="52" t="s">
        <v>1812</v>
      </c>
      <c r="C221" s="51" t="s">
        <v>1813</v>
      </c>
      <c r="D221" t="str">
        <f xml:space="preserve"> IF($B221="", "", _xlfn.XLOOKUP(RIGHT($B221), 聲母對照表[十五音], 聲母對照表[台語音標], "N/A"))</f>
        <v>j</v>
      </c>
      <c r="E221" t="str">
        <f xml:space="preserve"> IF($B221="", "", _xlfn.XLOOKUP(LEFT($B221), 韻母對照表[十五音], 韻母對照表[台語音標], "N/A"))</f>
        <v>u</v>
      </c>
      <c r="F221">
        <f xml:space="preserve"> IF($B221="", "", _xlfn.XLOOKUP(MID($B221,2,1), 聲調對照表[十五音調號], 聲調對照表[傳統八聲調], "N/A"))</f>
        <v>5</v>
      </c>
    </row>
    <row r="222" spans="1:6">
      <c r="A222" t="s">
        <v>261</v>
      </c>
      <c r="B222" t="s">
        <v>262</v>
      </c>
      <c r="C222" t="s">
        <v>987</v>
      </c>
      <c r="D222" t="str">
        <f xml:space="preserve"> IF($B222="", "", _xlfn.XLOOKUP(RIGHT($B222), 聲母對照表[十五音], 聲母對照表[台語音標], "N/A"))</f>
        <v>l</v>
      </c>
      <c r="E222" t="str">
        <f xml:space="preserve"> IF($B222="", "", _xlfn.XLOOKUP(LEFT($B222), 韻母對照表[十五音], 韻母對照表[台語音標], "N/A"))</f>
        <v>u</v>
      </c>
      <c r="F222">
        <f xml:space="preserve"> IF($B222="", "", _xlfn.XLOOKUP(MID($B222,2,1), 聲調對照表[十五音調號], 聲調對照表[傳統八聲調], "N/A"))</f>
        <v>2</v>
      </c>
    </row>
    <row r="223" spans="1:6">
      <c r="A223" t="s">
        <v>54</v>
      </c>
      <c r="D223" t="str">
        <f xml:space="preserve"> IF($B223="", "", _xlfn.XLOOKUP(RIGHT($B223), 聲母對照表[十五音], 聲母對照表[台語音標], "N/A"))</f>
        <v/>
      </c>
      <c r="E223" t="str">
        <f xml:space="preserve"> IF($B223="", "", _xlfn.XLOOKUP(LEFT($B223), 韻母對照表[十五音], 韻母對照表[台語音標], "N/A"))</f>
        <v/>
      </c>
      <c r="F223" t="str">
        <f xml:space="preserve"> IF($B223="", "", _xlfn.XLOOKUP(MID($B223,2,1), 聲調對照表[十五音調號], 聲調對照表[傳統八聲調], "N/A"))</f>
        <v/>
      </c>
    </row>
    <row r="224" spans="1:6">
      <c r="A224" t="s">
        <v>263</v>
      </c>
      <c r="B224" t="s">
        <v>264</v>
      </c>
      <c r="C224" t="s">
        <v>731</v>
      </c>
      <c r="D224" t="str">
        <f xml:space="preserve"> IF($B224="", "", _xlfn.XLOOKUP(RIGHT($B224), 聲母對照表[十五音], 聲母對照表[台語音標], "N/A"))</f>
        <v>b</v>
      </c>
      <c r="E224" t="str">
        <f xml:space="preserve"> IF($B224="", "", _xlfn.XLOOKUP(LEFT($B224), 韻母對照表[十五音], 韻母對照表[台語音標], "N/A"))</f>
        <v>u</v>
      </c>
      <c r="F224">
        <f xml:space="preserve"> IF($B224="", "", _xlfn.XLOOKUP(MID($B224,2,1), 聲調對照表[十五音調號], 聲調對照表[傳統八聲調], "N/A"))</f>
        <v>2</v>
      </c>
    </row>
    <row r="225" spans="1:6">
      <c r="A225" t="s">
        <v>265</v>
      </c>
      <c r="B225" t="s">
        <v>266</v>
      </c>
      <c r="C225" t="s">
        <v>988</v>
      </c>
      <c r="D225" t="str">
        <f xml:space="preserve"> IF($B225="", "", _xlfn.XLOOKUP(RIGHT($B225), 聲母對照表[十五音], 聲母對照表[台語音標], "N/A"))</f>
        <v>Ø</v>
      </c>
      <c r="E225" t="str">
        <f xml:space="preserve"> IF($B225="", "", _xlfn.XLOOKUP(LEFT($B225), 韻母對照表[十五音], 韻母對照表[台語音標], "N/A"))</f>
        <v>iu</v>
      </c>
      <c r="F225">
        <f xml:space="preserve"> IF($B225="", "", _xlfn.XLOOKUP(MID($B225,2,1), 聲調對照表[十五音調號], 聲調對照表[傳統八聲調], "N/A"))</f>
        <v>1</v>
      </c>
    </row>
    <row r="226" spans="1:6">
      <c r="A226" t="s">
        <v>267</v>
      </c>
      <c r="B226" t="s">
        <v>268</v>
      </c>
      <c r="C226" t="s">
        <v>733</v>
      </c>
      <c r="D226" t="str">
        <f xml:space="preserve"> IF($B226="", "", _xlfn.XLOOKUP(RIGHT($B226), 聲母對照表[十五音], 聲母對照表[台語音標], "N/A"))</f>
        <v>h</v>
      </c>
      <c r="E226" t="str">
        <f xml:space="preserve"> IF($B226="", "", _xlfn.XLOOKUP(LEFT($B226), 韻母對照表[十五音], 韻母對照表[台語音標], "N/A"))</f>
        <v>ok</v>
      </c>
      <c r="F226">
        <f xml:space="preserve"> IF($B226="", "", _xlfn.XLOOKUP(MID($B226,2,1), 聲調對照表[十五音調號], 聲調對照表[傳統八聲調], "N/A"))</f>
        <v>4</v>
      </c>
    </row>
    <row r="227" spans="1:6">
      <c r="A227" t="s">
        <v>25</v>
      </c>
      <c r="B227" t="s">
        <v>26</v>
      </c>
      <c r="C227" t="s">
        <v>584</v>
      </c>
      <c r="D227" t="str">
        <f xml:space="preserve"> IF($B227="", "", _xlfn.XLOOKUP(RIGHT($B227), 聲母對照表[十五音], 聲母對照表[台語音標], "N/A"))</f>
        <v>z</v>
      </c>
      <c r="E227" t="str">
        <f xml:space="preserve"> IF($B227="", "", _xlfn.XLOOKUP(LEFT($B227), 韻母對照表[十五音], 韻母對照表[台語音標], "N/A"))</f>
        <v>i</v>
      </c>
      <c r="F227">
        <f xml:space="preserve"> IF($B227="", "", _xlfn.XLOOKUP(MID($B227,2,1), 聲調對照表[十五音調號], 聲調對照表[傳統八聲調], "N/A"))</f>
        <v>1</v>
      </c>
    </row>
    <row r="228" spans="1:6">
      <c r="A228" t="s">
        <v>269</v>
      </c>
      <c r="B228" t="s">
        <v>270</v>
      </c>
      <c r="C228" t="s">
        <v>734</v>
      </c>
      <c r="D228" t="str">
        <f xml:space="preserve"> IF($B228="", "", _xlfn.XLOOKUP(RIGHT($B228), 聲母對照表[十五音], 聲母對照表[台語音標], "N/A"))</f>
        <v>z</v>
      </c>
      <c r="E228" t="str">
        <f xml:space="preserve"> IF($B228="", "", _xlfn.XLOOKUP(LEFT($B228), 韻母對照表[十五音], 韻母對照表[台語音標], "N/A"))</f>
        <v>iam</v>
      </c>
      <c r="F228">
        <f xml:space="preserve"> IF($B228="", "", _xlfn.XLOOKUP(MID($B228,2,1), 聲調對照表[十五音調號], 聲調對照表[傳統八聲調], "N/A"))</f>
        <v>5</v>
      </c>
    </row>
    <row r="229" spans="1:6">
      <c r="A229" t="s">
        <v>271</v>
      </c>
      <c r="B229" t="s">
        <v>272</v>
      </c>
      <c r="C229" t="s">
        <v>736</v>
      </c>
      <c r="D229" t="str">
        <f xml:space="preserve"> IF($B229="", "", _xlfn.XLOOKUP(RIGHT($B229), 聲母對照表[十五音], 聲母對照表[台語音標], "N/A"))</f>
        <v>k</v>
      </c>
      <c r="E229" t="str">
        <f xml:space="preserve"> IF($B229="", "", _xlfn.XLOOKUP(LEFT($B229), 韻母對照表[十五音], 韻母對照表[台語音標], "N/A"))</f>
        <v>au</v>
      </c>
      <c r="F229">
        <f xml:space="preserve"> IF($B229="", "", _xlfn.XLOOKUP(MID($B229,2,1), 聲調對照表[十五音調號], 聲調對照表[傳統八聲調], "N/A"))</f>
        <v>1</v>
      </c>
    </row>
    <row r="230" spans="1:6">
      <c r="A230" t="s">
        <v>29</v>
      </c>
      <c r="D230" t="str">
        <f xml:space="preserve"> IF($B230="", "", _xlfn.XLOOKUP(RIGHT($B230), 聲母對照表[十五音], 聲母對照表[台語音標], "N/A"))</f>
        <v/>
      </c>
      <c r="E230" t="str">
        <f xml:space="preserve"> IF($B230="", "", _xlfn.XLOOKUP(LEFT($B230), 韻母對照表[十五音], 韻母對照表[台語音標], "N/A"))</f>
        <v/>
      </c>
      <c r="F230" t="str">
        <f xml:space="preserve"> IF($B230="", "", _xlfn.XLOOKUP(MID($B230,2,1), 聲調對照表[十五音調號], 聲調對照表[傳統八聲調], "N/A"))</f>
        <v/>
      </c>
    </row>
    <row r="231" spans="1:6">
      <c r="A231" t="s">
        <v>251</v>
      </c>
      <c r="B231" t="s">
        <v>252</v>
      </c>
      <c r="C231" t="s">
        <v>726</v>
      </c>
      <c r="D231" t="str">
        <f xml:space="preserve"> IF($B231="", "", _xlfn.XLOOKUP(RIGHT($B231), 聲母對照表[十五音], 聲母對照表[台語音標], "N/A"))</f>
        <v>kh</v>
      </c>
      <c r="E231" t="str">
        <f xml:space="preserve"> IF($B231="", "", _xlfn.XLOOKUP(LEFT($B231), 韻母對照表[十五音], 韻母對照表[台語音標], "N/A"))</f>
        <v>im</v>
      </c>
      <c r="F231">
        <f xml:space="preserve"> IF($B231="", "", _xlfn.XLOOKUP(MID($B231,2,1), 聲調對照表[十五音調號], 聲調對照表[傳統八聲調], "N/A"))</f>
        <v>4</v>
      </c>
    </row>
    <row r="232" spans="1:6">
      <c r="A232" t="s">
        <v>273</v>
      </c>
      <c r="B232" t="s">
        <v>274</v>
      </c>
      <c r="C232" t="s">
        <v>737</v>
      </c>
      <c r="D232" t="str">
        <f xml:space="preserve"> IF($B232="", "", _xlfn.XLOOKUP(RIGHT($B232), 聲母對照表[十五音], 聲母對照表[台語音標], "N/A"))</f>
        <v>k</v>
      </c>
      <c r="E232" t="str">
        <f xml:space="preserve"> IF($B232="", "", _xlfn.XLOOKUP(LEFT($B232), 韻母對照表[十五音], 韻母對照表[台語音標], "N/A"))</f>
        <v>oo</v>
      </c>
      <c r="F232">
        <f xml:space="preserve"> IF($B232="", "", _xlfn.XLOOKUP(MID($B232,2,1), 聲調對照表[十五音調號], 聲調對照表[傳統八聲調], "N/A"))</f>
        <v>1</v>
      </c>
    </row>
    <row r="233" spans="1:6">
      <c r="A233" t="s">
        <v>46</v>
      </c>
      <c r="B233" t="s">
        <v>47</v>
      </c>
      <c r="C233" t="s">
        <v>604</v>
      </c>
      <c r="D233" t="str">
        <f xml:space="preserve"> IF($B233="", "", _xlfn.XLOOKUP(RIGHT($B233), 聲母對照表[十五音], 聲母對照表[台語音標], "N/A"))</f>
        <v>z</v>
      </c>
      <c r="E233" t="str">
        <f xml:space="preserve"> IF($B233="", "", _xlfn.XLOOKUP(LEFT($B233), 韻母對照表[十五音], 韻母對照表[台語音標], "N/A"))</f>
        <v>iu</v>
      </c>
      <c r="F233">
        <f xml:space="preserve"> IF($B233="", "", _xlfn.XLOOKUP(MID($B233,2,1), 聲調對照表[十五音調號], 聲調對照表[傳統八聲調], "N/A"))</f>
        <v>1</v>
      </c>
    </row>
    <row r="234" spans="1:6">
      <c r="A234" t="s">
        <v>25</v>
      </c>
      <c r="B234" t="s">
        <v>26</v>
      </c>
      <c r="C234" t="s">
        <v>584</v>
      </c>
      <c r="D234" t="str">
        <f xml:space="preserve"> IF($B234="", "", _xlfn.XLOOKUP(RIGHT($B234), 聲母對照表[十五音], 聲母對照表[台語音標], "N/A"))</f>
        <v>z</v>
      </c>
      <c r="E234" t="str">
        <f xml:space="preserve"> IF($B234="", "", _xlfn.XLOOKUP(LEFT($B234), 韻母對照表[十五音], 韻母對照表[台語音標], "N/A"))</f>
        <v>i</v>
      </c>
      <c r="F234">
        <f xml:space="preserve"> IF($B234="", "", _xlfn.XLOOKUP(MID($B234,2,1), 聲調對照表[十五音調號], 聲調對照表[傳統八聲調], "N/A"))</f>
        <v>1</v>
      </c>
    </row>
    <row r="235" spans="1:6">
      <c r="A235" t="s">
        <v>275</v>
      </c>
      <c r="B235" t="s">
        <v>276</v>
      </c>
      <c r="C235" t="s">
        <v>738</v>
      </c>
      <c r="D235" t="str">
        <f xml:space="preserve"> IF($B235="", "", _xlfn.XLOOKUP(RIGHT($B235), 聲母對照表[十五音], 聲母對照表[台語音標], "N/A"))</f>
        <v>l</v>
      </c>
      <c r="E235" t="str">
        <f xml:space="preserve"> IF($B235="", "", _xlfn.XLOOKUP(LEFT($B235), 韻母對照表[十五音], 韻母對照表[台語音標], "N/A"))</f>
        <v>i</v>
      </c>
      <c r="F235">
        <f xml:space="preserve"> IF($B235="", "", _xlfn.XLOOKUP(MID($B235,2,1), 聲調對照表[十五音調號], 聲調對照表[傳統八聲調], "N/A"))</f>
        <v>5</v>
      </c>
    </row>
    <row r="236" spans="1:6">
      <c r="A236" t="s">
        <v>277</v>
      </c>
      <c r="B236" t="s">
        <v>278</v>
      </c>
      <c r="C236" t="s">
        <v>739</v>
      </c>
      <c r="D236" t="str">
        <f xml:space="preserve"> IF($B236="", "", _xlfn.XLOOKUP(RIGHT($B236), 聲母對照表[十五音], 聲母對照表[台語音標], "N/A"))</f>
        <v>h</v>
      </c>
      <c r="E236" t="str">
        <f xml:space="preserve"> IF($B236="", "", _xlfn.XLOOKUP(LEFT($B236), 韻母對照表[十五音], 韻母對照表[台語音標], "N/A"))</f>
        <v>u</v>
      </c>
      <c r="F236">
        <f xml:space="preserve"> IF($B236="", "", _xlfn.XLOOKUP(MID($B236,2,1), 聲調對照表[十五音調號], 聲調對照表[傳統八聲調], "N/A"))</f>
        <v>7</v>
      </c>
    </row>
    <row r="237" spans="1:6">
      <c r="A237" t="s">
        <v>54</v>
      </c>
      <c r="D237" t="str">
        <f xml:space="preserve"> IF($B237="", "", _xlfn.XLOOKUP(RIGHT($B237), 聲母對照表[十五音], 聲母對照表[台語音標], "N/A"))</f>
        <v/>
      </c>
      <c r="E237" t="str">
        <f xml:space="preserve"> IF($B237="", "", _xlfn.XLOOKUP(LEFT($B237), 韻母對照表[十五音], 韻母對照表[台語音標], "N/A"))</f>
        <v/>
      </c>
      <c r="F237" t="str">
        <f xml:space="preserve"> IF($B237="", "", _xlfn.XLOOKUP(MID($B237,2,1), 聲調對照表[十五音調號], 聲調對照表[傳統八聲調], "N/A"))</f>
        <v/>
      </c>
    </row>
    <row r="238" spans="1:6">
      <c r="A238" t="s">
        <v>17</v>
      </c>
      <c r="B238" t="s">
        <v>18</v>
      </c>
      <c r="C238" t="s">
        <v>576</v>
      </c>
      <c r="D238" t="str">
        <f xml:space="preserve"> IF($B238="", "", _xlfn.XLOOKUP(RIGHT($B238), 聲母對照表[十五音], 聲母對照表[台語音標], "N/A"))</f>
        <v>s</v>
      </c>
      <c r="E238" t="str">
        <f xml:space="preserve"> IF($B238="", "", _xlfn.XLOOKUP(LEFT($B238), 韻母對照表[十五音], 韻母對照表[台語音標], "N/A"))</f>
        <v>oo</v>
      </c>
      <c r="F238">
        <f xml:space="preserve"> IF($B238="", "", _xlfn.XLOOKUP(MID($B238,2,1), 聲調對照表[十五音調號], 聲調對照表[傳統八聲調], "N/A"))</f>
        <v>1</v>
      </c>
    </row>
    <row r="239" spans="1:6">
      <c r="A239" t="s">
        <v>38</v>
      </c>
      <c r="B239" t="s">
        <v>163</v>
      </c>
      <c r="C239" t="s">
        <v>677</v>
      </c>
      <c r="D239" t="str">
        <f xml:space="preserve"> IF($B239="", "", _xlfn.XLOOKUP(RIGHT($B239), 聲母對照表[十五音], 聲母對照表[台語音標], "N/A"))</f>
        <v>z</v>
      </c>
      <c r="E239" t="str">
        <f xml:space="preserve"> IF($B239="", "", _xlfn.XLOOKUP(LEFT($B239), 韻母對照表[十五音], 韻母對照表[台語音標], "N/A"))</f>
        <v>i</v>
      </c>
      <c r="F239">
        <f xml:space="preserve"> IF($B239="", "", _xlfn.XLOOKUP(MID($B239,2,1), 聲調對照表[十五音調號], 聲調對照表[傳統八聲調], "N/A"))</f>
        <v>2</v>
      </c>
    </row>
    <row r="240" spans="1:6">
      <c r="A240" t="s">
        <v>279</v>
      </c>
      <c r="B240" s="52" t="s">
        <v>1816</v>
      </c>
      <c r="C240" s="51" t="s">
        <v>1817</v>
      </c>
      <c r="D240" t="str">
        <f xml:space="preserve"> IF($B240="", "", _xlfn.XLOOKUP(RIGHT($B240), 聲母對照表[十五音], 聲母對照表[台語音標], "N/A"))</f>
        <v>c</v>
      </c>
      <c r="E240" t="str">
        <f xml:space="preserve"> IF($B240="", "", _xlfn.XLOOKUP(LEFT($B240), 韻母對照表[十五音], 韻母對照表[台語音標], "N/A"))</f>
        <v>iu</v>
      </c>
      <c r="F240">
        <f xml:space="preserve"> IF($B240="", "", _xlfn.XLOOKUP(MID($B240,2,1), 聲調對照表[十五音調號], 聲調對照表[傳統八聲調], "N/A"))</f>
        <v>2</v>
      </c>
    </row>
    <row r="241" spans="1:6">
      <c r="A241" t="s">
        <v>144</v>
      </c>
      <c r="B241" t="s">
        <v>145</v>
      </c>
      <c r="C241" t="s">
        <v>669</v>
      </c>
      <c r="D241" t="str">
        <f xml:space="preserve"> IF($B241="", "", _xlfn.XLOOKUP(RIGHT($B241), 聲母對照表[十五音], 聲母對照表[台語音標], "N/A"))</f>
        <v>j</v>
      </c>
      <c r="E241" t="str">
        <f xml:space="preserve"> IF($B241="", "", _xlfn.XLOOKUP(LEFT($B241), 韻母對照表[十五音], 韻母對照表[台語音標], "N/A"))</f>
        <v>ian</v>
      </c>
      <c r="F241">
        <f xml:space="preserve"> IF($B241="", "", _xlfn.XLOOKUP(MID($B241,2,1), 聲調對照表[十五音調號], 聲調對照表[傳統八聲調], "N/A"))</f>
        <v>5</v>
      </c>
    </row>
    <row r="242" spans="1:6">
      <c r="A242" t="s">
        <v>29</v>
      </c>
      <c r="D242" t="str">
        <f xml:space="preserve"> IF($B242="", "", _xlfn.XLOOKUP(RIGHT($B242), 聲母對照表[十五音], 聲母對照表[台語音標], "N/A"))</f>
        <v/>
      </c>
      <c r="E242" t="str">
        <f xml:space="preserve"> IF($B242="", "", _xlfn.XLOOKUP(LEFT($B242), 韻母對照表[十五音], 韻母對照表[台語音標], "N/A"))</f>
        <v/>
      </c>
      <c r="F242" t="str">
        <f xml:space="preserve"> IF($B242="", "", _xlfn.XLOOKUP(MID($B242,2,1), 聲調對照表[十五音調號], 聲調對照表[傳統八聲調], "N/A"))</f>
        <v/>
      </c>
    </row>
    <row r="243" spans="1:6">
      <c r="A243" t="s">
        <v>281</v>
      </c>
      <c r="B243" t="s">
        <v>282</v>
      </c>
      <c r="C243" t="s">
        <v>741</v>
      </c>
      <c r="D243" t="str">
        <f xml:space="preserve"> IF($B243="", "", _xlfn.XLOOKUP(RIGHT($B243), 聲母對照表[十五音], 聲母對照表[台語音標], "N/A"))</f>
        <v>z</v>
      </c>
      <c r="E243" t="str">
        <f xml:space="preserve"> IF($B243="", "", _xlfn.XLOOKUP(LEFT($B243), 韻母對照表[十五音], 韻母對照表[台語音標], "N/A"))</f>
        <v>ik</v>
      </c>
      <c r="F243">
        <f xml:space="preserve"> IF($B243="", "", _xlfn.XLOOKUP(MID($B243,2,1), 聲調對照表[十五音調號], 聲調對照表[傳統八聲調], "N/A"))</f>
        <v>3</v>
      </c>
    </row>
    <row r="244" spans="1:6">
      <c r="A244" t="s">
        <v>283</v>
      </c>
      <c r="B244" t="s">
        <v>284</v>
      </c>
      <c r="C244" t="s">
        <v>742</v>
      </c>
      <c r="D244" t="str">
        <f xml:space="preserve"> IF($B244="", "", _xlfn.XLOOKUP(RIGHT($B244), 聲母對照表[十五音], 聲母對照表[台語音標], "N/A"))</f>
        <v>k</v>
      </c>
      <c r="E244" t="str">
        <f xml:space="preserve"> IF($B244="", "", _xlfn.XLOOKUP(LEFT($B244), 韻母對照表[十五音], 韻母對照表[台語音標], "N/A"))</f>
        <v>im</v>
      </c>
      <c r="F244">
        <f xml:space="preserve"> IF($B244="", "", _xlfn.XLOOKUP(MID($B244,2,1), 聲調對照表[十五音調號], 聲調對照表[傳統八聲調], "N/A"))</f>
        <v>1</v>
      </c>
    </row>
    <row r="245" spans="1:6">
      <c r="A245" t="s">
        <v>285</v>
      </c>
      <c r="B245" t="s">
        <v>286</v>
      </c>
      <c r="C245" t="s">
        <v>743</v>
      </c>
      <c r="D245" t="str">
        <f xml:space="preserve"> IF($B245="", "", _xlfn.XLOOKUP(RIGHT($B245), 聲母對照表[十五音], 聲母對照表[台語音標], "N/A"))</f>
        <v>g</v>
      </c>
      <c r="E245" t="str">
        <f xml:space="preserve"> IF($B245="", "", _xlfn.XLOOKUP(LEFT($B245), 韻母對照表[十五音], 韻母對照表[台語音標], "N/A"))</f>
        <v>ui</v>
      </c>
      <c r="F245">
        <f xml:space="preserve"> IF($B245="", "", _xlfn.XLOOKUP(MID($B245,2,1), 聲調對照表[十五音調號], 聲調對照表[傳統八聲調], "N/A"))</f>
        <v>5</v>
      </c>
    </row>
    <row r="246" spans="1:6">
      <c r="A246" t="s">
        <v>287</v>
      </c>
      <c r="B246" t="s">
        <v>288</v>
      </c>
      <c r="C246" t="s">
        <v>744</v>
      </c>
      <c r="D246" t="str">
        <f xml:space="preserve"> IF($B246="", "", _xlfn.XLOOKUP(RIGHT($B246), 聲母對照表[十五音], 聲母對照表[台語音標], "N/A"))</f>
        <v>z</v>
      </c>
      <c r="E246" t="str">
        <f xml:space="preserve"> IF($B246="", "", _xlfn.XLOOKUP(LEFT($B246), 韻母對照表[十五音], 韻母對照表[台語音標], "N/A"))</f>
        <v>o</v>
      </c>
      <c r="F246">
        <f xml:space="preserve"> IF($B246="", "", _xlfn.XLOOKUP(MID($B246,2,1), 聲調對照表[十五音調號], 聲調對照表[傳統八聲調], "N/A"))</f>
        <v>2</v>
      </c>
    </row>
    <row r="247" spans="1:6">
      <c r="A247" t="s">
        <v>29</v>
      </c>
      <c r="D247" t="str">
        <f xml:space="preserve"> IF($B247="", "", _xlfn.XLOOKUP(RIGHT($B247), 聲母對照表[十五音], 聲母對照表[台語音標], "N/A"))</f>
        <v/>
      </c>
      <c r="E247" t="str">
        <f xml:space="preserve"> IF($B247="", "", _xlfn.XLOOKUP(LEFT($B247), 韻母對照表[十五音], 韻母對照表[台語音標], "N/A"))</f>
        <v/>
      </c>
      <c r="F247" t="str">
        <f xml:space="preserve"> IF($B247="", "", _xlfn.XLOOKUP(MID($B247,2,1), 聲調對照表[十五音調號], 聲調對照表[傳統八聲調], "N/A"))</f>
        <v/>
      </c>
    </row>
    <row r="248" spans="1:6">
      <c r="A248" t="s">
        <v>157</v>
      </c>
      <c r="B248" t="s">
        <v>150</v>
      </c>
      <c r="C248" t="s">
        <v>664</v>
      </c>
      <c r="D248" t="str">
        <f xml:space="preserve"> IF($B248="", "", _xlfn.XLOOKUP(RIGHT($B248), 聲母對照表[十五音], 聲母對照表[台語音標], "N/A"))</f>
        <v>j</v>
      </c>
      <c r="E248" t="str">
        <f xml:space="preserve"> IF($B248="", "", _xlfn.XLOOKUP(LEFT($B248), 韻母對照表[十五音], 韻母對照表[台語音標], "N/A"))</f>
        <v>i</v>
      </c>
      <c r="F248">
        <f xml:space="preserve"> IF($B248="", "", _xlfn.XLOOKUP(MID($B248,2,1), 聲調對照表[十五音調號], 聲調對照表[傳統八聲調], "N/A"))</f>
        <v>5</v>
      </c>
    </row>
    <row r="249" spans="1:6">
      <c r="A249" t="s">
        <v>289</v>
      </c>
      <c r="B249" t="s">
        <v>290</v>
      </c>
      <c r="C249" t="s">
        <v>745</v>
      </c>
      <c r="D249" t="str">
        <f xml:space="preserve"> IF($B249="", "", _xlfn.XLOOKUP(RIGHT($B249), 聲母對照表[十五音], 聲母對照表[台語音標], "N/A"))</f>
        <v>b</v>
      </c>
      <c r="E249" t="str">
        <f xml:space="preserve"> IF($B249="", "", _xlfn.XLOOKUP(LEFT($B249), 韻母對照表[十五音], 韻母對照表[台語音標], "N/A"))</f>
        <v>un</v>
      </c>
      <c r="F249">
        <f xml:space="preserve"> IF($B249="", "", _xlfn.XLOOKUP(MID($B249,2,1), 聲調對照表[十五音調號], 聲調對照表[傳統八聲調], "N/A"))</f>
        <v>7</v>
      </c>
    </row>
    <row r="250" spans="1:6">
      <c r="A250" t="s">
        <v>42</v>
      </c>
      <c r="B250" t="s">
        <v>43</v>
      </c>
      <c r="C250" t="s">
        <v>600</v>
      </c>
      <c r="D250" t="str">
        <f xml:space="preserve"> IF($B250="", "", _xlfn.XLOOKUP(RIGHT($B250), 聲母對照表[十五音], 聲母對照表[台語音標], "N/A"))</f>
        <v>kh</v>
      </c>
      <c r="E250" t="str">
        <f xml:space="preserve"> IF($B250="", "", _xlfn.XLOOKUP(LEFT($B250), 韻母對照表[十五音], 韻母對照表[台語音標], "N/A"))</f>
        <v>ik</v>
      </c>
      <c r="F250">
        <f xml:space="preserve"> IF($B250="", "", _xlfn.XLOOKUP(MID($B250,2,1), 聲調對照表[十五音調號], 聲調對照表[傳統八聲調], "N/A"))</f>
        <v>4</v>
      </c>
    </row>
    <row r="251" spans="1:6">
      <c r="A251" t="s">
        <v>193</v>
      </c>
      <c r="B251" t="s">
        <v>194</v>
      </c>
      <c r="C251" t="s">
        <v>976</v>
      </c>
      <c r="D251" t="str">
        <f xml:space="preserve"> IF($B251="", "", _xlfn.XLOOKUP(RIGHT($B251), 聲母對照表[十五音], 聲母對照表[台語音標], "N/A"))</f>
        <v>Ø</v>
      </c>
      <c r="E251" t="str">
        <f xml:space="preserve"> IF($B251="", "", _xlfn.XLOOKUP(LEFT($B251), 韻母對照表[十五音], 韻母對照表[台語音標], "N/A"))</f>
        <v>uan</v>
      </c>
      <c r="F251">
        <f xml:space="preserve"> IF($B251="", "", _xlfn.XLOOKUP(MID($B251,2,1), 聲調對照表[十五音調號], 聲調對照表[傳統八聲調], "N/A"))</f>
        <v>8</v>
      </c>
    </row>
    <row r="252" spans="1:6">
      <c r="A252" t="s">
        <v>16</v>
      </c>
      <c r="D252" t="str">
        <f xml:space="preserve"> IF($B252="", "", _xlfn.XLOOKUP(RIGHT($B252), 聲母對照表[十五音], 聲母對照表[台語音標], "N/A"))</f>
        <v/>
      </c>
      <c r="E252" t="str">
        <f xml:space="preserve"> IF($B252="", "", _xlfn.XLOOKUP(LEFT($B252), 韻母對照表[十五音], 韻母對照表[台語音標], "N/A"))</f>
        <v/>
      </c>
      <c r="F252" t="str">
        <f xml:space="preserve"> IF($B252="", "", _xlfn.XLOOKUP(MID($B252,2,1), 聲調對照表[十五音調號], 聲調對照表[傳統八聲調], "N/A"))</f>
        <v/>
      </c>
    </row>
    <row r="253" spans="1:6">
      <c r="A253" t="s">
        <v>195</v>
      </c>
      <c r="D253" t="str">
        <f xml:space="preserve"> IF($B253="", "", _xlfn.XLOOKUP(RIGHT($B253), 聲母對照表[十五音], 聲母對照表[台語音標], "N/A"))</f>
        <v/>
      </c>
      <c r="E253" t="str">
        <f xml:space="preserve"> IF($B253="", "", _xlfn.XLOOKUP(LEFT($B253), 韻母對照表[十五音], 韻母對照表[台語音標], "N/A"))</f>
        <v/>
      </c>
      <c r="F253" t="str">
        <f xml:space="preserve"> IF($B253="", "", _xlfn.XLOOKUP(MID($B253,2,1), 聲調對照表[十五音調號], 聲調對照表[傳統八聲調], "N/A"))</f>
        <v/>
      </c>
    </row>
    <row r="254" spans="1:6">
      <c r="A254" t="s">
        <v>196</v>
      </c>
      <c r="D254" t="str">
        <f xml:space="preserve"> IF($B254="", "", _xlfn.XLOOKUP(RIGHT($B254), 聲母對照表[十五音], 聲母對照表[台語音標], "N/A"))</f>
        <v/>
      </c>
      <c r="E254" t="str">
        <f xml:space="preserve"> IF($B254="", "", _xlfn.XLOOKUP(LEFT($B254), 韻母對照表[十五音], 韻母對照表[台語音標], "N/A"))</f>
        <v/>
      </c>
      <c r="F254" t="str">
        <f xml:space="preserve"> IF($B254="", "", _xlfn.XLOOKUP(MID($B254,2,1), 聲調對照表[十五音調號], 聲調對照表[傳統八聲調], "N/A"))</f>
        <v/>
      </c>
    </row>
    <row r="255" spans="1:6">
      <c r="A255" t="s">
        <v>291</v>
      </c>
      <c r="B255" t="s">
        <v>242</v>
      </c>
      <c r="C255" t="s">
        <v>721</v>
      </c>
      <c r="D255" t="str">
        <f xml:space="preserve"> IF($B255="", "", _xlfn.XLOOKUP(RIGHT($B255), 聲母對照表[十五音], 聲母對照表[台語音標], "N/A"))</f>
        <v>h</v>
      </c>
      <c r="E255" t="str">
        <f xml:space="preserve"> IF($B255="", "", _xlfn.XLOOKUP(LEFT($B255), 韻母對照表[十五音], 韻母對照表[台語音標], "N/A"))</f>
        <v>o</v>
      </c>
      <c r="F255">
        <f xml:space="preserve"> IF($B255="", "", _xlfn.XLOOKUP(MID($B255,2,1), 聲調對照表[十五音調號], 聲調對照表[傳統八聲調], "N/A"))</f>
        <v>5</v>
      </c>
    </row>
    <row r="256" spans="1:6">
      <c r="A256" t="s">
        <v>292</v>
      </c>
      <c r="B256" t="s">
        <v>293</v>
      </c>
      <c r="C256" t="s">
        <v>989</v>
      </c>
      <c r="D256" t="str">
        <f xml:space="preserve"> IF($B256="", "", _xlfn.XLOOKUP(RIGHT($B256), 聲母對照表[十五音], 聲母對照表[台語音標], "N/A"))</f>
        <v>Ø</v>
      </c>
      <c r="E256" t="str">
        <f xml:space="preserve"> IF($B256="", "", _xlfn.XLOOKUP(LEFT($B256), 韻母對照表[十五音], 韻母對照表[台語音標], "N/A"))</f>
        <v>ui</v>
      </c>
      <c r="F256">
        <f xml:space="preserve"> IF($B256="", "", _xlfn.XLOOKUP(MID($B256,2,1), 聲調對照表[十五音調號], 聲調對照表[傳統八聲調], "N/A"))</f>
        <v>7</v>
      </c>
    </row>
    <row r="257" spans="1:6">
      <c r="A257" t="s">
        <v>160</v>
      </c>
      <c r="B257" t="s">
        <v>161</v>
      </c>
      <c r="C257" t="s">
        <v>676</v>
      </c>
      <c r="D257" t="str">
        <f xml:space="preserve"> IF($B257="", "", _xlfn.XLOOKUP(RIGHT($B257), 聲母對照表[十五音], 聲母對照表[台語音標], "N/A"))</f>
        <v>k</v>
      </c>
      <c r="E257" t="str">
        <f xml:space="preserve"> IF($B257="", "", _xlfn.XLOOKUP(LEFT($B257), 韻母對照表[十五音], 韻母對照表[台語音標], "N/A"))</f>
        <v>i</v>
      </c>
      <c r="F257">
        <f xml:space="preserve"> IF($B257="", "", _xlfn.XLOOKUP(MID($B257,2,1), 聲調對照表[十五音調號], 聲調對照表[傳統八聲調], "N/A"))</f>
        <v>5</v>
      </c>
    </row>
    <row r="258" spans="1:6">
      <c r="A258" t="s">
        <v>144</v>
      </c>
      <c r="B258" t="s">
        <v>145</v>
      </c>
      <c r="C258" t="s">
        <v>669</v>
      </c>
      <c r="D258" t="str">
        <f xml:space="preserve"> IF($B258="", "", _xlfn.XLOOKUP(RIGHT($B258), 聲母對照表[十五音], 聲母對照表[台語音標], "N/A"))</f>
        <v>j</v>
      </c>
      <c r="E258" t="str">
        <f xml:space="preserve"> IF($B258="", "", _xlfn.XLOOKUP(LEFT($B258), 韻母對照表[十五音], 韻母對照表[台語音標], "N/A"))</f>
        <v>ian</v>
      </c>
      <c r="F258">
        <f xml:space="preserve"> IF($B258="", "", _xlfn.XLOOKUP(MID($B258,2,1), 聲調對照表[十五音調號], 聲調對照表[傳統八聲調], "N/A"))</f>
        <v>5</v>
      </c>
    </row>
    <row r="259" spans="1:6">
      <c r="A259" t="s">
        <v>294</v>
      </c>
      <c r="B259" t="s">
        <v>295</v>
      </c>
      <c r="C259" t="s">
        <v>990</v>
      </c>
      <c r="D259" t="str">
        <f xml:space="preserve"> IF($B259="", "", _xlfn.XLOOKUP(RIGHT($B259), 聲母對照表[十五音], 聲母對照表[台語音標], "N/A"))</f>
        <v>Ø</v>
      </c>
      <c r="E259" t="str">
        <f xml:space="preserve"> IF($B259="", "", _xlfn.XLOOKUP(LEFT($B259), 韻母對照表[十五音], 韻母對照表[台語音標], "N/A"))</f>
        <v>ia</v>
      </c>
      <c r="F259">
        <f xml:space="preserve"> IF($B259="", "", _xlfn.XLOOKUP(MID($B259,2,1), 聲調對照表[十五音調號], 聲調對照表[傳統八聲調], "N/A"))</f>
        <v>2</v>
      </c>
    </row>
    <row r="260" spans="1:6">
      <c r="A260" t="s">
        <v>296</v>
      </c>
      <c r="D260" t="str">
        <f xml:space="preserve"> IF($B260="", "", _xlfn.XLOOKUP(RIGHT($B260), 聲母對照表[十五音], 聲母對照表[台語音標], "N/A"))</f>
        <v/>
      </c>
      <c r="E260" t="str">
        <f xml:space="preserve"> IF($B260="", "", _xlfn.XLOOKUP(LEFT($B260), 韻母對照表[十五音], 韻母對照表[台語音標], "N/A"))</f>
        <v/>
      </c>
      <c r="F260" t="str">
        <f xml:space="preserve"> IF($B260="", "", _xlfn.XLOOKUP(MID($B260,2,1), 聲調對照表[十五音調號], 聲調對照表[傳統八聲調], "N/A"))</f>
        <v/>
      </c>
    </row>
    <row r="261" spans="1:6">
      <c r="A261" t="s">
        <v>195</v>
      </c>
      <c r="D261" t="str">
        <f xml:space="preserve"> IF($B261="", "", _xlfn.XLOOKUP(RIGHT($B261), 聲母對照表[十五音], 聲母對照表[台語音標], "N/A"))</f>
        <v/>
      </c>
      <c r="E261" t="str">
        <f xml:space="preserve"> IF($B261="", "", _xlfn.XLOOKUP(LEFT($B261), 韻母對照表[十五音], 韻母對照表[台語音標], "N/A"))</f>
        <v/>
      </c>
      <c r="F261" t="str">
        <f xml:space="preserve"> IF($B261="", "", _xlfn.XLOOKUP(MID($B261,2,1), 聲調對照表[十五音調號], 聲調對照表[傳統八聲調], "N/A"))</f>
        <v/>
      </c>
    </row>
    <row r="262" spans="1:6">
      <c r="A262" t="s">
        <v>228</v>
      </c>
      <c r="D262" t="str">
        <f xml:space="preserve"> IF($B262="", "", _xlfn.XLOOKUP(RIGHT($B262), 聲母對照表[十五音], 聲母對照表[台語音標], "N/A"))</f>
        <v/>
      </c>
      <c r="E262" t="str">
        <f xml:space="preserve"> IF($B262="", "", _xlfn.XLOOKUP(LEFT($B262), 韻母對照表[十五音], 韻母對照表[台語音標], "N/A"))</f>
        <v/>
      </c>
      <c r="F262" t="str">
        <f xml:space="preserve"> IF($B262="", "", _xlfn.XLOOKUP(MID($B262,2,1), 聲調對照表[十五音調號], 聲調對照表[傳統八聲調], "N/A"))</f>
        <v/>
      </c>
    </row>
    <row r="263" spans="1:6">
      <c r="A263" t="s">
        <v>42</v>
      </c>
      <c r="B263" t="s">
        <v>43</v>
      </c>
      <c r="C263" t="s">
        <v>600</v>
      </c>
      <c r="D263" t="str">
        <f xml:space="preserve"> IF($B263="", "", _xlfn.XLOOKUP(RIGHT($B263), 聲母對照表[十五音], 聲母對照表[台語音標], "N/A"))</f>
        <v>kh</v>
      </c>
      <c r="E263" t="str">
        <f xml:space="preserve"> IF($B263="", "", _xlfn.XLOOKUP(LEFT($B263), 韻母對照表[十五音], 韻母對照表[台語音標], "N/A"))</f>
        <v>ik</v>
      </c>
      <c r="F263">
        <f xml:space="preserve"> IF($B263="", "", _xlfn.XLOOKUP(MID($B263,2,1), 聲調對照表[十五音調號], 聲調對照表[傳統八聲調], "N/A"))</f>
        <v>4</v>
      </c>
    </row>
    <row r="264" spans="1:6">
      <c r="A264" t="s">
        <v>193</v>
      </c>
      <c r="B264" t="s">
        <v>194</v>
      </c>
      <c r="C264" t="s">
        <v>976</v>
      </c>
      <c r="D264" t="str">
        <f xml:space="preserve"> IF($B264="", "", _xlfn.XLOOKUP(RIGHT($B264), 聲母對照表[十五音], 聲母對照表[台語音標], "N/A"))</f>
        <v>Ø</v>
      </c>
      <c r="E264" t="str">
        <f xml:space="preserve"> IF($B264="", "", _xlfn.XLOOKUP(LEFT($B264), 韻母對照表[十五音], 韻母對照表[台語音標], "N/A"))</f>
        <v>uan</v>
      </c>
      <c r="F264">
        <f xml:space="preserve"> IF($B264="", "", _xlfn.XLOOKUP(MID($B264,2,1), 聲調對照表[十五音調號], 聲調對照表[傳統八聲調], "N/A"))</f>
        <v>8</v>
      </c>
    </row>
    <row r="265" spans="1:6">
      <c r="A265" t="s">
        <v>16</v>
      </c>
      <c r="D265" t="str">
        <f xml:space="preserve"> IF($B265="", "", _xlfn.XLOOKUP(RIGHT($B265), 聲母對照表[十五音], 聲母對照表[台語音標], "N/A"))</f>
        <v/>
      </c>
      <c r="E265" t="str">
        <f xml:space="preserve"> IF($B265="", "", _xlfn.XLOOKUP(LEFT($B265), 韻母對照表[十五音], 韻母對照表[台語音標], "N/A"))</f>
        <v/>
      </c>
      <c r="F265" t="str">
        <f xml:space="preserve"> IF($B265="", "", _xlfn.XLOOKUP(MID($B265,2,1), 聲調對照表[十五音調號], 聲調對照表[傳統八聲調], "N/A"))</f>
        <v/>
      </c>
    </row>
    <row r="266" spans="1:6">
      <c r="A266" t="s">
        <v>195</v>
      </c>
      <c r="D266" t="str">
        <f xml:space="preserve"> IF($B266="", "", _xlfn.XLOOKUP(RIGHT($B266), 聲母對照表[十五音], 聲母對照表[台語音標], "N/A"))</f>
        <v/>
      </c>
      <c r="E266" t="str">
        <f xml:space="preserve"> IF($B266="", "", _xlfn.XLOOKUP(LEFT($B266), 韻母對照表[十五音], 韻母對照表[台語音標], "N/A"))</f>
        <v/>
      </c>
      <c r="F266" t="str">
        <f xml:space="preserve"> IF($B266="", "", _xlfn.XLOOKUP(MID($B266,2,1), 聲調對照表[十五音調號], 聲調對照表[傳統八聲調], "N/A"))</f>
        <v/>
      </c>
    </row>
    <row r="267" spans="1:6">
      <c r="A267" t="s">
        <v>196</v>
      </c>
      <c r="D267" t="str">
        <f xml:space="preserve"> IF($B267="", "", _xlfn.XLOOKUP(RIGHT($B267), 聲母對照表[十五音], 聲母對照表[台語音標], "N/A"))</f>
        <v/>
      </c>
      <c r="E267" t="str">
        <f xml:space="preserve"> IF($B267="", "", _xlfn.XLOOKUP(LEFT($B267), 韻母對照表[十五音], 韻母對照表[台語音標], "N/A"))</f>
        <v/>
      </c>
      <c r="F267" t="str">
        <f xml:space="preserve"> IF($B267="", "", _xlfn.XLOOKUP(MID($B267,2,1), 聲調對照表[十五音調號], 聲調對照表[傳統八聲調], "N/A"))</f>
        <v/>
      </c>
    </row>
    <row r="268" spans="1:6">
      <c r="A268" t="s">
        <v>195</v>
      </c>
      <c r="D268" t="str">
        <f xml:space="preserve"> IF($B268="", "", _xlfn.XLOOKUP(RIGHT($B268), 聲母對照表[十五音], 聲母對照表[台語音標], "N/A"))</f>
        <v/>
      </c>
      <c r="E268" t="str">
        <f xml:space="preserve"> IF($B268="", "", _xlfn.XLOOKUP(LEFT($B268), 韻母對照表[十五音], 韻母對照表[台語音標], "N/A"))</f>
        <v/>
      </c>
      <c r="F268" t="str">
        <f xml:space="preserve"> IF($B268="", "", _xlfn.XLOOKUP(MID($B268,2,1), 聲調對照表[十五音調號], 聲調對照表[傳統八聲調], "N/A"))</f>
        <v/>
      </c>
    </row>
    <row r="269" spans="1:6">
      <c r="A269" t="s">
        <v>297</v>
      </c>
      <c r="D269" t="str">
        <f xml:space="preserve"> IF($B269="", "", _xlfn.XLOOKUP(RIGHT($B269), 聲母對照表[十五音], 聲母對照表[台語音標], "N/A"))</f>
        <v/>
      </c>
      <c r="E269" t="str">
        <f xml:space="preserve"> IF($B269="", "", _xlfn.XLOOKUP(LEFT($B269), 韻母對照表[十五音], 韻母對照表[台語音標], "N/A"))</f>
        <v/>
      </c>
      <c r="F269" t="str">
        <f xml:space="preserve"> IF($B269="", "", _xlfn.XLOOKUP(MID($B269,2,1), 聲調對照表[十五音調號], 聲調對照表[傳統八聲調], "N/A"))</f>
        <v/>
      </c>
    </row>
    <row r="270" spans="1:6">
      <c r="A270" t="s">
        <v>32</v>
      </c>
      <c r="B270" t="s">
        <v>33</v>
      </c>
      <c r="C270" t="s">
        <v>590</v>
      </c>
      <c r="D270" t="str">
        <f xml:space="preserve"> IF($B270="", "", _xlfn.XLOOKUP(RIGHT($B270), 聲母對照表[十五音], 聲母對照表[台語音標], "N/A"))</f>
        <v>g</v>
      </c>
      <c r="E270" t="str">
        <f xml:space="preserve"> IF($B270="", "", _xlfn.XLOOKUP(LEFT($B270), 韻母對照表[十五音], 韻母對照表[台語音標], "N/A"))</f>
        <v>uan</v>
      </c>
      <c r="F270">
        <f xml:space="preserve"> IF($B270="", "", _xlfn.XLOOKUP(MID($B270,2,1), 聲調對照表[十五音調號], 聲調對照表[傳統八聲調], "N/A"))</f>
        <v>8</v>
      </c>
    </row>
    <row r="271" spans="1:6">
      <c r="A271" t="s">
        <v>79</v>
      </c>
      <c r="B271" t="s">
        <v>80</v>
      </c>
      <c r="C271" t="s">
        <v>629</v>
      </c>
      <c r="D271" t="str">
        <f xml:space="preserve"> IF($B271="", "", _xlfn.XLOOKUP(RIGHT($B271), 聲母對照表[十五音], 聲母對照表[台語音標], "N/A"))</f>
        <v>b</v>
      </c>
      <c r="E271" t="str">
        <f xml:space="preserve"> IF($B271="", "", _xlfn.XLOOKUP(LEFT($B271), 韻母對照表[十五音], 韻母對照表[台語音標], "N/A"))</f>
        <v>ik</v>
      </c>
      <c r="F271">
        <f xml:space="preserve"> IF($B271="", "", _xlfn.XLOOKUP(MID($B271,2,1), 聲調對照表[十五音調號], 聲調對照表[傳統八聲調], "N/A"))</f>
        <v>5</v>
      </c>
    </row>
    <row r="272" spans="1:6">
      <c r="A272" t="s">
        <v>298</v>
      </c>
      <c r="B272" t="s">
        <v>244</v>
      </c>
      <c r="C272" t="s">
        <v>722</v>
      </c>
      <c r="D272" t="str">
        <f xml:space="preserve"> IF($B272="", "", _xlfn.XLOOKUP(RIGHT($B272), 聲母對照表[十五音], 聲母對照表[台語音標], "N/A"))</f>
        <v>s</v>
      </c>
      <c r="E272" t="str">
        <f xml:space="preserve"> IF($B272="", "", _xlfn.XLOOKUP(LEFT($B272), 韻母對照表[十五音], 韻母對照表[台語音標], "N/A"))</f>
        <v>ik</v>
      </c>
      <c r="F272">
        <f xml:space="preserve"> IF($B272="", "", _xlfn.XLOOKUP(MID($B272,2,1), 聲調對照表[十五音調號], 聲調對照表[傳統八聲調], "N/A"))</f>
        <v>1</v>
      </c>
    </row>
    <row r="273" spans="1:6">
      <c r="A273" t="s">
        <v>299</v>
      </c>
      <c r="B273" t="s">
        <v>300</v>
      </c>
      <c r="C273" t="s">
        <v>749</v>
      </c>
      <c r="D273" t="str">
        <f xml:space="preserve"> IF($B273="", "", _xlfn.XLOOKUP(RIGHT($B273), 聲母對照表[十五音], 聲母對照表[台語音標], "N/A"))</f>
        <v>h</v>
      </c>
      <c r="E273" t="str">
        <f xml:space="preserve"> IF($B273="", "", _xlfn.XLOOKUP(LEFT($B273), 韻母對照表[十五音], 韻母對照表[台語音標], "N/A"))</f>
        <v>i</v>
      </c>
      <c r="F273">
        <f xml:space="preserve"> IF($B273="", "", _xlfn.XLOOKUP(MID($B273,2,1), 聲調對照表[十五音調號], 聲調對照表[傳統八聲調], "N/A"))</f>
        <v>1</v>
      </c>
    </row>
    <row r="274" spans="1:6">
      <c r="A274" t="s">
        <v>29</v>
      </c>
      <c r="D274" t="str">
        <f xml:space="preserve"> IF($B274="", "", _xlfn.XLOOKUP(RIGHT($B274), 聲母對照表[十五音], 聲母對照表[台語音標], "N/A"))</f>
        <v/>
      </c>
      <c r="E274" t="str">
        <f xml:space="preserve"> IF($B274="", "", _xlfn.XLOOKUP(LEFT($B274), 韻母對照表[十五音], 韻母對照表[台語音標], "N/A"))</f>
        <v/>
      </c>
      <c r="F274" t="str">
        <f xml:space="preserve"> IF($B274="", "", _xlfn.XLOOKUP(MID($B274,2,1), 聲調對照表[十五音調號], 聲調對照表[傳統八聲調], "N/A"))</f>
        <v/>
      </c>
    </row>
    <row r="275" spans="1:6">
      <c r="A275" t="s">
        <v>301</v>
      </c>
      <c r="B275" t="s">
        <v>246</v>
      </c>
      <c r="C275" t="s">
        <v>984</v>
      </c>
      <c r="D275" t="str">
        <f xml:space="preserve"> IF($B275="", "", _xlfn.XLOOKUP(RIGHT($B275), 聲母對照表[十五音], 聲母對照表[台語音標], "N/A"))</f>
        <v>Ø</v>
      </c>
      <c r="E275" t="str">
        <f xml:space="preserve"> IF($B275="", "", _xlfn.XLOOKUP(LEFT($B275), 韻母對照表[十五音], 韻母對照表[台語音標], "N/A"))</f>
        <v>oo</v>
      </c>
      <c r="F275">
        <f xml:space="preserve"> IF($B275="", "", _xlfn.XLOOKUP(MID($B275,2,1), 聲調對照表[十五音調號], 聲調對照表[傳統八聲調], "N/A"))</f>
        <v>1</v>
      </c>
    </row>
    <row r="276" spans="1:6">
      <c r="A276" t="s">
        <v>302</v>
      </c>
      <c r="B276" t="s">
        <v>303</v>
      </c>
      <c r="C276" t="s">
        <v>750</v>
      </c>
      <c r="D276" t="str">
        <f xml:space="preserve"> IF($B276="", "", _xlfn.XLOOKUP(RIGHT($B276), 聲母對照表[十五音], 聲母對照表[台語音標], "N/A"))</f>
        <v>c</v>
      </c>
      <c r="E276" t="str">
        <f xml:space="preserve"> IF($B276="", "", _xlfn.XLOOKUP(LEFT($B276), 韻母對照表[十五音], 韻母對照表[台語音標], "N/A"))</f>
        <v>iok</v>
      </c>
      <c r="F276">
        <f xml:space="preserve"> IF($B276="", "", _xlfn.XLOOKUP(MID($B276,2,1), 聲調對照表[十五音調號], 聲調對照表[傳統八聲調], "N/A"))</f>
        <v>4</v>
      </c>
    </row>
    <row r="277" spans="1:6">
      <c r="A277" t="s">
        <v>304</v>
      </c>
      <c r="B277" t="s">
        <v>305</v>
      </c>
      <c r="C277" t="s">
        <v>751</v>
      </c>
      <c r="D277" t="str">
        <f xml:space="preserve"> IF($B277="", "", _xlfn.XLOOKUP(RIGHT($B277), 聲母對照表[十五音], 聲母對照表[台語音標], "N/A"))</f>
        <v>l</v>
      </c>
      <c r="E277" t="str">
        <f xml:space="preserve"> IF($B277="", "", _xlfn.XLOOKUP(LEFT($B277), 韻母對照表[十五音], 韻母對照表[台語音標], "N/A"))</f>
        <v>am</v>
      </c>
      <c r="F277">
        <f xml:space="preserve"> IF($B277="", "", _xlfn.XLOOKUP(MID($B277,2,1), 聲調對照表[十五音調號], 聲調對照表[傳統八聲調], "N/A"))</f>
        <v>5</v>
      </c>
    </row>
    <row r="278" spans="1:6">
      <c r="A278" t="s">
        <v>306</v>
      </c>
      <c r="B278" t="s">
        <v>307</v>
      </c>
      <c r="C278" t="s">
        <v>753</v>
      </c>
      <c r="D278" t="str">
        <f xml:space="preserve"> IF($B278="", "", _xlfn.XLOOKUP(RIGHT($B278), 聲母對照表[十五音], 聲母對照表[台語音標], "N/A"))</f>
        <v>h</v>
      </c>
      <c r="E278" t="str">
        <f xml:space="preserve"> IF($B278="", "", _xlfn.XLOOKUP(LEFT($B278), 韻母對照表[十五音], 韻母對照表[台語音標], "N/A"))</f>
        <v>ui</v>
      </c>
      <c r="F278">
        <f xml:space="preserve"> IF($B278="", "", _xlfn.XLOOKUP(MID($B278,2,1), 聲調對照表[十五音調號], 聲調對照表[傳統八聲調], "N/A"))</f>
        <v>1</v>
      </c>
    </row>
    <row r="279" spans="1:6">
      <c r="A279" t="s">
        <v>308</v>
      </c>
      <c r="D279" t="str">
        <f xml:space="preserve"> IF($B279="", "", _xlfn.XLOOKUP(RIGHT($B279), 聲母對照表[十五音], 聲母對照表[台語音標], "N/A"))</f>
        <v/>
      </c>
      <c r="E279" t="str">
        <f xml:space="preserve"> IF($B279="", "", _xlfn.XLOOKUP(LEFT($B279), 韻母對照表[十五音], 韻母對照表[台語音標], "N/A"))</f>
        <v/>
      </c>
      <c r="F279" t="str">
        <f xml:space="preserve"> IF($B279="", "", _xlfn.XLOOKUP(MID($B279,2,1), 聲調對照表[十五音調號], 聲調對照表[傳統八聲調], "N/A"))</f>
        <v/>
      </c>
    </row>
    <row r="280" spans="1:6">
      <c r="A280" t="s">
        <v>195</v>
      </c>
      <c r="D280" t="str">
        <f xml:space="preserve"> IF($B280="", "", _xlfn.XLOOKUP(RIGHT($B280), 聲母對照表[十五音], 聲母對照表[台語音標], "N/A"))</f>
        <v/>
      </c>
      <c r="E280" t="str">
        <f xml:space="preserve"> IF($B280="", "", _xlfn.XLOOKUP(LEFT($B280), 韻母對照表[十五音], 韻母對照表[台語音標], "N/A"))</f>
        <v/>
      </c>
      <c r="F280" t="str">
        <f xml:space="preserve"> IF($B280="", "", _xlfn.XLOOKUP(MID($B280,2,1), 聲調對照表[十五音調號], 聲調對照表[傳統八聲調], "N/A"))</f>
        <v/>
      </c>
    </row>
    <row r="281" spans="1:6">
      <c r="A281" t="s">
        <v>29</v>
      </c>
      <c r="D281" t="str">
        <f xml:space="preserve"> IF($B281="", "", _xlfn.XLOOKUP(RIGHT($B281), 聲母對照表[十五音], 聲母對照表[台語音標], "N/A"))</f>
        <v/>
      </c>
      <c r="E281" t="str">
        <f xml:space="preserve"> IF($B281="", "", _xlfn.XLOOKUP(LEFT($B281), 韻母對照表[十五音], 韻母對照表[台語音標], "N/A"))</f>
        <v/>
      </c>
      <c r="F281" t="str">
        <f xml:space="preserve"> IF($B281="", "", _xlfn.XLOOKUP(MID($B281,2,1), 聲調對照表[十五音調號], 聲調對照表[傳統八聲調], "N/A"))</f>
        <v/>
      </c>
    </row>
    <row r="282" spans="1:6">
      <c r="A282" t="s">
        <v>309</v>
      </c>
      <c r="B282" t="s">
        <v>310</v>
      </c>
      <c r="C282" t="s">
        <v>754</v>
      </c>
      <c r="D282" t="str">
        <f xml:space="preserve"> IF($B282="", "", _xlfn.XLOOKUP(RIGHT($B282), 聲母對照表[十五音], 聲母對照表[台語音標], "N/A"))</f>
        <v>c</v>
      </c>
      <c r="E282" t="str">
        <f xml:space="preserve"> IF($B282="", "", _xlfn.XLOOKUP(LEFT($B282), 韻母對照表[十五音], 韻母對照表[台語音標], "N/A"))</f>
        <v>u</v>
      </c>
      <c r="F282">
        <f xml:space="preserve"> IF($B282="", "", _xlfn.XLOOKUP(MID($B282,2,1), 聲調對照表[十五音調號], 聲調對照表[傳統八聲調], "N/A"))</f>
        <v>2</v>
      </c>
    </row>
    <row r="283" spans="1:6">
      <c r="A283" t="s">
        <v>311</v>
      </c>
      <c r="B283" t="s">
        <v>307</v>
      </c>
      <c r="C283" t="s">
        <v>753</v>
      </c>
      <c r="D283" t="str">
        <f xml:space="preserve"> IF($B283="", "", _xlfn.XLOOKUP(RIGHT($B283), 聲母對照表[十五音], 聲母對照表[台語音標], "N/A"))</f>
        <v>h</v>
      </c>
      <c r="E283" t="str">
        <f xml:space="preserve"> IF($B283="", "", _xlfn.XLOOKUP(LEFT($B283), 韻母對照表[十五音], 韻母對照表[台語音標], "N/A"))</f>
        <v>ui</v>
      </c>
      <c r="F283">
        <f xml:space="preserve"> IF($B283="", "", _xlfn.XLOOKUP(MID($B283,2,1), 聲調對照表[十五音調號], 聲調對照表[傳統八聲調], "N/A"))</f>
        <v>1</v>
      </c>
    </row>
    <row r="284" spans="1:6">
      <c r="A284" t="s">
        <v>312</v>
      </c>
      <c r="B284" t="s">
        <v>313</v>
      </c>
      <c r="C284" t="s">
        <v>755</v>
      </c>
      <c r="D284" t="str">
        <f xml:space="preserve"> IF($B284="", "", _xlfn.XLOOKUP(RIGHT($B284), 聲母對照表[十五音], 聲母對照表[台語音標], "N/A"))</f>
        <v>z</v>
      </c>
      <c r="E284" t="str">
        <f xml:space="preserve"> IF($B284="", "", _xlfn.XLOOKUP(LEFT($B284), 韻母對照表[十五音], 韻母對照表[台語音標], "N/A"))</f>
        <v>o</v>
      </c>
      <c r="F284">
        <f xml:space="preserve"> IF($B284="", "", _xlfn.XLOOKUP(MID($B284,2,1), 聲調對照表[十五音調號], 聲調對照表[傳統八聲調], "N/A"))</f>
        <v>5</v>
      </c>
    </row>
    <row r="285" spans="1:6">
      <c r="A285" t="s">
        <v>314</v>
      </c>
      <c r="B285" t="s">
        <v>315</v>
      </c>
      <c r="C285" t="s">
        <v>756</v>
      </c>
      <c r="D285" t="str">
        <f xml:space="preserve"> IF($B285="", "", _xlfn.XLOOKUP(RIGHT($B285), 聲母對照表[十五音], 聲母對照表[台語音標], "N/A"))</f>
        <v>b</v>
      </c>
      <c r="E285" t="str">
        <f xml:space="preserve"> IF($B285="", "", _xlfn.XLOOKUP(LEFT($B285), 韻母對照表[十五音], 韻母對照表[台語音標], "N/A"))</f>
        <v>ik</v>
      </c>
      <c r="F285">
        <f xml:space="preserve"> IF($B285="", "", _xlfn.XLOOKUP(MID($B285,2,1), 聲調對照表[十五音調號], 聲調對照表[傳統八聲調], "N/A"))</f>
        <v>7</v>
      </c>
    </row>
    <row r="286" spans="1:6">
      <c r="A286" t="s">
        <v>316</v>
      </c>
      <c r="B286" t="s">
        <v>317</v>
      </c>
      <c r="C286" t="s">
        <v>757</v>
      </c>
      <c r="D286" t="str">
        <f xml:space="preserve"> IF($B286="", "", _xlfn.XLOOKUP(RIGHT($B286), 聲母對照表[十五音], 聲母對照表[台語音標], "N/A"))</f>
        <v>t</v>
      </c>
      <c r="E286" t="str">
        <f xml:space="preserve"> IF($B286="", "", _xlfn.XLOOKUP(LEFT($B286), 韻母對照表[十五音], 韻母對照表[台語音標], "N/A"))</f>
        <v>ik</v>
      </c>
      <c r="F286">
        <f xml:space="preserve"> IF($B286="", "", _xlfn.XLOOKUP(MID($B286,2,1), 聲調對照表[十五音調號], 聲調對照表[傳統八聲調], "N/A"))</f>
        <v>4</v>
      </c>
    </row>
    <row r="287" spans="1:6">
      <c r="A287" t="s">
        <v>25</v>
      </c>
      <c r="B287" t="s">
        <v>26</v>
      </c>
      <c r="C287" t="s">
        <v>584</v>
      </c>
      <c r="D287" t="str">
        <f xml:space="preserve"> IF($B287="", "", _xlfn.XLOOKUP(RIGHT($B287), 聲母對照表[十五音], 聲母對照表[台語音標], "N/A"))</f>
        <v>z</v>
      </c>
      <c r="E287" t="str">
        <f xml:space="preserve"> IF($B287="", "", _xlfn.XLOOKUP(LEFT($B287), 韻母對照表[十五音], 韻母對照表[台語音標], "N/A"))</f>
        <v>i</v>
      </c>
      <c r="F287">
        <f xml:space="preserve"> IF($B287="", "", _xlfn.XLOOKUP(MID($B287,2,1), 聲調對照表[十五音調號], 聲調對照表[傳統八聲調], "N/A"))</f>
        <v>1</v>
      </c>
    </row>
    <row r="288" spans="1:6">
      <c r="A288" t="s">
        <v>81</v>
      </c>
      <c r="B288" t="s">
        <v>82</v>
      </c>
      <c r="C288" t="s">
        <v>630</v>
      </c>
      <c r="D288" t="str">
        <f xml:space="preserve"> IF($B288="", "", _xlfn.XLOOKUP(RIGHT($B288), 聲母對照表[十五音], 聲母對照表[台語音標], "N/A"))</f>
        <v>s</v>
      </c>
      <c r="E288" t="str">
        <f xml:space="preserve"> IF($B288="", "", _xlfn.XLOOKUP(LEFT($B288), 韻母對照表[十五音], 韻母對照表[台語音標], "N/A"))</f>
        <v>i</v>
      </c>
      <c r="F288">
        <f xml:space="preserve"> IF($B288="", "", _xlfn.XLOOKUP(MID($B288,2,1), 聲調對照表[十五音調號], 聲調對照表[傳統八聲調], "N/A"))</f>
        <v>1</v>
      </c>
    </row>
    <row r="289" spans="1:6">
      <c r="A289" t="s">
        <v>148</v>
      </c>
      <c r="B289" t="s">
        <v>149</v>
      </c>
      <c r="C289" t="s">
        <v>671</v>
      </c>
      <c r="D289" t="str">
        <f xml:space="preserve"> IF($B289="", "", _xlfn.XLOOKUP(RIGHT($B289), 聲母對照表[十五音], 聲母對照表[台語音標], "N/A"))</f>
        <v>h</v>
      </c>
      <c r="E289" t="str">
        <f xml:space="preserve"> IF($B289="", "", _xlfn.XLOOKUP(LEFT($B289), 韻母對照表[十五音], 韻母對照表[台語音標], "N/A"))</f>
        <v>oo</v>
      </c>
      <c r="F289">
        <f xml:space="preserve"> IF($B289="", "", _xlfn.XLOOKUP(MID($B289,2,1), 聲調對照表[十五音調號], 聲調對照表[傳統八聲調], "N/A"))</f>
        <v>5</v>
      </c>
    </row>
    <row r="290" spans="1:6">
      <c r="A290" t="s">
        <v>296</v>
      </c>
      <c r="D290" t="str">
        <f xml:space="preserve"> IF($B290="", "", _xlfn.XLOOKUP(RIGHT($B290), 聲母對照表[十五音], 聲母對照表[台語音標], "N/A"))</f>
        <v/>
      </c>
      <c r="E290" t="str">
        <f xml:space="preserve"> IF($B290="", "", _xlfn.XLOOKUP(LEFT($B290), 韻母對照表[十五音], 韻母對照表[台語音標], "N/A"))</f>
        <v/>
      </c>
      <c r="F290" t="str">
        <f xml:space="preserve"> IF($B290="", "", _xlfn.XLOOKUP(MID($B290,2,1), 聲調對照表[十五音調號], 聲調對照表[傳統八聲調], "N/A"))</f>
        <v/>
      </c>
    </row>
    <row r="291" spans="1:6">
      <c r="A291" t="s">
        <v>318</v>
      </c>
      <c r="B291" t="s">
        <v>319</v>
      </c>
      <c r="C291" t="s">
        <v>758</v>
      </c>
      <c r="D291" t="str">
        <f xml:space="preserve"> IF($B291="", "", _xlfn.XLOOKUP(RIGHT($B291), 聲母對照表[十五音], 聲母對照表[台語音標], "N/A"))</f>
        <v>s</v>
      </c>
      <c r="E291" t="str">
        <f xml:space="preserve"> IF($B291="", "", _xlfn.XLOOKUP(LEFT($B291), 韻母對照表[十五音], 韻母對照表[台語音標], "N/A"))</f>
        <v>e</v>
      </c>
      <c r="F291">
        <f xml:space="preserve"> IF($B291="", "", _xlfn.XLOOKUP(MID($B291,2,1), 聲調對照表[十五音調號], 聲調對照表[傳統八聲調], "N/A"))</f>
        <v>1</v>
      </c>
    </row>
    <row r="292" spans="1:6">
      <c r="A292" t="s">
        <v>36</v>
      </c>
      <c r="B292" s="51" t="s">
        <v>1808</v>
      </c>
      <c r="C292" s="51" t="s">
        <v>1809</v>
      </c>
      <c r="D292" t="str">
        <f xml:space="preserve"> IF($B292="", "", _xlfn.XLOOKUP(RIGHT($B292), 聲母對照表[十五音], 聲母對照表[台語音標], "N/A"))</f>
        <v>b</v>
      </c>
      <c r="E292" t="str">
        <f xml:space="preserve"> IF($B292="", "", _xlfn.XLOOKUP(LEFT($B292), 韻母對照表[十五音], 韻母對照表[台語音標], "N/A"))</f>
        <v>ok</v>
      </c>
      <c r="F292">
        <f xml:space="preserve"> IF($B292="", "", _xlfn.XLOOKUP(MID($B292,2,1), 聲調對照表[十五音調號], 聲調對照表[傳統八聲調], "N/A"))</f>
        <v>7</v>
      </c>
    </row>
    <row r="293" spans="1:6">
      <c r="A293" t="s">
        <v>320</v>
      </c>
      <c r="B293" t="s">
        <v>53</v>
      </c>
      <c r="C293" t="s">
        <v>951</v>
      </c>
      <c r="D293" t="str">
        <f xml:space="preserve"> IF($B293="", "", _xlfn.XLOOKUP(RIGHT($B293), 聲母對照表[十五音], 聲母對照表[台語音標], "N/A"))</f>
        <v>h</v>
      </c>
      <c r="E293" t="str">
        <f xml:space="preserve"> IF($B293="", "", _xlfn.XLOOKUP(LEFT($B293), 韻母對照表[十五音], 韻母對照表[台語音標], "N/A"))</f>
        <v>a</v>
      </c>
      <c r="F293">
        <f xml:space="preserve"> IF($B293="", "", _xlfn.XLOOKUP(MID($B293,2,1), 聲調對照表[十五音調號], 聲調對照表[傳統八聲調], "N/A"))</f>
        <v>2</v>
      </c>
    </row>
    <row r="294" spans="1:6">
      <c r="A294" t="s">
        <v>321</v>
      </c>
      <c r="B294" t="s">
        <v>322</v>
      </c>
      <c r="C294" t="s">
        <v>760</v>
      </c>
      <c r="D294" t="str">
        <f xml:space="preserve"> IF($B294="", "", _xlfn.XLOOKUP(RIGHT($B294), 聲母對照表[十五音], 聲母對照表[台語音標], "N/A"))</f>
        <v>kh</v>
      </c>
      <c r="E294" t="str">
        <f xml:space="preserve"> IF($B294="", "", _xlfn.XLOOKUP(LEFT($B294), 韻母對照表[十五音], 韻母對照表[台語音標], "N/A"))</f>
        <v>oo</v>
      </c>
      <c r="F294">
        <f xml:space="preserve"> IF($B294="", "", _xlfn.XLOOKUP(MID($B294,2,1), 聲調對照表[十五音調號], 聲調對照表[傳統八聲調], "N/A"))</f>
        <v>2</v>
      </c>
    </row>
    <row r="295" spans="1:6">
      <c r="A295" t="s">
        <v>29</v>
      </c>
      <c r="D295" t="str">
        <f xml:space="preserve"> IF($B295="", "", _xlfn.XLOOKUP(RIGHT($B295), 聲母對照表[十五音], 聲母對照表[台語音標], "N/A"))</f>
        <v/>
      </c>
      <c r="E295" t="str">
        <f xml:space="preserve"> IF($B295="", "", _xlfn.XLOOKUP(LEFT($B295), 韻母對照表[十五音], 韻母對照表[台語音標], "N/A"))</f>
        <v/>
      </c>
      <c r="F295" t="str">
        <f xml:space="preserve"> IF($B295="", "", _xlfn.XLOOKUP(MID($B295,2,1), 聲調對照表[十五音調號], 聲調對照表[傳統八聲調], "N/A"))</f>
        <v/>
      </c>
    </row>
    <row r="296" spans="1:6">
      <c r="A296" t="s">
        <v>97</v>
      </c>
      <c r="B296" t="s">
        <v>98</v>
      </c>
      <c r="C296" t="s">
        <v>640</v>
      </c>
      <c r="D296" t="str">
        <f xml:space="preserve"> IF($B296="", "", _xlfn.XLOOKUP(RIGHT($B296), 聲母對照表[十五音], 聲母對照表[台語音標], "N/A"))</f>
        <v>t</v>
      </c>
      <c r="E296" t="str">
        <f xml:space="preserve"> IF($B296="", "", _xlfn.XLOOKUP(LEFT($B296), 韻母對照表[十五音], 韻母對照表[台語音標], "N/A"))</f>
        <v>ok</v>
      </c>
      <c r="F296">
        <f xml:space="preserve"> IF($B296="", "", _xlfn.XLOOKUP(MID($B296,2,1), 聲調對照表[十五音調號], 聲調對照表[傳統八聲調], "N/A"))</f>
        <v>1</v>
      </c>
    </row>
    <row r="297" spans="1:6">
      <c r="A297" t="s">
        <v>36</v>
      </c>
      <c r="B297" s="51" t="s">
        <v>1808</v>
      </c>
      <c r="C297" s="51" t="s">
        <v>1809</v>
      </c>
      <c r="D297" t="str">
        <f xml:space="preserve"> IF($B297="", "", _xlfn.XLOOKUP(RIGHT($B297), 聲母對照表[十五音], 聲母對照表[台語音標], "N/A"))</f>
        <v>b</v>
      </c>
      <c r="E297" t="str">
        <f xml:space="preserve"> IF($B297="", "", _xlfn.XLOOKUP(LEFT($B297), 韻母對照表[十五音], 韻母對照表[台語音標], "N/A"))</f>
        <v>ok</v>
      </c>
      <c r="F297">
        <f xml:space="preserve"> IF($B297="", "", _xlfn.XLOOKUP(MID($B297,2,1), 聲調對照表[十五音調號], 聲調對照表[傳統八聲調], "N/A"))</f>
        <v>7</v>
      </c>
    </row>
    <row r="298" spans="1:6">
      <c r="A298" t="s">
        <v>323</v>
      </c>
      <c r="B298" t="s">
        <v>264</v>
      </c>
      <c r="C298" t="s">
        <v>731</v>
      </c>
      <c r="D298" t="str">
        <f xml:space="preserve"> IF($B298="", "", _xlfn.XLOOKUP(RIGHT($B298), 聲母對照表[十五音], 聲母對照表[台語音標], "N/A"))</f>
        <v>b</v>
      </c>
      <c r="E298" t="str">
        <f xml:space="preserve"> IF($B298="", "", _xlfn.XLOOKUP(LEFT($B298), 韻母對照表[十五音], 韻母對照表[台語音標], "N/A"))</f>
        <v>u</v>
      </c>
      <c r="F298">
        <f xml:space="preserve"> IF($B298="", "", _xlfn.XLOOKUP(MID($B298,2,1), 聲調對照表[十五音調號], 聲調對照表[傳統八聲調], "N/A"))</f>
        <v>2</v>
      </c>
    </row>
    <row r="299" spans="1:6">
      <c r="A299" t="s">
        <v>324</v>
      </c>
      <c r="B299" t="s">
        <v>325</v>
      </c>
      <c r="C299" t="s">
        <v>761</v>
      </c>
      <c r="D299" t="str">
        <f xml:space="preserve"> IF($B299="", "", _xlfn.XLOOKUP(RIGHT($B299), 聲母對照表[十五音], 聲母對照表[台語音標], "N/A"))</f>
        <v>c</v>
      </c>
      <c r="E299" t="str">
        <f xml:space="preserve"> IF($B299="", "", _xlfn.XLOOKUP(LEFT($B299), 韻母對照表[十五音], 韻母對照表[台語音標], "N/A"))</f>
        <v>iok</v>
      </c>
      <c r="F299">
        <f xml:space="preserve"> IF($B299="", "", _xlfn.XLOOKUP(MID($B299,2,1), 聲調對照表[十五音調號], 聲調對照表[傳統八聲調], "N/A"))</f>
        <v>1</v>
      </c>
    </row>
    <row r="300" spans="1:6">
      <c r="A300" t="s">
        <v>29</v>
      </c>
      <c r="D300" t="str">
        <f xml:space="preserve"> IF($B300="", "", _xlfn.XLOOKUP(RIGHT($B300), 聲母對照表[十五音], 聲母對照表[台語音標], "N/A"))</f>
        <v/>
      </c>
      <c r="E300" t="str">
        <f xml:space="preserve"> IF($B300="", "", _xlfn.XLOOKUP(LEFT($B300), 韻母對照表[十五音], 韻母對照表[台語音標], "N/A"))</f>
        <v/>
      </c>
      <c r="F300" t="str">
        <f xml:space="preserve"> IF($B300="", "", _xlfn.XLOOKUP(MID($B300,2,1), 聲調對照表[十五音調號], 聲調對照表[傳統八聲調], "N/A"))</f>
        <v/>
      </c>
    </row>
    <row r="301" spans="1:6">
      <c r="A301" t="s">
        <v>99</v>
      </c>
      <c r="B301" t="s">
        <v>100</v>
      </c>
      <c r="C301" t="s">
        <v>641</v>
      </c>
      <c r="D301" t="str">
        <f xml:space="preserve"> IF($B301="", "", _xlfn.XLOOKUP(RIGHT($B301), 聲母對照表[十五音], 聲母對照表[台語音標], "N/A"))</f>
        <v>s</v>
      </c>
      <c r="E301" t="str">
        <f xml:space="preserve"> IF($B301="", "", _xlfn.XLOOKUP(LEFT($B301), 韻母對照表[十五音], 韻母對照表[台語音標], "N/A"))</f>
        <v>an</v>
      </c>
      <c r="F301">
        <f xml:space="preserve"> IF($B301="", "", _xlfn.XLOOKUP(MID($B301,2,1), 聲調對照表[十五音調號], 聲調對照表[傳統八聲調], "N/A"))</f>
        <v>1</v>
      </c>
    </row>
    <row r="302" spans="1:6">
      <c r="A302" t="s">
        <v>326</v>
      </c>
      <c r="B302" t="s">
        <v>327</v>
      </c>
      <c r="C302" t="s">
        <v>762</v>
      </c>
      <c r="D302" t="str">
        <f xml:space="preserve"> IF($B302="", "", _xlfn.XLOOKUP(RIGHT($B302), 聲母對照表[十五音], 聲母對照表[台語音標], "N/A"))</f>
        <v>c</v>
      </c>
      <c r="E302" t="str">
        <f xml:space="preserve"> IF($B302="", "", _xlfn.XLOOKUP(LEFT($B302), 韻母對照表[十五音], 韻母對照表[台語音標], "N/A"))</f>
        <v>uan</v>
      </c>
      <c r="F302">
        <f xml:space="preserve"> IF($B302="", "", _xlfn.XLOOKUP(MID($B302,2,1), 聲調對照表[十五音調號], 聲調對照表[傳統八聲調], "N/A"))</f>
        <v>1</v>
      </c>
    </row>
    <row r="303" spans="1:6">
      <c r="A303" t="s">
        <v>328</v>
      </c>
      <c r="B303" t="s">
        <v>329</v>
      </c>
      <c r="C303" t="s">
        <v>763</v>
      </c>
      <c r="D303" t="str">
        <f xml:space="preserve"> IF($B303="", "", _xlfn.XLOOKUP(RIGHT($B303), 聲母對照表[十五音], 聲母對照表[台語音標], "N/A"))</f>
        <v>s</v>
      </c>
      <c r="E303" t="str">
        <f xml:space="preserve"> IF($B303="", "", _xlfn.XLOOKUP(LEFT($B303), 韻母對照表[十五音], 韻母對照表[台語音標], "N/A"))</f>
        <v>iok</v>
      </c>
      <c r="F303">
        <f xml:space="preserve"> IF($B303="", "", _xlfn.XLOOKUP(MID($B303,2,1), 聲調對照表[十五音調號], 聲調對照表[傳統八聲調], "N/A"))</f>
        <v>1</v>
      </c>
    </row>
    <row r="304" spans="1:6">
      <c r="A304" t="s">
        <v>330</v>
      </c>
      <c r="B304" t="s">
        <v>331</v>
      </c>
      <c r="C304" t="s">
        <v>764</v>
      </c>
      <c r="D304" t="str">
        <f xml:space="preserve"> IF($B304="", "", _xlfn.XLOOKUP(RIGHT($B304), 聲母對照表[十五音], 聲母對照表[台語音標], "N/A"))</f>
        <v>b</v>
      </c>
      <c r="E304" t="str">
        <f xml:space="preserve"> IF($B304="", "", _xlfn.XLOOKUP(LEFT($B304), 韻母對照表[十五音], 韻母對照表[台語音標], "N/A"))</f>
        <v>iu</v>
      </c>
      <c r="F304">
        <f xml:space="preserve"> IF($B304="", "", _xlfn.XLOOKUP(MID($B304,2,1), 聲調對照表[十五音調號], 聲調對照表[傳統八聲調], "N/A"))</f>
        <v>5</v>
      </c>
    </row>
    <row r="305" spans="1:6">
      <c r="A305" t="s">
        <v>29</v>
      </c>
      <c r="D305" t="str">
        <f xml:space="preserve"> IF($B305="", "", _xlfn.XLOOKUP(RIGHT($B305), 聲母對照表[十五音], 聲母對照表[台語音標], "N/A"))</f>
        <v/>
      </c>
      <c r="E305" t="str">
        <f xml:space="preserve"> IF($B305="", "", _xlfn.XLOOKUP(LEFT($B305), 韻母對照表[十五音], 韻母對照表[台語音標], "N/A"))</f>
        <v/>
      </c>
      <c r="F305" t="str">
        <f xml:space="preserve"> IF($B305="", "", _xlfn.XLOOKUP(MID($B305,2,1), 聲調對照表[十五音調號], 聲調對照表[傳統八聲調], "N/A"))</f>
        <v/>
      </c>
    </row>
    <row r="306" spans="1:6">
      <c r="A306" t="s">
        <v>332</v>
      </c>
      <c r="B306" t="s">
        <v>333</v>
      </c>
      <c r="C306" t="s">
        <v>992</v>
      </c>
      <c r="D306" t="str">
        <f xml:space="preserve"> IF($B306="", "", _xlfn.XLOOKUP(RIGHT($B306), 聲母對照表[十五音], 聲母對照表[台語音標], "N/A"))</f>
        <v>Ø</v>
      </c>
      <c r="E306" t="str">
        <f xml:space="preserve"> IF($B306="", "", _xlfn.XLOOKUP(LEFT($B306), 韻母對照表[十五音], 韻母對照表[台語音標], "N/A"))</f>
        <v>un</v>
      </c>
      <c r="F306">
        <f xml:space="preserve"> IF($B306="", "", _xlfn.XLOOKUP(MID($B306,2,1), 聲調對照表[十五音調號], 聲調對照表[傳統八聲調], "N/A"))</f>
        <v>4</v>
      </c>
    </row>
    <row r="307" spans="1:6">
      <c r="A307" t="s">
        <v>148</v>
      </c>
      <c r="B307" t="s">
        <v>149</v>
      </c>
      <c r="C307" t="s">
        <v>671</v>
      </c>
      <c r="D307" t="str">
        <f xml:space="preserve"> IF($B307="", "", _xlfn.XLOOKUP(RIGHT($B307), 聲母對照表[十五音], 聲母對照表[台語音標], "N/A"))</f>
        <v>h</v>
      </c>
      <c r="E307" t="str">
        <f xml:space="preserve"> IF($B307="", "", _xlfn.XLOOKUP(LEFT($B307), 韻母對照表[十五音], 韻母對照表[台語音標], "N/A"))</f>
        <v>oo</v>
      </c>
      <c r="F307">
        <f xml:space="preserve"> IF($B307="", "", _xlfn.XLOOKUP(MID($B307,2,1), 聲調對照表[十五音調號], 聲調對照表[傳統八聲調], "N/A"))</f>
        <v>5</v>
      </c>
    </row>
    <row r="308" spans="1:6">
      <c r="A308" t="s">
        <v>334</v>
      </c>
      <c r="B308" t="s">
        <v>335</v>
      </c>
      <c r="C308" t="s">
        <v>766</v>
      </c>
      <c r="D308" t="str">
        <f xml:space="preserve"> IF($B308="", "", _xlfn.XLOOKUP(RIGHT($B308), 聲母對照表[十五音], 聲母對照表[台語音標], "N/A"))</f>
        <v>c</v>
      </c>
      <c r="E308" t="str">
        <f xml:space="preserve"> IF($B308="", "", _xlfn.XLOOKUP(LEFT($B308), 韻母對照表[十五音], 韻母對照表[台語音標], "N/A"))</f>
        <v>ok</v>
      </c>
      <c r="F308">
        <f xml:space="preserve"> IF($B308="", "", _xlfn.XLOOKUP(MID($B308,2,1), 聲調對照表[十五音調號], 聲調對照表[傳統八聲調], "N/A"))</f>
        <v>1</v>
      </c>
    </row>
    <row r="309" spans="1:6">
      <c r="A309" t="s">
        <v>334</v>
      </c>
      <c r="B309" t="s">
        <v>335</v>
      </c>
      <c r="C309" t="s">
        <v>766</v>
      </c>
      <c r="D309" t="str">
        <f xml:space="preserve"> IF($B309="", "", _xlfn.XLOOKUP(RIGHT($B309), 聲母對照表[十五音], 聲母對照表[台語音標], "N/A"))</f>
        <v>c</v>
      </c>
      <c r="E309" t="str">
        <f xml:space="preserve"> IF($B309="", "", _xlfn.XLOOKUP(LEFT($B309), 韻母對照表[十五音], 韻母對照表[台語音標], "N/A"))</f>
        <v>ok</v>
      </c>
      <c r="F309">
        <f xml:space="preserve"> IF($B309="", "", _xlfn.XLOOKUP(MID($B309,2,1), 聲調對照表[十五音調號], 聲調對照表[傳統八聲調], "N/A"))</f>
        <v>1</v>
      </c>
    </row>
    <row r="310" spans="1:6">
      <c r="A310" t="s">
        <v>29</v>
      </c>
      <c r="D310" t="str">
        <f xml:space="preserve"> IF($B310="", "", _xlfn.XLOOKUP(RIGHT($B310), 聲母對照表[十五音], 聲母對照表[台語音標], "N/A"))</f>
        <v/>
      </c>
      <c r="E310" t="str">
        <f xml:space="preserve"> IF($B310="", "", _xlfn.XLOOKUP(LEFT($B310), 韻母對照表[十五音], 韻母對照表[台語音標], "N/A"))</f>
        <v/>
      </c>
      <c r="F310" t="str">
        <f xml:space="preserve"> IF($B310="", "", _xlfn.XLOOKUP(MID($B310,2,1), 聲調對照表[十五音調號], 聲調對照表[傳統八聲調], "N/A"))</f>
        <v/>
      </c>
    </row>
    <row r="311" spans="1:6">
      <c r="A311" t="s">
        <v>309</v>
      </c>
      <c r="B311" t="s">
        <v>310</v>
      </c>
      <c r="C311" t="s">
        <v>754</v>
      </c>
      <c r="D311" t="str">
        <f xml:space="preserve"> IF($B311="", "", _xlfn.XLOOKUP(RIGHT($B311), 聲母對照表[十五音], 聲母對照表[台語音標], "N/A"))</f>
        <v>c</v>
      </c>
      <c r="E311" t="str">
        <f xml:space="preserve"> IF($B311="", "", _xlfn.XLOOKUP(LEFT($B311), 韻母對照表[十五音], 韻母對照表[台語音標], "N/A"))</f>
        <v>u</v>
      </c>
      <c r="F311">
        <f xml:space="preserve"> IF($B311="", "", _xlfn.XLOOKUP(MID($B311,2,1), 聲調對照表[十五音調號], 聲調對照表[傳統八聲調], "N/A"))</f>
        <v>2</v>
      </c>
    </row>
    <row r="312" spans="1:6">
      <c r="A312" t="s">
        <v>311</v>
      </c>
      <c r="B312" t="s">
        <v>307</v>
      </c>
      <c r="C312" t="s">
        <v>753</v>
      </c>
      <c r="D312" t="str">
        <f xml:space="preserve"> IF($B312="", "", _xlfn.XLOOKUP(RIGHT($B312), 聲母對照表[十五音], 聲母對照表[台語音標], "N/A"))</f>
        <v>h</v>
      </c>
      <c r="E312" t="str">
        <f xml:space="preserve"> IF($B312="", "", _xlfn.XLOOKUP(LEFT($B312), 韻母對照表[十五音], 韻母對照表[台語音標], "N/A"))</f>
        <v>ui</v>
      </c>
      <c r="F312">
        <f xml:space="preserve"> IF($B312="", "", _xlfn.XLOOKUP(MID($B312,2,1), 聲調對照表[十五音調號], 聲調對照表[傳統八聲調], "N/A"))</f>
        <v>1</v>
      </c>
    </row>
    <row r="313" spans="1:6">
      <c r="A313" t="s">
        <v>314</v>
      </c>
      <c r="B313" t="s">
        <v>315</v>
      </c>
      <c r="C313" t="s">
        <v>756</v>
      </c>
      <c r="D313" t="str">
        <f xml:space="preserve"> IF($B313="", "", _xlfn.XLOOKUP(RIGHT($B313), 聲母對照表[十五音], 聲母對照表[台語音標], "N/A"))</f>
        <v>b</v>
      </c>
      <c r="E313" t="str">
        <f xml:space="preserve"> IF($B313="", "", _xlfn.XLOOKUP(LEFT($B313), 韻母對照表[十五音], 韻母對照表[台語音標], "N/A"))</f>
        <v>ik</v>
      </c>
      <c r="F313">
        <f xml:space="preserve"> IF($B313="", "", _xlfn.XLOOKUP(MID($B313,2,1), 聲調對照表[十五音調號], 聲調對照表[傳統八聲調], "N/A"))</f>
        <v>7</v>
      </c>
    </row>
    <row r="314" spans="1:6">
      <c r="A314" t="s">
        <v>316</v>
      </c>
      <c r="B314" t="s">
        <v>317</v>
      </c>
      <c r="C314" t="s">
        <v>757</v>
      </c>
      <c r="D314" t="str">
        <f xml:space="preserve"> IF($B314="", "", _xlfn.XLOOKUP(RIGHT($B314), 聲母對照表[十五音], 聲母對照表[台語音標], "N/A"))</f>
        <v>t</v>
      </c>
      <c r="E314" t="str">
        <f xml:space="preserve"> IF($B314="", "", _xlfn.XLOOKUP(LEFT($B314), 韻母對照表[十五音], 韻母對照表[台語音標], "N/A"))</f>
        <v>ik</v>
      </c>
      <c r="F314">
        <f xml:space="preserve"> IF($B314="", "", _xlfn.XLOOKUP(MID($B314,2,1), 聲調對照表[十五音調號], 聲調對照表[傳統八聲調], "N/A"))</f>
        <v>4</v>
      </c>
    </row>
    <row r="315" spans="1:6">
      <c r="A315" t="s">
        <v>25</v>
      </c>
      <c r="B315" t="s">
        <v>26</v>
      </c>
      <c r="C315" t="s">
        <v>584</v>
      </c>
      <c r="D315" t="str">
        <f xml:space="preserve"> IF($B315="", "", _xlfn.XLOOKUP(RIGHT($B315), 聲母對照表[十五音], 聲母對照表[台語音標], "N/A"))</f>
        <v>z</v>
      </c>
      <c r="E315" t="str">
        <f xml:space="preserve"> IF($B315="", "", _xlfn.XLOOKUP(LEFT($B315), 韻母對照表[十五音], 韻母對照表[台語音標], "N/A"))</f>
        <v>i</v>
      </c>
      <c r="F315">
        <f xml:space="preserve"> IF($B315="", "", _xlfn.XLOOKUP(MID($B315,2,1), 聲調對照表[十五音調號], 聲調對照表[傳統八聲調], "N/A"))</f>
        <v>1</v>
      </c>
    </row>
    <row r="316" spans="1:6">
      <c r="A316" t="s">
        <v>336</v>
      </c>
      <c r="B316" t="s">
        <v>337</v>
      </c>
      <c r="C316" t="s">
        <v>767</v>
      </c>
      <c r="D316" t="str">
        <f xml:space="preserve"> IF($B316="", "", _xlfn.XLOOKUP(RIGHT($B316), 聲母對照表[十五音], 聲母對照表[台語音標], "N/A"))</f>
        <v>kh</v>
      </c>
      <c r="E316" t="str">
        <f xml:space="preserve"> IF($B316="", "", _xlfn.XLOOKUP(LEFT($B316), 韻母對照表[十五音], 韻母對照表[台語音標], "N/A"))</f>
        <v>un</v>
      </c>
      <c r="F316">
        <f xml:space="preserve"> IF($B316="", "", _xlfn.XLOOKUP(MID($B316,2,1), 聲調對照表[十五音調號], 聲調對照表[傳統八聲調], "N/A"))</f>
        <v>3</v>
      </c>
    </row>
    <row r="317" spans="1:6">
      <c r="A317" t="s">
        <v>50</v>
      </c>
      <c r="B317" t="s">
        <v>51</v>
      </c>
      <c r="C317" t="s">
        <v>950</v>
      </c>
      <c r="D317" t="str">
        <f xml:space="preserve"> IF($B317="", "", _xlfn.XLOOKUP(RIGHT($B317), 聲母對照表[十五音], 聲母對照表[台語音標], "N/A"))</f>
        <v>Ø</v>
      </c>
      <c r="E317" t="str">
        <f xml:space="preserve"> IF($B317="", "", _xlfn.XLOOKUP(LEFT($B317), 韻母對照表[十五音], 韻母對照表[台語音標], "N/A"))</f>
        <v>u</v>
      </c>
      <c r="F317">
        <f xml:space="preserve"> IF($B317="", "", _xlfn.XLOOKUP(MID($B317,2,1), 聲調對照表[十五音調號], 聲調對照表[傳統八聲調], "N/A"))</f>
        <v>1</v>
      </c>
    </row>
    <row r="318" spans="1:6">
      <c r="A318" t="s">
        <v>338</v>
      </c>
      <c r="B318" t="s">
        <v>47</v>
      </c>
      <c r="C318" t="s">
        <v>604</v>
      </c>
      <c r="D318" t="str">
        <f xml:space="preserve"> IF($B318="", "", _xlfn.XLOOKUP(RIGHT($B318), 聲母對照表[十五音], 聲母對照表[台語音標], "N/A"))</f>
        <v>z</v>
      </c>
      <c r="E318" t="str">
        <f xml:space="preserve"> IF($B318="", "", _xlfn.XLOOKUP(LEFT($B318), 韻母對照表[十五音], 韻母對照表[台語音標], "N/A"))</f>
        <v>iu</v>
      </c>
      <c r="F318">
        <f xml:space="preserve"> IF($B318="", "", _xlfn.XLOOKUP(MID($B318,2,1), 聲調對照表[十五音調號], 聲調對照表[傳統八聲調], "N/A"))</f>
        <v>1</v>
      </c>
    </row>
    <row r="319" spans="1:6">
      <c r="A319" t="s">
        <v>339</v>
      </c>
      <c r="B319" t="s">
        <v>340</v>
      </c>
      <c r="C319" t="s">
        <v>768</v>
      </c>
      <c r="D319" t="str">
        <f xml:space="preserve"> IF($B319="", "", _xlfn.XLOOKUP(RIGHT($B319), 聲母對照表[十五音], 聲母對照表[台語音標], "N/A"))</f>
        <v>l</v>
      </c>
      <c r="E319" t="str">
        <f xml:space="preserve"> IF($B319="", "", _xlfn.XLOOKUP(LEFT($B319), 韻母對照表[十五音], 韻母對照表[台語音標], "N/A"))</f>
        <v>ok</v>
      </c>
      <c r="F319">
        <f xml:space="preserve"> IF($B319="", "", _xlfn.XLOOKUP(MID($B319,2,1), 聲調對照表[十五音調號], 聲調對照表[傳統八聲調], "N/A"))</f>
        <v>5</v>
      </c>
    </row>
    <row r="320" spans="1:6">
      <c r="A320" t="s">
        <v>237</v>
      </c>
      <c r="B320" t="s">
        <v>238</v>
      </c>
      <c r="C320" t="s">
        <v>718</v>
      </c>
      <c r="D320" t="str">
        <f xml:space="preserve"> IF($B320="", "", _xlfn.XLOOKUP(RIGHT($B320), 聲母對照表[十五音], 聲母對照表[台語音標], "N/A"))</f>
        <v>z</v>
      </c>
      <c r="E320" t="str">
        <f xml:space="preserve"> IF($B320="", "", _xlfn.XLOOKUP(LEFT($B320), 韻母對照表[十五音], 韻母對照表[台語音標], "N/A"))</f>
        <v>ia</v>
      </c>
      <c r="F320">
        <f xml:space="preserve"> IF($B320="", "", _xlfn.XLOOKUP(MID($B320,2,1), 聲調對照表[十五音調號], 聲調對照表[傳統八聲調], "N/A"))</f>
        <v>2</v>
      </c>
    </row>
    <row r="321" spans="1:6">
      <c r="A321" t="s">
        <v>148</v>
      </c>
      <c r="B321" t="s">
        <v>149</v>
      </c>
      <c r="C321" t="s">
        <v>671</v>
      </c>
      <c r="D321" t="str">
        <f xml:space="preserve"> IF($B321="", "", _xlfn.XLOOKUP(RIGHT($B321), 聲母對照表[十五音], 聲母對照表[台語音標], "N/A"))</f>
        <v>h</v>
      </c>
      <c r="E321" t="str">
        <f xml:space="preserve"> IF($B321="", "", _xlfn.XLOOKUP(LEFT($B321), 韻母對照表[十五音], 韻母對照表[台語音標], "N/A"))</f>
        <v>oo</v>
      </c>
      <c r="F321">
        <f xml:space="preserve"> IF($B321="", "", _xlfn.XLOOKUP(MID($B321,2,1), 聲調對照表[十五音調號], 聲調對照表[傳統八聲調], "N/A"))</f>
        <v>5</v>
      </c>
    </row>
    <row r="322" spans="1:6">
      <c r="A322" t="s">
        <v>296</v>
      </c>
      <c r="D322" t="str">
        <f xml:space="preserve"> IF($B322="", "", _xlfn.XLOOKUP(RIGHT($B322), 聲母對照表[十五音], 聲母對照表[台語音標], "N/A"))</f>
        <v/>
      </c>
      <c r="E322" t="str">
        <f xml:space="preserve"> IF($B322="", "", _xlfn.XLOOKUP(LEFT($B322), 韻母對照表[十五音], 韻母對照表[台語音標], "N/A"))</f>
        <v/>
      </c>
      <c r="F322" t="str">
        <f xml:space="preserve"> IF($B322="", "", _xlfn.XLOOKUP(MID($B322,2,1), 聲調對照表[十五音調號], 聲調對照表[傳統八聲調], "N/A"))</f>
        <v/>
      </c>
    </row>
    <row r="323" spans="1:6">
      <c r="A323" t="s">
        <v>226</v>
      </c>
      <c r="B323" s="51" t="s">
        <v>1818</v>
      </c>
      <c r="C323" s="51" t="s">
        <v>1815</v>
      </c>
      <c r="D323" t="str">
        <f xml:space="preserve"> IF($B323="", "", _xlfn.XLOOKUP(RIGHT($B323), 聲母對照表[十五音], 聲母對照表[台語音標], "N/A"))</f>
        <v>h</v>
      </c>
      <c r="E323" t="str">
        <f xml:space="preserve"> IF($B323="", "", _xlfn.XLOOKUP(LEFT($B323), 韻母對照表[十五音], 韻母對照表[台語音標], "N/A"))</f>
        <v>ok</v>
      </c>
      <c r="F323">
        <f xml:space="preserve"> IF($B323="", "", _xlfn.XLOOKUP(MID($B323,2,1), 聲調對照表[十五音調號], 聲調對照表[傳統八聲調], "N/A"))</f>
        <v>5</v>
      </c>
    </row>
    <row r="324" spans="1:6">
      <c r="A324" t="s">
        <v>160</v>
      </c>
      <c r="B324" t="s">
        <v>161</v>
      </c>
      <c r="C324" t="s">
        <v>676</v>
      </c>
      <c r="D324" t="str">
        <f xml:space="preserve"> IF($B324="", "", _xlfn.XLOOKUP(RIGHT($B324), 聲母對照表[十五音], 聲母對照表[台語音標], "N/A"))</f>
        <v>k</v>
      </c>
      <c r="E324" t="str">
        <f xml:space="preserve"> IF($B324="", "", _xlfn.XLOOKUP(LEFT($B324), 韻母對照表[十五音], 韻母對照表[台語音標], "N/A"))</f>
        <v>i</v>
      </c>
      <c r="F324">
        <f xml:space="preserve"> IF($B324="", "", _xlfn.XLOOKUP(MID($B324,2,1), 聲調對照表[十五音調號], 聲調對照表[傳統八聲調], "N/A"))</f>
        <v>5</v>
      </c>
    </row>
    <row r="325" spans="1:6">
      <c r="A325" t="s">
        <v>341</v>
      </c>
      <c r="B325" t="s">
        <v>342</v>
      </c>
      <c r="C325" t="s">
        <v>769</v>
      </c>
      <c r="D325" t="str">
        <f xml:space="preserve"> IF($B325="", "", _xlfn.XLOOKUP(RIGHT($B325), 聲母對照表[十五音], 聲母對照表[台語音標], "N/A"))</f>
        <v>ph</v>
      </c>
      <c r="E325" t="str">
        <f xml:space="preserve"> IF($B325="", "", _xlfn.XLOOKUP(LEFT($B325), 韻母對照表[十五音], 韻母對照表[台語音標], "N/A"))</f>
        <v>o</v>
      </c>
      <c r="F325">
        <f xml:space="preserve"> IF($B325="", "", _xlfn.XLOOKUP(MID($B325,2,1), 聲調對照表[十五音調號], 聲調對照表[傳統八聲調], "N/A"))</f>
        <v>3</v>
      </c>
    </row>
    <row r="326" spans="1:6">
      <c r="A326" t="s">
        <v>343</v>
      </c>
      <c r="B326" t="s">
        <v>344</v>
      </c>
      <c r="C326" t="s">
        <v>770</v>
      </c>
      <c r="D326" t="str">
        <f xml:space="preserve"> IF($B326="", "", _xlfn.XLOOKUP(RIGHT($B326), 聲母對照表[十五音], 聲母對照表[台語音標], "N/A"))</f>
        <v>k</v>
      </c>
      <c r="E326" t="str">
        <f xml:space="preserve"> IF($B326="", "", _xlfn.XLOOKUP(LEFT($B326), 韻母對照表[十五音], 韻母對照表[台語音標], "N/A"))</f>
        <v>ik</v>
      </c>
      <c r="F326">
        <f xml:space="preserve"> IF($B326="", "", _xlfn.XLOOKUP(MID($B326,2,1), 聲調對照表[十五音調號], 聲調對照表[傳統八聲調], "N/A"))</f>
        <v>1</v>
      </c>
    </row>
    <row r="327" spans="1:6">
      <c r="A327" t="s">
        <v>345</v>
      </c>
      <c r="B327" t="s">
        <v>47</v>
      </c>
      <c r="C327" t="s">
        <v>604</v>
      </c>
      <c r="D327" t="str">
        <f xml:space="preserve"> IF($B327="", "", _xlfn.XLOOKUP(RIGHT($B327), 聲母對照表[十五音], 聲母對照表[台語音標], "N/A"))</f>
        <v>z</v>
      </c>
      <c r="E327" t="str">
        <f xml:space="preserve"> IF($B327="", "", _xlfn.XLOOKUP(LEFT($B327), 韻母對照表[十五音], 韻母對照表[台語音標], "N/A"))</f>
        <v>iu</v>
      </c>
      <c r="F327">
        <f xml:space="preserve"> IF($B327="", "", _xlfn.XLOOKUP(MID($B327,2,1), 聲調對照表[十五音調號], 聲調對照表[傳統八聲調], "N/A"))</f>
        <v>1</v>
      </c>
    </row>
    <row r="328" spans="1:6">
      <c r="A328" t="s">
        <v>29</v>
      </c>
      <c r="D328" t="str">
        <f xml:space="preserve"> IF($B328="", "", _xlfn.XLOOKUP(RIGHT($B328), 聲母對照表[十五音], 聲母對照表[台語音標], "N/A"))</f>
        <v/>
      </c>
      <c r="E328" t="str">
        <f xml:space="preserve"> IF($B328="", "", _xlfn.XLOOKUP(LEFT($B328), 韻母對照表[十五音], 韻母對照表[台語音標], "N/A"))</f>
        <v/>
      </c>
      <c r="F328" t="str">
        <f xml:space="preserve"> IF($B328="", "", _xlfn.XLOOKUP(MID($B328,2,1), 聲調對照表[十五音調號], 聲調對照表[傳統八聲調], "N/A"))</f>
        <v/>
      </c>
    </row>
    <row r="329" spans="1:6">
      <c r="A329" t="s">
        <v>52</v>
      </c>
      <c r="B329" t="s">
        <v>53</v>
      </c>
      <c r="C329" t="s">
        <v>951</v>
      </c>
      <c r="D329" t="str">
        <f xml:space="preserve"> IF($B329="", "", _xlfn.XLOOKUP(RIGHT($B329), 聲母對照表[十五音], 聲母對照表[台語音標], "N/A"))</f>
        <v>h</v>
      </c>
      <c r="E329" t="str">
        <f xml:space="preserve"> IF($B329="", "", _xlfn.XLOOKUP(LEFT($B329), 韻母對照表[十五音], 韻母對照表[台語音標], "N/A"))</f>
        <v>a</v>
      </c>
      <c r="F329">
        <f xml:space="preserve"> IF($B329="", "", _xlfn.XLOOKUP(MID($B329,2,1), 聲調對照表[十五音調號], 聲調對照表[傳統八聲調], "N/A"))</f>
        <v>2</v>
      </c>
    </row>
    <row r="330" spans="1:6">
      <c r="A330" t="s">
        <v>118</v>
      </c>
      <c r="B330" t="s">
        <v>119</v>
      </c>
      <c r="C330" t="s">
        <v>654</v>
      </c>
      <c r="D330" t="str">
        <f xml:space="preserve"> IF($B330="", "", _xlfn.XLOOKUP(RIGHT($B330), 聲母對照表[十五音], 聲母對照表[台語音標], "N/A"))</f>
        <v>k</v>
      </c>
      <c r="E330" t="str">
        <f xml:space="preserve"> IF($B330="", "", _xlfn.XLOOKUP(LEFT($B330), 韻母對照表[十五音], 韻母對照表[台語音標], "N/A"))</f>
        <v>ak</v>
      </c>
      <c r="F330">
        <f xml:space="preserve"> IF($B330="", "", _xlfn.XLOOKUP(MID($B330,2,1), 聲調對照表[十五音調號], 聲調對照表[傳統八聲調], "N/A"))</f>
        <v>1</v>
      </c>
    </row>
    <row r="331" spans="1:6">
      <c r="A331" t="s">
        <v>346</v>
      </c>
      <c r="B331" t="s">
        <v>137</v>
      </c>
      <c r="C331" t="s">
        <v>665</v>
      </c>
      <c r="D331" t="str">
        <f xml:space="preserve"> IF($B331="", "", _xlfn.XLOOKUP(RIGHT($B331), 聲母對照表[十五音], 聲母對照表[台語音標], "N/A"))</f>
        <v>l</v>
      </c>
      <c r="E331" t="str">
        <f xml:space="preserve"> IF($B331="", "", _xlfn.XLOOKUP(LEFT($B331), 韻母對照表[十五音], 韻母對照表[台語音標], "N/A"))</f>
        <v>ik</v>
      </c>
      <c r="F331">
        <f xml:space="preserve"> IF($B331="", "", _xlfn.XLOOKUP(MID($B331,2,1), 聲調對照表[十五音調號], 聲調對照表[傳統八聲調], "N/A"))</f>
        <v>5</v>
      </c>
    </row>
    <row r="332" spans="1:6">
      <c r="A332" t="s">
        <v>29</v>
      </c>
      <c r="D332" t="str">
        <f xml:space="preserve"> IF($B332="", "", _xlfn.XLOOKUP(RIGHT($B332), 聲母對照表[十五音], 聲母對照表[台語音標], "N/A"))</f>
        <v/>
      </c>
      <c r="E332" t="str">
        <f xml:space="preserve"> IF($B332="", "", _xlfn.XLOOKUP(LEFT($B332), 韻母對照表[十五音], 韻母對照表[台語音標], "N/A"))</f>
        <v/>
      </c>
      <c r="F332" t="str">
        <f xml:space="preserve"> IF($B332="", "", _xlfn.XLOOKUP(MID($B332,2,1), 聲調對照表[十五音調號], 聲調對照表[傳統八聲調], "N/A"))</f>
        <v/>
      </c>
    </row>
    <row r="333" spans="1:6">
      <c r="A333" t="s">
        <v>347</v>
      </c>
      <c r="B333" t="s">
        <v>348</v>
      </c>
      <c r="C333" t="s">
        <v>771</v>
      </c>
      <c r="D333" t="str">
        <f xml:space="preserve"> IF($B333="", "", _xlfn.XLOOKUP(RIGHT($B333), 聲母對照表[十五音], 聲母對照表[台語音標], "N/A"))</f>
        <v>s</v>
      </c>
      <c r="E333" t="str">
        <f xml:space="preserve"> IF($B333="", "", _xlfn.XLOOKUP(LEFT($B333), 韻母對照表[十五音], 韻母對照表[台語音標], "N/A"))</f>
        <v>un</v>
      </c>
      <c r="F333">
        <f xml:space="preserve"> IF($B333="", "", _xlfn.XLOOKUP(MID($B333,2,1), 聲調對照表[十五音調號], 聲調對照表[傳統八聲調], "N/A"))</f>
        <v>7</v>
      </c>
    </row>
    <row r="334" spans="1:6">
      <c r="A334" t="s">
        <v>213</v>
      </c>
      <c r="B334" t="s">
        <v>214</v>
      </c>
      <c r="C334" t="s">
        <v>705</v>
      </c>
      <c r="D334" t="str">
        <f xml:space="preserve"> IF($B334="", "", _xlfn.XLOOKUP(RIGHT($B334), 聲母對照表[十五音], 聲母對照表[台語音標], "N/A"))</f>
        <v>l</v>
      </c>
      <c r="E334" t="str">
        <f xml:space="preserve"> IF($B334="", "", _xlfn.XLOOKUP(LEFT($B334), 韻母對照表[十五音], 韻母對照表[台語音標], "N/A"))</f>
        <v>iu</v>
      </c>
      <c r="F334">
        <f xml:space="preserve"> IF($B334="", "", _xlfn.XLOOKUP(MID($B334,2,1), 聲調對照表[十五音調號], 聲調對照表[傳統八聲調], "N/A"))</f>
        <v>5</v>
      </c>
    </row>
    <row r="335" spans="1:6">
      <c r="A335" t="s">
        <v>157</v>
      </c>
      <c r="B335" t="s">
        <v>150</v>
      </c>
      <c r="C335" t="s">
        <v>664</v>
      </c>
      <c r="D335" t="str">
        <f xml:space="preserve"> IF($B335="", "", _xlfn.XLOOKUP(RIGHT($B335), 聲母對照表[十五音], 聲母對照表[台語音標], "N/A"))</f>
        <v>j</v>
      </c>
      <c r="E335" t="str">
        <f xml:space="preserve"> IF($B335="", "", _xlfn.XLOOKUP(LEFT($B335), 韻母對照表[十五音], 韻母對照表[台語音標], "N/A"))</f>
        <v>i</v>
      </c>
      <c r="F335">
        <f xml:space="preserve"> IF($B335="", "", _xlfn.XLOOKUP(MID($B335,2,1), 聲調對照表[十五音調號], 聲調對照表[傳統八聲調], "N/A"))</f>
        <v>5</v>
      </c>
    </row>
    <row r="336" spans="1:6">
      <c r="A336" t="s">
        <v>97</v>
      </c>
      <c r="B336" t="s">
        <v>98</v>
      </c>
      <c r="C336" t="s">
        <v>640</v>
      </c>
      <c r="D336" t="str">
        <f xml:space="preserve"> IF($B336="", "", _xlfn.XLOOKUP(RIGHT($B336), 聲母對照表[十五音], 聲母對照表[台語音標], "N/A"))</f>
        <v>t</v>
      </c>
      <c r="E336" t="str">
        <f xml:space="preserve"> IF($B336="", "", _xlfn.XLOOKUP(LEFT($B336), 韻母對照表[十五音], 韻母對照表[台語音標], "N/A"))</f>
        <v>ok</v>
      </c>
      <c r="F336">
        <f xml:space="preserve"> IF($B336="", "", _xlfn.XLOOKUP(MID($B336,2,1), 聲調對照表[十五音調號], 聲調對照表[傳統八聲調], "N/A"))</f>
        <v>1</v>
      </c>
    </row>
    <row r="337" spans="1:6">
      <c r="A337" t="s">
        <v>294</v>
      </c>
      <c r="B337" t="s">
        <v>295</v>
      </c>
      <c r="C337" t="s">
        <v>990</v>
      </c>
      <c r="D337" t="str">
        <f xml:space="preserve"> IF($B337="", "", _xlfn.XLOOKUP(RIGHT($B337), 聲母對照表[十五音], 聲母對照表[台語音標], "N/A"))</f>
        <v>Ø</v>
      </c>
      <c r="E337" t="str">
        <f xml:space="preserve"> IF($B337="", "", _xlfn.XLOOKUP(LEFT($B337), 韻母對照表[十五音], 韻母對照表[台語音標], "N/A"))</f>
        <v>ia</v>
      </c>
      <c r="F337">
        <f xml:space="preserve"> IF($B337="", "", _xlfn.XLOOKUP(MID($B337,2,1), 聲調對照表[十五音調號], 聲調對照表[傳統八聲調], "N/A"))</f>
        <v>2</v>
      </c>
    </row>
    <row r="338" spans="1:6">
      <c r="A338" t="s">
        <v>29</v>
      </c>
      <c r="D338" t="str">
        <f xml:space="preserve"> IF($B338="", "", _xlfn.XLOOKUP(RIGHT($B338), 聲母對照表[十五音], 聲母對照表[台語音標], "N/A"))</f>
        <v/>
      </c>
      <c r="E338" t="str">
        <f xml:space="preserve"> IF($B338="", "", _xlfn.XLOOKUP(LEFT($B338), 韻母對照表[十五音], 韻母對照表[台語音標], "N/A"))</f>
        <v/>
      </c>
      <c r="F338" t="str">
        <f xml:space="preserve"> IF($B338="", "", _xlfn.XLOOKUP(MID($B338,2,1), 聲調對照表[十五音調號], 聲調對照表[傳統八聲調], "N/A"))</f>
        <v/>
      </c>
    </row>
    <row r="339" spans="1:6">
      <c r="A339" t="s">
        <v>349</v>
      </c>
      <c r="B339" t="s">
        <v>350</v>
      </c>
      <c r="C339" t="s">
        <v>772</v>
      </c>
      <c r="D339" t="str">
        <f xml:space="preserve"> IF($B339="", "", _xlfn.XLOOKUP(RIGHT($B339), 聲母對照表[十五音], 聲母對照表[台語音標], "N/A"))</f>
        <v>t</v>
      </c>
      <c r="E339" t="str">
        <f xml:space="preserve"> IF($B339="", "", _xlfn.XLOOKUP(LEFT($B339), 韻母對照表[十五音], 韻母對照表[台語音標], "N/A"))</f>
        <v>iok</v>
      </c>
      <c r="F339">
        <f xml:space="preserve"> IF($B339="", "", _xlfn.XLOOKUP(MID($B339,2,1), 聲調對照表[十五音調號], 聲調對照表[傳統八聲調], "N/A"))</f>
        <v>8</v>
      </c>
    </row>
    <row r="340" spans="1:6">
      <c r="A340" t="s">
        <v>351</v>
      </c>
      <c r="B340" t="s">
        <v>352</v>
      </c>
      <c r="C340" t="s">
        <v>773</v>
      </c>
      <c r="D340" t="str">
        <f xml:space="preserve"> IF($B340="", "", _xlfn.XLOOKUP(RIGHT($B340), 聲母對照表[十五音], 聲母對照表[台語音標], "N/A"))</f>
        <v>l</v>
      </c>
      <c r="E340" t="str">
        <f xml:space="preserve"> IF($B340="", "", _xlfn.XLOOKUP(LEFT($B340), 韻母對照表[十五音], 韻母對照表[台語音標], "N/A"))</f>
        <v>oo</v>
      </c>
      <c r="F340">
        <f xml:space="preserve"> IF($B340="", "", _xlfn.XLOOKUP(MID($B340,2,1), 聲調對照表[十五音調號], 聲調對照表[傳統八聲調], "N/A"))</f>
        <v>5</v>
      </c>
    </row>
    <row r="341" spans="1:6">
      <c r="A341" t="s">
        <v>353</v>
      </c>
      <c r="B341" t="s">
        <v>354</v>
      </c>
      <c r="C341" t="s">
        <v>774</v>
      </c>
      <c r="D341" t="str">
        <f xml:space="preserve"> IF($B341="", "", _xlfn.XLOOKUP(RIGHT($B341), 聲母對照表[十五音], 聲母對照表[台語音標], "N/A"))</f>
        <v>c</v>
      </c>
      <c r="E341" t="str">
        <f xml:space="preserve"> IF($B341="", "", _xlfn.XLOOKUP(LEFT($B341), 韻母對照表[十五音], 韻母對照表[台語音標], "N/A"))</f>
        <v>ian</v>
      </c>
      <c r="F341">
        <f xml:space="preserve"> IF($B341="", "", _xlfn.XLOOKUP(MID($B341,2,1), 聲調對照表[十五音調號], 聲調對照表[傳統八聲調], "N/A"))</f>
        <v>1</v>
      </c>
    </row>
    <row r="342" spans="1:6">
      <c r="A342" t="s">
        <v>355</v>
      </c>
      <c r="B342" t="s">
        <v>356</v>
      </c>
      <c r="C342" t="s">
        <v>730</v>
      </c>
      <c r="D342" t="str">
        <f xml:space="preserve"> IF($B342="", "", _xlfn.XLOOKUP(RIGHT($B342), 聲母對照表[十五音], 聲母對照表[台語音標], "N/A"))</f>
        <v>l</v>
      </c>
      <c r="E342" t="str">
        <f xml:space="preserve"> IF($B342="", "", _xlfn.XLOOKUP(LEFT($B342), 韻母對照表[十五音], 韻母對照表[台語音標], "N/A"))</f>
        <v>i</v>
      </c>
      <c r="F342">
        <f xml:space="preserve"> IF($B342="", "", _xlfn.XLOOKUP(MID($B342,2,1), 聲調對照表[十五音調號], 聲調對照表[傳統八聲調], "N/A"))</f>
        <v>2</v>
      </c>
    </row>
    <row r="343" spans="1:6">
      <c r="A343" t="s">
        <v>29</v>
      </c>
      <c r="D343" t="str">
        <f xml:space="preserve"> IF($B343="", "", _xlfn.XLOOKUP(RIGHT($B343), 聲母對照表[十五音], 聲母對照表[台語音標], "N/A"))</f>
        <v/>
      </c>
      <c r="E343" t="str">
        <f xml:space="preserve"> IF($B343="", "", _xlfn.XLOOKUP(LEFT($B343), 韻母對照表[十五音], 韻母對照表[台語音標], "N/A"))</f>
        <v/>
      </c>
      <c r="F343" t="str">
        <f xml:space="preserve"> IF($B343="", "", _xlfn.XLOOKUP(MID($B343,2,1), 聲調對照表[十五音調號], 聲調對照表[傳統八聲調], "N/A"))</f>
        <v/>
      </c>
    </row>
    <row r="344" spans="1:6">
      <c r="A344" t="s">
        <v>357</v>
      </c>
      <c r="B344" t="s">
        <v>358</v>
      </c>
      <c r="C344" t="s">
        <v>775</v>
      </c>
      <c r="D344" t="str">
        <f xml:space="preserve"> IF($B344="", "", _xlfn.XLOOKUP(RIGHT($B344), 聲母對照表[十五音], 聲母對照表[台語音標], "N/A"))</f>
        <v>z</v>
      </c>
      <c r="E344" t="str">
        <f xml:space="preserve"> IF($B344="", "", _xlfn.XLOOKUP(LEFT($B344), 韻母對照表[十五音], 韻母對照表[台語音標], "N/A"))</f>
        <v>ik</v>
      </c>
      <c r="F344">
        <f xml:space="preserve"> IF($B344="", "", _xlfn.XLOOKUP(MID($B344,2,1), 聲調對照表[十五音調號], 聲調對照表[傳統八聲調], "N/A"))</f>
        <v>1</v>
      </c>
    </row>
    <row r="345" spans="1:6">
      <c r="A345" t="s">
        <v>359</v>
      </c>
      <c r="B345" t="s">
        <v>161</v>
      </c>
      <c r="C345" t="s">
        <v>676</v>
      </c>
      <c r="D345" t="str">
        <f xml:space="preserve"> IF($B345="", "", _xlfn.XLOOKUP(RIGHT($B345), 聲母對照表[十五音], 聲母對照表[台語音標], "N/A"))</f>
        <v>k</v>
      </c>
      <c r="E345" t="str">
        <f xml:space="preserve"> IF($B345="", "", _xlfn.XLOOKUP(LEFT($B345), 韻母對照表[十五音], 韻母對照表[台語音標], "N/A"))</f>
        <v>i</v>
      </c>
      <c r="F345">
        <f xml:space="preserve"> IF($B345="", "", _xlfn.XLOOKUP(MID($B345,2,1), 聲調對照表[十五音調號], 聲調對照表[傳統八聲調], "N/A"))</f>
        <v>5</v>
      </c>
    </row>
    <row r="346" spans="1:6">
      <c r="A346" t="s">
        <v>360</v>
      </c>
      <c r="B346" t="s">
        <v>361</v>
      </c>
      <c r="C346" t="s">
        <v>993</v>
      </c>
      <c r="D346" t="str">
        <f xml:space="preserve"> IF($B346="", "", _xlfn.XLOOKUP(RIGHT($B346), 聲母對照表[十五音], 聲母對照表[台語音標], "N/A"))</f>
        <v>p</v>
      </c>
      <c r="E346" t="str">
        <f xml:space="preserve"> IF($B346="", "", _xlfn.XLOOKUP(LEFT($B346), 韻母對照表[十五音], 韻母對照表[台語音標], "N/A"))</f>
        <v>e</v>
      </c>
      <c r="F346">
        <f xml:space="preserve"> IF($B346="", "", _xlfn.XLOOKUP(MID($B346,2,1), 聲調對照表[十五音調號], 聲調對照表[傳統八聲調], "N/A"))</f>
        <v>3</v>
      </c>
    </row>
    <row r="347" spans="1:6">
      <c r="A347" t="s">
        <v>209</v>
      </c>
      <c r="B347" t="s">
        <v>210</v>
      </c>
      <c r="C347" t="s">
        <v>703</v>
      </c>
      <c r="D347" t="str">
        <f xml:space="preserve"> IF($B347="", "", _xlfn.XLOOKUP(RIGHT($B347), 聲母對照表[十五音], 聲母對照表[台語音標], "N/A"))</f>
        <v>kh</v>
      </c>
      <c r="E347" t="str">
        <f xml:space="preserve"> IF($B347="", "", _xlfn.XLOOKUP(LEFT($B347), 韻母對照表[十五音], 韻母對照表[台語音標], "N/A"))</f>
        <v>ok</v>
      </c>
      <c r="F347">
        <f xml:space="preserve"> IF($B347="", "", _xlfn.XLOOKUP(MID($B347,2,1), 聲調對照表[十五音調號], 聲調對照表[傳統八聲調], "N/A"))</f>
        <v>1</v>
      </c>
    </row>
    <row r="348" spans="1:6">
      <c r="A348" t="s">
        <v>29</v>
      </c>
      <c r="D348" t="str">
        <f xml:space="preserve"> IF($B348="", "", _xlfn.XLOOKUP(RIGHT($B348), 聲母對照表[十五音], 聲母對照表[台語音標], "N/A"))</f>
        <v/>
      </c>
      <c r="E348" t="str">
        <f xml:space="preserve"> IF($B348="", "", _xlfn.XLOOKUP(LEFT($B348), 韻母對照表[十五音], 韻母對照表[台語音標], "N/A"))</f>
        <v/>
      </c>
      <c r="F348" t="str">
        <f xml:space="preserve"> IF($B348="", "", _xlfn.XLOOKUP(MID($B348,2,1), 聲調對照表[十五音調號], 聲調對照表[傳統八聲調], "N/A"))</f>
        <v/>
      </c>
    </row>
    <row r="349" spans="1:6">
      <c r="A349" t="s">
        <v>362</v>
      </c>
      <c r="B349" t="s">
        <v>363</v>
      </c>
      <c r="C349" t="s">
        <v>777</v>
      </c>
      <c r="D349" t="str">
        <f xml:space="preserve"> IF($B349="", "", _xlfn.XLOOKUP(RIGHT($B349), 聲母對照表[十五音], 聲母對照表[台語音標], "N/A"))</f>
        <v>s</v>
      </c>
      <c r="E349" t="str">
        <f xml:space="preserve"> IF($B349="", "", _xlfn.XLOOKUP(LEFT($B349), 韻母對照表[十五音], 韻母對照表[台語音標], "N/A"))</f>
        <v>u</v>
      </c>
      <c r="F349">
        <f xml:space="preserve"> IF($B349="", "", _xlfn.XLOOKUP(MID($B349,2,1), 聲調對照表[十五音調號], 聲調對照表[傳統八聲調], "N/A"))</f>
        <v>1</v>
      </c>
    </row>
    <row r="350" spans="1:6">
      <c r="A350" t="s">
        <v>73</v>
      </c>
      <c r="B350" t="s">
        <v>74</v>
      </c>
      <c r="C350" t="s">
        <v>625</v>
      </c>
      <c r="D350" t="str">
        <f xml:space="preserve"> IF($B350="", "", _xlfn.XLOOKUP(RIGHT($B350), 聲母對照表[十五音], 聲母對照表[台語音標], "N/A"))</f>
        <v>z</v>
      </c>
      <c r="E350" t="str">
        <f xml:space="preserve"> IF($B350="", "", _xlfn.XLOOKUP(LEFT($B350), 韻母對照表[十五音], 韻母對照表[台語音標], "N/A"))</f>
        <v>iu</v>
      </c>
      <c r="F350">
        <f xml:space="preserve"> IF($B350="", "", _xlfn.XLOOKUP(MID($B350,2,1), 聲調對照表[十五音調號], 聲調對照表[傳統八聲調], "N/A"))</f>
        <v>2</v>
      </c>
    </row>
    <row r="351" spans="1:6">
      <c r="A351" t="s">
        <v>364</v>
      </c>
      <c r="B351" t="s">
        <v>365</v>
      </c>
      <c r="C351" t="s">
        <v>778</v>
      </c>
      <c r="D351" t="str">
        <f xml:space="preserve"> IF($B351="", "", _xlfn.XLOOKUP(RIGHT($B351), 聲母對照表[十五音], 聲母對照表[台語音標], "N/A"))</f>
        <v>l</v>
      </c>
      <c r="E351" t="str">
        <f xml:space="preserve"> IF($B351="", "", _xlfn.XLOOKUP(LEFT($B351), 韻母對照表[十五音], 韻母對照表[台語音標], "N/A"))</f>
        <v>im</v>
      </c>
      <c r="F351">
        <f xml:space="preserve"> IF($B351="", "", _xlfn.XLOOKUP(MID($B351,2,1), 聲調對照表[十五音調號], 聲調對照表[傳統八聲調], "N/A"))</f>
        <v>5</v>
      </c>
    </row>
    <row r="352" spans="1:6">
      <c r="A352" t="s">
        <v>118</v>
      </c>
      <c r="B352" t="s">
        <v>119</v>
      </c>
      <c r="C352" t="s">
        <v>654</v>
      </c>
      <c r="D352" t="str">
        <f xml:space="preserve"> IF($B352="", "", _xlfn.XLOOKUP(RIGHT($B352), 聲母對照表[十五音], 聲母對照表[台語音標], "N/A"))</f>
        <v>k</v>
      </c>
      <c r="E352" t="str">
        <f xml:space="preserve"> IF($B352="", "", _xlfn.XLOOKUP(LEFT($B352), 韻母對照表[十五音], 韻母對照表[台語音標], "N/A"))</f>
        <v>ak</v>
      </c>
      <c r="F352">
        <f xml:space="preserve"> IF($B352="", "", _xlfn.XLOOKUP(MID($B352,2,1), 聲調對照表[十五音調號], 聲調對照表[傳統八聲調], "N/A"))</f>
        <v>1</v>
      </c>
    </row>
    <row r="353" spans="1:6">
      <c r="A353" t="s">
        <v>29</v>
      </c>
      <c r="D353" t="str">
        <f xml:space="preserve"> IF($B353="", "", _xlfn.XLOOKUP(RIGHT($B353), 聲母對照表[十五音], 聲母對照表[台語音標], "N/A"))</f>
        <v/>
      </c>
      <c r="E353" t="str">
        <f xml:space="preserve"> IF($B353="", "", _xlfn.XLOOKUP(LEFT($B353), 韻母對照表[十五音], 韻母對照表[台語音標], "N/A"))</f>
        <v/>
      </c>
      <c r="F353" t="str">
        <f xml:space="preserve"> IF($B353="", "", _xlfn.XLOOKUP(MID($B353,2,1), 聲調對照表[十五音調號], 聲調對照表[傳統八聲調], "N/A"))</f>
        <v/>
      </c>
    </row>
    <row r="354" spans="1:6">
      <c r="A354" t="s">
        <v>117</v>
      </c>
      <c r="B354" t="s">
        <v>366</v>
      </c>
      <c r="C354" t="s">
        <v>779</v>
      </c>
      <c r="D354" t="str">
        <f xml:space="preserve"> IF($B354="", "", _xlfn.XLOOKUP(RIGHT($B354), 聲母對照表[十五音], 聲母對照表[台語音標], "N/A"))</f>
        <v>h</v>
      </c>
      <c r="E354" t="str">
        <f xml:space="preserve"> IF($B354="", "", _xlfn.XLOOKUP(LEFT($B354), 韻母對照表[十五音], 韻母對照表[台語音標], "N/A"))</f>
        <v>ik</v>
      </c>
      <c r="F354">
        <f xml:space="preserve"> IF($B354="", "", _xlfn.XLOOKUP(MID($B354,2,1), 聲調對照表[十五音調號], 聲調對照表[傳統八聲調], "N/A"))</f>
        <v>5</v>
      </c>
    </row>
    <row r="355" spans="1:6">
      <c r="A355" t="s">
        <v>367</v>
      </c>
      <c r="B355" t="s">
        <v>368</v>
      </c>
      <c r="C355" t="s">
        <v>780</v>
      </c>
      <c r="D355" t="str">
        <f xml:space="preserve"> IF($B355="", "", _xlfn.XLOOKUP(RIGHT($B355), 聲母對照表[十五音], 聲母對照表[台語音標], "N/A"))</f>
        <v>s</v>
      </c>
      <c r="E355" t="str">
        <f xml:space="preserve"> IF($B355="", "", _xlfn.XLOOKUP(LEFT($B355), 韻母對照表[十五音], 韻母對照表[台語音標], "N/A"))</f>
        <v>ok</v>
      </c>
      <c r="F355">
        <f xml:space="preserve"> IF($B355="", "", _xlfn.XLOOKUP(MID($B355,2,1), 聲調對照表[十五音調號], 聲調對照表[傳統八聲調], "N/A"))</f>
        <v>4</v>
      </c>
    </row>
    <row r="356" spans="1:6">
      <c r="A356" t="s">
        <v>9</v>
      </c>
      <c r="B356" t="s">
        <v>10</v>
      </c>
      <c r="C356" t="s">
        <v>568</v>
      </c>
      <c r="D356" t="str">
        <f xml:space="preserve"> IF($B356="", "", _xlfn.XLOOKUP(RIGHT($B356), 聲母對照表[十五音], 聲母對照表[台語音標], "N/A"))</f>
        <v>h</v>
      </c>
      <c r="E356" t="str">
        <f xml:space="preserve"> IF($B356="", "", _xlfn.XLOOKUP(LEFT($B356), 韻母對照表[十五音], 韻母對照表[台語音標], "N/A"))</f>
        <v>u</v>
      </c>
      <c r="F356">
        <f xml:space="preserve"> IF($B356="", "", _xlfn.XLOOKUP(MID($B356,2,1), 聲調對照表[十五音調號], 聲調對照表[傳統八聲調], "N/A"))</f>
        <v>3</v>
      </c>
    </row>
    <row r="357" spans="1:6">
      <c r="A357" t="s">
        <v>81</v>
      </c>
      <c r="B357" t="s">
        <v>82</v>
      </c>
      <c r="C357" t="s">
        <v>630</v>
      </c>
      <c r="D357" t="str">
        <f xml:space="preserve"> IF($B357="", "", _xlfn.XLOOKUP(RIGHT($B357), 聲母對照表[十五音], 聲母對照表[台語音標], "N/A"))</f>
        <v>s</v>
      </c>
      <c r="E357" t="str">
        <f xml:space="preserve"> IF($B357="", "", _xlfn.XLOOKUP(LEFT($B357), 韻母對照表[十五音], 韻母對照表[台語音標], "N/A"))</f>
        <v>i</v>
      </c>
      <c r="F357">
        <f xml:space="preserve"> IF($B357="", "", _xlfn.XLOOKUP(MID($B357,2,1), 聲調對照表[十五音調號], 聲調對照表[傳統八聲調], "N/A"))</f>
        <v>1</v>
      </c>
    </row>
    <row r="358" spans="1:6">
      <c r="A358" t="s">
        <v>29</v>
      </c>
      <c r="D358" t="str">
        <f xml:space="preserve"> IF($B358="", "", _xlfn.XLOOKUP(RIGHT($B358), 聲母對照表[十五音], 聲母對照表[台語音標], "N/A"))</f>
        <v/>
      </c>
      <c r="E358" t="str">
        <f xml:space="preserve"> IF($B358="", "", _xlfn.XLOOKUP(LEFT($B358), 韻母對照表[十五音], 韻母對照表[台語音標], "N/A"))</f>
        <v/>
      </c>
      <c r="F358" t="str">
        <f xml:space="preserve"> IF($B358="", "", _xlfn.XLOOKUP(MID($B358,2,1), 聲調對照表[十五音調號], 聲調對照表[傳統八聲調], "N/A"))</f>
        <v/>
      </c>
    </row>
    <row r="359" spans="1:6">
      <c r="A359" t="s">
        <v>369</v>
      </c>
      <c r="B359" t="s">
        <v>370</v>
      </c>
      <c r="C359" t="s">
        <v>781</v>
      </c>
      <c r="D359" t="str">
        <f xml:space="preserve"> IF($B359="", "", _xlfn.XLOOKUP(RIGHT($B359), 聲母對照表[十五音], 聲母對照表[台語音標], "N/A"))</f>
        <v>k</v>
      </c>
      <c r="E359" t="str">
        <f xml:space="preserve"> IF($B359="", "", _xlfn.XLOOKUP(LEFT($B359), 韻母對照表[十五音], 韻母對照表[台語音標], "N/A"))</f>
        <v>oo</v>
      </c>
      <c r="F359">
        <f xml:space="preserve"> IF($B359="", "", _xlfn.XLOOKUP(MID($B359,2,1), 聲調對照表[十五音調號], 聲調對照表[傳統八聲調], "N/A"))</f>
        <v>3</v>
      </c>
    </row>
    <row r="360" spans="1:6">
      <c r="A360" t="s">
        <v>128</v>
      </c>
      <c r="B360" t="s">
        <v>129</v>
      </c>
      <c r="C360" t="s">
        <v>966</v>
      </c>
      <c r="D360" t="str">
        <f xml:space="preserve"> IF($B360="", "", _xlfn.XLOOKUP(RIGHT($B360), 聲母對照表[十五音], 聲母對照表[台語音標], "N/A"))</f>
        <v>Ø</v>
      </c>
      <c r="E360" t="str">
        <f xml:space="preserve"> IF($B360="", "", _xlfn.XLOOKUP(LEFT($B360), 韻母對照表[十五音], 韻母對照表[台語音標], "N/A"))</f>
        <v>in</v>
      </c>
      <c r="F360">
        <f xml:space="preserve"> IF($B360="", "", _xlfn.XLOOKUP(MID($B360,2,1), 聲調對照表[十五音調號], 聲調對照表[傳統八聲調], "N/A"))</f>
        <v>4</v>
      </c>
    </row>
    <row r="361" spans="1:6">
      <c r="A361" t="s">
        <v>168</v>
      </c>
      <c r="B361" t="s">
        <v>169</v>
      </c>
      <c r="C361" t="s">
        <v>972</v>
      </c>
      <c r="D361" t="str">
        <f xml:space="preserve"> IF($B361="", "", _xlfn.XLOOKUP(RIGHT($B361), 聲母對照表[十五音], 聲母對照表[台語音標], "N/A"))</f>
        <v>s</v>
      </c>
      <c r="E361" t="str">
        <f xml:space="preserve"> IF($B361="", "", _xlfn.XLOOKUP(LEFT($B361), 韻母對照表[十五音], 韻母對照表[台語音標], "N/A"))</f>
        <v>e</v>
      </c>
      <c r="F361">
        <f xml:space="preserve"> IF($B361="", "", _xlfn.XLOOKUP(MID($B361,2,1), 聲調對照表[十五音調號], 聲調對照表[傳統八聲調], "N/A"))</f>
        <v>3</v>
      </c>
    </row>
    <row r="362" spans="1:6">
      <c r="A362" t="s">
        <v>25</v>
      </c>
      <c r="B362" t="s">
        <v>26</v>
      </c>
      <c r="C362" t="s">
        <v>584</v>
      </c>
      <c r="D362" t="str">
        <f xml:space="preserve"> IF($B362="", "", _xlfn.XLOOKUP(RIGHT($B362), 聲母對照表[十五音], 聲母對照表[台語音標], "N/A"))</f>
        <v>z</v>
      </c>
      <c r="E362" t="str">
        <f xml:space="preserve"> IF($B362="", "", _xlfn.XLOOKUP(LEFT($B362), 韻母對照表[十五音], 韻母對照表[台語音標], "N/A"))</f>
        <v>i</v>
      </c>
      <c r="F362">
        <f xml:space="preserve"> IF($B362="", "", _xlfn.XLOOKUP(MID($B362,2,1), 聲調對照表[十五音調號], 聲調對照表[傳統八聲調], "N/A"))</f>
        <v>1</v>
      </c>
    </row>
    <row r="363" spans="1:6">
      <c r="A363" t="s">
        <v>371</v>
      </c>
      <c r="B363" t="s">
        <v>227</v>
      </c>
      <c r="C363" t="s">
        <v>713</v>
      </c>
      <c r="D363" t="str">
        <f xml:space="preserve"> IF($B363="", "", _xlfn.XLOOKUP(RIGHT($B363), 聲母對照表[十五音], 聲母對照表[台語音標], "N/A"))</f>
        <v>h</v>
      </c>
      <c r="E363" t="str">
        <f xml:space="preserve"> IF($B363="", "", _xlfn.XLOOKUP(LEFT($B363), 韻母對照表[十五音], 韻母對照表[台語音標], "N/A"))</f>
        <v>iok</v>
      </c>
      <c r="F363">
        <f xml:space="preserve"> IF($B363="", "", _xlfn.XLOOKUP(MID($B363,2,1), 聲調對照表[十五音調號], 聲調對照表[傳統八聲調], "N/A"))</f>
        <v>5</v>
      </c>
    </row>
    <row r="364" spans="1:6">
      <c r="A364" t="s">
        <v>294</v>
      </c>
      <c r="B364" t="s">
        <v>295</v>
      </c>
      <c r="C364" t="s">
        <v>990</v>
      </c>
      <c r="D364" t="str">
        <f xml:space="preserve"> IF($B364="", "", _xlfn.XLOOKUP(RIGHT($B364), 聲母對照表[十五音], 聲母對照表[台語音標], "N/A"))</f>
        <v>Ø</v>
      </c>
      <c r="E364" t="str">
        <f xml:space="preserve"> IF($B364="", "", _xlfn.XLOOKUP(LEFT($B364), 韻母對照表[十五音], 韻母對照表[台語音標], "N/A"))</f>
        <v>ia</v>
      </c>
      <c r="F364">
        <f xml:space="preserve"> IF($B364="", "", _xlfn.XLOOKUP(MID($B364,2,1), 聲調對照表[十五音調號], 聲調對照表[傳統八聲調], "N/A"))</f>
        <v>2</v>
      </c>
    </row>
    <row r="365" spans="1:6">
      <c r="A365" t="s">
        <v>29</v>
      </c>
      <c r="D365" t="str">
        <f xml:space="preserve"> IF($B365="", "", _xlfn.XLOOKUP(RIGHT($B365), 聲母對照表[十五音], 聲母對照表[台語音標], "N/A"))</f>
        <v/>
      </c>
      <c r="E365" t="str">
        <f xml:space="preserve"> IF($B365="", "", _xlfn.XLOOKUP(LEFT($B365), 韻母對照表[十五音], 韻母對照表[台語音標], "N/A"))</f>
        <v/>
      </c>
      <c r="F365" t="str">
        <f xml:space="preserve"> IF($B365="", "", _xlfn.XLOOKUP(MID($B365,2,1), 聲調對照表[十五音調號], 聲調對照表[傳統八聲調], "N/A"))</f>
        <v/>
      </c>
    </row>
    <row r="366" spans="1:6">
      <c r="A366" t="s">
        <v>157</v>
      </c>
      <c r="B366" t="s">
        <v>150</v>
      </c>
      <c r="C366" t="s">
        <v>664</v>
      </c>
      <c r="D366" t="str">
        <f xml:space="preserve"> IF($B366="", "", _xlfn.XLOOKUP(RIGHT($B366), 聲母對照表[十五音], 聲母對照表[台語音標], "N/A"))</f>
        <v>j</v>
      </c>
      <c r="E366" t="str">
        <f xml:space="preserve"> IF($B366="", "", _xlfn.XLOOKUP(LEFT($B366), 韻母對照表[十五音], 韻母對照表[台語音標], "N/A"))</f>
        <v>i</v>
      </c>
      <c r="F366">
        <f xml:space="preserve"> IF($B366="", "", _xlfn.XLOOKUP(MID($B366,2,1), 聲調對照表[十五音調號], 聲調對照表[傳統八聲調], "N/A"))</f>
        <v>5</v>
      </c>
    </row>
    <row r="367" spans="1:6">
      <c r="A367" t="s">
        <v>372</v>
      </c>
      <c r="B367" t="s">
        <v>284</v>
      </c>
      <c r="C367" t="s">
        <v>742</v>
      </c>
      <c r="D367" t="str">
        <f xml:space="preserve"> IF($B367="", "", _xlfn.XLOOKUP(RIGHT($B367), 聲母對照表[十五音], 聲母對照表[台語音標], "N/A"))</f>
        <v>k</v>
      </c>
      <c r="E367" t="str">
        <f xml:space="preserve"> IF($B367="", "", _xlfn.XLOOKUP(LEFT($B367), 韻母對照表[十五音], 韻母對照表[台語音標], "N/A"))</f>
        <v>im</v>
      </c>
      <c r="F367">
        <f xml:space="preserve"> IF($B367="", "", _xlfn.XLOOKUP(MID($B367,2,1), 聲調對照表[十五音調號], 聲調對照表[傳統八聲調], "N/A"))</f>
        <v>1</v>
      </c>
    </row>
    <row r="368" spans="1:6">
      <c r="A368" t="s">
        <v>373</v>
      </c>
      <c r="B368" t="s">
        <v>374</v>
      </c>
      <c r="C368" t="s">
        <v>994</v>
      </c>
      <c r="D368" t="str">
        <f xml:space="preserve"> IF($B368="", "", _xlfn.XLOOKUP(RIGHT($B368), 聲母對照表[十五音], 聲母對照表[台語音標], "N/A"))</f>
        <v>Ø</v>
      </c>
      <c r="E368" t="str">
        <f xml:space="preserve"> IF($B368="", "", _xlfn.XLOOKUP(LEFT($B368), 韻母對照表[十五音], 韻母對照表[台語音標], "N/A"))</f>
        <v>an</v>
      </c>
      <c r="F368">
        <f xml:space="preserve"> IF($B368="", "", _xlfn.XLOOKUP(MID($B368,2,1), 聲調對照表[十五音調號], 聲調對照表[傳統八聲調], "N/A"))</f>
        <v>1</v>
      </c>
    </row>
    <row r="369" spans="1:6">
      <c r="A369" t="s">
        <v>375</v>
      </c>
      <c r="B369" t="s">
        <v>376</v>
      </c>
      <c r="C369" t="s">
        <v>783</v>
      </c>
      <c r="D369" t="str">
        <f xml:space="preserve"> IF($B369="", "", _xlfn.XLOOKUP(RIGHT($B369), 聲母對照表[十五音], 聲母對照表[台語音標], "N/A"))</f>
        <v>z</v>
      </c>
      <c r="E369" t="str">
        <f xml:space="preserve"> IF($B369="", "", _xlfn.XLOOKUP(LEFT($B369), 韻母對照表[十五音], 韻母對照表[台語音標], "N/A"))</f>
        <v>ai</v>
      </c>
      <c r="F369">
        <f xml:space="preserve"> IF($B369="", "", _xlfn.XLOOKUP(MID($B369,2,1), 聲調對照表[十五音調號], 聲調對照表[傳統八聲調], "N/A"))</f>
        <v>2</v>
      </c>
    </row>
    <row r="370" spans="1:6">
      <c r="A370" t="s">
        <v>377</v>
      </c>
      <c r="B370" t="s">
        <v>378</v>
      </c>
      <c r="C370" t="s">
        <v>784</v>
      </c>
      <c r="D370" t="str">
        <f xml:space="preserve"> IF($B370="", "", _xlfn.XLOOKUP(RIGHT($B370), 聲母對照表[十五音], 聲母對照表[台語音標], "N/A"))</f>
        <v>z</v>
      </c>
      <c r="E370" t="str">
        <f xml:space="preserve"> IF($B370="", "", _xlfn.XLOOKUP(LEFT($B370), 韻母對照表[十五音], 韻母對照表[台語音標], "N/A"))</f>
        <v>ai</v>
      </c>
      <c r="F370">
        <f xml:space="preserve"> IF($B370="", "", _xlfn.XLOOKUP(MID($B370,2,1), 聲調對照表[十五音調號], 聲調對照表[傳統八聲調], "N/A"))</f>
        <v>1</v>
      </c>
    </row>
    <row r="371" spans="1:6">
      <c r="A371" t="s">
        <v>296</v>
      </c>
      <c r="D371" t="str">
        <f xml:space="preserve"> IF($B371="", "", _xlfn.XLOOKUP(RIGHT($B371), 聲母對照表[十五音], 聲母對照表[台語音標], "N/A"))</f>
        <v/>
      </c>
      <c r="E371" t="str">
        <f xml:space="preserve"> IF($B371="", "", _xlfn.XLOOKUP(LEFT($B371), 韻母對照表[十五音], 韻母對照表[台語音標], "N/A"))</f>
        <v/>
      </c>
      <c r="F371" t="str">
        <f xml:space="preserve"> IF($B371="", "", _xlfn.XLOOKUP(MID($B371,2,1), 聲調對照表[十五音調號], 聲調對照表[傳統八聲調], "N/A"))</f>
        <v/>
      </c>
    </row>
    <row r="372" spans="1:6">
      <c r="A372" t="s">
        <v>379</v>
      </c>
      <c r="B372" t="s">
        <v>380</v>
      </c>
      <c r="C372" t="s">
        <v>785</v>
      </c>
      <c r="D372" t="str">
        <f xml:space="preserve"> IF($B372="", "", _xlfn.XLOOKUP(RIGHT($B372), 聲母對照表[十五音], 聲母對照表[台語音標], "N/A"))</f>
        <v>h</v>
      </c>
      <c r="E372" t="str">
        <f xml:space="preserve"> IF($B372="", "", _xlfn.XLOOKUP(LEFT($B372), 韻母對照表[十五音], 韻母對照表[台語音標], "N/A"))</f>
        <v>ok</v>
      </c>
      <c r="F372">
        <f xml:space="preserve"> IF($B372="", "", _xlfn.XLOOKUP(MID($B372,2,1), 聲調對照表[十五音調號], 聲調對照表[傳統八聲調], "N/A"))</f>
        <v>3</v>
      </c>
    </row>
    <row r="373" spans="1:6">
      <c r="A373" t="s">
        <v>381</v>
      </c>
      <c r="B373" s="51" t="s">
        <v>382</v>
      </c>
      <c r="C373" s="51" t="s">
        <v>786</v>
      </c>
      <c r="D373" t="str">
        <f xml:space="preserve"> IF($B373="", "", _xlfn.XLOOKUP(RIGHT($B373), 聲母對照表[十五音], 聲母對照表[台語音標], "N/A"))</f>
        <v>g</v>
      </c>
      <c r="E373" t="str">
        <f xml:space="preserve"> IF($B373="", "", _xlfn.XLOOKUP(LEFT($B373), 韻母對照表[十五音], 韻母對照表[台語音標], "N/A"))</f>
        <v>oo</v>
      </c>
      <c r="F373">
        <f xml:space="preserve"> IF($B373="", "", _xlfn.XLOOKUP(MID($B373,2,1), 聲調對照表[十五音調號], 聲調對照表[傳統八聲調], "N/A"))</f>
        <v>5</v>
      </c>
    </row>
    <row r="374" spans="1:6">
      <c r="A374" t="s">
        <v>40</v>
      </c>
      <c r="B374" t="s">
        <v>41</v>
      </c>
      <c r="C374" t="s">
        <v>946</v>
      </c>
      <c r="D374" t="str">
        <f xml:space="preserve"> IF($B374="", "", _xlfn.XLOOKUP(RIGHT($B374), 聲母對照表[十五音], 聲母對照表[台語音標], "N/A"))</f>
        <v>Ø</v>
      </c>
      <c r="E374" t="str">
        <f xml:space="preserve"> IF($B374="", "", _xlfn.XLOOKUP(LEFT($B374), 韻母對照表[十五音], 韻母對照表[台語音標], "N/A"))</f>
        <v>u</v>
      </c>
      <c r="F374">
        <f xml:space="preserve"> IF($B374="", "", _xlfn.XLOOKUP(MID($B374,2,1), 聲調對照表[十五音調號], 聲調對照表[傳統八聲調], "N/A"))</f>
        <v>2</v>
      </c>
    </row>
    <row r="375" spans="1:6">
      <c r="A375" t="s">
        <v>38</v>
      </c>
      <c r="B375" s="52" t="s">
        <v>1819</v>
      </c>
      <c r="C375" s="51" t="s">
        <v>1820</v>
      </c>
      <c r="D375" t="str">
        <f xml:space="preserve"> IF($B375="", "", _xlfn.XLOOKUP(RIGHT($B375), 聲母對照表[十五音], 聲母對照表[台語音標], "N/A"))</f>
        <v>z</v>
      </c>
      <c r="E375" t="str">
        <f xml:space="preserve"> IF($B375="", "", _xlfn.XLOOKUP(LEFT($B375), 韻母對照表[十五音], 韻母對照表[台語音標], "N/A"))</f>
        <v>u</v>
      </c>
      <c r="F375">
        <f xml:space="preserve"> IF($B375="", "", _xlfn.XLOOKUP(MID($B375,2,1), 聲調對照表[十五音調號], 聲調對照表[傳統八聲調], "N/A"))</f>
        <v>2</v>
      </c>
    </row>
    <row r="376" spans="1:6">
      <c r="A376" t="s">
        <v>29</v>
      </c>
      <c r="D376" t="str">
        <f xml:space="preserve"> IF($B376="", "", _xlfn.XLOOKUP(RIGHT($B376), 聲母對照表[十五音], 聲母對照表[台語音標], "N/A"))</f>
        <v/>
      </c>
      <c r="E376" t="str">
        <f xml:space="preserve"> IF($B376="", "", _xlfn.XLOOKUP(LEFT($B376), 韻母對照表[十五音], 韻母對照表[台語音標], "N/A"))</f>
        <v/>
      </c>
      <c r="F376" t="str">
        <f xml:space="preserve"> IF($B376="", "", _xlfn.XLOOKUP(MID($B376,2,1), 聲調對照表[十五音調號], 聲調對照表[傳統八聲調], "N/A"))</f>
        <v/>
      </c>
    </row>
    <row r="377" spans="1:6">
      <c r="A377" t="s">
        <v>383</v>
      </c>
      <c r="B377" t="s">
        <v>110</v>
      </c>
      <c r="C377" t="s">
        <v>963</v>
      </c>
      <c r="D377" t="str">
        <f xml:space="preserve"> IF($B377="", "", _xlfn.XLOOKUP(RIGHT($B377), 聲母對照表[十五音], 聲母對照表[台語音標], "N/A"))</f>
        <v>g</v>
      </c>
      <c r="E377" t="str">
        <f xml:space="preserve"> IF($B377="", "", _xlfn.XLOOKUP(LEFT($B377), 韻母對照表[十五音], 韻母對照表[台語音標], "N/A"))</f>
        <v>u</v>
      </c>
      <c r="F377">
        <f xml:space="preserve"> IF($B377="", "", _xlfn.XLOOKUP(MID($B377,2,1), 聲調對照表[十五音調號], 聲調對照表[傳統八聲調], "N/A"))</f>
        <v>5</v>
      </c>
    </row>
    <row r="378" spans="1:6">
      <c r="A378" t="s">
        <v>384</v>
      </c>
      <c r="B378" t="s">
        <v>385</v>
      </c>
      <c r="C378" t="s">
        <v>788</v>
      </c>
      <c r="D378" t="str">
        <f xml:space="preserve"> IF($B378="", "", _xlfn.XLOOKUP(RIGHT($B378), 聲母對照表[十五音], 聲母對照表[台語音標], "N/A"))</f>
        <v>z</v>
      </c>
      <c r="E378" t="str">
        <f xml:space="preserve"> IF($B378="", "", _xlfn.XLOOKUP(LEFT($B378), 韻母對照表[十五音], 韻母對照表[台語音標], "N/A"))</f>
        <v>iau</v>
      </c>
      <c r="F378">
        <f xml:space="preserve"> IF($B378="", "", _xlfn.XLOOKUP(MID($B378,2,1), 聲調對照表[十五音調號], 聲調對照表[傳統八聲調], "N/A"))</f>
        <v>5</v>
      </c>
    </row>
    <row r="379" spans="1:6">
      <c r="A379" t="s">
        <v>50</v>
      </c>
      <c r="B379" t="s">
        <v>51</v>
      </c>
      <c r="C379" t="s">
        <v>950</v>
      </c>
      <c r="D379" t="str">
        <f xml:space="preserve"> IF($B379="", "", _xlfn.XLOOKUP(RIGHT($B379), 聲母對照表[十五音], 聲母對照表[台語音標], "N/A"))</f>
        <v>Ø</v>
      </c>
      <c r="E379" t="str">
        <f xml:space="preserve"> IF($B379="", "", _xlfn.XLOOKUP(LEFT($B379), 韻母對照表[十五音], 韻母對照表[台語音標], "N/A"))</f>
        <v>u</v>
      </c>
      <c r="F379">
        <f xml:space="preserve"> IF($B379="", "", _xlfn.XLOOKUP(MID($B379,2,1), 聲調對照表[十五音調號], 聲調對照表[傳統八聲調], "N/A"))</f>
        <v>1</v>
      </c>
    </row>
    <row r="380" spans="1:6">
      <c r="A380" t="s">
        <v>118</v>
      </c>
      <c r="B380" t="s">
        <v>119</v>
      </c>
      <c r="C380" t="s">
        <v>654</v>
      </c>
      <c r="D380" t="str">
        <f xml:space="preserve"> IF($B380="", "", _xlfn.XLOOKUP(RIGHT($B380), 聲母對照表[十五音], 聲母對照表[台語音標], "N/A"))</f>
        <v>k</v>
      </c>
      <c r="E380" t="str">
        <f xml:space="preserve"> IF($B380="", "", _xlfn.XLOOKUP(LEFT($B380), 韻母對照表[十五音], 韻母對照表[台語音標], "N/A"))</f>
        <v>ak</v>
      </c>
      <c r="F380">
        <f xml:space="preserve"> IF($B380="", "", _xlfn.XLOOKUP(MID($B380,2,1), 聲調對照表[十五音調號], 聲調對照表[傳統八聲調], "N/A"))</f>
        <v>1</v>
      </c>
    </row>
    <row r="381" spans="1:6">
      <c r="A381" t="s">
        <v>386</v>
      </c>
      <c r="B381" t="s">
        <v>39</v>
      </c>
      <c r="C381" t="s">
        <v>597</v>
      </c>
      <c r="D381" t="str">
        <f xml:space="preserve"> IF($B381="", "", _xlfn.XLOOKUP(RIGHT($B381), 聲母對照表[十五音], 聲母對照表[台語音標], "N/A"))</f>
        <v>z</v>
      </c>
      <c r="E381" t="str">
        <f xml:space="preserve"> IF($B381="", "", _xlfn.XLOOKUP(LEFT($B381), 韻母對照表[十五音], 韻母對照表[台語音標], "N/A"))</f>
        <v>u</v>
      </c>
      <c r="F381">
        <f xml:space="preserve"> IF($B381="", "", _xlfn.XLOOKUP(MID($B381,2,1), 聲調對照表[十五音調號], 聲調對照表[傳統八聲調], "N/A"))</f>
        <v>2</v>
      </c>
    </row>
    <row r="382" spans="1:6">
      <c r="A382" t="s">
        <v>25</v>
      </c>
      <c r="B382" t="s">
        <v>26</v>
      </c>
      <c r="C382" t="s">
        <v>584</v>
      </c>
      <c r="D382" t="str">
        <f xml:space="preserve"> IF($B382="", "", _xlfn.XLOOKUP(RIGHT($B382), 聲母對照表[十五音], 聲母對照表[台語音標], "N/A"))</f>
        <v>z</v>
      </c>
      <c r="E382" t="str">
        <f xml:space="preserve"> IF($B382="", "", _xlfn.XLOOKUP(LEFT($B382), 韻母對照表[十五音], 韻母對照表[台語音標], "N/A"))</f>
        <v>i</v>
      </c>
      <c r="F382">
        <f xml:space="preserve"> IF($B382="", "", _xlfn.XLOOKUP(MID($B382,2,1), 聲調對照表[十五音調號], 聲調對照表[傳統八聲調], "N/A"))</f>
        <v>1</v>
      </c>
    </row>
    <row r="383" spans="1:6">
      <c r="A383" t="s">
        <v>101</v>
      </c>
      <c r="B383" t="s">
        <v>102</v>
      </c>
      <c r="C383" t="s">
        <v>643</v>
      </c>
      <c r="D383" t="str">
        <f xml:space="preserve"> IF($B383="", "", _xlfn.XLOOKUP(RIGHT($B383), 聲母對照表[十五音], 聲母對照表[台語音標], "N/A"))</f>
        <v>s</v>
      </c>
      <c r="E383" t="str">
        <f xml:space="preserve"> IF($B383="", "", _xlfn.XLOOKUP(LEFT($B383), 韻母對照表[十五音], 韻母對照表[台語音標], "N/A"))</f>
        <v>iok</v>
      </c>
      <c r="F383">
        <f xml:space="preserve"> IF($B383="", "", _xlfn.XLOOKUP(MID($B383,2,1), 聲調對照表[十五音調號], 聲調對照表[傳統八聲調], "N/A"))</f>
        <v>2</v>
      </c>
    </row>
    <row r="384" spans="1:6">
      <c r="A384" t="s">
        <v>29</v>
      </c>
      <c r="D384" t="str">
        <f xml:space="preserve"> IF($B384="", "", _xlfn.XLOOKUP(RIGHT($B384), 聲母對照表[十五音], 聲母對照表[台語音標], "N/A"))</f>
        <v/>
      </c>
      <c r="E384" t="str">
        <f xml:space="preserve"> IF($B384="", "", _xlfn.XLOOKUP(LEFT($B384), 韻母對照表[十五音], 韻母對照表[台語音標], "N/A"))</f>
        <v/>
      </c>
      <c r="F384" t="str">
        <f xml:space="preserve"> IF($B384="", "", _xlfn.XLOOKUP(MID($B384,2,1), 聲調對照表[十五音調號], 聲調對照表[傳統八聲調], "N/A"))</f>
        <v/>
      </c>
    </row>
    <row r="385" spans="1:6">
      <c r="A385" t="s">
        <v>387</v>
      </c>
      <c r="B385" t="s">
        <v>388</v>
      </c>
      <c r="C385" t="s">
        <v>995</v>
      </c>
      <c r="D385" t="str">
        <f xml:space="preserve"> IF($B385="", "", _xlfn.XLOOKUP(RIGHT($B385), 聲母對照表[十五音], 聲母對照表[台語音標], "N/A"))</f>
        <v>l</v>
      </c>
      <c r="E385" t="str">
        <f xml:space="preserve"> IF($B385="", "", _xlfn.XLOOKUP(LEFT($B385), 韻母對照表[十五音], 韻母對照表[台語音標], "N/A"))</f>
        <v>u</v>
      </c>
      <c r="F385">
        <f xml:space="preserve"> IF($B385="", "", _xlfn.XLOOKUP(MID($B385,2,1), 聲調對照表[十五音調號], 聲調對照表[傳統八聲調], "N/A"))</f>
        <v>7</v>
      </c>
    </row>
    <row r="386" spans="1:6">
      <c r="A386" t="s">
        <v>389</v>
      </c>
      <c r="B386" t="s">
        <v>110</v>
      </c>
      <c r="C386" t="s">
        <v>963</v>
      </c>
      <c r="D386" t="str">
        <f xml:space="preserve"> IF($B386="", "", _xlfn.XLOOKUP(RIGHT($B386), 聲母對照表[十五音], 聲母對照表[台語音標], "N/A"))</f>
        <v>g</v>
      </c>
      <c r="E386" t="str">
        <f xml:space="preserve"> IF($B386="", "", _xlfn.XLOOKUP(LEFT($B386), 韻母對照表[十五音], 韻母對照表[台語音標], "N/A"))</f>
        <v>u</v>
      </c>
      <c r="F386">
        <f xml:space="preserve"> IF($B386="", "", _xlfn.XLOOKUP(MID($B386,2,1), 聲調對照表[十五音調號], 聲調對照表[傳統八聲調], "N/A"))</f>
        <v>5</v>
      </c>
    </row>
    <row r="387" spans="1:6">
      <c r="A387" t="s">
        <v>390</v>
      </c>
      <c r="B387" t="s">
        <v>391</v>
      </c>
      <c r="C387" t="s">
        <v>790</v>
      </c>
      <c r="D387" t="str">
        <f xml:space="preserve"> IF($B387="", "", _xlfn.XLOOKUP(RIGHT($B387), 聲母對照表[十五音], 聲母對照表[台語音標], "N/A"))</f>
        <v>h</v>
      </c>
      <c r="E387" t="str">
        <f xml:space="preserve"> IF($B387="", "", _xlfn.XLOOKUP(LEFT($B387), 韻母對照表[十五音], 韻母對照表[台語音標], "N/A"))</f>
        <v>ee</v>
      </c>
      <c r="F387">
        <f xml:space="preserve"> IF($B387="", "", _xlfn.XLOOKUP(MID($B387,2,1), 聲調對照表[十五音調號], 聲調對照表[傳統八聲調], "N/A"))</f>
        <v>5</v>
      </c>
    </row>
    <row r="388" spans="1:6">
      <c r="A388" t="s">
        <v>157</v>
      </c>
      <c r="B388" t="s">
        <v>150</v>
      </c>
      <c r="C388" t="s">
        <v>664</v>
      </c>
      <c r="D388" t="str">
        <f xml:space="preserve"> IF($B388="", "", _xlfn.XLOOKUP(RIGHT($B388), 聲母對照表[十五音], 聲母對照表[台語音標], "N/A"))</f>
        <v>j</v>
      </c>
      <c r="E388" t="str">
        <f xml:space="preserve"> IF($B388="", "", _xlfn.XLOOKUP(LEFT($B388), 韻母對照表[十五音], 韻母對照表[台語音標], "N/A"))</f>
        <v>i</v>
      </c>
      <c r="F388">
        <f xml:space="preserve"> IF($B388="", "", _xlfn.XLOOKUP(MID($B388,2,1), 聲調對照表[十五音調號], 聲調對照表[傳統八聲調], "N/A"))</f>
        <v>5</v>
      </c>
    </row>
    <row r="389" spans="1:6">
      <c r="A389" t="s">
        <v>392</v>
      </c>
      <c r="B389" t="s">
        <v>230</v>
      </c>
      <c r="C389" t="s">
        <v>981</v>
      </c>
      <c r="D389" t="str">
        <f xml:space="preserve"> IF($B389="", "", _xlfn.XLOOKUP(RIGHT($B389), 聲母對照表[十五音], 聲母對照表[台語音標], "N/A"))</f>
        <v>Ø</v>
      </c>
      <c r="E389" t="str">
        <f xml:space="preserve"> IF($B389="", "", _xlfn.XLOOKUP(LEFT($B389), 韻母對照表[十五音], 韻母對照表[台語音標], "N/A"))</f>
        <v>iu</v>
      </c>
      <c r="F389">
        <f xml:space="preserve"> IF($B389="", "", _xlfn.XLOOKUP(MID($B389,2,1), 聲調對照表[十五音調號], 聲調對照表[傳統八聲調], "N/A"))</f>
        <v>2</v>
      </c>
    </row>
    <row r="390" spans="1:6">
      <c r="A390" t="s">
        <v>393</v>
      </c>
      <c r="B390" t="s">
        <v>394</v>
      </c>
      <c r="C390" t="s">
        <v>791</v>
      </c>
      <c r="D390" t="str">
        <f xml:space="preserve"> IF($B390="", "", _xlfn.XLOOKUP(RIGHT($B390), 聲母對照表[十五音], 聲母對照表[台語音標], "N/A"))</f>
        <v>b</v>
      </c>
      <c r="E390" t="str">
        <f xml:space="preserve"> IF($B390="", "", _xlfn.XLOOKUP(LEFT($B390), 韻母對照表[十五音], 韻母對照表[台語音標], "N/A"))</f>
        <v>i</v>
      </c>
      <c r="F390">
        <f xml:space="preserve"> IF($B390="", "", _xlfn.XLOOKUP(MID($B390,2,1), 聲調對照表[十五音調號], 聲調對照表[傳統八聲調], "N/A"))</f>
        <v>5</v>
      </c>
    </row>
    <row r="391" spans="1:6">
      <c r="A391" t="s">
        <v>395</v>
      </c>
      <c r="B391" t="s">
        <v>186</v>
      </c>
      <c r="C391" t="s">
        <v>690</v>
      </c>
      <c r="D391" t="str">
        <f xml:space="preserve"> IF($B391="", "", _xlfn.XLOOKUP(RIGHT($B391), 聲母對照表[十五音], 聲母對照表[台語音標], "N/A"))</f>
        <v>l</v>
      </c>
      <c r="E391" t="str">
        <f xml:space="preserve"> IF($B391="", "", _xlfn.XLOOKUP(LEFT($B391), 韻母對照表[十五音], 韻母對照表[台語音標], "N/A"))</f>
        <v>ok</v>
      </c>
      <c r="F391">
        <f xml:space="preserve"> IF($B391="", "", _xlfn.XLOOKUP(MID($B391,2,1), 聲調對照表[十五音調號], 聲調對照表[傳統八聲調], "N/A"))</f>
        <v>8</v>
      </c>
    </row>
    <row r="392" spans="1:6">
      <c r="A392" t="s">
        <v>126</v>
      </c>
      <c r="D392" t="str">
        <f xml:space="preserve"> IF($B392="", "", _xlfn.XLOOKUP(RIGHT($B392), 聲母對照表[十五音], 聲母對照表[台語音標], "N/A"))</f>
        <v/>
      </c>
      <c r="E392" t="str">
        <f xml:space="preserve"> IF($B392="", "", _xlfn.XLOOKUP(LEFT($B392), 韻母對照表[十五音], 韻母對照表[台語音標], "N/A"))</f>
        <v/>
      </c>
      <c r="F392" t="str">
        <f xml:space="preserve"> IF($B392="", "", _xlfn.XLOOKUP(MID($B392,2,1), 聲調對照表[十五音調號], 聲調對照表[傳統八聲調], "N/A"))</f>
        <v/>
      </c>
    </row>
    <row r="393" spans="1:6">
      <c r="A393" t="s">
        <v>396</v>
      </c>
      <c r="B393" t="s">
        <v>397</v>
      </c>
      <c r="C393" t="s">
        <v>997</v>
      </c>
      <c r="D393" t="str">
        <f xml:space="preserve"> IF($B393="", "", _xlfn.XLOOKUP(RIGHT($B393), 聲母對照表[十五音], 聲母對照表[台語音標], "N/A"))</f>
        <v>k</v>
      </c>
      <c r="E393" t="str">
        <f xml:space="preserve"> IF($B393="", "", _xlfn.XLOOKUP(LEFT($B393), 韻母對照表[十五音], 韻母對照表[台語音標], "N/A"))</f>
        <v>a</v>
      </c>
      <c r="F393">
        <f xml:space="preserve"> IF($B393="", "", _xlfn.XLOOKUP(MID($B393,2,1), 聲調對照表[十五音調號], 聲調對照表[傳統八聲調], "N/A"))</f>
        <v>3</v>
      </c>
    </row>
    <row r="394" spans="1:6">
      <c r="A394" t="s">
        <v>128</v>
      </c>
      <c r="B394" t="s">
        <v>129</v>
      </c>
      <c r="C394" t="s">
        <v>966</v>
      </c>
      <c r="D394" t="str">
        <f xml:space="preserve"> IF($B394="", "", _xlfn.XLOOKUP(RIGHT($B394), 聲母對照表[十五音], 聲母對照表[台語音標], "N/A"))</f>
        <v>Ø</v>
      </c>
      <c r="E394" t="str">
        <f xml:space="preserve"> IF($B394="", "", _xlfn.XLOOKUP(LEFT($B394), 韻母對照表[十五音], 韻母對照表[台語音標], "N/A"))</f>
        <v>in</v>
      </c>
      <c r="F394">
        <f xml:space="preserve"> IF($B394="", "", _xlfn.XLOOKUP(MID($B394,2,1), 聲調對照表[十五音調號], 聲調對照表[傳統八聲調], "N/A"))</f>
        <v>4</v>
      </c>
    </row>
    <row r="395" spans="1:6">
      <c r="A395" t="s">
        <v>398</v>
      </c>
      <c r="B395" t="s">
        <v>399</v>
      </c>
      <c r="C395" t="s">
        <v>998</v>
      </c>
      <c r="D395" t="str">
        <f xml:space="preserve"> IF($B395="", "", _xlfn.XLOOKUP(RIGHT($B395), 聲母對照表[十五音], 聲母對照表[台語音標], "N/A"))</f>
        <v>Ø</v>
      </c>
      <c r="E395" t="str">
        <f xml:space="preserve"> IF($B395="", "", _xlfn.XLOOKUP(LEFT($B395), 韻母對照表[十五音], 韻母對照表[台語音標], "N/A"))</f>
        <v>iam</v>
      </c>
      <c r="F395">
        <f xml:space="preserve"> IF($B395="", "", _xlfn.XLOOKUP(MID($B395,2,1), 聲調對照表[十五音調號], 聲調對照表[傳統八聲調], "N/A"))</f>
        <v>8</v>
      </c>
    </row>
    <row r="396" spans="1:6">
      <c r="A396" t="s">
        <v>25</v>
      </c>
      <c r="B396" t="s">
        <v>26</v>
      </c>
      <c r="C396" t="s">
        <v>584</v>
      </c>
      <c r="D396" t="str">
        <f xml:space="preserve"> IF($B396="", "", _xlfn.XLOOKUP(RIGHT($B396), 聲母對照表[十五音], 聲母對照表[台語音標], "N/A"))</f>
        <v>z</v>
      </c>
      <c r="E396" t="str">
        <f xml:space="preserve"> IF($B396="", "", _xlfn.XLOOKUP(LEFT($B396), 韻母對照表[十五音], 韻母對照表[台語音標], "N/A"))</f>
        <v>i</v>
      </c>
      <c r="F396">
        <f xml:space="preserve"> IF($B396="", "", _xlfn.XLOOKUP(MID($B396,2,1), 聲調對照表[十五音調號], 聲調對照表[傳統八聲調], "N/A"))</f>
        <v>1</v>
      </c>
    </row>
    <row r="397" spans="1:6">
      <c r="A397" t="s">
        <v>400</v>
      </c>
      <c r="B397" t="s">
        <v>401</v>
      </c>
      <c r="C397" t="s">
        <v>794</v>
      </c>
      <c r="D397" t="str">
        <f xml:space="preserve"> IF($B397="", "", _xlfn.XLOOKUP(RIGHT($B397), 聲母對照表[十五音], 聲母對照表[台語音標], "N/A"))</f>
        <v>ph</v>
      </c>
      <c r="E397" t="str">
        <f xml:space="preserve"> IF($B397="", "", _xlfn.XLOOKUP(LEFT($B397), 韻母對照表[十五音], 韻母對照表[台語音標], "N/A"))</f>
        <v>ian</v>
      </c>
      <c r="F397">
        <f xml:space="preserve"> IF($B397="", "", _xlfn.XLOOKUP(MID($B397,2,1), 聲調對照表[十五音調號], 聲調對照表[傳統八聲調], "N/A"))</f>
        <v>1</v>
      </c>
    </row>
    <row r="398" spans="1:6">
      <c r="A398" t="s">
        <v>46</v>
      </c>
      <c r="B398" t="s">
        <v>47</v>
      </c>
      <c r="C398" t="s">
        <v>604</v>
      </c>
      <c r="D398" t="str">
        <f xml:space="preserve"> IF($B398="", "", _xlfn.XLOOKUP(RIGHT($B398), 聲母對照表[十五音], 聲母對照表[台語音標], "N/A"))</f>
        <v>z</v>
      </c>
      <c r="E398" t="str">
        <f xml:space="preserve"> IF($B398="", "", _xlfn.XLOOKUP(LEFT($B398), 韻母對照表[十五音], 韻母對照表[台語音標], "N/A"))</f>
        <v>iu</v>
      </c>
      <c r="F398">
        <f xml:space="preserve"> IF($B398="", "", _xlfn.XLOOKUP(MID($B398,2,1), 聲調對照表[十五音調號], 聲調對照表[傳統八聲調], "N/A"))</f>
        <v>1</v>
      </c>
    </row>
    <row r="399" spans="1:6">
      <c r="A399" t="s">
        <v>29</v>
      </c>
      <c r="D399" t="str">
        <f xml:space="preserve"> IF($B399="", "", _xlfn.XLOOKUP(RIGHT($B399), 聲母對照表[十五音], 聲母對照表[台語音標], "N/A"))</f>
        <v/>
      </c>
      <c r="E399" t="str">
        <f xml:space="preserve"> IF($B399="", "", _xlfn.XLOOKUP(LEFT($B399), 韻母對照表[十五音], 韻母對照表[台語音標], "N/A"))</f>
        <v/>
      </c>
      <c r="F399" t="str">
        <f xml:space="preserve"> IF($B399="", "", _xlfn.XLOOKUP(MID($B399,2,1), 聲調對照表[十五音調號], 聲調對照表[傳統八聲調], "N/A"))</f>
        <v/>
      </c>
    </row>
    <row r="400" spans="1:6">
      <c r="A400" t="s">
        <v>402</v>
      </c>
      <c r="B400" t="s">
        <v>72</v>
      </c>
      <c r="C400" t="s">
        <v>957</v>
      </c>
      <c r="D400" t="str">
        <f xml:space="preserve"> IF($B400="", "", _xlfn.XLOOKUP(RIGHT($B400), 聲母對照表[十五音], 聲母對照表[台語音標], "N/A"))</f>
        <v>k</v>
      </c>
      <c r="E400" t="str">
        <f xml:space="preserve"> IF($B400="", "", _xlfn.XLOOKUP(LEFT($B400), 韻母對照表[十五音], 韻母對照表[台語音標], "N/A"))</f>
        <v>u</v>
      </c>
      <c r="F400">
        <f xml:space="preserve"> IF($B400="", "", _xlfn.XLOOKUP(MID($B400,2,1), 聲調對照表[十五音調號], 聲調對照表[傳統八聲調], "N/A"))</f>
        <v>2</v>
      </c>
    </row>
    <row r="401" spans="1:6">
      <c r="A401" t="s">
        <v>403</v>
      </c>
      <c r="B401" t="s">
        <v>404</v>
      </c>
      <c r="C401" t="s">
        <v>795</v>
      </c>
      <c r="D401" t="str">
        <f xml:space="preserve"> IF($B401="", "", _xlfn.XLOOKUP(RIGHT($B401), 聲母對照表[十五音], 聲母對照表[台語音標], "N/A"))</f>
        <v>p</v>
      </c>
      <c r="E401" t="str">
        <f xml:space="preserve"> IF($B401="", "", _xlfn.XLOOKUP(LEFT($B401), 韻母對照表[十五音], 韻母對照表[台語音標], "N/A"))</f>
        <v>au</v>
      </c>
      <c r="F401">
        <f xml:space="preserve"> IF($B401="", "", _xlfn.XLOOKUP(MID($B401,2,1), 聲調對照表[十五音調號], 聲調對照表[傳統八聲調], "N/A"))</f>
        <v>5</v>
      </c>
    </row>
    <row r="402" spans="1:6">
      <c r="A402" t="s">
        <v>405</v>
      </c>
      <c r="B402" t="s">
        <v>406</v>
      </c>
      <c r="C402" t="s">
        <v>796</v>
      </c>
      <c r="D402" t="str">
        <f xml:space="preserve"> IF($B402="", "", _xlfn.XLOOKUP(RIGHT($B402), 聲母對照表[十五音], 聲母對照表[台語音標], "N/A"))</f>
        <v>z</v>
      </c>
      <c r="E402" t="str">
        <f xml:space="preserve"> IF($B402="", "", _xlfn.XLOOKUP(LEFT($B402), 韻母對照表[十五音], 韻母對照表[台語音標], "N/A"))</f>
        <v>un</v>
      </c>
      <c r="F402">
        <f xml:space="preserve"> IF($B402="", "", _xlfn.XLOOKUP(MID($B402,2,1), 聲調對照表[十五音調號], 聲調對照表[傳統八聲調], "N/A"))</f>
        <v>1</v>
      </c>
    </row>
    <row r="403" spans="1:6">
      <c r="A403" t="s">
        <v>407</v>
      </c>
      <c r="B403" t="s">
        <v>240</v>
      </c>
      <c r="C403" t="s">
        <v>983</v>
      </c>
      <c r="D403" t="str">
        <f xml:space="preserve"> IF($B403="", "", _xlfn.XLOOKUP(RIGHT($B403), 聲母對照表[十五音], 聲母對照表[台語音標], "N/A"))</f>
        <v>Ø</v>
      </c>
      <c r="E403" t="str">
        <f xml:space="preserve"> IF($B403="", "", _xlfn.XLOOKUP(LEFT($B403), 韻母對照表[十五音], 韻母對照表[台語音標], "N/A"))</f>
        <v>i</v>
      </c>
      <c r="F403">
        <f xml:space="preserve"> IF($B403="", "", _xlfn.XLOOKUP(MID($B403,2,1), 聲調對照表[十五音調號], 聲調對照表[傳統八聲調], "N/A"))</f>
        <v>2</v>
      </c>
    </row>
    <row r="404" spans="1:6">
      <c r="A404" t="s">
        <v>328</v>
      </c>
      <c r="B404" t="s">
        <v>329</v>
      </c>
      <c r="C404" t="s">
        <v>763</v>
      </c>
      <c r="D404" t="str">
        <f xml:space="preserve"> IF($B404="", "", _xlfn.XLOOKUP(RIGHT($B404), 聲母對照表[十五音], 聲母對照表[台語音標], "N/A"))</f>
        <v>s</v>
      </c>
      <c r="E404" t="str">
        <f xml:space="preserve"> IF($B404="", "", _xlfn.XLOOKUP(LEFT($B404), 韻母對照表[十五音], 韻母對照表[台語音標], "N/A"))</f>
        <v>iok</v>
      </c>
      <c r="F404">
        <f xml:space="preserve"> IF($B404="", "", _xlfn.XLOOKUP(MID($B404,2,1), 聲調對照表[十五音調號], 聲調對照表[傳統八聲調], "N/A"))</f>
        <v>1</v>
      </c>
    </row>
    <row r="405" spans="1:6">
      <c r="A405" t="s">
        <v>75</v>
      </c>
      <c r="B405" t="s">
        <v>76</v>
      </c>
      <c r="C405" t="s">
        <v>626</v>
      </c>
      <c r="D405" t="str">
        <f xml:space="preserve"> IF($B405="", "", _xlfn.XLOOKUP(RIGHT($B405), 聲母對照表[十五音], 聲母對照表[台語音標], "N/A"))</f>
        <v>z</v>
      </c>
      <c r="E405" t="str">
        <f xml:space="preserve"> IF($B405="", "", _xlfn.XLOOKUP(LEFT($B405), 韻母對照表[十五音], 韻母對照表[台語音標], "N/A"))</f>
        <v>iok</v>
      </c>
      <c r="F405">
        <f xml:space="preserve"> IF($B405="", "", _xlfn.XLOOKUP(MID($B405,2,1), 聲調對照表[十五音調號], 聲調對照表[傳統八聲調], "N/A"))</f>
        <v>4</v>
      </c>
    </row>
    <row r="406" spans="1:6">
      <c r="A406" t="s">
        <v>54</v>
      </c>
      <c r="D406" t="str">
        <f xml:space="preserve"> IF($B406="", "", _xlfn.XLOOKUP(RIGHT($B406), 聲母對照表[十五音], 聲母對照表[台語音標], "N/A"))</f>
        <v/>
      </c>
      <c r="E406" t="str">
        <f xml:space="preserve"> IF($B406="", "", _xlfn.XLOOKUP(LEFT($B406), 韻母對照表[十五音], 韻母對照表[台語音標], "N/A"))</f>
        <v/>
      </c>
      <c r="F406" t="str">
        <f xml:space="preserve"> IF($B406="", "", _xlfn.XLOOKUP(MID($B406,2,1), 聲調對照表[十五音調號], 聲調對照表[傳統八聲調], "N/A"))</f>
        <v/>
      </c>
    </row>
    <row r="407" spans="1:6">
      <c r="A407" t="s">
        <v>408</v>
      </c>
      <c r="B407" t="s">
        <v>35</v>
      </c>
      <c r="C407" t="s">
        <v>593</v>
      </c>
      <c r="D407" t="str">
        <f xml:space="preserve"> IF($B407="", "", _xlfn.XLOOKUP(RIGHT($B407), 聲母對照表[十五音], 聲母對照表[台語音標], "N/A"))</f>
        <v>k</v>
      </c>
      <c r="E407" t="str">
        <f xml:space="preserve"> IF($B407="", "", _xlfn.XLOOKUP(LEFT($B407), 韻母對照表[十五音], 韻母對照表[台語音標], "N/A"))</f>
        <v>i</v>
      </c>
      <c r="F407">
        <f xml:space="preserve"> IF($B407="", "", _xlfn.XLOOKUP(MID($B407,2,1), 聲調對照表[十五音調號], 聲調對照表[傳統八聲調], "N/A"))</f>
        <v>3</v>
      </c>
    </row>
    <row r="408" spans="1:6">
      <c r="A408" t="s">
        <v>409</v>
      </c>
      <c r="B408" t="s">
        <v>410</v>
      </c>
      <c r="C408" t="s">
        <v>797</v>
      </c>
      <c r="D408" t="str">
        <f xml:space="preserve"> IF($B408="", "", _xlfn.XLOOKUP(RIGHT($B408), 聲母對照表[十五音], 聲母對照表[台語音標], "N/A"))</f>
        <v>h</v>
      </c>
      <c r="E408" t="str">
        <f xml:space="preserve"> IF($B408="", "", _xlfn.XLOOKUP(LEFT($B408), 韻母對照表[十五音], 韻母對照表[台語音標], "N/A"))</f>
        <v>u</v>
      </c>
      <c r="F408">
        <f xml:space="preserve"> IF($B408="", "", _xlfn.XLOOKUP(MID($B408,2,1), 聲調對照表[十五音調號], 聲調對照表[傳統八聲調], "N/A"))</f>
        <v>5</v>
      </c>
    </row>
    <row r="409" spans="1:6">
      <c r="A409" t="s">
        <v>411</v>
      </c>
      <c r="B409" t="s">
        <v>49</v>
      </c>
      <c r="C409" t="s">
        <v>949</v>
      </c>
      <c r="D409" t="str">
        <f xml:space="preserve"> IF($B409="", "", _xlfn.XLOOKUP(RIGHT($B409), 聲母對照表[十五音], 聲母對照表[台語音標], "N/A"))</f>
        <v>Ø</v>
      </c>
      <c r="E409" t="str">
        <f xml:space="preserve"> IF($B409="", "", _xlfn.XLOOKUP(LEFT($B409), 韻母對照表[十五音], 韻母對照表[台語音標], "N/A"))</f>
        <v>iu</v>
      </c>
      <c r="F409">
        <f xml:space="preserve"> IF($B409="", "", _xlfn.XLOOKUP(MID($B409,2,1), 聲調對照表[十五音調號], 聲調對照表[傳統八聲調], "N/A"))</f>
        <v>5</v>
      </c>
    </row>
    <row r="410" spans="1:6">
      <c r="A410" t="s">
        <v>50</v>
      </c>
      <c r="B410" t="s">
        <v>51</v>
      </c>
      <c r="C410" t="s">
        <v>950</v>
      </c>
      <c r="D410" t="str">
        <f xml:space="preserve"> IF($B410="", "", _xlfn.XLOOKUP(RIGHT($B410), 聲母對照表[十五音], 聲母對照表[台語音標], "N/A"))</f>
        <v>Ø</v>
      </c>
      <c r="E410" t="str">
        <f xml:space="preserve"> IF($B410="", "", _xlfn.XLOOKUP(LEFT($B410), 韻母對照表[十五音], 韻母對照表[台語音標], "N/A"))</f>
        <v>u</v>
      </c>
      <c r="F410">
        <f xml:space="preserve"> IF($B410="", "", _xlfn.XLOOKUP(MID($B410,2,1), 聲調對照表[十五音調號], 聲調對照表[傳統八聲調], "N/A"))</f>
        <v>1</v>
      </c>
    </row>
    <row r="411" spans="1:6">
      <c r="A411" t="s">
        <v>124</v>
      </c>
      <c r="B411" t="s">
        <v>125</v>
      </c>
      <c r="C411" t="s">
        <v>659</v>
      </c>
      <c r="D411" t="str">
        <f xml:space="preserve"> IF($B411="", "", _xlfn.XLOOKUP(RIGHT($B411), 聲母對照表[十五音], 聲母對照表[台語音標], "N/A"))</f>
        <v>th</v>
      </c>
      <c r="E411" t="str">
        <f xml:space="preserve"> IF($B411="", "", _xlfn.XLOOKUP(LEFT($B411), 韻母對照表[十五音], 韻母對照表[台語音標], "N/A"))</f>
        <v>ian</v>
      </c>
      <c r="F411">
        <f xml:space="preserve"> IF($B411="", "", _xlfn.XLOOKUP(MID($B411,2,1), 聲調對照表[十五音調號], 聲調對照表[傳統八聲調], "N/A"))</f>
        <v>1</v>
      </c>
    </row>
    <row r="412" spans="1:6">
      <c r="A412" t="s">
        <v>412</v>
      </c>
      <c r="B412" s="51" t="s">
        <v>1821</v>
      </c>
      <c r="C412" s="51" t="s">
        <v>1822</v>
      </c>
      <c r="D412" t="str">
        <f xml:space="preserve"> IF($B412="", "", _xlfn.XLOOKUP(RIGHT($B412), 聲母對照表[十五音], 聲母對照表[台語音標], "N/A"))</f>
        <v>t</v>
      </c>
      <c r="E412" t="str">
        <f xml:space="preserve"> IF($B412="", "", _xlfn.XLOOKUP(LEFT($B412), 韻母對照表[十五音], 韻母對照表[台語音標], "N/A"))</f>
        <v>ei</v>
      </c>
      <c r="F412">
        <f xml:space="preserve"> IF($B412="", "", _xlfn.XLOOKUP(MID($B412,2,1), 聲調對照表[十五音調號], 聲調對照表[傳統八聲調], "N/A"))</f>
        <v>7</v>
      </c>
    </row>
    <row r="413" spans="1:6">
      <c r="A413" t="s">
        <v>29</v>
      </c>
      <c r="D413" t="str">
        <f xml:space="preserve"> IF($B413="", "", _xlfn.XLOOKUP(RIGHT($B413), 聲母對照表[十五音], 聲母對照表[台語音標], "N/A"))</f>
        <v/>
      </c>
      <c r="E413" t="str">
        <f xml:space="preserve"> IF($B413="", "", _xlfn.XLOOKUP(LEFT($B413), 韻母對照表[十五音], 韻母對照表[台語音標], "N/A"))</f>
        <v/>
      </c>
      <c r="F413" t="str">
        <f xml:space="preserve"> IF($B413="", "", _xlfn.XLOOKUP(MID($B413,2,1), 聲調對照表[十五音調號], 聲調對照表[傳統八聲調], "N/A"))</f>
        <v/>
      </c>
    </row>
    <row r="414" spans="1:6">
      <c r="A414" t="s">
        <v>215</v>
      </c>
      <c r="B414" t="s">
        <v>216</v>
      </c>
      <c r="C414" t="s">
        <v>706</v>
      </c>
      <c r="D414" t="str">
        <f xml:space="preserve"> IF($B414="", "", _xlfn.XLOOKUP(RIGHT($B414), 聲母對照表[十五音], 聲母對照表[台語音標], "N/A"))</f>
        <v>b</v>
      </c>
      <c r="E414" t="str">
        <f xml:space="preserve"> IF($B414="", "", _xlfn.XLOOKUP(LEFT($B414), 韻母對照表[十五音], 韻母對照表[台語音標], "N/A"))</f>
        <v>iau</v>
      </c>
      <c r="F414">
        <f xml:space="preserve"> IF($B414="", "", _xlfn.XLOOKUP(MID($B414,2,1), 聲調對照表[十五音調號], 聲調對照表[傳統八聲調], "N/A"))</f>
        <v>2</v>
      </c>
    </row>
    <row r="415" spans="1:6">
      <c r="A415" t="s">
        <v>414</v>
      </c>
      <c r="B415" t="s">
        <v>335</v>
      </c>
      <c r="C415" t="s">
        <v>766</v>
      </c>
      <c r="D415" t="str">
        <f xml:space="preserve"> IF($B415="", "", _xlfn.XLOOKUP(RIGHT($B415), 聲母對照表[十五音], 聲母對照表[台語音標], "N/A"))</f>
        <v>c</v>
      </c>
      <c r="E415" t="str">
        <f xml:space="preserve"> IF($B415="", "", _xlfn.XLOOKUP(LEFT($B415), 韻母對照表[十五音], 韻母對照表[台語音標], "N/A"))</f>
        <v>ok</v>
      </c>
      <c r="F415">
        <f xml:space="preserve"> IF($B415="", "", _xlfn.XLOOKUP(MID($B415,2,1), 聲調對照表[十五音調號], 聲調對照表[傳統八聲調], "N/A"))</f>
        <v>1</v>
      </c>
    </row>
    <row r="416" spans="1:6">
      <c r="A416" t="s">
        <v>415</v>
      </c>
      <c r="B416" t="s">
        <v>416</v>
      </c>
      <c r="C416" t="s">
        <v>799</v>
      </c>
      <c r="D416" t="str">
        <f xml:space="preserve"> IF($B416="", "", _xlfn.XLOOKUP(RIGHT($B416), 聲母對照表[十五音], 聲母對照表[台語音標], "N/A"))</f>
        <v>h</v>
      </c>
      <c r="E416" t="str">
        <f xml:space="preserve"> IF($B416="", "", _xlfn.XLOOKUP(LEFT($B416), 韻母對照表[十五音], 韻母對照表[台語音標], "N/A"))</f>
        <v>ai</v>
      </c>
      <c r="F416">
        <f xml:space="preserve"> IF($B416="", "", _xlfn.XLOOKUP(MID($B416,2,1), 聲調對照表[十五音調號], 聲調對照表[傳統八聲調], "N/A"))</f>
        <v>2</v>
      </c>
    </row>
    <row r="417" spans="1:6">
      <c r="A417" t="s">
        <v>25</v>
      </c>
      <c r="B417" t="s">
        <v>26</v>
      </c>
      <c r="C417" t="s">
        <v>584</v>
      </c>
      <c r="D417" t="str">
        <f xml:space="preserve"> IF($B417="", "", _xlfn.XLOOKUP(RIGHT($B417), 聲母對照表[十五音], 聲母對照表[台語音標], "N/A"))</f>
        <v>z</v>
      </c>
      <c r="E417" t="str">
        <f xml:space="preserve"> IF($B417="", "", _xlfn.XLOOKUP(LEFT($B417), 韻母對照表[十五音], 韻母對照表[台語音標], "N/A"))</f>
        <v>i</v>
      </c>
      <c r="F417">
        <f xml:space="preserve"> IF($B417="", "", _xlfn.XLOOKUP(MID($B417,2,1), 聲調對照表[十五音調號], 聲調對照表[傳統八聲調], "N/A"))</f>
        <v>1</v>
      </c>
    </row>
    <row r="418" spans="1:6">
      <c r="A418" t="s">
        <v>128</v>
      </c>
      <c r="B418" t="s">
        <v>129</v>
      </c>
      <c r="C418" t="s">
        <v>966</v>
      </c>
      <c r="D418" t="str">
        <f xml:space="preserve"> IF($B418="", "", _xlfn.XLOOKUP(RIGHT($B418), 聲母對照表[十五音], 聲母對照表[台語音標], "N/A"))</f>
        <v>Ø</v>
      </c>
      <c r="E418" t="str">
        <f xml:space="preserve"> IF($B418="", "", _xlfn.XLOOKUP(LEFT($B418), 韻母對照表[十五音], 韻母對照表[台語音標], "N/A"))</f>
        <v>in</v>
      </c>
      <c r="F418">
        <f xml:space="preserve"> IF($B418="", "", _xlfn.XLOOKUP(MID($B418,2,1), 聲調對照表[十五音調號], 聲調對照表[傳統八聲調], "N/A"))</f>
        <v>4</v>
      </c>
    </row>
    <row r="419" spans="1:6">
      <c r="A419" t="s">
        <v>417</v>
      </c>
      <c r="B419" t="s">
        <v>418</v>
      </c>
      <c r="C419" t="s">
        <v>800</v>
      </c>
      <c r="D419" t="str">
        <f xml:space="preserve"> IF($B419="", "", _xlfn.XLOOKUP(RIGHT($B419), 聲母對照表[十五音], 聲母對照表[台語音標], "N/A"))</f>
        <v>s</v>
      </c>
      <c r="E419" t="str">
        <f xml:space="preserve"> IF($B419="", "", _xlfn.XLOOKUP(LEFT($B419), 韻母對照表[十五音], 韻母對照表[台語音標], "N/A"))</f>
        <v>iok</v>
      </c>
      <c r="F419">
        <f xml:space="preserve"> IF($B419="", "", _xlfn.XLOOKUP(MID($B419,2,1), 聲調對照表[十五音調號], 聲調對照表[傳統八聲調], "N/A"))</f>
        <v>4</v>
      </c>
    </row>
    <row r="420" spans="1:6">
      <c r="A420" t="s">
        <v>54</v>
      </c>
      <c r="D420" t="str">
        <f xml:space="preserve"> IF($B420="", "", _xlfn.XLOOKUP(RIGHT($B420), 聲母對照表[十五音], 聲母對照表[台語音標], "N/A"))</f>
        <v/>
      </c>
      <c r="E420" t="str">
        <f xml:space="preserve"> IF($B420="", "", _xlfn.XLOOKUP(LEFT($B420), 韻母對照表[十五音], 韻母對照表[台語音標], "N/A"))</f>
        <v/>
      </c>
      <c r="F420" t="str">
        <f xml:space="preserve"> IF($B420="", "", _xlfn.XLOOKUP(MID($B420,2,1), 聲調對照表[十五音調號], 聲調對照表[傳統八聲調], "N/A"))</f>
        <v/>
      </c>
    </row>
    <row r="421" spans="1:6">
      <c r="A421" t="s">
        <v>419</v>
      </c>
      <c r="B421" t="s">
        <v>420</v>
      </c>
      <c r="C421" t="s">
        <v>999</v>
      </c>
      <c r="D421" t="str">
        <f xml:space="preserve"> IF($B421="", "", _xlfn.XLOOKUP(RIGHT($B421), 聲母對照表[十五音], 聲母對照表[台語音標], "N/A"))</f>
        <v>Ø</v>
      </c>
      <c r="E421" t="str">
        <f xml:space="preserve"> IF($B421="", "", _xlfn.XLOOKUP(LEFT($B421), 韻母對照表[十五音], 韻母對照表[台語音標], "N/A"))</f>
        <v>ai</v>
      </c>
      <c r="F421">
        <f xml:space="preserve"> IF($B421="", "", _xlfn.XLOOKUP(MID($B421,2,1), 聲調對照表[十五音調號], 聲調對照表[傳統八聲調], "N/A"))</f>
        <v>1</v>
      </c>
    </row>
    <row r="422" spans="1:6">
      <c r="A422" t="s">
        <v>381</v>
      </c>
      <c r="B422" s="51" t="s">
        <v>382</v>
      </c>
      <c r="C422" s="51" t="s">
        <v>786</v>
      </c>
      <c r="D422" t="str">
        <f xml:space="preserve"> IF($B422="", "", _xlfn.XLOOKUP(RIGHT($B422), 聲母對照表[十五音], 聲母對照表[台語音標], "N/A"))</f>
        <v>g</v>
      </c>
      <c r="E422" t="str">
        <f xml:space="preserve"> IF($B422="", "", _xlfn.XLOOKUP(LEFT($B422), 韻母對照表[十五音], 韻母對照表[台語音標], "N/A"))</f>
        <v>oo</v>
      </c>
      <c r="F422">
        <f xml:space="preserve"> IF($B422="", "", _xlfn.XLOOKUP(MID($B422,2,1), 聲調對照表[十五音調號], 聲調對照表[傳統八聲調], "N/A"))</f>
        <v>5</v>
      </c>
    </row>
    <row r="423" spans="1:6">
      <c r="A423" t="s">
        <v>421</v>
      </c>
      <c r="B423" t="s">
        <v>244</v>
      </c>
      <c r="C423" t="s">
        <v>722</v>
      </c>
      <c r="D423" t="str">
        <f xml:space="preserve"> IF($B423="", "", _xlfn.XLOOKUP(RIGHT($B423), 聲母對照表[十五音], 聲母對照表[台語音標], "N/A"))</f>
        <v>s</v>
      </c>
      <c r="E423" t="str">
        <f xml:space="preserve"> IF($B423="", "", _xlfn.XLOOKUP(LEFT($B423), 韻母對照表[十五音], 韻母對照表[台語音標], "N/A"))</f>
        <v>ik</v>
      </c>
      <c r="F423">
        <f xml:space="preserve"> IF($B423="", "", _xlfn.XLOOKUP(MID($B423,2,1), 聲調對照表[十五音調號], 聲調對照表[傳統八聲調], "N/A"))</f>
        <v>1</v>
      </c>
    </row>
    <row r="424" spans="1:6">
      <c r="A424" t="s">
        <v>25</v>
      </c>
      <c r="B424" t="s">
        <v>26</v>
      </c>
      <c r="C424" t="s">
        <v>584</v>
      </c>
      <c r="D424" t="str">
        <f xml:space="preserve"> IF($B424="", "", _xlfn.XLOOKUP(RIGHT($B424), 聲母對照表[十五音], 聲母對照表[台語音標], "N/A"))</f>
        <v>z</v>
      </c>
      <c r="E424" t="str">
        <f xml:space="preserve"> IF($B424="", "", _xlfn.XLOOKUP(LEFT($B424), 韻母對照表[十五音], 韻母對照表[台語音標], "N/A"))</f>
        <v>i</v>
      </c>
      <c r="F424">
        <f xml:space="preserve"> IF($B424="", "", _xlfn.XLOOKUP(MID($B424,2,1), 聲調對照表[十五音調號], 聲調對照表[傳統八聲調], "N/A"))</f>
        <v>1</v>
      </c>
    </row>
    <row r="425" spans="1:6">
      <c r="A425" t="s">
        <v>422</v>
      </c>
      <c r="B425" t="s">
        <v>363</v>
      </c>
      <c r="C425" t="s">
        <v>777</v>
      </c>
      <c r="D425" t="str">
        <f xml:space="preserve"> IF($B425="", "", _xlfn.XLOOKUP(RIGHT($B425), 聲母對照表[十五音], 聲母對照表[台語音標], "N/A"))</f>
        <v>s</v>
      </c>
      <c r="E425" t="str">
        <f xml:space="preserve"> IF($B425="", "", _xlfn.XLOOKUP(LEFT($B425), 韻母對照表[十五音], 韻母對照表[台語音標], "N/A"))</f>
        <v>u</v>
      </c>
      <c r="F425">
        <f xml:space="preserve"> IF($B425="", "", _xlfn.XLOOKUP(MID($B425,2,1), 聲調對照表[十五音調號], 聲調對照表[傳統八聲調], "N/A"))</f>
        <v>1</v>
      </c>
    </row>
    <row r="426" spans="1:6">
      <c r="A426" t="s">
        <v>423</v>
      </c>
      <c r="B426" t="s">
        <v>218</v>
      </c>
      <c r="C426" t="s">
        <v>979</v>
      </c>
      <c r="D426" t="str">
        <f xml:space="preserve"> IF($B426="", "", _xlfn.XLOOKUP(RIGHT($B426), 聲母對照表[十五音], 聲母對照表[台語音標], "N/A"))</f>
        <v>Ø</v>
      </c>
      <c r="E426" t="str">
        <f xml:space="preserve"> IF($B426="", "", _xlfn.XLOOKUP(LEFT($B426), 韻母對照表[十五音], 韻母對照表[台語音標], "N/A"))</f>
        <v>u</v>
      </c>
      <c r="F426">
        <f xml:space="preserve"> IF($B426="", "", _xlfn.XLOOKUP(MID($B426,2,1), 聲調對照表[十五音調號], 聲調對照表[傳統八聲調], "N/A"))</f>
        <v>5</v>
      </c>
    </row>
    <row r="427" spans="1:6">
      <c r="A427" t="s">
        <v>29</v>
      </c>
      <c r="D427" t="str">
        <f xml:space="preserve"> IF($B427="", "", _xlfn.XLOOKUP(RIGHT($B427), 聲母對照表[十五音], 聲母對照表[台語音標], "N/A"))</f>
        <v/>
      </c>
      <c r="E427" t="str">
        <f xml:space="preserve"> IF($B427="", "", _xlfn.XLOOKUP(LEFT($B427), 韻母對照表[十五音], 韻母對照表[台語音標], "N/A"))</f>
        <v/>
      </c>
      <c r="F427" t="str">
        <f xml:space="preserve"> IF($B427="", "", _xlfn.XLOOKUP(MID($B427,2,1), 聲調對照表[十五音調號], 聲調對照表[傳統八聲調], "N/A"))</f>
        <v/>
      </c>
    </row>
    <row r="428" spans="1:6">
      <c r="A428" t="s">
        <v>424</v>
      </c>
      <c r="B428" t="s">
        <v>425</v>
      </c>
      <c r="C428" t="s">
        <v>802</v>
      </c>
      <c r="D428" t="str">
        <f xml:space="preserve"> IF($B428="", "", _xlfn.XLOOKUP(RIGHT($B428), 聲母對照表[十五音], 聲母對照表[台語音標], "N/A"))</f>
        <v>s</v>
      </c>
      <c r="E428" t="str">
        <f xml:space="preserve"> IF($B428="", "", _xlfn.XLOOKUP(LEFT($B428), 韻母對照表[十五音], 韻母對照表[台語音標], "N/A"))</f>
        <v>ian</v>
      </c>
      <c r="F428">
        <f xml:space="preserve"> IF($B428="", "", _xlfn.XLOOKUP(MID($B428,2,1), 聲調對照表[十五音調號], 聲調對照表[傳統八聲調], "N/A"))</f>
        <v>7</v>
      </c>
    </row>
    <row r="429" spans="1:6">
      <c r="A429" t="s">
        <v>426</v>
      </c>
      <c r="B429" t="s">
        <v>427</v>
      </c>
      <c r="C429" t="s">
        <v>803</v>
      </c>
      <c r="D429" t="str">
        <f xml:space="preserve"> IF($B429="", "", _xlfn.XLOOKUP(RIGHT($B429), 聲母對照表[十五音], 聲母對照表[台語音標], "N/A"))</f>
        <v>t</v>
      </c>
      <c r="E429" t="str">
        <f xml:space="preserve"> IF($B429="", "", _xlfn.XLOOKUP(LEFT($B429), 韻母對照表[十五音], 韻母對照表[台語音標], "N/A"))</f>
        <v>iok</v>
      </c>
      <c r="F429">
        <f xml:space="preserve"> IF($B429="", "", _xlfn.XLOOKUP(MID($B429,2,1), 聲調對照表[十五音調號], 聲調對照表[傳統八聲調], "N/A"))</f>
        <v>5</v>
      </c>
    </row>
    <row r="430" spans="1:6">
      <c r="A430" t="s">
        <v>118</v>
      </c>
      <c r="B430" t="s">
        <v>119</v>
      </c>
      <c r="C430" t="s">
        <v>654</v>
      </c>
      <c r="D430" t="str">
        <f xml:space="preserve"> IF($B430="", "", _xlfn.XLOOKUP(RIGHT($B430), 聲母對照表[十五音], 聲母對照表[台語音標], "N/A"))</f>
        <v>k</v>
      </c>
      <c r="E430" t="str">
        <f xml:space="preserve"> IF($B430="", "", _xlfn.XLOOKUP(LEFT($B430), 韻母對照表[十五音], 韻母對照表[台語音標], "N/A"))</f>
        <v>ak</v>
      </c>
      <c r="F430">
        <f xml:space="preserve"> IF($B430="", "", _xlfn.XLOOKUP(MID($B430,2,1), 聲調對照表[十五音調號], 聲調對照表[傳統八聲調], "N/A"))</f>
        <v>1</v>
      </c>
    </row>
    <row r="431" spans="1:6">
      <c r="A431" t="s">
        <v>25</v>
      </c>
      <c r="B431" t="s">
        <v>26</v>
      </c>
      <c r="C431" t="s">
        <v>584</v>
      </c>
      <c r="D431" t="str">
        <f xml:space="preserve"> IF($B431="", "", _xlfn.XLOOKUP(RIGHT($B431), 聲母對照表[十五音], 聲母對照表[台語音標], "N/A"))</f>
        <v>z</v>
      </c>
      <c r="E431" t="str">
        <f xml:space="preserve"> IF($B431="", "", _xlfn.XLOOKUP(LEFT($B431), 韻母對照表[十五音], 韻母對照表[台語音標], "N/A"))</f>
        <v>i</v>
      </c>
      <c r="F431">
        <f xml:space="preserve"> IF($B431="", "", _xlfn.XLOOKUP(MID($B431,2,1), 聲調對照表[十五音調號], 聲調對照表[傳統八聲調], "N/A"))</f>
        <v>1</v>
      </c>
    </row>
    <row r="432" spans="1:6">
      <c r="A432" t="s">
        <v>428</v>
      </c>
      <c r="B432" t="s">
        <v>429</v>
      </c>
      <c r="C432" t="s">
        <v>804</v>
      </c>
      <c r="D432" t="str">
        <f xml:space="preserve"> IF($B432="", "", _xlfn.XLOOKUP(RIGHT($B432), 聲母對照表[十五音], 聲母對照表[台語音標], "N/A"))</f>
        <v>b</v>
      </c>
      <c r="E432" t="str">
        <f xml:space="preserve"> IF($B432="", "", _xlfn.XLOOKUP(LEFT($B432), 韻母對照表[十五音], 韻母對照表[台語音標], "N/A"))</f>
        <v>u</v>
      </c>
      <c r="F432">
        <f xml:space="preserve"> IF($B432="", "", _xlfn.XLOOKUP(MID($B432,2,1), 聲調對照表[十五音調號], 聲調對照表[傳統八聲調], "N/A"))</f>
        <v>5</v>
      </c>
    </row>
    <row r="433" spans="1:6">
      <c r="A433" t="s">
        <v>430</v>
      </c>
      <c r="B433" t="s">
        <v>431</v>
      </c>
      <c r="C433" t="s">
        <v>805</v>
      </c>
      <c r="D433" t="str">
        <f xml:space="preserve"> IF($B433="", "", _xlfn.XLOOKUP(RIGHT($B433), 聲母對照表[十五音], 聲母對照表[台語音標], "N/A"))</f>
        <v>k</v>
      </c>
      <c r="E433" t="str">
        <f xml:space="preserve"> IF($B433="", "", _xlfn.XLOOKUP(LEFT($B433), 韻母對照表[十五音], 韻母對照表[台語音標], "N/A"))</f>
        <v>iok</v>
      </c>
      <c r="F433">
        <f xml:space="preserve"> IF($B433="", "", _xlfn.XLOOKUP(MID($B433,2,1), 聲調對照表[十五音調號], 聲調對照表[傳統八聲調], "N/A"))</f>
        <v>5</v>
      </c>
    </row>
    <row r="434" spans="1:6">
      <c r="A434" t="s">
        <v>54</v>
      </c>
      <c r="D434" t="str">
        <f xml:space="preserve"> IF($B434="", "", _xlfn.XLOOKUP(RIGHT($B434), 聲母對照表[十五音], 聲母對照表[台語音標], "N/A"))</f>
        <v/>
      </c>
      <c r="E434" t="str">
        <f xml:space="preserve"> IF($B434="", "", _xlfn.XLOOKUP(LEFT($B434), 韻母對照表[十五音], 韻母對照表[台語音標], "N/A"))</f>
        <v/>
      </c>
      <c r="F434" t="str">
        <f xml:space="preserve"> IF($B434="", "", _xlfn.XLOOKUP(MID($B434,2,1), 聲調對照表[十五音調號], 聲調對照表[傳統八聲調], "N/A"))</f>
        <v/>
      </c>
    </row>
    <row r="435" spans="1:6">
      <c r="A435" t="s">
        <v>432</v>
      </c>
      <c r="B435" t="s">
        <v>433</v>
      </c>
      <c r="C435" t="s">
        <v>806</v>
      </c>
      <c r="D435" t="str">
        <f xml:space="preserve"> IF($B435="", "", _xlfn.XLOOKUP(RIGHT($B435), 聲母對照表[十五音], 聲母對照表[台語音標], "N/A"))</f>
        <v>h</v>
      </c>
      <c r="E435" t="str">
        <f xml:space="preserve"> IF($B435="", "", _xlfn.XLOOKUP(LEFT($B435), 韻母對照表[十五音], 韻母對照表[台語音標], "N/A"))</f>
        <v>ian</v>
      </c>
      <c r="F435">
        <f xml:space="preserve"> IF($B435="", "", _xlfn.XLOOKUP(MID($B435,2,1), 聲調對照表[十五音調號], 聲調對照表[傳統八聲調], "N/A"))</f>
        <v>8</v>
      </c>
    </row>
    <row r="436" spans="1:6">
      <c r="A436" t="s">
        <v>306</v>
      </c>
      <c r="B436" t="s">
        <v>307</v>
      </c>
      <c r="C436" t="s">
        <v>753</v>
      </c>
      <c r="D436" t="str">
        <f xml:space="preserve"> IF($B436="", "", _xlfn.XLOOKUP(RIGHT($B436), 聲母對照表[十五音], 聲母對照表[台語音標], "N/A"))</f>
        <v>h</v>
      </c>
      <c r="E436" t="str">
        <f xml:space="preserve"> IF($B436="", "", _xlfn.XLOOKUP(LEFT($B436), 韻母對照表[十五音], 韻母對照表[台語音標], "N/A"))</f>
        <v>ui</v>
      </c>
      <c r="F436">
        <f xml:space="preserve"> IF($B436="", "", _xlfn.XLOOKUP(MID($B436,2,1), 聲調對照表[十五音調號], 聲調對照表[傳統八聲調], "N/A"))</f>
        <v>1</v>
      </c>
    </row>
    <row r="437" spans="1:6">
      <c r="A437" t="s">
        <v>179</v>
      </c>
      <c r="B437" t="s">
        <v>180</v>
      </c>
      <c r="C437" t="s">
        <v>687</v>
      </c>
      <c r="D437" t="str">
        <f xml:space="preserve"> IF($B437="", "", _xlfn.XLOOKUP(RIGHT($B437), 聲母對照表[十五音], 聲母對照表[台語音標], "N/A"))</f>
        <v>s</v>
      </c>
      <c r="E437" t="str">
        <f xml:space="preserve"> IF($B437="", "", _xlfn.XLOOKUP(LEFT($B437), 韻母對照表[十五音], 韻母對照表[台語音標], "N/A"))</f>
        <v>ian</v>
      </c>
      <c r="F437">
        <f xml:space="preserve"> IF($B437="", "", _xlfn.XLOOKUP(MID($B437,2,1), 聲調對照表[十五音調號], 聲調對照表[傳統八聲調], "N/A"))</f>
        <v>1</v>
      </c>
    </row>
    <row r="438" spans="1:6">
      <c r="A438" t="s">
        <v>407</v>
      </c>
      <c r="B438" t="s">
        <v>240</v>
      </c>
      <c r="C438" t="s">
        <v>983</v>
      </c>
      <c r="D438" t="str">
        <f xml:space="preserve"> IF($B438="", "", _xlfn.XLOOKUP(RIGHT($B438), 聲母對照表[十五音], 聲母對照表[台語音標], "N/A"))</f>
        <v>Ø</v>
      </c>
      <c r="E438" t="str">
        <f xml:space="preserve"> IF($B438="", "", _xlfn.XLOOKUP(LEFT($B438), 韻母對照表[十五音], 韻母對照表[台語音標], "N/A"))</f>
        <v>i</v>
      </c>
      <c r="F438">
        <f xml:space="preserve"> IF($B438="", "", _xlfn.XLOOKUP(MID($B438,2,1), 聲調對照表[十五音調號], 聲調對照表[傳統八聲調], "N/A"))</f>
        <v>2</v>
      </c>
    </row>
    <row r="439" spans="1:6">
      <c r="A439" t="s">
        <v>434</v>
      </c>
      <c r="B439" s="51" t="s">
        <v>435</v>
      </c>
      <c r="C439" s="51" t="s">
        <v>808</v>
      </c>
      <c r="D439" t="str">
        <f xml:space="preserve"> IF($B439="", "", _xlfn.XLOOKUP(RIGHT($B439), 聲母對照表[十五音], 聲母對照表[台語音標], "N/A"))</f>
        <v>g</v>
      </c>
      <c r="E439" t="str">
        <f xml:space="preserve"> IF($B439="", "", _xlfn.XLOOKUP(LEFT($B439), 韻母對照表[十五音], 韻母對照表[台語音標], "N/A"))</f>
        <v>o</v>
      </c>
      <c r="F439">
        <f xml:space="preserve"> IF($B439="", "", _xlfn.XLOOKUP(MID($B439,2,1), 聲調對照表[十五音調號], 聲調對照表[傳統八聲調], "N/A"))</f>
        <v>5</v>
      </c>
    </row>
    <row r="440" spans="1:6">
      <c r="A440" t="s">
        <v>48</v>
      </c>
      <c r="B440" t="s">
        <v>49</v>
      </c>
      <c r="C440" t="s">
        <v>949</v>
      </c>
      <c r="D440" t="str">
        <f xml:space="preserve"> IF($B440="", "", _xlfn.XLOOKUP(RIGHT($B440), 聲母對照表[十五音], 聲母對照表[台語音標], "N/A"))</f>
        <v>Ø</v>
      </c>
      <c r="E440" t="str">
        <f xml:space="preserve"> IF($B440="", "", _xlfn.XLOOKUP(LEFT($B440), 韻母對照表[十五音], 韻母對照表[台語音標], "N/A"))</f>
        <v>iu</v>
      </c>
      <c r="F440">
        <f xml:space="preserve"> IF($B440="", "", _xlfn.XLOOKUP(MID($B440,2,1), 聲調對照表[十五音調號], 聲調對照表[傳統八聲調], "N/A"))</f>
        <v>5</v>
      </c>
    </row>
    <row r="441" spans="1:6">
      <c r="A441" t="s">
        <v>29</v>
      </c>
      <c r="D441" t="str">
        <f xml:space="preserve"> IF($B441="", "", _xlfn.XLOOKUP(RIGHT($B441), 聲母對照表[十五音], 聲母對照表[台語音標], "N/A"))</f>
        <v/>
      </c>
      <c r="E441" t="str">
        <f xml:space="preserve"> IF($B441="", "", _xlfn.XLOOKUP(LEFT($B441), 韻母對照表[十五音], 韻母對照表[台語音標], "N/A"))</f>
        <v/>
      </c>
      <c r="F441" t="str">
        <f xml:space="preserve"> IF($B441="", "", _xlfn.XLOOKUP(MID($B441,2,1), 聲調對照表[十五音調號], 聲調對照表[傳統八聲調], "N/A"))</f>
        <v/>
      </c>
    </row>
    <row r="442" spans="1:6">
      <c r="A442" t="s">
        <v>436</v>
      </c>
      <c r="B442" t="s">
        <v>437</v>
      </c>
      <c r="C442" t="s">
        <v>809</v>
      </c>
      <c r="D442" t="str">
        <f xml:space="preserve"> IF($B442="", "", _xlfn.XLOOKUP(RIGHT($B442), 聲母對照表[十五音], 聲母對照表[台語音標], "N/A"))</f>
        <v>p</v>
      </c>
      <c r="E442" t="str">
        <f xml:space="preserve"> IF($B442="", "", _xlfn.XLOOKUP(LEFT($B442), 韻母對照表[十五音], 韻母對照表[台語音標], "N/A"))</f>
        <v>o</v>
      </c>
      <c r="F442">
        <f xml:space="preserve"> IF($B442="", "", _xlfn.XLOOKUP(MID($B442,2,1), 聲調對照表[十五音調號], 聲調對照表[傳統八聲調], "N/A"))</f>
        <v>2</v>
      </c>
    </row>
    <row r="443" spans="1:6">
      <c r="A443" t="s">
        <v>79</v>
      </c>
      <c r="B443" t="s">
        <v>80</v>
      </c>
      <c r="C443" t="s">
        <v>629</v>
      </c>
      <c r="D443" t="str">
        <f xml:space="preserve"> IF($B443="", "", _xlfn.XLOOKUP(RIGHT($B443), 聲母對照表[十五音], 聲母對照表[台語音標], "N/A"))</f>
        <v>b</v>
      </c>
      <c r="E443" t="str">
        <f xml:space="preserve"> IF($B443="", "", _xlfn.XLOOKUP(LEFT($B443), 韻母對照表[十五音], 韻母對照表[台語音標], "N/A"))</f>
        <v>ik</v>
      </c>
      <c r="F443">
        <f xml:space="preserve"> IF($B443="", "", _xlfn.XLOOKUP(MID($B443,2,1), 聲調對照表[十五音調號], 聲調對照表[傳統八聲調], "N/A"))</f>
        <v>5</v>
      </c>
    </row>
    <row r="444" spans="1:6">
      <c r="A444" t="s">
        <v>32</v>
      </c>
      <c r="B444" t="s">
        <v>33</v>
      </c>
      <c r="C444" t="s">
        <v>590</v>
      </c>
      <c r="D444" t="str">
        <f xml:space="preserve"> IF($B444="", "", _xlfn.XLOOKUP(RIGHT($B444), 聲母對照表[十五音], 聲母對照表[台語音標], "N/A"))</f>
        <v>g</v>
      </c>
      <c r="E444" t="str">
        <f xml:space="preserve"> IF($B444="", "", _xlfn.XLOOKUP(LEFT($B444), 韻母對照表[十五音], 韻母對照表[台語音標], "N/A"))</f>
        <v>uan</v>
      </c>
      <c r="F444">
        <f xml:space="preserve"> IF($B444="", "", _xlfn.XLOOKUP(MID($B444,2,1), 聲調對照表[十五音調號], 聲調對照表[傳統八聲調], "N/A"))</f>
        <v>8</v>
      </c>
    </row>
    <row r="445" spans="1:6">
      <c r="A445" t="s">
        <v>157</v>
      </c>
      <c r="B445" t="s">
        <v>150</v>
      </c>
      <c r="C445" t="s">
        <v>664</v>
      </c>
      <c r="D445" t="str">
        <f xml:space="preserve"> IF($B445="", "", _xlfn.XLOOKUP(RIGHT($B445), 聲母對照表[十五音], 聲母對照表[台語音標], "N/A"))</f>
        <v>j</v>
      </c>
      <c r="E445" t="str">
        <f xml:space="preserve"> IF($B445="", "", _xlfn.XLOOKUP(LEFT($B445), 韻母對照表[十五音], 韻母對照表[台語音標], "N/A"))</f>
        <v>i</v>
      </c>
      <c r="F445">
        <f xml:space="preserve"> IF($B445="", "", _xlfn.XLOOKUP(MID($B445,2,1), 聲調對照表[十五音調號], 聲調對照表[傳統八聲調], "N/A"))</f>
        <v>5</v>
      </c>
    </row>
    <row r="446" spans="1:6">
      <c r="A446" t="s">
        <v>426</v>
      </c>
      <c r="B446" t="s">
        <v>427</v>
      </c>
      <c r="C446" t="s">
        <v>803</v>
      </c>
      <c r="D446" t="str">
        <f xml:space="preserve"> IF($B446="", "", _xlfn.XLOOKUP(RIGHT($B446), 聲母對照表[十五音], 聲母對照表[台語音標], "N/A"))</f>
        <v>t</v>
      </c>
      <c r="E446" t="str">
        <f xml:space="preserve"> IF($B446="", "", _xlfn.XLOOKUP(LEFT($B446), 韻母對照表[十五音], 韻母對照表[台語音標], "N/A"))</f>
        <v>iok</v>
      </c>
      <c r="F446">
        <f xml:space="preserve"> IF($B446="", "", _xlfn.XLOOKUP(MID($B446,2,1), 聲調對照表[十五音調號], 聲調對照表[傳統八聲調], "N/A"))</f>
        <v>5</v>
      </c>
    </row>
    <row r="447" spans="1:6">
      <c r="A447" t="s">
        <v>438</v>
      </c>
      <c r="B447" t="s">
        <v>90</v>
      </c>
      <c r="C447" t="s">
        <v>636</v>
      </c>
      <c r="D447" t="str">
        <f xml:space="preserve"> IF($B447="", "", _xlfn.XLOOKUP(RIGHT($B447), 聲母對照表[十五音], 聲母對照表[台語音標], "N/A"))</f>
        <v>z</v>
      </c>
      <c r="E447" t="str">
        <f xml:space="preserve"> IF($B447="", "", _xlfn.XLOOKUP(LEFT($B447), 韻母對照表[十五音], 韻母對照表[台語音標], "N/A"))</f>
        <v>iok</v>
      </c>
      <c r="F447">
        <f xml:space="preserve"> IF($B447="", "", _xlfn.XLOOKUP(MID($B447,2,1), 聲調對照表[十五音調號], 聲調對照表[傳統八聲調], "N/A"))</f>
        <v>1</v>
      </c>
    </row>
    <row r="448" spans="1:6">
      <c r="A448" t="s">
        <v>54</v>
      </c>
      <c r="D448" t="str">
        <f xml:space="preserve"> IF($B448="", "", _xlfn.XLOOKUP(RIGHT($B448), 聲母對照表[十五音], 聲母對照表[台語音標], "N/A"))</f>
        <v/>
      </c>
      <c r="E448" t="str">
        <f xml:space="preserve"> IF($B448="", "", _xlfn.XLOOKUP(LEFT($B448), 韻母對照表[十五音], 韻母對照表[台語音標], "N/A"))</f>
        <v/>
      </c>
      <c r="F448" t="str">
        <f xml:space="preserve"> IF($B448="", "", _xlfn.XLOOKUP(MID($B448,2,1), 聲調對照表[十五音調號], 聲調對照表[傳統八聲調], "N/A"))</f>
        <v/>
      </c>
    </row>
    <row r="449" spans="1:6">
      <c r="A449" t="s">
        <v>158</v>
      </c>
      <c r="B449" t="s">
        <v>159</v>
      </c>
      <c r="C449" t="s">
        <v>675</v>
      </c>
      <c r="D449" t="str">
        <f xml:space="preserve"> IF($B449="", "", _xlfn.XLOOKUP(RIGHT($B449), 聲母對照表[十五音], 聲母對照表[台語音標], "N/A"))</f>
        <v>t</v>
      </c>
      <c r="E449" t="str">
        <f xml:space="preserve"> IF($B449="", "", _xlfn.XLOOKUP(LEFT($B449), 韻母對照表[十五音], 韻母對照表[台語音標], "N/A"))</f>
        <v>i</v>
      </c>
      <c r="F449">
        <f xml:space="preserve"> IF($B449="", "", _xlfn.XLOOKUP(MID($B449,2,1), 聲調對照表[十五音調號], 聲調對照表[傳統八聲調], "N/A"))</f>
        <v>1</v>
      </c>
    </row>
    <row r="450" spans="1:6">
      <c r="A450" t="s">
        <v>67</v>
      </c>
      <c r="B450" t="s">
        <v>68</v>
      </c>
      <c r="C450" t="s">
        <v>622</v>
      </c>
      <c r="D450" t="str">
        <f xml:space="preserve"> IF($B450="", "", _xlfn.XLOOKUP(RIGHT($B450), 聲母對照表[十五音], 聲母對照表[台語音標], "N/A"))</f>
        <v>p</v>
      </c>
      <c r="E450" t="str">
        <f xml:space="preserve"> IF($B450="", "", _xlfn.XLOOKUP(LEFT($B450), 韻母對照表[十五音], 韻母對照表[台語音標], "N/A"))</f>
        <v>un</v>
      </c>
      <c r="F450">
        <f xml:space="preserve"> IF($B450="", "", _xlfn.XLOOKUP(MID($B450,2,1), 聲調對照表[十五音調號], 聲調對照表[傳統八聲調], "N/A"))</f>
        <v>4</v>
      </c>
    </row>
    <row r="451" spans="1:6">
      <c r="A451" t="s">
        <v>439</v>
      </c>
      <c r="B451" t="s">
        <v>440</v>
      </c>
      <c r="C451" t="s">
        <v>810</v>
      </c>
      <c r="D451" t="str">
        <f xml:space="preserve"> IF($B451="", "", _xlfn.XLOOKUP(RIGHT($B451), 聲母對照表[十五音], 聲母對照表[台語音標], "N/A"))</f>
        <v>kh</v>
      </c>
      <c r="E451" t="str">
        <f xml:space="preserve"> IF($B451="", "", _xlfn.XLOOKUP(LEFT($B451), 韻母對照表[十五音], 韻母對照表[台語音標], "N/A"))</f>
        <v>o</v>
      </c>
      <c r="F451">
        <f xml:space="preserve"> IF($B451="", "", _xlfn.XLOOKUP(MID($B451,2,1), 聲調對照表[十五音調號], 聲調對照表[傳統八聲調], "N/A"))</f>
        <v>2</v>
      </c>
    </row>
    <row r="452" spans="1:6">
      <c r="A452" t="s">
        <v>148</v>
      </c>
      <c r="B452" t="s">
        <v>149</v>
      </c>
      <c r="C452" t="s">
        <v>671</v>
      </c>
      <c r="D452" t="str">
        <f xml:space="preserve"> IF($B452="", "", _xlfn.XLOOKUP(RIGHT($B452), 聲母對照表[十五音], 聲母對照表[台語音標], "N/A"))</f>
        <v>h</v>
      </c>
      <c r="E452" t="str">
        <f xml:space="preserve"> IF($B452="", "", _xlfn.XLOOKUP(LEFT($B452), 韻母對照表[十五音], 韻母對照表[台語音標], "N/A"))</f>
        <v>oo</v>
      </c>
      <c r="F452">
        <f xml:space="preserve"> IF($B452="", "", _xlfn.XLOOKUP(MID($B452,2,1), 聲調對照表[十五音調號], 聲調對照表[傳統八聲調], "N/A"))</f>
        <v>5</v>
      </c>
    </row>
    <row r="453" spans="1:6">
      <c r="A453" t="s">
        <v>441</v>
      </c>
      <c r="B453" t="s">
        <v>442</v>
      </c>
      <c r="C453" t="s">
        <v>811</v>
      </c>
      <c r="D453" t="str">
        <f xml:space="preserve"> IF($B453="", "", _xlfn.XLOOKUP(RIGHT($B453), 聲母對照表[十五音], 聲母對照表[台語音標], "N/A"))</f>
        <v>z</v>
      </c>
      <c r="E453" t="str">
        <f xml:space="preserve"> IF($B453="", "", _xlfn.XLOOKUP(LEFT($B453), 韻母對照表[十五音], 韻母對照表[台語音標], "N/A"))</f>
        <v>oo</v>
      </c>
      <c r="F453">
        <f xml:space="preserve"> IF($B453="", "", _xlfn.XLOOKUP(MID($B453,2,1), 聲調對照表[十五音調號], 聲調對照表[傳統八聲調], "N/A"))</f>
        <v>7</v>
      </c>
    </row>
    <row r="454" spans="1:6">
      <c r="A454" t="s">
        <v>443</v>
      </c>
      <c r="B454" t="s">
        <v>317</v>
      </c>
      <c r="C454" t="s">
        <v>757</v>
      </c>
      <c r="D454" t="str">
        <f xml:space="preserve"> IF($B454="", "", _xlfn.XLOOKUP(RIGHT($B454), 聲母對照表[十五音], 聲母對照表[台語音標], "N/A"))</f>
        <v>t</v>
      </c>
      <c r="E454" t="str">
        <f xml:space="preserve"> IF($B454="", "", _xlfn.XLOOKUP(LEFT($B454), 韻母對照表[十五音], 韻母對照表[台語音標], "N/A"))</f>
        <v>ik</v>
      </c>
      <c r="F454">
        <f xml:space="preserve"> IF($B454="", "", _xlfn.XLOOKUP(MID($B454,2,1), 聲調對照表[十五音調號], 聲調對照表[傳統八聲調], "N/A"))</f>
        <v>4</v>
      </c>
    </row>
    <row r="455" spans="1:6">
      <c r="A455" t="s">
        <v>29</v>
      </c>
      <c r="D455" t="str">
        <f xml:space="preserve"> IF($B455="", "", _xlfn.XLOOKUP(RIGHT($B455), 聲母對照表[十五音], 聲母對照表[台語音標], "N/A"))</f>
        <v/>
      </c>
      <c r="E455" t="str">
        <f xml:space="preserve"> IF($B455="", "", _xlfn.XLOOKUP(LEFT($B455), 韻母對照表[十五音], 韻母對照表[台語音標], "N/A"))</f>
        <v/>
      </c>
      <c r="F455" t="str">
        <f xml:space="preserve"> IF($B455="", "", _xlfn.XLOOKUP(MID($B455,2,1), 聲調對照表[十五音調號], 聲調對照表[傳統八聲調], "N/A"))</f>
        <v/>
      </c>
    </row>
    <row r="456" spans="1:6">
      <c r="A456" t="s">
        <v>444</v>
      </c>
      <c r="B456" t="s">
        <v>445</v>
      </c>
      <c r="C456" t="s">
        <v>812</v>
      </c>
      <c r="D456" t="str">
        <f xml:space="preserve"> IF($B456="", "", _xlfn.XLOOKUP(RIGHT($B456), 聲母對照表[十五音], 聲母對照表[台語音標], "N/A"))</f>
        <v>th</v>
      </c>
      <c r="E456" t="str">
        <f xml:space="preserve"> IF($B456="", "", _xlfn.XLOOKUP(LEFT($B456), 韻母對照表[十五音], 韻母對照表[台語音標], "N/A"))</f>
        <v>ok</v>
      </c>
      <c r="F456">
        <f xml:space="preserve"> IF($B456="", "", _xlfn.XLOOKUP(MID($B456,2,1), 聲調對照表[十五音調號], 聲調對照表[傳統八聲調], "N/A"))</f>
        <v>4</v>
      </c>
    </row>
    <row r="457" spans="1:6">
      <c r="A457" t="s">
        <v>166</v>
      </c>
      <c r="B457" t="s">
        <v>167</v>
      </c>
      <c r="C457" t="s">
        <v>971</v>
      </c>
      <c r="D457" t="str">
        <f xml:space="preserve"> IF($B457="", "", _xlfn.XLOOKUP(RIGHT($B457), 聲母對照表[十五音], 聲母對照表[台語音標], "N/A"))</f>
        <v>Ø</v>
      </c>
      <c r="E457" t="str">
        <f xml:space="preserve"> IF($B457="", "", _xlfn.XLOOKUP(LEFT($B457), 韻母對照表[十五音], 韻母對照表[台語音標], "N/A"))</f>
        <v>ui</v>
      </c>
      <c r="F457">
        <f xml:space="preserve"> IF($B457="", "", _xlfn.XLOOKUP(MID($B457,2,1), 聲調對照表[十五音調號], 聲調對照表[傳統八聲調], "N/A"))</f>
        <v>5</v>
      </c>
    </row>
    <row r="458" spans="1:6">
      <c r="A458" t="s">
        <v>446</v>
      </c>
      <c r="B458" t="s">
        <v>447</v>
      </c>
      <c r="C458" t="s">
        <v>813</v>
      </c>
      <c r="D458" t="str">
        <f xml:space="preserve"> IF($B458="", "", _xlfn.XLOOKUP(RIGHT($B458), 聲母對照表[十五音], 聲母對照表[台語音標], "N/A"))</f>
        <v>h</v>
      </c>
      <c r="E458" t="str">
        <f xml:space="preserve"> IF($B458="", "", _xlfn.XLOOKUP(LEFT($B458), 韻母對照表[十五音], 韻母對照表[台語音標], "N/A"))</f>
        <v>iok</v>
      </c>
      <c r="F458">
        <f xml:space="preserve"> IF($B458="", "", _xlfn.XLOOKUP(MID($B458,2,1), 聲調對照表[十五音調號], 聲調對照表[傳統八聲調], "N/A"))</f>
        <v>2</v>
      </c>
    </row>
    <row r="459" spans="1:6">
      <c r="A459" t="s">
        <v>50</v>
      </c>
      <c r="B459" t="s">
        <v>51</v>
      </c>
      <c r="C459" t="s">
        <v>950</v>
      </c>
      <c r="D459" t="str">
        <f xml:space="preserve"> IF($B459="", "", _xlfn.XLOOKUP(RIGHT($B459), 聲母對照表[十五音], 聲母對照表[台語音標], "N/A"))</f>
        <v>Ø</v>
      </c>
      <c r="E459" t="str">
        <f xml:space="preserve"> IF($B459="", "", _xlfn.XLOOKUP(LEFT($B459), 韻母對照表[十五音], 韻母對照表[台語音標], "N/A"))</f>
        <v>u</v>
      </c>
      <c r="F459">
        <f xml:space="preserve"> IF($B459="", "", _xlfn.XLOOKUP(MID($B459,2,1), 聲調對照表[十五音調號], 聲調對照表[傳統八聲調], "N/A"))</f>
        <v>1</v>
      </c>
    </row>
    <row r="460" spans="1:6">
      <c r="A460" t="s">
        <v>448</v>
      </c>
      <c r="B460" t="s">
        <v>449</v>
      </c>
      <c r="C460" t="s">
        <v>814</v>
      </c>
      <c r="D460" t="str">
        <f xml:space="preserve"> IF($B460="", "", _xlfn.XLOOKUP(RIGHT($B460), 聲母對照表[十五音], 聲母對照表[台語音標], "N/A"))</f>
        <v>p</v>
      </c>
      <c r="E460" t="str">
        <f xml:space="preserve"> IF($B460="", "", _xlfn.XLOOKUP(LEFT($B460), 韻母對照表[十五音], 韻母對照表[台語音標], "N/A"))</f>
        <v>i</v>
      </c>
      <c r="F460">
        <f xml:space="preserve"> IF($B460="", "", _xlfn.XLOOKUP(MID($B460,2,1), 聲調對照表[十五音調號], 聲調對照表[傳統八聲調], "N/A"))</f>
        <v>1</v>
      </c>
    </row>
    <row r="461" spans="1:6">
      <c r="A461" t="s">
        <v>57</v>
      </c>
      <c r="B461" s="51" t="s">
        <v>1823</v>
      </c>
      <c r="C461" s="51" t="s">
        <v>1811</v>
      </c>
      <c r="D461" t="str">
        <f xml:space="preserve"> IF($B461="", "", _xlfn.XLOOKUP(RIGHT($B461), 聲母對照表[十五音], 聲母對照表[台語音標], "N/A"))</f>
        <v>h</v>
      </c>
      <c r="E461" t="str">
        <f xml:space="preserve"> IF($B461="", "", _xlfn.XLOOKUP(LEFT($B461), 韻母對照表[十五音], 韻母對照表[台語音標], "N/A"))</f>
        <v>N/A</v>
      </c>
      <c r="F461">
        <f xml:space="preserve"> IF($B461="", "", _xlfn.XLOOKUP(MID($B461,2,1), 聲調對照表[十五音調號], 聲調對照表[傳統八聲調], "N/A"))</f>
        <v>1</v>
      </c>
    </row>
    <row r="462" spans="1:6">
      <c r="A462" t="s">
        <v>54</v>
      </c>
      <c r="D462" t="str">
        <f xml:space="preserve"> IF($B462="", "", _xlfn.XLOOKUP(RIGHT($B462), 聲母對照表[十五音], 聲母對照表[台語音標], "N/A"))</f>
        <v/>
      </c>
      <c r="E462" t="str">
        <f xml:space="preserve"> IF($B462="", "", _xlfn.XLOOKUP(LEFT($B462), 韻母對照表[十五音], 韻母對照表[台語音標], "N/A"))</f>
        <v/>
      </c>
      <c r="F462" t="str">
        <f xml:space="preserve"> IF($B462="", "", _xlfn.XLOOKUP(MID($B462,2,1), 聲調對照表[十五音調號], 聲調對照表[傳統八聲調], "N/A"))</f>
        <v/>
      </c>
    </row>
    <row r="463" spans="1:6">
      <c r="A463" t="s">
        <v>195</v>
      </c>
      <c r="D463" t="str">
        <f xml:space="preserve"> IF($B463="", "", _xlfn.XLOOKUP(RIGHT($B463), 聲母對照表[十五音], 聲母對照表[台語音標], "N/A"))</f>
        <v/>
      </c>
      <c r="E463" t="str">
        <f xml:space="preserve"> IF($B463="", "", _xlfn.XLOOKUP(LEFT($B463), 韻母對照表[十五音], 韻母對照表[台語音標], "N/A"))</f>
        <v/>
      </c>
      <c r="F463" t="str">
        <f xml:space="preserve"> IF($B463="", "", _xlfn.XLOOKUP(MID($B463,2,1), 聲調對照表[十五音調號], 聲調對照表[傳統八聲調], "N/A"))</f>
        <v/>
      </c>
    </row>
    <row r="464" spans="1:6">
      <c r="A464" t="s">
        <v>228</v>
      </c>
      <c r="D464" t="str">
        <f xml:space="preserve"> IF($B464="", "", _xlfn.XLOOKUP(RIGHT($B464), 聲母對照表[十五音], 聲母對照表[台語音標], "N/A"))</f>
        <v/>
      </c>
      <c r="E464" t="str">
        <f xml:space="preserve"> IF($B464="", "", _xlfn.XLOOKUP(LEFT($B464), 韻母對照表[十五音], 韻母對照表[台語音標], "N/A"))</f>
        <v/>
      </c>
      <c r="F464" t="str">
        <f xml:space="preserve"> IF($B464="", "", _xlfn.XLOOKUP(MID($B464,2,1), 聲調對照表[十五音調號], 聲調對照表[傳統八聲調], "N/A"))</f>
        <v/>
      </c>
    </row>
    <row r="465" spans="1:6">
      <c r="A465" t="s">
        <v>17</v>
      </c>
      <c r="B465" t="s">
        <v>18</v>
      </c>
      <c r="C465" t="s">
        <v>576</v>
      </c>
      <c r="D465" t="str">
        <f xml:space="preserve"> IF($B465="", "", _xlfn.XLOOKUP(RIGHT($B465), 聲母對照表[十五音], 聲母對照表[台語音標], "N/A"))</f>
        <v>s</v>
      </c>
      <c r="E465" t="str">
        <f xml:space="preserve"> IF($B465="", "", _xlfn.XLOOKUP(LEFT($B465), 韻母對照表[十五音], 韻母對照表[台語音標], "N/A"))</f>
        <v>oo</v>
      </c>
      <c r="F465">
        <f xml:space="preserve"> IF($B465="", "", _xlfn.XLOOKUP(MID($B465,2,1), 聲調對照表[十五音調號], 聲調對照表[傳統八聲調], "N/A"))</f>
        <v>1</v>
      </c>
    </row>
    <row r="466" spans="1:6">
      <c r="A466" t="s">
        <v>38</v>
      </c>
      <c r="B466" t="s">
        <v>39</v>
      </c>
      <c r="C466" t="s">
        <v>597</v>
      </c>
      <c r="D466" t="str">
        <f xml:space="preserve"> IF($B466="", "", _xlfn.XLOOKUP(RIGHT($B466), 聲母對照表[十五音], 聲母對照表[台語音標], "N/A"))</f>
        <v>z</v>
      </c>
      <c r="E466" t="str">
        <f xml:space="preserve"> IF($B466="", "", _xlfn.XLOOKUP(LEFT($B466), 韻母對照表[十五音], 韻母對照表[台語音標], "N/A"))</f>
        <v>u</v>
      </c>
      <c r="F466">
        <f xml:space="preserve"> IF($B466="", "", _xlfn.XLOOKUP(MID($B466,2,1), 聲調對照表[十五音調號], 聲調對照表[傳統八聲調], "N/A"))</f>
        <v>2</v>
      </c>
    </row>
    <row r="467" spans="1:6">
      <c r="A467" t="s">
        <v>193</v>
      </c>
      <c r="B467" t="s">
        <v>194</v>
      </c>
      <c r="C467" t="s">
        <v>976</v>
      </c>
      <c r="D467" t="str">
        <f xml:space="preserve"> IF($B467="", "", _xlfn.XLOOKUP(RIGHT($B467), 聲母對照表[十五音], 聲母對照表[台語音標], "N/A"))</f>
        <v>Ø</v>
      </c>
      <c r="E467" t="str">
        <f xml:space="preserve"> IF($B467="", "", _xlfn.XLOOKUP(LEFT($B467), 韻母對照表[十五音], 韻母對照表[台語音標], "N/A"))</f>
        <v>uan</v>
      </c>
      <c r="F467">
        <f xml:space="preserve"> IF($B467="", "", _xlfn.XLOOKUP(MID($B467,2,1), 聲調對照表[十五音調號], 聲調對照表[傳統八聲調], "N/A"))</f>
        <v>8</v>
      </c>
    </row>
    <row r="468" spans="1:6">
      <c r="A468" t="s">
        <v>16</v>
      </c>
      <c r="D468" t="str">
        <f xml:space="preserve"> IF($B468="", "", _xlfn.XLOOKUP(RIGHT($B468), 聲母對照表[十五音], 聲母對照表[台語音標], "N/A"))</f>
        <v/>
      </c>
      <c r="E468" t="str">
        <f xml:space="preserve"> IF($B468="", "", _xlfn.XLOOKUP(LEFT($B468), 韻母對照表[十五音], 韻母對照表[台語音標], "N/A"))</f>
        <v/>
      </c>
      <c r="F468" t="str">
        <f xml:space="preserve"> IF($B468="", "", _xlfn.XLOOKUP(MID($B468,2,1), 聲調對照表[十五音調號], 聲調對照表[傳統八聲調], "N/A"))</f>
        <v/>
      </c>
    </row>
    <row r="469" spans="1:6">
      <c r="A469" t="s">
        <v>195</v>
      </c>
      <c r="D469" t="str">
        <f xml:space="preserve"> IF($B469="", "", _xlfn.XLOOKUP(RIGHT($B469), 聲母對照表[十五音], 聲母對照表[台語音標], "N/A"))</f>
        <v/>
      </c>
      <c r="E469" t="str">
        <f xml:space="preserve"> IF($B469="", "", _xlfn.XLOOKUP(LEFT($B469), 韻母對照表[十五音], 韻母對照表[台語音標], "N/A"))</f>
        <v/>
      </c>
      <c r="F469" t="str">
        <f xml:space="preserve"> IF($B469="", "", _xlfn.XLOOKUP(MID($B469,2,1), 聲調對照表[十五音調號], 聲調對照表[傳統八聲調], "N/A"))</f>
        <v/>
      </c>
    </row>
    <row r="470" spans="1:6">
      <c r="A470" t="s">
        <v>196</v>
      </c>
      <c r="D470" t="str">
        <f xml:space="preserve"> IF($B470="", "", _xlfn.XLOOKUP(RIGHT($B470), 聲母對照表[十五音], 聲母對照表[台語音標], "N/A"))</f>
        <v/>
      </c>
      <c r="E470" t="str">
        <f xml:space="preserve"> IF($B470="", "", _xlfn.XLOOKUP(LEFT($B470), 韻母對照表[十五音], 韻母對照表[台語音標], "N/A"))</f>
        <v/>
      </c>
      <c r="F470" t="str">
        <f xml:space="preserve"> IF($B470="", "", _xlfn.XLOOKUP(MID($B470,2,1), 聲調對照表[十五音調號], 聲調對照表[傳統八聲調], "N/A"))</f>
        <v/>
      </c>
    </row>
    <row r="471" spans="1:6">
      <c r="A471" t="s">
        <v>42</v>
      </c>
      <c r="B471" t="s">
        <v>43</v>
      </c>
      <c r="C471" t="s">
        <v>600</v>
      </c>
      <c r="D471" t="str">
        <f xml:space="preserve"> IF($B471="", "", _xlfn.XLOOKUP(RIGHT($B471), 聲母對照表[十五音], 聲母對照表[台語音標], "N/A"))</f>
        <v>kh</v>
      </c>
      <c r="E471" t="str">
        <f xml:space="preserve"> IF($B471="", "", _xlfn.XLOOKUP(LEFT($B471), 韻母對照表[十五音], 韻母對照表[台語音標], "N/A"))</f>
        <v>ik</v>
      </c>
      <c r="F471">
        <f xml:space="preserve"> IF($B471="", "", _xlfn.XLOOKUP(MID($B471,2,1), 聲調對照表[十五音調號], 聲調對照表[傳統八聲調], "N/A"))</f>
        <v>4</v>
      </c>
    </row>
    <row r="472" spans="1:6">
      <c r="A472" t="s">
        <v>450</v>
      </c>
      <c r="B472" t="s">
        <v>451</v>
      </c>
      <c r="C472" t="s">
        <v>1000</v>
      </c>
      <c r="D472" t="str">
        <f xml:space="preserve"> IF($B472="", "", _xlfn.XLOOKUP(RIGHT($B472), 聲母對照表[十五音], 聲母對照表[台語音標], "N/A"))</f>
        <v>Ø</v>
      </c>
      <c r="E472" t="str">
        <f xml:space="preserve"> IF($B472="", "", _xlfn.XLOOKUP(LEFT($B472), 韻母對照表[十五音], 韻母對照表[台語音標], "N/A"))</f>
        <v>ik</v>
      </c>
      <c r="F472">
        <f xml:space="preserve"> IF($B472="", "", _xlfn.XLOOKUP(MID($B472,2,1), 聲調對照表[十五音調號], 聲調對照表[傳統八聲調], "N/A"))</f>
        <v>8</v>
      </c>
    </row>
    <row r="473" spans="1:6">
      <c r="A473" t="s">
        <v>158</v>
      </c>
      <c r="B473" t="s">
        <v>159</v>
      </c>
      <c r="C473" t="s">
        <v>675</v>
      </c>
      <c r="D473" t="str">
        <f xml:space="preserve"> IF($B473="", "", _xlfn.XLOOKUP(RIGHT($B473), 聲母對照表[十五音], 聲母對照表[台語音標], "N/A"))</f>
        <v>t</v>
      </c>
      <c r="E473" t="str">
        <f xml:space="preserve"> IF($B473="", "", _xlfn.XLOOKUP(LEFT($B473), 韻母對照表[十五音], 韻母對照表[台語音標], "N/A"))</f>
        <v>i</v>
      </c>
      <c r="F473">
        <f xml:space="preserve"> IF($B473="", "", _xlfn.XLOOKUP(MID($B473,2,1), 聲調對照表[十五音調號], 聲調對照表[傳統八聲調], "N/A"))</f>
        <v>1</v>
      </c>
    </row>
    <row r="474" spans="1:6">
      <c r="A474" t="s">
        <v>452</v>
      </c>
      <c r="B474" t="s">
        <v>410</v>
      </c>
      <c r="C474" t="s">
        <v>797</v>
      </c>
      <c r="D474" t="str">
        <f xml:space="preserve"> IF($B474="", "", _xlfn.XLOOKUP(RIGHT($B474), 聲母對照表[十五音], 聲母對照表[台語音標], "N/A"))</f>
        <v>h</v>
      </c>
      <c r="E474" t="str">
        <f xml:space="preserve"> IF($B474="", "", _xlfn.XLOOKUP(LEFT($B474), 韻母對照表[十五音], 韻母對照表[台語音標], "N/A"))</f>
        <v>u</v>
      </c>
      <c r="F474">
        <f xml:space="preserve"> IF($B474="", "", _xlfn.XLOOKUP(MID($B474,2,1), 聲調對照表[十五音調號], 聲調對照表[傳統八聲調], "N/A"))</f>
        <v>5</v>
      </c>
    </row>
    <row r="475" spans="1:6">
      <c r="A475" t="s">
        <v>63</v>
      </c>
      <c r="B475" t="s">
        <v>64</v>
      </c>
      <c r="C475" t="s">
        <v>617</v>
      </c>
      <c r="D475" t="str">
        <f xml:space="preserve"> IF($B475="", "", _xlfn.XLOOKUP(RIGHT($B475), 聲母對照表[十五音], 聲母對照表[台語音標], "N/A"))</f>
        <v>s</v>
      </c>
      <c r="E475" t="str">
        <f xml:space="preserve"> IF($B475="", "", _xlfn.XLOOKUP(LEFT($B475), 韻母對照表[十五音], 韻母對照表[台語音標], "N/A"))</f>
        <v>ui</v>
      </c>
      <c r="F475">
        <f xml:space="preserve"> IF($B475="", "", _xlfn.XLOOKUP(MID($B475,2,1), 聲調對照表[十五音調號], 聲調對照表[傳統八聲調], "N/A"))</f>
        <v>2</v>
      </c>
    </row>
    <row r="476" spans="1:6">
      <c r="A476" t="s">
        <v>40</v>
      </c>
      <c r="B476" t="s">
        <v>41</v>
      </c>
      <c r="C476" t="s">
        <v>946</v>
      </c>
      <c r="D476" t="str">
        <f xml:space="preserve"> IF($B476="", "", _xlfn.XLOOKUP(RIGHT($B476), 聲母對照表[十五音], 聲母對照表[台語音標], "N/A"))</f>
        <v>Ø</v>
      </c>
      <c r="E476" t="str">
        <f xml:space="preserve"> IF($B476="", "", _xlfn.XLOOKUP(LEFT($B476), 韻母對照表[十五音], 韻母對照表[台語音標], "N/A"))</f>
        <v>u</v>
      </c>
      <c r="F476">
        <f xml:space="preserve"> IF($B476="", "", _xlfn.XLOOKUP(MID($B476,2,1), 聲調對照表[十五音調號], 聲調對照表[傳統八聲調], "N/A"))</f>
        <v>2</v>
      </c>
    </row>
    <row r="477" spans="1:6">
      <c r="A477" t="s">
        <v>32</v>
      </c>
      <c r="B477" t="s">
        <v>33</v>
      </c>
      <c r="C477" t="s">
        <v>590</v>
      </c>
      <c r="D477" t="str">
        <f xml:space="preserve"> IF($B477="", "", _xlfn.XLOOKUP(RIGHT($B477), 聲母對照表[十五音], 聲母對照表[台語音標], "N/A"))</f>
        <v>g</v>
      </c>
      <c r="E477" t="str">
        <f xml:space="preserve"> IF($B477="", "", _xlfn.XLOOKUP(LEFT($B477), 韻母對照表[十五音], 韻母對照表[台語音標], "N/A"))</f>
        <v>uan</v>
      </c>
      <c r="F477">
        <f xml:space="preserve"> IF($B477="", "", _xlfn.XLOOKUP(MID($B477,2,1), 聲調對照表[十五音調號], 聲調對照表[傳統八聲調], "N/A"))</f>
        <v>8</v>
      </c>
    </row>
    <row r="478" spans="1:6">
      <c r="A478" t="s">
        <v>148</v>
      </c>
      <c r="B478" t="s">
        <v>149</v>
      </c>
      <c r="C478" t="s">
        <v>671</v>
      </c>
      <c r="D478" t="str">
        <f xml:space="preserve"> IF($B478="", "", _xlfn.XLOOKUP(RIGHT($B478), 聲母對照表[十五音], 聲母對照表[台語音標], "N/A"))</f>
        <v>h</v>
      </c>
      <c r="E478" t="str">
        <f xml:space="preserve"> IF($B478="", "", _xlfn.XLOOKUP(LEFT($B478), 韻母對照表[十五音], 韻母對照表[台語音標], "N/A"))</f>
        <v>oo</v>
      </c>
      <c r="F478">
        <f xml:space="preserve"> IF($B478="", "", _xlfn.XLOOKUP(MID($B478,2,1), 聲調對照表[十五音調號], 聲調對照表[傳統八聲調], "N/A"))</f>
        <v>5</v>
      </c>
    </row>
    <row r="479" spans="1:6">
      <c r="A479" t="s">
        <v>296</v>
      </c>
      <c r="D479" t="str">
        <f xml:space="preserve"> IF($B479="", "", _xlfn.XLOOKUP(RIGHT($B479), 聲母對照表[十五音], 聲母對照表[台語音標], "N/A"))</f>
        <v/>
      </c>
      <c r="E479" t="str">
        <f xml:space="preserve"> IF($B479="", "", _xlfn.XLOOKUP(LEFT($B479), 韻母對照表[十五音], 韻母對照表[台語音標], "N/A"))</f>
        <v/>
      </c>
      <c r="F479" t="str">
        <f xml:space="preserve"> IF($B479="", "", _xlfn.XLOOKUP(MID($B479,2,1), 聲調對照表[十五音調號], 聲調對照表[傳統八聲調], "N/A"))</f>
        <v/>
      </c>
    </row>
    <row r="480" spans="1:6">
      <c r="A480" t="s">
        <v>453</v>
      </c>
      <c r="B480" t="s">
        <v>454</v>
      </c>
      <c r="C480" t="s">
        <v>1001</v>
      </c>
      <c r="D480" t="str">
        <f xml:space="preserve"> IF($B480="", "", _xlfn.XLOOKUP(RIGHT($B480), 聲母對照表[十五音], 聲母對照表[台語音標], "N/A"))</f>
        <v>s</v>
      </c>
      <c r="E480" t="str">
        <f xml:space="preserve"> IF($B480="", "", _xlfn.XLOOKUP(LEFT($B480), 韻母對照表[十五音], 韻母對照表[台語音標], "N/A"))</f>
        <v>e</v>
      </c>
      <c r="F480">
        <f xml:space="preserve"> IF($B480="", "", _xlfn.XLOOKUP(MID($B480,2,1), 聲調對照表[十五音調號], 聲調對照表[傳統八聲調], "N/A"))</f>
        <v>7</v>
      </c>
    </row>
    <row r="481" spans="1:6">
      <c r="A481" t="s">
        <v>237</v>
      </c>
      <c r="B481" t="s">
        <v>238</v>
      </c>
      <c r="C481" t="s">
        <v>718</v>
      </c>
      <c r="D481" t="str">
        <f xml:space="preserve"> IF($B481="", "", _xlfn.XLOOKUP(RIGHT($B481), 聲母對照表[十五音], 聲母對照表[台語音標], "N/A"))</f>
        <v>z</v>
      </c>
      <c r="E481" t="str">
        <f xml:space="preserve"> IF($B481="", "", _xlfn.XLOOKUP(LEFT($B481), 韻母對照表[十五音], 韻母對照表[台語音標], "N/A"))</f>
        <v>ia</v>
      </c>
      <c r="F481">
        <f xml:space="preserve"> IF($B481="", "", _xlfn.XLOOKUP(MID($B481,2,1), 聲調對照表[十五音調號], 聲調對照表[傳統八聲調], "N/A"))</f>
        <v>2</v>
      </c>
    </row>
    <row r="482" spans="1:6">
      <c r="A482" t="s">
        <v>134</v>
      </c>
      <c r="B482" t="s">
        <v>135</v>
      </c>
      <c r="C482" t="s">
        <v>968</v>
      </c>
      <c r="D482" t="str">
        <f xml:space="preserve"> IF($B482="", "", _xlfn.XLOOKUP(RIGHT($B482), 聲母對照表[十五音], 聲母對照表[台語音標], "N/A"))</f>
        <v>j</v>
      </c>
      <c r="E482" t="str">
        <f xml:space="preserve"> IF($B482="", "", _xlfn.XLOOKUP(LEFT($B482), 韻母對照表[十五音], 韻母對照表[台語音標], "N/A"))</f>
        <v>u</v>
      </c>
      <c r="F482">
        <f xml:space="preserve"> IF($B482="", "", _xlfn.XLOOKUP(MID($B482,2,1), 聲調對照表[十五音調號], 聲調對照表[傳統八聲調], "N/A"))</f>
        <v>5</v>
      </c>
    </row>
    <row r="483" spans="1:6">
      <c r="A483" t="s">
        <v>455</v>
      </c>
      <c r="B483" t="s">
        <v>363</v>
      </c>
      <c r="C483" t="s">
        <v>777</v>
      </c>
      <c r="D483" t="str">
        <f xml:space="preserve"> IF($B483="", "", _xlfn.XLOOKUP(RIGHT($B483), 聲母對照表[十五音], 聲母對照表[台語音標], "N/A"))</f>
        <v>s</v>
      </c>
      <c r="E483" t="str">
        <f xml:space="preserve"> IF($B483="", "", _xlfn.XLOOKUP(LEFT($B483), 韻母對照表[十五音], 韻母對照表[台語音標], "N/A"))</f>
        <v>u</v>
      </c>
      <c r="F483">
        <f xml:space="preserve"> IF($B483="", "", _xlfn.XLOOKUP(MID($B483,2,1), 聲調對照表[十五音調號], 聲調對照表[傳統八聲調], "N/A"))</f>
        <v>1</v>
      </c>
    </row>
    <row r="484" spans="1:6">
      <c r="A484" t="s">
        <v>29</v>
      </c>
      <c r="D484" t="str">
        <f xml:space="preserve"> IF($B484="", "", _xlfn.XLOOKUP(RIGHT($B484), 聲母對照表[十五音], 聲母對照表[台語音標], "N/A"))</f>
        <v/>
      </c>
      <c r="E484" t="str">
        <f xml:space="preserve"> IF($B484="", "", _xlfn.XLOOKUP(LEFT($B484), 韻母對照表[十五音], 韻母對照表[台語音標], "N/A"))</f>
        <v/>
      </c>
      <c r="F484" t="str">
        <f xml:space="preserve"> IF($B484="", "", _xlfn.XLOOKUP(MID($B484,2,1), 聲調對照表[十五音調號], 聲調對照表[傳統八聲調], "N/A"))</f>
        <v/>
      </c>
    </row>
    <row r="485" spans="1:6">
      <c r="A485" t="s">
        <v>157</v>
      </c>
      <c r="B485" t="s">
        <v>150</v>
      </c>
      <c r="C485" t="s">
        <v>664</v>
      </c>
      <c r="D485" t="str">
        <f xml:space="preserve"> IF($B485="", "", _xlfn.XLOOKUP(RIGHT($B485), 聲母對照表[十五音], 聲母對照表[台語音標], "N/A"))</f>
        <v>j</v>
      </c>
      <c r="E485" t="str">
        <f xml:space="preserve"> IF($B485="", "", _xlfn.XLOOKUP(LEFT($B485), 韻母對照表[十五音], 韻母對照表[台語音標], "N/A"))</f>
        <v>i</v>
      </c>
      <c r="F485">
        <f xml:space="preserve"> IF($B485="", "", _xlfn.XLOOKUP(MID($B485,2,1), 聲調對照表[十五音調號], 聲調對照表[傳統八聲調], "N/A"))</f>
        <v>5</v>
      </c>
    </row>
    <row r="486" spans="1:6">
      <c r="A486" t="s">
        <v>456</v>
      </c>
      <c r="B486" t="s">
        <v>457</v>
      </c>
      <c r="C486" t="s">
        <v>1002</v>
      </c>
      <c r="D486" t="str">
        <f xml:space="preserve"> IF($B486="", "", _xlfn.XLOOKUP(RIGHT($B486), 聲母對照表[十五音], 聲母對照表[台語音標], "N/A"))</f>
        <v>b</v>
      </c>
      <c r="E486" t="str">
        <f xml:space="preserve"> IF($B486="", "", _xlfn.XLOOKUP(LEFT($B486), 韻母對照表[十五音], 韻母對照表[台語音標], "N/A"))</f>
        <v>ui</v>
      </c>
      <c r="F486">
        <f xml:space="preserve"> IF($B486="", "", _xlfn.XLOOKUP(MID($B486,2,1), 聲調對照表[十五音調號], 聲調對照表[傳統八聲調], "N/A"))</f>
        <v>7</v>
      </c>
    </row>
    <row r="487" spans="1:6">
      <c r="A487" t="s">
        <v>458</v>
      </c>
      <c r="B487" t="s">
        <v>459</v>
      </c>
      <c r="C487" t="s">
        <v>818</v>
      </c>
      <c r="D487" t="str">
        <f xml:space="preserve"> IF($B487="", "", _xlfn.XLOOKUP(RIGHT($B487), 聲母對照表[十五音], 聲母對照表[台語音標], "N/A"))</f>
        <v>s</v>
      </c>
      <c r="E487" t="str">
        <f xml:space="preserve"> IF($B487="", "", _xlfn.XLOOKUP(LEFT($B487), 韻母對照表[十五音], 韻母對照表[台語音標], "N/A"))</f>
        <v>iok</v>
      </c>
      <c r="F487">
        <f xml:space="preserve"> IF($B487="", "", _xlfn.XLOOKUP(MID($B487,2,1), 聲調對照表[十五音調號], 聲調對照表[傳統八聲調], "N/A"))</f>
        <v>5</v>
      </c>
    </row>
    <row r="488" spans="1:6">
      <c r="A488" t="s">
        <v>460</v>
      </c>
      <c r="B488" s="51" t="s">
        <v>1824</v>
      </c>
      <c r="C488" s="51" t="s">
        <v>1825</v>
      </c>
      <c r="D488" t="str">
        <f xml:space="preserve"> IF($B488="", "", _xlfn.XLOOKUP(RIGHT($B488), 聲母對照表[十五音], 聲母對照表[台語音標], "N/A"))</f>
        <v>Ø</v>
      </c>
      <c r="E488" t="str">
        <f xml:space="preserve"> IF($B488="", "", _xlfn.XLOOKUP(LEFT($B488), 韻母對照表[十五音], 韻母對照表[台語音標], "N/A"))</f>
        <v>ok</v>
      </c>
      <c r="F488">
        <f xml:space="preserve"> IF($B488="", "", _xlfn.XLOOKUP(MID($B488,2,1), 聲調對照表[十五音調號], 聲調對照表[傳統八聲調], "N/A"))</f>
        <v>2</v>
      </c>
    </row>
    <row r="489" spans="1:6">
      <c r="A489" t="s">
        <v>294</v>
      </c>
      <c r="B489" t="s">
        <v>295</v>
      </c>
      <c r="C489" t="s">
        <v>990</v>
      </c>
      <c r="D489" t="str">
        <f xml:space="preserve"> IF($B489="", "", _xlfn.XLOOKUP(RIGHT($B489), 聲母對照表[十五音], 聲母對照表[台語音標], "N/A"))</f>
        <v>Ø</v>
      </c>
      <c r="E489" t="str">
        <f xml:space="preserve"> IF($B489="", "", _xlfn.XLOOKUP(LEFT($B489), 韻母對照表[十五音], 韻母對照表[台語音標], "N/A"))</f>
        <v>ia</v>
      </c>
      <c r="F489">
        <f xml:space="preserve"> IF($B489="", "", _xlfn.XLOOKUP(MID($B489,2,1), 聲調對照表[十五音調號], 聲調對照表[傳統八聲調], "N/A"))</f>
        <v>2</v>
      </c>
    </row>
    <row r="490" spans="1:6">
      <c r="A490" t="s">
        <v>126</v>
      </c>
      <c r="D490" t="str">
        <f xml:space="preserve"> IF($B490="", "", _xlfn.XLOOKUP(RIGHT($B490), 聲母對照表[十五音], 聲母對照表[台語音標], "N/A"))</f>
        <v/>
      </c>
      <c r="E490" t="str">
        <f xml:space="preserve"> IF($B490="", "", _xlfn.XLOOKUP(LEFT($B490), 韻母對照表[十五音], 韻母對照表[台語音標], "N/A"))</f>
        <v/>
      </c>
      <c r="F490" t="str">
        <f xml:space="preserve"> IF($B490="", "", _xlfn.XLOOKUP(MID($B490,2,1), 聲調對照表[十五音調號], 聲調對照表[傳統八聲調], "N/A"))</f>
        <v/>
      </c>
    </row>
    <row r="491" spans="1:6">
      <c r="A491" t="s">
        <v>462</v>
      </c>
      <c r="B491" t="s">
        <v>463</v>
      </c>
      <c r="C491" t="s">
        <v>1003</v>
      </c>
      <c r="D491" t="str">
        <f xml:space="preserve"> IF($B491="", "", _xlfn.XLOOKUP(RIGHT($B491), 聲母對照表[十五音], 聲母對照表[台語音標], "N/A"))</f>
        <v>Ø</v>
      </c>
      <c r="E491" t="str">
        <f xml:space="preserve"> IF($B491="", "", _xlfn.XLOOKUP(LEFT($B491), 韻母對照表[十五音], 韻母對照表[台語音標], "N/A"))</f>
        <v>ik</v>
      </c>
      <c r="F491">
        <f xml:space="preserve"> IF($B491="", "", _xlfn.XLOOKUP(MID($B491,2,1), 聲調對照表[十五音調號], 聲調對照表[傳統八聲調], "N/A"))</f>
        <v>5</v>
      </c>
    </row>
    <row r="492" spans="1:6">
      <c r="A492" t="s">
        <v>153</v>
      </c>
      <c r="B492" t="s">
        <v>154</v>
      </c>
      <c r="C492" t="s">
        <v>673</v>
      </c>
      <c r="D492" t="str">
        <f xml:space="preserve"> IF($B492="", "", _xlfn.XLOOKUP(RIGHT($B492), 聲母對照表[十五音], 聲母對照表[台語音標], "N/A"))</f>
        <v>h</v>
      </c>
      <c r="E492" t="str">
        <f xml:space="preserve"> IF($B492="", "", _xlfn.XLOOKUP(LEFT($B492), 韻母對照表[十五音], 韻母對照表[台語音標], "N/A"))</f>
        <v>u</v>
      </c>
      <c r="F492">
        <f xml:space="preserve"> IF($B492="", "", _xlfn.XLOOKUP(MID($B492,2,1), 聲調對照表[十五音調號], 聲調對照表[傳統八聲調], "N/A"))</f>
        <v>1</v>
      </c>
    </row>
    <row r="493" spans="1:6">
      <c r="A493" t="s">
        <v>237</v>
      </c>
      <c r="B493" t="s">
        <v>238</v>
      </c>
      <c r="C493" t="s">
        <v>718</v>
      </c>
      <c r="D493" t="str">
        <f xml:space="preserve"> IF($B493="", "", _xlfn.XLOOKUP(RIGHT($B493), 聲母對照表[十五音], 聲母對照表[台語音標], "N/A"))</f>
        <v>z</v>
      </c>
      <c r="E493" t="str">
        <f xml:space="preserve"> IF($B493="", "", _xlfn.XLOOKUP(LEFT($B493), 韻母對照表[十五音], 韻母對照表[台語音標], "N/A"))</f>
        <v>ia</v>
      </c>
      <c r="F493">
        <f xml:space="preserve"> IF($B493="", "", _xlfn.XLOOKUP(MID($B493,2,1), 聲調對照表[十五音調號], 聲調對照表[傳統八聲調], "N/A"))</f>
        <v>2</v>
      </c>
    </row>
    <row r="494" spans="1:6">
      <c r="A494" t="s">
        <v>134</v>
      </c>
      <c r="B494" t="s">
        <v>135</v>
      </c>
      <c r="C494" t="s">
        <v>968</v>
      </c>
      <c r="D494" t="str">
        <f xml:space="preserve"> IF($B494="", "", _xlfn.XLOOKUP(RIGHT($B494), 聲母對照表[十五音], 聲母對照表[台語音標], "N/A"))</f>
        <v>j</v>
      </c>
      <c r="E494" t="str">
        <f xml:space="preserve"> IF($B494="", "", _xlfn.XLOOKUP(LEFT($B494), 韻母對照表[十五音], 韻母對照表[台語音標], "N/A"))</f>
        <v>u</v>
      </c>
      <c r="F494">
        <f xml:space="preserve"> IF($B494="", "", _xlfn.XLOOKUP(MID($B494,2,1), 聲調對照表[十五音調號], 聲調對照表[傳統八聲調], "N/A"))</f>
        <v>5</v>
      </c>
    </row>
    <row r="495" spans="1:6">
      <c r="A495" t="s">
        <v>464</v>
      </c>
      <c r="B495" t="s">
        <v>465</v>
      </c>
      <c r="C495" t="s">
        <v>821</v>
      </c>
      <c r="D495" t="str">
        <f xml:space="preserve"> IF($B495="", "", _xlfn.XLOOKUP(RIGHT($B495), 聲母對照表[十五音], 聲母對照表[台語音標], "N/A"))</f>
        <v>p</v>
      </c>
      <c r="E495" t="str">
        <f xml:space="preserve"> IF($B495="", "", _xlfn.XLOOKUP(LEFT($B495), 韻母對照表[十五音], 韻母對照表[台語音標], "N/A"))</f>
        <v>i</v>
      </c>
      <c r="F495">
        <f xml:space="preserve"> IF($B495="", "", _xlfn.XLOOKUP(MID($B495,2,1), 聲調對照表[十五音調號], 聲調對照表[傳統八聲調], "N/A"))</f>
        <v>2</v>
      </c>
    </row>
    <row r="496" spans="1:6">
      <c r="A496" t="s">
        <v>29</v>
      </c>
      <c r="D496" t="str">
        <f xml:space="preserve"> IF($B496="", "", _xlfn.XLOOKUP(RIGHT($B496), 聲母對照表[十五音], 聲母對照表[台語音標], "N/A"))</f>
        <v/>
      </c>
      <c r="E496" t="str">
        <f xml:space="preserve"> IF($B496="", "", _xlfn.XLOOKUP(LEFT($B496), 韻母對照表[十五音], 韻母對照表[台語音標], "N/A"))</f>
        <v/>
      </c>
      <c r="F496" t="str">
        <f xml:space="preserve"> IF($B496="", "", _xlfn.XLOOKUP(MID($B496,2,1), 聲調對照表[十五音調號], 聲調對照表[傳統八聲調], "N/A"))</f>
        <v/>
      </c>
    </row>
    <row r="497" spans="1:6">
      <c r="A497" t="s">
        <v>157</v>
      </c>
      <c r="B497" t="s">
        <v>150</v>
      </c>
      <c r="C497" t="s">
        <v>664</v>
      </c>
      <c r="D497" t="str">
        <f xml:space="preserve"> IF($B497="", "", _xlfn.XLOOKUP(RIGHT($B497), 聲母對照表[十五音], 聲母對照表[台語音標], "N/A"))</f>
        <v>j</v>
      </c>
      <c r="E497" t="str">
        <f xml:space="preserve"> IF($B497="", "", _xlfn.XLOOKUP(LEFT($B497), 韻母對照表[十五音], 韻母對照表[台語音標], "N/A"))</f>
        <v>i</v>
      </c>
      <c r="F497">
        <f xml:space="preserve"> IF($B497="", "", _xlfn.XLOOKUP(MID($B497,2,1), 聲調對照表[十五音調號], 聲調對照表[傳統八聲調], "N/A"))</f>
        <v>5</v>
      </c>
    </row>
    <row r="498" spans="1:6">
      <c r="A498" t="s">
        <v>466</v>
      </c>
      <c r="B498" t="s">
        <v>467</v>
      </c>
      <c r="C498" t="s">
        <v>822</v>
      </c>
      <c r="D498" t="str">
        <f xml:space="preserve"> IF($B498="", "", _xlfn.XLOOKUP(RIGHT($B498), 聲母對照表[十五音], 聲母對照表[台語音標], "N/A"))</f>
        <v>z</v>
      </c>
      <c r="E498" t="str">
        <f xml:space="preserve"> IF($B498="", "", _xlfn.XLOOKUP(LEFT($B498), 韻母對照表[十五音], 韻母對照表[台語音標], "N/A"))</f>
        <v>un</v>
      </c>
      <c r="F498">
        <f xml:space="preserve"> IF($B498="", "", _xlfn.XLOOKUP(MID($B498,2,1), 聲調對照表[十五音調號], 聲調對照表[傳統八聲調], "N/A"))</f>
        <v>4</v>
      </c>
    </row>
    <row r="499" spans="1:6">
      <c r="A499" t="s">
        <v>468</v>
      </c>
      <c r="B499" t="s">
        <v>469</v>
      </c>
      <c r="C499" t="s">
        <v>823</v>
      </c>
      <c r="D499" t="str">
        <f xml:space="preserve"> IF($B499="", "", _xlfn.XLOOKUP(RIGHT($B499), 聲母對照表[十五音], 聲母對照表[台語音標], "N/A"))</f>
        <v>b</v>
      </c>
      <c r="E499" t="str">
        <f xml:space="preserve"> IF($B499="", "", _xlfn.XLOOKUP(LEFT($B499), 韻母對照表[十五音], 韻母對照表[台語音標], "N/A"))</f>
        <v>ok</v>
      </c>
      <c r="F499">
        <f xml:space="preserve"> IF($B499="", "", _xlfn.XLOOKUP(MID($B499,2,1), 聲調對照表[十五音調號], 聲調對照表[傳統八聲調], "N/A"))</f>
        <v>8</v>
      </c>
    </row>
    <row r="500" spans="1:6">
      <c r="A500" t="s">
        <v>470</v>
      </c>
      <c r="B500" t="s">
        <v>236</v>
      </c>
      <c r="C500" t="s">
        <v>717</v>
      </c>
      <c r="D500" t="str">
        <f xml:space="preserve"> IF($B500="", "", _xlfn.XLOOKUP(RIGHT($B500), 聲母對照表[十五音], 聲母對照表[台語音標], "N/A"))</f>
        <v>s</v>
      </c>
      <c r="E500" t="str">
        <f xml:space="preserve"> IF($B500="", "", _xlfn.XLOOKUP(LEFT($B500), 韻母對照表[十五音], 韻母對照表[台語音標], "N/A"))</f>
        <v>iau</v>
      </c>
      <c r="F500">
        <f xml:space="preserve"> IF($B500="", "", _xlfn.XLOOKUP(MID($B500,2,1), 聲調對照表[十五音調號], 聲調對照表[傳統八聲調], "N/A"))</f>
        <v>1</v>
      </c>
    </row>
    <row r="501" spans="1:6">
      <c r="A501" t="s">
        <v>426</v>
      </c>
      <c r="B501" t="s">
        <v>427</v>
      </c>
      <c r="C501" t="s">
        <v>803</v>
      </c>
      <c r="D501" t="str">
        <f xml:space="preserve"> IF($B501="", "", _xlfn.XLOOKUP(RIGHT($B501), 聲母對照表[十五音], 聲母對照表[台語音標], "N/A"))</f>
        <v>t</v>
      </c>
      <c r="E501" t="str">
        <f xml:space="preserve"> IF($B501="", "", _xlfn.XLOOKUP(LEFT($B501), 韻母對照表[十五音], 韻母對照表[台語音標], "N/A"))</f>
        <v>iok</v>
      </c>
      <c r="F501">
        <f xml:space="preserve"> IF($B501="", "", _xlfn.XLOOKUP(MID($B501,2,1), 聲調對照表[十五音調號], 聲調對照表[傳統八聲調], "N/A"))</f>
        <v>5</v>
      </c>
    </row>
    <row r="502" spans="1:6">
      <c r="A502" t="s">
        <v>294</v>
      </c>
      <c r="B502" t="s">
        <v>295</v>
      </c>
      <c r="C502" t="s">
        <v>990</v>
      </c>
      <c r="D502" t="str">
        <f xml:space="preserve"> IF($B502="", "", _xlfn.XLOOKUP(RIGHT($B502), 聲母對照表[十五音], 聲母對照表[台語音標], "N/A"))</f>
        <v>Ø</v>
      </c>
      <c r="E502" t="str">
        <f xml:space="preserve"> IF($B502="", "", _xlfn.XLOOKUP(LEFT($B502), 韻母對照表[十五音], 韻母對照表[台語音標], "N/A"))</f>
        <v>ia</v>
      </c>
      <c r="F502">
        <f xml:space="preserve"> IF($B502="", "", _xlfn.XLOOKUP(MID($B502,2,1), 聲調對照表[十五音調號], 聲調對照表[傳統八聲調], "N/A"))</f>
        <v>2</v>
      </c>
    </row>
    <row r="503" spans="1:6">
      <c r="A503" t="s">
        <v>29</v>
      </c>
      <c r="D503" t="str">
        <f xml:space="preserve"> IF($B503="", "", _xlfn.XLOOKUP(RIGHT($B503), 聲母對照表[十五音], 聲母對照表[台語音標], "N/A"))</f>
        <v/>
      </c>
      <c r="E503" t="str">
        <f xml:space="preserve"> IF($B503="", "", _xlfn.XLOOKUP(LEFT($B503), 韻母對照表[十五音], 韻母對照表[台語音標], "N/A"))</f>
        <v/>
      </c>
      <c r="F503" t="str">
        <f xml:space="preserve"> IF($B503="", "", _xlfn.XLOOKUP(MID($B503,2,1), 聲調對照表[十五音調號], 聲調對照表[傳統八聲調], "N/A"))</f>
        <v/>
      </c>
    </row>
    <row r="504" spans="1:6">
      <c r="A504" t="s">
        <v>471</v>
      </c>
      <c r="B504" t="s">
        <v>472</v>
      </c>
      <c r="C504" t="s">
        <v>824</v>
      </c>
      <c r="D504" t="str">
        <f xml:space="preserve"> IF($B504="", "", _xlfn.XLOOKUP(RIGHT($B504), 聲母對照表[十五音], 聲母對照表[台語音標], "N/A"))</f>
        <v>k</v>
      </c>
      <c r="E504" t="str">
        <f xml:space="preserve"> IF($B504="", "", _xlfn.XLOOKUP(LEFT($B504), 韻母對照表[十五音], 韻母對照表[台語音標], "N/A"))</f>
        <v>ai</v>
      </c>
      <c r="F504">
        <f xml:space="preserve"> IF($B504="", "", _xlfn.XLOOKUP(MID($B504,2,1), 聲調對照表[十五音調號], 聲調對照表[傳統八聲調], "N/A"))</f>
        <v>3</v>
      </c>
    </row>
    <row r="505" spans="1:6">
      <c r="A505" t="s">
        <v>473</v>
      </c>
      <c r="B505" t="s">
        <v>90</v>
      </c>
      <c r="C505" t="s">
        <v>636</v>
      </c>
      <c r="D505" t="str">
        <f xml:space="preserve"> IF($B505="", "", _xlfn.XLOOKUP(RIGHT($B505), 聲母對照表[十五音], 聲母對照表[台語音標], "N/A"))</f>
        <v>z</v>
      </c>
      <c r="E505" t="str">
        <f xml:space="preserve"> IF($B505="", "", _xlfn.XLOOKUP(LEFT($B505), 韻母對照表[十五音], 韻母對照表[台語音標], "N/A"))</f>
        <v>iok</v>
      </c>
      <c r="F505">
        <f xml:space="preserve"> IF($B505="", "", _xlfn.XLOOKUP(MID($B505,2,1), 聲調對照表[十五音調號], 聲調對照表[傳統八聲調], "N/A"))</f>
        <v>1</v>
      </c>
    </row>
    <row r="506" spans="1:6">
      <c r="A506" t="s">
        <v>474</v>
      </c>
      <c r="B506" t="s">
        <v>475</v>
      </c>
      <c r="C506" t="s">
        <v>825</v>
      </c>
      <c r="D506" t="str">
        <f xml:space="preserve"> IF($B506="", "", _xlfn.XLOOKUP(RIGHT($B506), 聲母對照表[十五音], 聲母對照表[台語音標], "N/A"))</f>
        <v>z</v>
      </c>
      <c r="E506" t="str">
        <f xml:space="preserve"> IF($B506="", "", _xlfn.XLOOKUP(LEFT($B506), 韻母對照表[十五音], 韻母對照表[台語音標], "N/A"))</f>
        <v>u</v>
      </c>
      <c r="F506">
        <f xml:space="preserve"> IF($B506="", "", _xlfn.XLOOKUP(MID($B506,2,1), 聲調對照表[十五音調號], 聲調對照表[傳統八聲調], "N/A"))</f>
        <v>7</v>
      </c>
    </row>
    <row r="507" spans="1:6">
      <c r="A507" t="s">
        <v>160</v>
      </c>
      <c r="B507" t="s">
        <v>161</v>
      </c>
      <c r="C507" t="s">
        <v>676</v>
      </c>
      <c r="D507" t="str">
        <f xml:space="preserve"> IF($B507="", "", _xlfn.XLOOKUP(RIGHT($B507), 聲母對照表[十五音], 聲母對照表[台語音標], "N/A"))</f>
        <v>k</v>
      </c>
      <c r="E507" t="str">
        <f xml:space="preserve"> IF($B507="", "", _xlfn.XLOOKUP(LEFT($B507), 韻母對照表[十五音], 韻母對照表[台語音標], "N/A"))</f>
        <v>i</v>
      </c>
      <c r="F507">
        <f xml:space="preserve"> IF($B507="", "", _xlfn.XLOOKUP(MID($B507,2,1), 聲調對照表[十五音調號], 聲調對照表[傳統八聲調], "N/A"))</f>
        <v>5</v>
      </c>
    </row>
    <row r="508" spans="1:6">
      <c r="A508" t="s">
        <v>476</v>
      </c>
      <c r="B508" t="s">
        <v>477</v>
      </c>
      <c r="C508" t="s">
        <v>826</v>
      </c>
      <c r="D508" t="str">
        <f xml:space="preserve"> IF($B508="", "", _xlfn.XLOOKUP(RIGHT($B508), 聲母對照表[十五音], 聲母對照表[台語音標], "N/A"))</f>
        <v>p</v>
      </c>
      <c r="E508" t="str">
        <f xml:space="preserve"> IF($B508="", "", _xlfn.XLOOKUP(LEFT($B508), 韻母對照表[十五音], 韻母對照表[台語音標], "N/A"))</f>
        <v>ian</v>
      </c>
      <c r="F508">
        <f xml:space="preserve"> IF($B508="", "", _xlfn.XLOOKUP(MID($B508,2,1), 聲調對照表[十五音調號], 聲調對照表[傳統八聲調], "N/A"))</f>
        <v>3</v>
      </c>
    </row>
    <row r="509" spans="1:6">
      <c r="A509" t="s">
        <v>237</v>
      </c>
      <c r="B509" t="s">
        <v>238</v>
      </c>
      <c r="C509" t="s">
        <v>718</v>
      </c>
      <c r="D509" t="str">
        <f xml:space="preserve"> IF($B509="", "", _xlfn.XLOOKUP(RIGHT($B509), 聲母對照表[十五音], 聲母對照表[台語音標], "N/A"))</f>
        <v>z</v>
      </c>
      <c r="E509" t="str">
        <f xml:space="preserve"> IF($B509="", "", _xlfn.XLOOKUP(LEFT($B509), 韻母對照表[十五音], 韻母對照表[台語音標], "N/A"))</f>
        <v>ia</v>
      </c>
      <c r="F509">
        <f xml:space="preserve"> IF($B509="", "", _xlfn.XLOOKUP(MID($B509,2,1), 聲調對照表[十五音調號], 聲調對照表[傳統八聲調], "N/A"))</f>
        <v>2</v>
      </c>
    </row>
    <row r="510" spans="1:6">
      <c r="A510" t="s">
        <v>157</v>
      </c>
      <c r="B510" t="s">
        <v>150</v>
      </c>
      <c r="C510" t="s">
        <v>664</v>
      </c>
      <c r="D510" t="str">
        <f xml:space="preserve"> IF($B510="", "", _xlfn.XLOOKUP(RIGHT($B510), 聲母對照表[十五音], 聲母對照表[台語音標], "N/A"))</f>
        <v>j</v>
      </c>
      <c r="E510" t="str">
        <f xml:space="preserve"> IF($B510="", "", _xlfn.XLOOKUP(LEFT($B510), 韻母對照表[十五音], 韻母對照表[台語音標], "N/A"))</f>
        <v>i</v>
      </c>
      <c r="F510">
        <f xml:space="preserve"> IF($B510="", "", _xlfn.XLOOKUP(MID($B510,2,1), 聲調對照表[十五音調號], 聲調對照表[傳統八聲調], "N/A"))</f>
        <v>5</v>
      </c>
    </row>
    <row r="511" spans="1:6">
      <c r="A511" t="s">
        <v>478</v>
      </c>
      <c r="B511" t="s">
        <v>479</v>
      </c>
      <c r="C511" t="s">
        <v>827</v>
      </c>
      <c r="D511" t="str">
        <f xml:space="preserve"> IF($B511="", "", _xlfn.XLOOKUP(RIGHT($B511), 聲母對照表[十五音], 聲母對照表[台語音標], "N/A"))</f>
        <v>k</v>
      </c>
      <c r="E511" t="str">
        <f xml:space="preserve"> IF($B511="", "", _xlfn.XLOOKUP(LEFT($B511), 韻母對照表[十五音], 韻母對照表[台語音標], "N/A"))</f>
        <v>uan</v>
      </c>
      <c r="F511">
        <f xml:space="preserve"> IF($B511="", "", _xlfn.XLOOKUP(MID($B511,2,1), 聲調對照表[十五音調號], 聲調對照表[傳統八聲調], "N/A"))</f>
        <v>1</v>
      </c>
    </row>
    <row r="512" spans="1:6">
      <c r="A512" t="s">
        <v>25</v>
      </c>
      <c r="B512" t="s">
        <v>26</v>
      </c>
      <c r="C512" t="s">
        <v>584</v>
      </c>
      <c r="D512" t="str">
        <f xml:space="preserve"> IF($B512="", "", _xlfn.XLOOKUP(RIGHT($B512), 聲母對照表[十五音], 聲母對照表[台語音標], "N/A"))</f>
        <v>z</v>
      </c>
      <c r="E512" t="str">
        <f xml:space="preserve"> IF($B512="", "", _xlfn.XLOOKUP(LEFT($B512), 韻母對照表[十五音], 韻母對照表[台語音標], "N/A"))</f>
        <v>i</v>
      </c>
      <c r="F512">
        <f xml:space="preserve"> IF($B512="", "", _xlfn.XLOOKUP(MID($B512,2,1), 聲調對照表[十五音調號], 聲調對照表[傳統八聲調], "N/A"))</f>
        <v>1</v>
      </c>
    </row>
    <row r="513" spans="1:6">
      <c r="A513" t="s">
        <v>29</v>
      </c>
      <c r="D513" t="str">
        <f xml:space="preserve"> IF($B513="", "", _xlfn.XLOOKUP(RIGHT($B513), 聲母對照表[十五音], 聲母對照表[台語音標], "N/A"))</f>
        <v/>
      </c>
      <c r="E513" t="str">
        <f xml:space="preserve"> IF($B513="", "", _xlfn.XLOOKUP(LEFT($B513), 韻母對照表[十五音], 韻母對照表[台語音標], "N/A"))</f>
        <v/>
      </c>
      <c r="F513" t="str">
        <f xml:space="preserve"> IF($B513="", "", _xlfn.XLOOKUP(MID($B513,2,1), 聲調對照表[十五音調號], 聲調對照表[傳統八聲調], "N/A"))</f>
        <v/>
      </c>
    </row>
    <row r="514" spans="1:6">
      <c r="A514" t="s">
        <v>480</v>
      </c>
      <c r="B514" t="s">
        <v>481</v>
      </c>
      <c r="C514" t="s">
        <v>828</v>
      </c>
      <c r="D514" t="str">
        <f xml:space="preserve"> IF($B514="", "", _xlfn.XLOOKUP(RIGHT($B514), 聲母對照表[十五音], 聲母對照表[台語音標], "N/A"))</f>
        <v>z</v>
      </c>
      <c r="E514" t="str">
        <f xml:space="preserve"> IF($B514="", "", _xlfn.XLOOKUP(LEFT($B514), 韻母對照表[十五音], 韻母對照表[台語音標], "N/A"))</f>
        <v>ik</v>
      </c>
      <c r="F514">
        <f xml:space="preserve"> IF($B514="", "", _xlfn.XLOOKUP(MID($B514,2,1), 聲調對照表[十五音調號], 聲調對照表[傳統八聲調], "N/A"))</f>
        <v>4</v>
      </c>
    </row>
    <row r="515" spans="1:6">
      <c r="A515" t="s">
        <v>124</v>
      </c>
      <c r="B515" t="s">
        <v>125</v>
      </c>
      <c r="C515" t="s">
        <v>659</v>
      </c>
      <c r="D515" t="str">
        <f xml:space="preserve"> IF($B515="", "", _xlfn.XLOOKUP(RIGHT($B515), 聲母對照表[十五音], 聲母對照表[台語音標], "N/A"))</f>
        <v>th</v>
      </c>
      <c r="E515" t="str">
        <f xml:space="preserve"> IF($B515="", "", _xlfn.XLOOKUP(LEFT($B515), 韻母對照表[十五音], 韻母對照表[台語音標], "N/A"))</f>
        <v>ian</v>
      </c>
      <c r="F515">
        <f xml:space="preserve"> IF($B515="", "", _xlfn.XLOOKUP(MID($B515,2,1), 聲調對照表[十五音調號], 聲調對照表[傳統八聲調], "N/A"))</f>
        <v>1</v>
      </c>
    </row>
    <row r="516" spans="1:6">
      <c r="A516" t="s">
        <v>412</v>
      </c>
      <c r="B516" t="s">
        <v>482</v>
      </c>
      <c r="C516" t="s">
        <v>829</v>
      </c>
      <c r="D516" t="str">
        <f xml:space="preserve"> IF($B516="", "", _xlfn.XLOOKUP(RIGHT($B516), 聲母對照表[十五音], 聲母對照表[台語音標], "N/A"))</f>
        <v>t</v>
      </c>
      <c r="E516" t="str">
        <f xml:space="preserve"> IF($B516="", "", _xlfn.XLOOKUP(LEFT($B516), 韻母對照表[十五音], 韻母對照表[台語音標], "N/A"))</f>
        <v>ei</v>
      </c>
      <c r="F516">
        <f xml:space="preserve"> IF($B516="", "", _xlfn.XLOOKUP(MID($B516,2,1), 聲調對照表[十五音調號], 聲調對照表[傳統八聲調], "N/A"))</f>
        <v>7</v>
      </c>
    </row>
    <row r="517" spans="1:6">
      <c r="A517" t="s">
        <v>483</v>
      </c>
      <c r="B517" t="s">
        <v>358</v>
      </c>
      <c r="C517" t="s">
        <v>775</v>
      </c>
      <c r="D517" t="str">
        <f xml:space="preserve"> IF($B517="", "", _xlfn.XLOOKUP(RIGHT($B517), 聲母對照表[十五音], 聲母對照表[台語音標], "N/A"))</f>
        <v>z</v>
      </c>
      <c r="E517" t="str">
        <f xml:space="preserve"> IF($B517="", "", _xlfn.XLOOKUP(LEFT($B517), 韻母對照表[十五音], 韻母對照表[台語音標], "N/A"))</f>
        <v>ik</v>
      </c>
      <c r="F517">
        <f xml:space="preserve"> IF($B517="", "", _xlfn.XLOOKUP(MID($B517,2,1), 聲調對照表[十五音調號], 聲調對照表[傳統八聲調], "N/A"))</f>
        <v>1</v>
      </c>
    </row>
    <row r="518" spans="1:6">
      <c r="A518" t="s">
        <v>67</v>
      </c>
      <c r="B518" t="s">
        <v>68</v>
      </c>
      <c r="C518" t="s">
        <v>622</v>
      </c>
      <c r="D518" t="str">
        <f xml:space="preserve"> IF($B518="", "", _xlfn.XLOOKUP(RIGHT($B518), 聲母對照表[十五音], 聲母對照表[台語音標], "N/A"))</f>
        <v>p</v>
      </c>
      <c r="E518" t="str">
        <f xml:space="preserve"> IF($B518="", "", _xlfn.XLOOKUP(LEFT($B518), 韻母對照表[十五音], 韻母對照表[台語音標], "N/A"))</f>
        <v>un</v>
      </c>
      <c r="F518">
        <f xml:space="preserve"> IF($B518="", "", _xlfn.XLOOKUP(MID($B518,2,1), 聲調對照表[十五音調號], 聲調對照表[傳統八聲調], "N/A"))</f>
        <v>4</v>
      </c>
    </row>
    <row r="519" spans="1:6">
      <c r="A519" t="s">
        <v>484</v>
      </c>
      <c r="B519" t="s">
        <v>137</v>
      </c>
      <c r="C519" t="s">
        <v>665</v>
      </c>
      <c r="D519" t="str">
        <f xml:space="preserve"> IF($B519="", "", _xlfn.XLOOKUP(RIGHT($B519), 聲母對照表[十五音], 聲母對照表[台語音標], "N/A"))</f>
        <v>l</v>
      </c>
      <c r="E519" t="str">
        <f xml:space="preserve"> IF($B519="", "", _xlfn.XLOOKUP(LEFT($B519), 韻母對照表[十五音], 韻母對照表[台語音標], "N/A"))</f>
        <v>ik</v>
      </c>
      <c r="F519">
        <f xml:space="preserve"> IF($B519="", "", _xlfn.XLOOKUP(MID($B519,2,1), 聲調對照表[十五音調號], 聲調對照表[傳統八聲調], "N/A"))</f>
        <v>5</v>
      </c>
    </row>
    <row r="520" spans="1:6">
      <c r="A520" t="s">
        <v>407</v>
      </c>
      <c r="B520" t="s">
        <v>240</v>
      </c>
      <c r="C520" t="s">
        <v>983</v>
      </c>
      <c r="D520" t="str">
        <f xml:space="preserve"> IF($B520="", "", _xlfn.XLOOKUP(RIGHT($B520), 聲母對照表[十五音], 聲母對照表[台語音標], "N/A"))</f>
        <v>Ø</v>
      </c>
      <c r="E520" t="str">
        <f xml:space="preserve"> IF($B520="", "", _xlfn.XLOOKUP(LEFT($B520), 韻母對照表[十五音], 韻母對照表[台語音標], "N/A"))</f>
        <v>i</v>
      </c>
      <c r="F520">
        <f xml:space="preserve"> IF($B520="", "", _xlfn.XLOOKUP(MID($B520,2,1), 聲調對照表[十五音調號], 聲調對照表[傳統八聲調], "N/A"))</f>
        <v>2</v>
      </c>
    </row>
    <row r="521" spans="1:6">
      <c r="A521" t="s">
        <v>128</v>
      </c>
      <c r="B521" t="s">
        <v>129</v>
      </c>
      <c r="C521" t="s">
        <v>966</v>
      </c>
      <c r="D521" t="str">
        <f xml:space="preserve"> IF($B521="", "", _xlfn.XLOOKUP(RIGHT($B521), 聲母對照表[十五音], 聲母對照表[台語音標], "N/A"))</f>
        <v>Ø</v>
      </c>
      <c r="E521" t="str">
        <f xml:space="preserve"> IF($B521="", "", _xlfn.XLOOKUP(LEFT($B521), 韻母對照表[十五音], 韻母對照表[台語音標], "N/A"))</f>
        <v>in</v>
      </c>
      <c r="F521">
        <f xml:space="preserve"> IF($B521="", "", _xlfn.XLOOKUP(MID($B521,2,1), 聲調對照表[十五音調號], 聲調對照表[傳統八聲調], "N/A"))</f>
        <v>4</v>
      </c>
    </row>
    <row r="522" spans="1:6">
      <c r="A522" t="s">
        <v>485</v>
      </c>
      <c r="B522" t="s">
        <v>486</v>
      </c>
      <c r="C522" t="s">
        <v>830</v>
      </c>
      <c r="D522" t="str">
        <f xml:space="preserve"> IF($B522="", "", _xlfn.XLOOKUP(RIGHT($B522), 聲母對照表[十五音], 聲母對照表[台語音標], "N/A"))</f>
        <v>s</v>
      </c>
      <c r="E522" t="str">
        <f xml:space="preserve"> IF($B522="", "", _xlfn.XLOOKUP(LEFT($B522), 韻母對照表[十五音], 韻母對照表[台語音標], "N/A"))</f>
        <v>un</v>
      </c>
      <c r="F522">
        <f xml:space="preserve"> IF($B522="", "", _xlfn.XLOOKUP(MID($B522,2,1), 聲調對照表[十五音調號], 聲調對照表[傳統八聲調], "N/A"))</f>
        <v>3</v>
      </c>
    </row>
    <row r="523" spans="1:6">
      <c r="A523" t="s">
        <v>126</v>
      </c>
      <c r="D523" t="str">
        <f xml:space="preserve"> IF($B523="", "", _xlfn.XLOOKUP(RIGHT($B523), 聲母對照表[十五音], 聲母對照表[台語音標], "N/A"))</f>
        <v/>
      </c>
      <c r="E523" t="str">
        <f xml:space="preserve"> IF($B523="", "", _xlfn.XLOOKUP(LEFT($B523), 韻母對照表[十五音], 韻母對照表[台語音標], "N/A"))</f>
        <v/>
      </c>
      <c r="F523" t="str">
        <f xml:space="preserve"> IF($B523="", "", _xlfn.XLOOKUP(MID($B523,2,1), 聲調對照表[十五音調號], 聲調對照表[傳統八聲調], "N/A"))</f>
        <v/>
      </c>
    </row>
    <row r="524" spans="1:6">
      <c r="A524" t="s">
        <v>474</v>
      </c>
      <c r="B524" t="s">
        <v>475</v>
      </c>
      <c r="C524" t="s">
        <v>825</v>
      </c>
      <c r="D524" t="str">
        <f xml:space="preserve"> IF($B524="", "", _xlfn.XLOOKUP(RIGHT($B524), 聲母對照表[十五音], 聲母對照表[台語音標], "N/A"))</f>
        <v>z</v>
      </c>
      <c r="E524" t="str">
        <f xml:space="preserve"> IF($B524="", "", _xlfn.XLOOKUP(LEFT($B524), 韻母對照表[十五音], 韻母對照表[台語音標], "N/A"))</f>
        <v>u</v>
      </c>
      <c r="F524">
        <f xml:space="preserve"> IF($B524="", "", _xlfn.XLOOKUP(MID($B524,2,1), 聲調對照表[十五音調號], 聲調對照表[傳統八聲調], "N/A"))</f>
        <v>7</v>
      </c>
    </row>
    <row r="525" spans="1:6">
      <c r="A525" t="s">
        <v>160</v>
      </c>
      <c r="B525" t="s">
        <v>161</v>
      </c>
      <c r="C525" t="s">
        <v>676</v>
      </c>
      <c r="D525" t="str">
        <f xml:space="preserve"> IF($B525="", "", _xlfn.XLOOKUP(RIGHT($B525), 聲母對照表[十五音], 聲母對照表[台語音標], "N/A"))</f>
        <v>k</v>
      </c>
      <c r="E525" t="str">
        <f xml:space="preserve"> IF($B525="", "", _xlfn.XLOOKUP(LEFT($B525), 韻母對照表[十五音], 韻母對照表[台語音標], "N/A"))</f>
        <v>i</v>
      </c>
      <c r="F525">
        <f xml:space="preserve"> IF($B525="", "", _xlfn.XLOOKUP(MID($B525,2,1), 聲調對照表[十五音調號], 聲調對照表[傳統八聲調], "N/A"))</f>
        <v>5</v>
      </c>
    </row>
    <row r="526" spans="1:6">
      <c r="A526" t="s">
        <v>67</v>
      </c>
      <c r="B526" t="s">
        <v>68</v>
      </c>
      <c r="C526" t="s">
        <v>622</v>
      </c>
      <c r="D526" t="str">
        <f xml:space="preserve"> IF($B526="", "", _xlfn.XLOOKUP(RIGHT($B526), 聲母對照表[十五音], 聲母對照表[台語音標], "N/A"))</f>
        <v>p</v>
      </c>
      <c r="E526" t="str">
        <f xml:space="preserve"> IF($B526="", "", _xlfn.XLOOKUP(LEFT($B526), 韻母對照表[十五音], 韻母對照表[台語音標], "N/A"))</f>
        <v>un</v>
      </c>
      <c r="F526">
        <f xml:space="preserve"> IF($B526="", "", _xlfn.XLOOKUP(MID($B526,2,1), 聲調對照表[十五音調號], 聲調對照表[傳統八聲調], "N/A"))</f>
        <v>4</v>
      </c>
    </row>
    <row r="527" spans="1:6">
      <c r="A527" t="s">
        <v>476</v>
      </c>
      <c r="B527" s="51" t="s">
        <v>1826</v>
      </c>
      <c r="C527" s="51" t="s">
        <v>1827</v>
      </c>
      <c r="D527" t="str">
        <f xml:space="preserve"> IF($B527="", "", _xlfn.XLOOKUP(RIGHT($B527), 聲母對照表[十五音], 聲母對照表[台語音標], "N/A"))</f>
        <v>p</v>
      </c>
      <c r="E527" t="str">
        <f xml:space="preserve"> IF($B527="", "", _xlfn.XLOOKUP(LEFT($B527), 韻母對照表[十五音], 韻母對照表[台語音標], "N/A"))</f>
        <v>ian</v>
      </c>
      <c r="F527">
        <f xml:space="preserve"> IF($B527="", "", _xlfn.XLOOKUP(MID($B527,2,1), 聲調對照表[十五音調號], 聲調對照表[傳統八聲調], "N/A"))</f>
        <v>3</v>
      </c>
    </row>
    <row r="528" spans="1:6">
      <c r="A528" t="s">
        <v>237</v>
      </c>
      <c r="B528" t="s">
        <v>238</v>
      </c>
      <c r="C528" t="s">
        <v>718</v>
      </c>
      <c r="D528" t="str">
        <f xml:space="preserve"> IF($B528="", "", _xlfn.XLOOKUP(RIGHT($B528), 聲母對照表[十五音], 聲母對照表[台語音標], "N/A"))</f>
        <v>z</v>
      </c>
      <c r="E528" t="str">
        <f xml:space="preserve"> IF($B528="", "", _xlfn.XLOOKUP(LEFT($B528), 韻母對照表[十五音], 韻母對照表[台語音標], "N/A"))</f>
        <v>ia</v>
      </c>
      <c r="F528">
        <f xml:space="preserve"> IF($B528="", "", _xlfn.XLOOKUP(MID($B528,2,1), 聲調對照表[十五音調號], 聲調對照表[傳統八聲調], "N/A"))</f>
        <v>2</v>
      </c>
    </row>
    <row r="529" spans="1:6">
      <c r="A529" t="s">
        <v>157</v>
      </c>
      <c r="B529" t="s">
        <v>150</v>
      </c>
      <c r="C529" t="s">
        <v>664</v>
      </c>
      <c r="D529" t="str">
        <f xml:space="preserve"> IF($B529="", "", _xlfn.XLOOKUP(RIGHT($B529), 聲母對照表[十五音], 聲母對照表[台語音標], "N/A"))</f>
        <v>j</v>
      </c>
      <c r="E529" t="str">
        <f xml:space="preserve"> IF($B529="", "", _xlfn.XLOOKUP(LEFT($B529), 韻母對照表[十五音], 韻母對照表[台語音標], "N/A"))</f>
        <v>i</v>
      </c>
      <c r="F529">
        <f xml:space="preserve"> IF($B529="", "", _xlfn.XLOOKUP(MID($B529,2,1), 聲調對照表[十五音調號], 聲調對照表[傳統八聲調], "N/A"))</f>
        <v>5</v>
      </c>
    </row>
    <row r="530" spans="1:6">
      <c r="A530" t="s">
        <v>478</v>
      </c>
      <c r="B530" t="s">
        <v>479</v>
      </c>
      <c r="C530" t="s">
        <v>827</v>
      </c>
      <c r="D530" t="str">
        <f xml:space="preserve"> IF($B530="", "", _xlfn.XLOOKUP(RIGHT($B530), 聲母對照表[十五音], 聲母對照表[台語音標], "N/A"))</f>
        <v>k</v>
      </c>
      <c r="E530" t="str">
        <f xml:space="preserve"> IF($B530="", "", _xlfn.XLOOKUP(LEFT($B530), 韻母對照表[十五音], 韻母對照表[台語音標], "N/A"))</f>
        <v>uan</v>
      </c>
      <c r="F530">
        <f xml:space="preserve"> IF($B530="", "", _xlfn.XLOOKUP(MID($B530,2,1), 聲調對照表[十五音調號], 聲調對照表[傳統八聲調], "N/A"))</f>
        <v>1</v>
      </c>
    </row>
    <row r="531" spans="1:6">
      <c r="A531" t="s">
        <v>25</v>
      </c>
      <c r="B531" t="s">
        <v>26</v>
      </c>
      <c r="C531" t="s">
        <v>584</v>
      </c>
      <c r="D531" t="str">
        <f xml:space="preserve"> IF($B531="", "", _xlfn.XLOOKUP(RIGHT($B531), 聲母對照表[十五音], 聲母對照表[台語音標], "N/A"))</f>
        <v>z</v>
      </c>
      <c r="E531" t="str">
        <f xml:space="preserve"> IF($B531="", "", _xlfn.XLOOKUP(LEFT($B531), 韻母對照表[十五音], 韻母對照表[台語音標], "N/A"))</f>
        <v>i</v>
      </c>
      <c r="F531">
        <f xml:space="preserve"> IF($B531="", "", _xlfn.XLOOKUP(MID($B531,2,1), 聲調對照表[十五音調號], 聲調對照表[傳統八聲調], "N/A"))</f>
        <v>1</v>
      </c>
    </row>
    <row r="532" spans="1:6">
      <c r="A532" t="s">
        <v>29</v>
      </c>
      <c r="D532" t="str">
        <f xml:space="preserve"> IF($B532="", "", _xlfn.XLOOKUP(RIGHT($B532), 聲母對照表[十五音], 聲母對照表[台語音標], "N/A"))</f>
        <v/>
      </c>
      <c r="E532" t="str">
        <f xml:space="preserve"> IF($B532="", "", _xlfn.XLOOKUP(LEFT($B532), 韻母對照表[十五音], 韻母對照表[台語音標], "N/A"))</f>
        <v/>
      </c>
      <c r="F532" t="str">
        <f xml:space="preserve"> IF($B532="", "", _xlfn.XLOOKUP(MID($B532,2,1), 聲調對照表[十五音調號], 聲調對照表[傳統八聲調], "N/A"))</f>
        <v/>
      </c>
    </row>
    <row r="533" spans="1:6">
      <c r="A533" t="s">
        <v>480</v>
      </c>
      <c r="B533" t="s">
        <v>481</v>
      </c>
      <c r="C533" t="s">
        <v>828</v>
      </c>
      <c r="D533" t="str">
        <f xml:space="preserve"> IF($B533="", "", _xlfn.XLOOKUP(RIGHT($B533), 聲母對照表[十五音], 聲母對照表[台語音標], "N/A"))</f>
        <v>z</v>
      </c>
      <c r="E533" t="str">
        <f xml:space="preserve"> IF($B533="", "", _xlfn.XLOOKUP(LEFT($B533), 韻母對照表[十五音], 韻母對照表[台語音標], "N/A"))</f>
        <v>ik</v>
      </c>
      <c r="F533">
        <f xml:space="preserve"> IF($B533="", "", _xlfn.XLOOKUP(MID($B533,2,1), 聲調對照表[十五音調號], 聲調對照表[傳統八聲調], "N/A"))</f>
        <v>4</v>
      </c>
    </row>
    <row r="534" spans="1:6">
      <c r="A534" t="s">
        <v>488</v>
      </c>
      <c r="B534" t="s">
        <v>489</v>
      </c>
      <c r="C534" t="s">
        <v>832</v>
      </c>
      <c r="D534" t="str">
        <f xml:space="preserve"> IF($B534="", "", _xlfn.XLOOKUP(RIGHT($B534), 聲母對照表[十五音], 聲母對照表[台語音標], "N/A"))</f>
        <v>b</v>
      </c>
      <c r="E534" t="str">
        <f xml:space="preserve"> IF($B534="", "", _xlfn.XLOOKUP(LEFT($B534), 韻母對照表[十五音], 韻母對照表[台語音標], "N/A"))</f>
        <v>un</v>
      </c>
      <c r="F534">
        <f xml:space="preserve"> IF($B534="", "", _xlfn.XLOOKUP(MID($B534,2,1), 聲調對照表[十五音調號], 聲調對照表[傳統八聲調], "N/A"))</f>
        <v>8</v>
      </c>
    </row>
    <row r="535" spans="1:6">
      <c r="A535" t="s">
        <v>40</v>
      </c>
      <c r="B535" t="s">
        <v>41</v>
      </c>
      <c r="C535" t="s">
        <v>946</v>
      </c>
      <c r="D535" t="str">
        <f xml:space="preserve"> IF($B535="", "", _xlfn.XLOOKUP(RIGHT($B535), 聲母對照表[十五音], 聲母對照表[台語音標], "N/A"))</f>
        <v>Ø</v>
      </c>
      <c r="E535" t="str">
        <f xml:space="preserve"> IF($B535="", "", _xlfn.XLOOKUP(LEFT($B535), 韻母對照表[十五音], 韻母對照表[台語音標], "N/A"))</f>
        <v>u</v>
      </c>
      <c r="F535">
        <f xml:space="preserve"> IF($B535="", "", _xlfn.XLOOKUP(MID($B535,2,1), 聲調對照表[十五音調號], 聲調對照表[傳統八聲調], "N/A"))</f>
        <v>2</v>
      </c>
    </row>
    <row r="536" spans="1:6">
      <c r="A536" t="s">
        <v>490</v>
      </c>
      <c r="B536" s="51" t="s">
        <v>491</v>
      </c>
      <c r="C536" s="51" t="s">
        <v>1005</v>
      </c>
      <c r="D536" t="str">
        <f xml:space="preserve"> IF($B536="", "", _xlfn.XLOOKUP(RIGHT($B536), 聲母對照表[十五音], 聲母對照表[台語音標], "N/A"))</f>
        <v>g</v>
      </c>
      <c r="E536" t="str">
        <f xml:space="preserve"> IF($B536="", "", _xlfn.XLOOKUP(LEFT($B536), 韻母對照表[十五音], 韻母對照表[台語音標], "N/A"))</f>
        <v>ohnn</v>
      </c>
      <c r="F536">
        <f xml:space="preserve"> IF($B536="", "", _xlfn.XLOOKUP(MID($B536,2,1), 聲調對照表[十五音調號], 聲調對照表[傳統八聲調], "N/A"))</f>
        <v>2</v>
      </c>
    </row>
    <row r="537" spans="1:6">
      <c r="A537" t="s">
        <v>492</v>
      </c>
      <c r="B537" t="s">
        <v>493</v>
      </c>
      <c r="C537" t="s">
        <v>835</v>
      </c>
      <c r="D537" t="str">
        <f xml:space="preserve"> IF($B537="", "", _xlfn.XLOOKUP(RIGHT($B537), 聲母對照表[十五音], 聲母對照表[台語音標], "N/A"))</f>
        <v>k</v>
      </c>
      <c r="E537" t="str">
        <f xml:space="preserve"> IF($B537="", "", _xlfn.XLOOKUP(LEFT($B537), 韻母對照表[十五音], 韻母對照表[台語音標], "N/A"))</f>
        <v>ai</v>
      </c>
      <c r="F537">
        <f xml:space="preserve"> IF($B537="", "", _xlfn.XLOOKUP(MID($B537,2,1), 聲調對照表[十五音調號], 聲調對照表[傳統八聲調], "N/A"))</f>
        <v>1</v>
      </c>
    </row>
    <row r="538" spans="1:6">
      <c r="A538" t="s">
        <v>428</v>
      </c>
      <c r="B538" t="s">
        <v>429</v>
      </c>
      <c r="C538" t="s">
        <v>804</v>
      </c>
      <c r="D538" t="str">
        <f xml:space="preserve"> IF($B538="", "", _xlfn.XLOOKUP(RIGHT($B538), 聲母對照表[十五音], 聲母對照表[台語音標], "N/A"))</f>
        <v>b</v>
      </c>
      <c r="E538" t="str">
        <f xml:space="preserve"> IF($B538="", "", _xlfn.XLOOKUP(LEFT($B538), 韻母對照表[十五音], 韻母對照表[台語音標], "N/A"))</f>
        <v>u</v>
      </c>
      <c r="F538">
        <f xml:space="preserve"> IF($B538="", "", _xlfn.XLOOKUP(MID($B538,2,1), 聲調對照表[十五音調號], 聲調對照表[傳統八聲調], "N/A"))</f>
        <v>5</v>
      </c>
    </row>
    <row r="539" spans="1:6">
      <c r="A539" t="s">
        <v>494</v>
      </c>
      <c r="B539" t="s">
        <v>495</v>
      </c>
      <c r="C539" t="s">
        <v>836</v>
      </c>
      <c r="D539" t="str">
        <f xml:space="preserve"> IF($B539="", "", _xlfn.XLOOKUP(RIGHT($B539), 聲母對照表[十五音], 聲母對照表[台語音標], "N/A"))</f>
        <v>z</v>
      </c>
      <c r="E539" t="str">
        <f xml:space="preserve"> IF($B539="", "", _xlfn.XLOOKUP(LEFT($B539), 韻母對照表[十五音], 韻母對照表[台語音標], "N/A"))</f>
        <v>in</v>
      </c>
      <c r="F539">
        <f xml:space="preserve"> IF($B539="", "", _xlfn.XLOOKUP(MID($B539,2,1), 聲調對照表[十五音調號], 聲調對照表[傳統八聲調], "N/A"))</f>
        <v>2</v>
      </c>
    </row>
    <row r="540" spans="1:6">
      <c r="A540" t="s">
        <v>294</v>
      </c>
      <c r="B540" t="s">
        <v>295</v>
      </c>
      <c r="C540" t="s">
        <v>990</v>
      </c>
      <c r="D540" t="str">
        <f xml:space="preserve"> IF($B540="", "", _xlfn.XLOOKUP(RIGHT($B540), 聲母對照表[十五音], 聲母對照表[台語音標], "N/A"))</f>
        <v>Ø</v>
      </c>
      <c r="E540" t="str">
        <f xml:space="preserve"> IF($B540="", "", _xlfn.XLOOKUP(LEFT($B540), 韻母對照表[十五音], 韻母對照表[台語音標], "N/A"))</f>
        <v>ia</v>
      </c>
      <c r="F540">
        <f xml:space="preserve"> IF($B540="", "", _xlfn.XLOOKUP(MID($B540,2,1), 聲調對照表[十五音調號], 聲調對照表[傳統八聲調], "N/A"))</f>
        <v>2</v>
      </c>
    </row>
    <row r="541" spans="1:6">
      <c r="A541" t="s">
        <v>29</v>
      </c>
      <c r="D541" t="str">
        <f xml:space="preserve"> IF($B541="", "", _xlfn.XLOOKUP(RIGHT($B541), 聲母對照表[十五音], 聲母對照表[台語音標], "N/A"))</f>
        <v/>
      </c>
      <c r="E541" t="str">
        <f xml:space="preserve"> IF($B541="", "", _xlfn.XLOOKUP(LEFT($B541), 韻母對照表[十五音], 韻母對照表[台語音標], "N/A"))</f>
        <v/>
      </c>
      <c r="F541" t="str">
        <f xml:space="preserve"> IF($B541="", "", _xlfn.XLOOKUP(MID($B541,2,1), 聲調對照表[十五音調號], 聲調對照表[傳統八聲調], "N/A"))</f>
        <v/>
      </c>
    </row>
    <row r="542" spans="1:6">
      <c r="A542" t="s">
        <v>157</v>
      </c>
      <c r="B542" t="s">
        <v>150</v>
      </c>
      <c r="C542" t="s">
        <v>664</v>
      </c>
      <c r="D542" t="str">
        <f xml:space="preserve"> IF($B542="", "", _xlfn.XLOOKUP(RIGHT($B542), 聲母對照表[十五音], 聲母對照表[台語音標], "N/A"))</f>
        <v>j</v>
      </c>
      <c r="E542" t="str">
        <f xml:space="preserve"> IF($B542="", "", _xlfn.XLOOKUP(LEFT($B542), 韻母對照表[十五音], 韻母對照表[台語音標], "N/A"))</f>
        <v>i</v>
      </c>
      <c r="F542">
        <f xml:space="preserve"> IF($B542="", "", _xlfn.XLOOKUP(MID($B542,2,1), 聲調對照表[十五音調號], 聲調對照表[傳統八聲調], "N/A"))</f>
        <v>5</v>
      </c>
    </row>
    <row r="543" spans="1:6">
      <c r="A543" t="s">
        <v>496</v>
      </c>
      <c r="B543" t="s">
        <v>497</v>
      </c>
      <c r="C543" t="s">
        <v>1007</v>
      </c>
      <c r="D543" t="str">
        <f xml:space="preserve"> IF($B543="", "", _xlfn.XLOOKUP(RIGHT($B543), 聲母對照表[十五音], 聲母對照表[台語音標], "N/A"))</f>
        <v>Ø</v>
      </c>
      <c r="E543" t="str">
        <f xml:space="preserve"> IF($B543="", "", _xlfn.XLOOKUP(LEFT($B543), 韻母對照表[十五音], 韻母對照表[台語音標], "N/A"))</f>
        <v>iu</v>
      </c>
      <c r="F543">
        <f xml:space="preserve"> IF($B543="", "", _xlfn.XLOOKUP(MID($B543,2,1), 聲調對照表[十五音調號], 聲調對照表[傳統八聲調], "N/A"))</f>
        <v>7</v>
      </c>
    </row>
    <row r="544" spans="1:6">
      <c r="A544" t="s">
        <v>291</v>
      </c>
      <c r="B544" t="s">
        <v>242</v>
      </c>
      <c r="C544" t="s">
        <v>721</v>
      </c>
      <c r="D544" t="str">
        <f xml:space="preserve"> IF($B544="", "", _xlfn.XLOOKUP(RIGHT($B544), 聲母對照表[十五音], 聲母對照表[台語音標], "N/A"))</f>
        <v>h</v>
      </c>
      <c r="E544" t="str">
        <f xml:space="preserve"> IF($B544="", "", _xlfn.XLOOKUP(LEFT($B544), 韻母對照表[十五音], 韻母對照表[台語音標], "N/A"))</f>
        <v>o</v>
      </c>
      <c r="F544">
        <f xml:space="preserve"> IF($B544="", "", _xlfn.XLOOKUP(MID($B544,2,1), 聲調對照表[十五音調號], 聲調對照表[傳統八聲調], "N/A"))</f>
        <v>5</v>
      </c>
    </row>
    <row r="545" spans="1:6">
      <c r="A545" t="s">
        <v>424</v>
      </c>
      <c r="B545" t="s">
        <v>425</v>
      </c>
      <c r="C545" t="s">
        <v>802</v>
      </c>
      <c r="D545" t="str">
        <f xml:space="preserve"> IF($B545="", "", _xlfn.XLOOKUP(RIGHT($B545), 聲母對照表[十五音], 聲母對照表[台語音標], "N/A"))</f>
        <v>s</v>
      </c>
      <c r="E545" t="str">
        <f xml:space="preserve"> IF($B545="", "", _xlfn.XLOOKUP(LEFT($B545), 韻母對照表[十五音], 韻母對照表[台語音標], "N/A"))</f>
        <v>ian</v>
      </c>
      <c r="F545">
        <f xml:space="preserve"> IF($B545="", "", _xlfn.XLOOKUP(MID($B545,2,1), 聲調對照表[十五音調號], 聲調對照表[傳統八聲調], "N/A"))</f>
        <v>7</v>
      </c>
    </row>
    <row r="546" spans="1:6">
      <c r="A546" t="s">
        <v>148</v>
      </c>
      <c r="B546" t="s">
        <v>149</v>
      </c>
      <c r="C546" t="s">
        <v>671</v>
      </c>
      <c r="D546" t="str">
        <f xml:space="preserve"> IF($B546="", "", _xlfn.XLOOKUP(RIGHT($B546), 聲母對照表[十五音], 聲母對照表[台語音標], "N/A"))</f>
        <v>h</v>
      </c>
      <c r="E546" t="str">
        <f xml:space="preserve"> IF($B546="", "", _xlfn.XLOOKUP(LEFT($B546), 韻母對照表[十五音], 韻母對照表[台語音標], "N/A"))</f>
        <v>oo</v>
      </c>
      <c r="F546">
        <f xml:space="preserve"> IF($B546="", "", _xlfn.XLOOKUP(MID($B546,2,1), 聲調對照表[十五音調號], 聲調對照表[傳統八聲調], "N/A"))</f>
        <v>5</v>
      </c>
    </row>
    <row r="547" spans="1:6">
      <c r="A547" t="s">
        <v>296</v>
      </c>
      <c r="D547" t="str">
        <f xml:space="preserve"> IF($B547="", "", _xlfn.XLOOKUP(RIGHT($B547), 聲母對照表[十五音], 聲母對照表[台語音標], "N/A"))</f>
        <v/>
      </c>
      <c r="E547" t="str">
        <f xml:space="preserve"> IF($B547="", "", _xlfn.XLOOKUP(LEFT($B547), 韻母對照表[十五音], 韻母對照表[台語音標], "N/A"))</f>
        <v/>
      </c>
      <c r="F547" t="str">
        <f xml:space="preserve"> IF($B547="", "", _xlfn.XLOOKUP(MID($B547,2,1), 聲調對照表[十五音調號], 聲調對照表[傳統八聲調], "N/A"))</f>
        <v/>
      </c>
    </row>
    <row r="548" spans="1:6">
      <c r="A548" t="s">
        <v>498</v>
      </c>
      <c r="B548" t="s">
        <v>499</v>
      </c>
      <c r="C548" t="s">
        <v>838</v>
      </c>
      <c r="D548" t="str">
        <f xml:space="preserve"> IF($B548="", "", _xlfn.XLOOKUP(RIGHT($B548), 聲母對照表[十五音], 聲母對照表[台語音標], "N/A"))</f>
        <v>c</v>
      </c>
      <c r="E548" t="str">
        <f xml:space="preserve"> IF($B548="", "", _xlfn.XLOOKUP(LEFT($B548), 韻母對照表[十五音], 韻母對照表[台語音標], "N/A"))</f>
        <v>iann</v>
      </c>
      <c r="F548">
        <f xml:space="preserve"> IF($B548="", "", _xlfn.XLOOKUP(MID($B548,2,1), 聲調對照表[十五音調號], 聲調對照表[傳統八聲調], "N/A"))</f>
        <v>2</v>
      </c>
    </row>
    <row r="549" spans="1:6">
      <c r="A549" t="s">
        <v>452</v>
      </c>
      <c r="B549" t="s">
        <v>410</v>
      </c>
      <c r="C549" t="s">
        <v>797</v>
      </c>
      <c r="D549" t="str">
        <f xml:space="preserve"> IF($B549="", "", _xlfn.XLOOKUP(RIGHT($B549), 聲母對照表[十五音], 聲母對照表[台語音標], "N/A"))</f>
        <v>h</v>
      </c>
      <c r="E549" t="str">
        <f xml:space="preserve"> IF($B549="", "", _xlfn.XLOOKUP(LEFT($B549), 韻母對照表[十五音], 韻母對照表[台語音標], "N/A"))</f>
        <v>u</v>
      </c>
      <c r="F549">
        <f xml:space="preserve"> IF($B549="", "", _xlfn.XLOOKUP(MID($B549,2,1), 聲調對照表[十五音調號], 聲調對照表[傳統八聲調], "N/A"))</f>
        <v>5</v>
      </c>
    </row>
    <row r="550" spans="1:6">
      <c r="A550" t="s">
        <v>124</v>
      </c>
      <c r="B550" t="s">
        <v>125</v>
      </c>
      <c r="C550" t="s">
        <v>659</v>
      </c>
      <c r="D550" t="str">
        <f xml:space="preserve"> IF($B550="", "", _xlfn.XLOOKUP(RIGHT($B550), 聲母對照表[十五音], 聲母對照表[台語音標], "N/A"))</f>
        <v>th</v>
      </c>
      <c r="E550" t="str">
        <f xml:space="preserve"> IF($B550="", "", _xlfn.XLOOKUP(LEFT($B550), 韻母對照表[十五音], 韻母對照表[台語音標], "N/A"))</f>
        <v>ian</v>
      </c>
      <c r="F550">
        <f xml:space="preserve"> IF($B550="", "", _xlfn.XLOOKUP(MID($B550,2,1), 聲調對照表[十五音調號], 聲調對照表[傳統八聲調], "N/A"))</f>
        <v>1</v>
      </c>
    </row>
    <row r="551" spans="1:6">
      <c r="A551" t="s">
        <v>412</v>
      </c>
      <c r="B551" t="s">
        <v>482</v>
      </c>
      <c r="C551" t="s">
        <v>829</v>
      </c>
      <c r="D551" t="str">
        <f xml:space="preserve"> IF($B551="", "", _xlfn.XLOOKUP(RIGHT($B551), 聲母對照表[十五音], 聲母對照表[台語音標], "N/A"))</f>
        <v>t</v>
      </c>
      <c r="E551" t="str">
        <f xml:space="preserve"> IF($B551="", "", _xlfn.XLOOKUP(LEFT($B551), 韻母對照表[十五音], 韻母對照表[台語音標], "N/A"))</f>
        <v>ei</v>
      </c>
      <c r="F551">
        <f xml:space="preserve"> IF($B551="", "", _xlfn.XLOOKUP(MID($B551,2,1), 聲調對照表[十五音調號], 聲調對照表[傳統八聲調], "N/A"))</f>
        <v>7</v>
      </c>
    </row>
    <row r="552" spans="1:6">
      <c r="A552" t="s">
        <v>25</v>
      </c>
      <c r="B552" t="s">
        <v>26</v>
      </c>
      <c r="C552" t="s">
        <v>584</v>
      </c>
      <c r="D552" t="str">
        <f xml:space="preserve"> IF($B552="", "", _xlfn.XLOOKUP(RIGHT($B552), 聲母對照表[十五音], 聲母對照表[台語音標], "N/A"))</f>
        <v>z</v>
      </c>
      <c r="E552" t="str">
        <f xml:space="preserve"> IF($B552="", "", _xlfn.XLOOKUP(LEFT($B552), 韻母對照表[十五音], 韻母對照表[台語音標], "N/A"))</f>
        <v>i</v>
      </c>
      <c r="F552">
        <f xml:space="preserve"> IF($B552="", "", _xlfn.XLOOKUP(MID($B552,2,1), 聲調對照表[十五音調號], 聲調對照表[傳統八聲調], "N/A"))</f>
        <v>1</v>
      </c>
    </row>
    <row r="553" spans="1:6">
      <c r="A553" t="s">
        <v>111</v>
      </c>
      <c r="B553" t="s">
        <v>112</v>
      </c>
      <c r="C553" t="s">
        <v>651</v>
      </c>
      <c r="D553" t="str">
        <f xml:space="preserve"> IF($B553="", "", _xlfn.XLOOKUP(RIGHT($B553), 聲母對照表[十五音], 聲母對照表[台語音標], "N/A"))</f>
        <v>k</v>
      </c>
      <c r="E553" t="str">
        <f xml:space="preserve"> IF($B553="", "", _xlfn.XLOOKUP(LEFT($B553), 韻母對照表[十五音], 韻母對照表[台語音標], "N/A"))</f>
        <v>an</v>
      </c>
      <c r="F553">
        <f xml:space="preserve"> IF($B553="", "", _xlfn.XLOOKUP(MID($B553,2,1), 聲調對照表[十五音調號], 聲調對照表[傳統八聲調], "N/A"))</f>
        <v>1</v>
      </c>
    </row>
    <row r="554" spans="1:6">
      <c r="A554" t="s">
        <v>29</v>
      </c>
      <c r="D554" t="str">
        <f xml:space="preserve"> IF($B554="", "", _xlfn.XLOOKUP(RIGHT($B554), 聲母對照表[十五音], 聲母對照表[台語音標], "N/A"))</f>
        <v/>
      </c>
      <c r="E554" t="str">
        <f xml:space="preserve"> IF($B554="", "", _xlfn.XLOOKUP(LEFT($B554), 韻母對照表[十五音], 韻母對照表[台語音標], "N/A"))</f>
        <v/>
      </c>
      <c r="F554" t="str">
        <f xml:space="preserve"> IF($B554="", "", _xlfn.XLOOKUP(MID($B554,2,1), 聲調對照表[十五音調號], 聲調對照表[傳統八聲調], "N/A"))</f>
        <v/>
      </c>
    </row>
    <row r="555" spans="1:6">
      <c r="A555" t="s">
        <v>488</v>
      </c>
      <c r="B555" t="s">
        <v>489</v>
      </c>
      <c r="C555" t="s">
        <v>832</v>
      </c>
      <c r="D555" t="str">
        <f xml:space="preserve"> IF($B555="", "", _xlfn.XLOOKUP(RIGHT($B555), 聲母對照表[十五音], 聲母對照表[台語音標], "N/A"))</f>
        <v>b</v>
      </c>
      <c r="E555" t="str">
        <f xml:space="preserve"> IF($B555="", "", _xlfn.XLOOKUP(LEFT($B555), 韻母對照表[十五音], 韻母對照表[台語音標], "N/A"))</f>
        <v>un</v>
      </c>
      <c r="F555">
        <f xml:space="preserve"> IF($B555="", "", _xlfn.XLOOKUP(MID($B555,2,1), 聲調對照表[十五音調號], 聲調對照表[傳統八聲調], "N/A"))</f>
        <v>8</v>
      </c>
    </row>
    <row r="556" spans="1:6">
      <c r="A556" t="s">
        <v>500</v>
      </c>
      <c r="B556" t="s">
        <v>501</v>
      </c>
      <c r="C556" t="s">
        <v>840</v>
      </c>
      <c r="D556" t="str">
        <f xml:space="preserve"> IF($B556="", "", _xlfn.XLOOKUP(RIGHT($B556), 聲母對照表[十五音], 聲母對照表[台語音標], "N/A"))</f>
        <v>k</v>
      </c>
      <c r="E556" t="str">
        <f xml:space="preserve"> IF($B556="", "", _xlfn.XLOOKUP(LEFT($B556), 韻母對照表[十五音], 韻母對照表[台語音標], "N/A"))</f>
        <v>ok</v>
      </c>
      <c r="F556">
        <f xml:space="preserve"> IF($B556="", "", _xlfn.XLOOKUP(MID($B556,2,1), 聲調對照表[十五音調號], 聲調對照表[傳統八聲調], "N/A"))</f>
        <v>4</v>
      </c>
    </row>
    <row r="557" spans="1:6">
      <c r="A557" t="s">
        <v>229</v>
      </c>
      <c r="B557" t="s">
        <v>230</v>
      </c>
      <c r="C557" t="s">
        <v>981</v>
      </c>
      <c r="D557" t="str">
        <f xml:space="preserve"> IF($B557="", "", _xlfn.XLOOKUP(RIGHT($B557), 聲母對照表[十五音], 聲母對照表[台語音標], "N/A"))</f>
        <v>Ø</v>
      </c>
      <c r="E557" t="str">
        <f xml:space="preserve"> IF($B557="", "", _xlfn.XLOOKUP(LEFT($B557), 韻母對照表[十五音], 韻母對照表[台語音標], "N/A"))</f>
        <v>iu</v>
      </c>
      <c r="F557">
        <f xml:space="preserve"> IF($B557="", "", _xlfn.XLOOKUP(MID($B557,2,1), 聲調對照表[十五音調號], 聲調對照表[傳統八聲調], "N/A"))</f>
        <v>2</v>
      </c>
    </row>
    <row r="558" spans="1:6">
      <c r="A558" t="s">
        <v>502</v>
      </c>
      <c r="B558" t="s">
        <v>39</v>
      </c>
      <c r="C558" t="s">
        <v>597</v>
      </c>
      <c r="D558" t="str">
        <f xml:space="preserve"> IF($B558="", "", _xlfn.XLOOKUP(RIGHT($B558), 聲母對照表[十五音], 聲母對照表[台語音標], "N/A"))</f>
        <v>z</v>
      </c>
      <c r="E558" t="str">
        <f xml:space="preserve"> IF($B558="", "", _xlfn.XLOOKUP(LEFT($B558), 韻母對照表[十五音], 韻母對照表[台語音標], "N/A"))</f>
        <v>u</v>
      </c>
      <c r="F558">
        <f xml:space="preserve"> IF($B558="", "", _xlfn.XLOOKUP(MID($B558,2,1), 聲調對照表[十五音調號], 聲調對照表[傳統八聲調], "N/A"))</f>
        <v>2</v>
      </c>
    </row>
    <row r="559" spans="1:6">
      <c r="A559" t="s">
        <v>29</v>
      </c>
      <c r="D559" t="str">
        <f xml:space="preserve"> IF($B559="", "", _xlfn.XLOOKUP(RIGHT($B559), 聲母對照表[十五音], 聲母對照表[台語音標], "N/A"))</f>
        <v/>
      </c>
      <c r="E559" t="str">
        <f xml:space="preserve"> IF($B559="", "", _xlfn.XLOOKUP(LEFT($B559), 韻母對照表[十五音], 韻母對照表[台語音標], "N/A"))</f>
        <v/>
      </c>
      <c r="F559" t="str">
        <f xml:space="preserve"> IF($B559="", "", _xlfn.XLOOKUP(MID($B559,2,1), 聲調對照表[十五音調號], 聲調對照表[傳統八聲調], "N/A"))</f>
        <v/>
      </c>
    </row>
    <row r="560" spans="1:6">
      <c r="A560" t="s">
        <v>503</v>
      </c>
      <c r="B560" t="s">
        <v>504</v>
      </c>
      <c r="C560" t="s">
        <v>841</v>
      </c>
      <c r="D560" t="str">
        <f xml:space="preserve"> IF($B560="", "", _xlfn.XLOOKUP(RIGHT($B560), 聲母對照表[十五音], 聲母對照表[台語音標], "N/A"))</f>
        <v>k</v>
      </c>
      <c r="E560" t="str">
        <f xml:space="preserve"> IF($B560="", "", _xlfn.XLOOKUP(LEFT($B560), 韻母對照表[十五音], 韻母對照表[台語音標], "N/A"))</f>
        <v>oo</v>
      </c>
      <c r="F560">
        <f xml:space="preserve"> IF($B560="", "", _xlfn.XLOOKUP(MID($B560,2,1), 聲調對照表[十五音調號], 聲調對照表[傳統八聲調], "N/A"))</f>
        <v>2</v>
      </c>
    </row>
    <row r="561" spans="1:6">
      <c r="A561" t="s">
        <v>311</v>
      </c>
      <c r="B561" t="s">
        <v>307</v>
      </c>
      <c r="C561" t="s">
        <v>753</v>
      </c>
      <c r="D561" t="str">
        <f xml:space="preserve"> IF($B561="", "", _xlfn.XLOOKUP(RIGHT($B561), 聲母對照表[十五音], 聲母對照表[台語音標], "N/A"))</f>
        <v>h</v>
      </c>
      <c r="E561" t="str">
        <f xml:space="preserve"> IF($B561="", "", _xlfn.XLOOKUP(LEFT($B561), 韻母對照表[十五音], 韻母對照表[台語音標], "N/A"))</f>
        <v>ui</v>
      </c>
      <c r="F561">
        <f xml:space="preserve"> IF($B561="", "", _xlfn.XLOOKUP(MID($B561,2,1), 聲調對照表[十五音調號], 聲調對照表[傳統八聲調], "N/A"))</f>
        <v>1</v>
      </c>
    </row>
    <row r="562" spans="1:6">
      <c r="A562" t="s">
        <v>381</v>
      </c>
      <c r="B562" s="51" t="s">
        <v>491</v>
      </c>
      <c r="C562" s="51" t="s">
        <v>1005</v>
      </c>
      <c r="D562" t="str">
        <f xml:space="preserve"> IF($B562="", "", _xlfn.XLOOKUP(RIGHT($B562), 聲母對照表[十五音], 聲母對照表[台語音標], "N/A"))</f>
        <v>g</v>
      </c>
      <c r="E562" t="str">
        <f xml:space="preserve"> IF($B562="", "", _xlfn.XLOOKUP(LEFT($B562), 韻母對照表[十五音], 韻母對照表[台語音標], "N/A"))</f>
        <v>ohnn</v>
      </c>
      <c r="F562">
        <f xml:space="preserve"> IF($B562="", "", _xlfn.XLOOKUP(MID($B562,2,1), 聲調對照表[十五音調號], 聲調對照表[傳統八聲調], "N/A"))</f>
        <v>2</v>
      </c>
    </row>
    <row r="563" spans="1:6">
      <c r="A563" t="s">
        <v>25</v>
      </c>
      <c r="B563" t="s">
        <v>26</v>
      </c>
      <c r="C563" t="s">
        <v>584</v>
      </c>
      <c r="D563" t="str">
        <f xml:space="preserve"> IF($B563="", "", _xlfn.XLOOKUP(RIGHT($B563), 聲母對照表[十五音], 聲母對照表[台語音標], "N/A"))</f>
        <v>z</v>
      </c>
      <c r="E563" t="str">
        <f xml:space="preserve"> IF($B563="", "", _xlfn.XLOOKUP(LEFT($B563), 韻母對照表[十五音], 韻母對照表[台語音標], "N/A"))</f>
        <v>i</v>
      </c>
      <c r="F563">
        <f xml:space="preserve"> IF($B563="", "", _xlfn.XLOOKUP(MID($B563,2,1), 聲調對照表[十五音調號], 聲調對照表[傳統八聲調], "N/A"))</f>
        <v>1</v>
      </c>
    </row>
    <row r="564" spans="1:6">
      <c r="A564" t="s">
        <v>132</v>
      </c>
      <c r="B564" t="s">
        <v>133</v>
      </c>
      <c r="C564" t="s">
        <v>663</v>
      </c>
      <c r="D564" t="str">
        <f xml:space="preserve"> IF($B564="", "", _xlfn.XLOOKUP(RIGHT($B564), 聲母對照表[十五音], 聲母對照表[台語音標], "N/A"))</f>
        <v>s</v>
      </c>
      <c r="E564" t="str">
        <f xml:space="preserve"> IF($B564="", "", _xlfn.XLOOKUP(LEFT($B564), 韻母對照表[十五音], 韻母對照表[台語音標], "N/A"))</f>
        <v>oo</v>
      </c>
      <c r="F564">
        <f xml:space="preserve"> IF($B564="", "", _xlfn.XLOOKUP(MID($B564,2,1), 聲調對照表[十五音調號], 聲調對照表[傳統八聲調], "N/A"))</f>
        <v>2</v>
      </c>
    </row>
    <row r="565" spans="1:6">
      <c r="A565" t="s">
        <v>229</v>
      </c>
      <c r="B565" t="s">
        <v>230</v>
      </c>
      <c r="C565" t="s">
        <v>981</v>
      </c>
      <c r="D565" t="str">
        <f xml:space="preserve"> IF($B565="", "", _xlfn.XLOOKUP(RIGHT($B565), 聲母對照表[十五音], 聲母對照表[台語音標], "N/A"))</f>
        <v>Ø</v>
      </c>
      <c r="E565" t="str">
        <f xml:space="preserve"> IF($B565="", "", _xlfn.XLOOKUP(LEFT($B565), 韻母對照表[十五音], 韻母對照表[台語音標], "N/A"))</f>
        <v>iu</v>
      </c>
      <c r="F565">
        <f xml:space="preserve"> IF($B565="", "", _xlfn.XLOOKUP(MID($B565,2,1), 聲調對照表[十五音調號], 聲調對照表[傳統八聲調], "N/A"))</f>
        <v>2</v>
      </c>
    </row>
    <row r="566" spans="1:6">
      <c r="A566" t="s">
        <v>29</v>
      </c>
      <c r="D566" t="str">
        <f xml:space="preserve"> IF($B566="", "", _xlfn.XLOOKUP(RIGHT($B566), 聲母對照表[十五音], 聲母對照表[台語音標], "N/A"))</f>
        <v/>
      </c>
      <c r="E566" t="str">
        <f xml:space="preserve"> IF($B566="", "", _xlfn.XLOOKUP(LEFT($B566), 韻母對照表[十五音], 韻母對照表[台語音標], "N/A"))</f>
        <v/>
      </c>
      <c r="F566" t="str">
        <f xml:space="preserve"> IF($B566="", "", _xlfn.XLOOKUP(MID($B566,2,1), 聲調對照表[十五音調號], 聲調對照表[傳統八聲調], "N/A"))</f>
        <v/>
      </c>
    </row>
    <row r="567" spans="1:6">
      <c r="A567" t="s">
        <v>505</v>
      </c>
      <c r="B567" t="s">
        <v>506</v>
      </c>
      <c r="C567" t="s">
        <v>842</v>
      </c>
      <c r="D567" t="str">
        <f xml:space="preserve"> IF($B567="", "", _xlfn.XLOOKUP(RIGHT($B567), 聲母對照表[十五音], 聲母對照表[台語音標], "N/A"))</f>
        <v>s</v>
      </c>
      <c r="E567" t="str">
        <f xml:space="preserve"> IF($B567="", "", _xlfn.XLOOKUP(LEFT($B567), 韻母對照表[十五音], 韻母對照表[台語音標], "N/A"))</f>
        <v>ui</v>
      </c>
      <c r="F567">
        <f xml:space="preserve"> IF($B567="", "", _xlfn.XLOOKUP(MID($B567,2,1), 聲調對照表[十五音調號], 聲調對照表[傳統八聲調], "N/A"))</f>
        <v>1</v>
      </c>
    </row>
    <row r="568" spans="1:6">
      <c r="A568" t="s">
        <v>128</v>
      </c>
      <c r="B568" t="s">
        <v>129</v>
      </c>
      <c r="C568" t="s">
        <v>966</v>
      </c>
      <c r="D568" t="str">
        <f xml:space="preserve"> IF($B568="", "", _xlfn.XLOOKUP(RIGHT($B568), 聲母對照表[十五音], 聲母對照表[台語音標], "N/A"))</f>
        <v>Ø</v>
      </c>
      <c r="E568" t="str">
        <f xml:space="preserve"> IF($B568="", "", _xlfn.XLOOKUP(LEFT($B568), 韻母對照表[十五音], 韻母對照表[台語音標], "N/A"))</f>
        <v>in</v>
      </c>
      <c r="F568">
        <f xml:space="preserve"> IF($B568="", "", _xlfn.XLOOKUP(MID($B568,2,1), 聲調對照表[十五音調號], 聲調對照表[傳統八聲調], "N/A"))</f>
        <v>4</v>
      </c>
    </row>
    <row r="569" spans="1:6">
      <c r="A569" t="s">
        <v>507</v>
      </c>
      <c r="B569" t="s">
        <v>242</v>
      </c>
      <c r="C569" t="s">
        <v>721</v>
      </c>
      <c r="D569" t="str">
        <f xml:space="preserve"> IF($B569="", "", _xlfn.XLOOKUP(RIGHT($B569), 聲母對照表[十五音], 聲母對照表[台語音標], "N/A"))</f>
        <v>h</v>
      </c>
      <c r="E569" t="str">
        <f xml:space="preserve"> IF($B569="", "", _xlfn.XLOOKUP(LEFT($B569), 韻母對照表[十五音], 韻母對照表[台語音標], "N/A"))</f>
        <v>o</v>
      </c>
      <c r="F569">
        <f xml:space="preserve"> IF($B569="", "", _xlfn.XLOOKUP(MID($B569,2,1), 聲調對照表[十五音調號], 聲調對照表[傳統八聲調], "N/A"))</f>
        <v>5</v>
      </c>
    </row>
    <row r="570" spans="1:6">
      <c r="A570" t="s">
        <v>157</v>
      </c>
      <c r="B570" t="s">
        <v>150</v>
      </c>
      <c r="C570" t="s">
        <v>664</v>
      </c>
      <c r="D570" t="str">
        <f xml:space="preserve"> IF($B570="", "", _xlfn.XLOOKUP(RIGHT($B570), 聲母對照表[十五音], 聲母對照表[台語音標], "N/A"))</f>
        <v>j</v>
      </c>
      <c r="E570" t="str">
        <f xml:space="preserve"> IF($B570="", "", _xlfn.XLOOKUP(LEFT($B570), 韻母對照表[十五音], 韻母對照表[台語音標], "N/A"))</f>
        <v>i</v>
      </c>
      <c r="F570">
        <f xml:space="preserve"> IF($B570="", "", _xlfn.XLOOKUP(MID($B570,2,1), 聲調對照表[十五音調號], 聲調對照表[傳統八聲調], "N/A"))</f>
        <v>5</v>
      </c>
    </row>
    <row r="571" spans="1:6">
      <c r="A571" t="s">
        <v>468</v>
      </c>
      <c r="B571" t="s">
        <v>469</v>
      </c>
      <c r="C571" t="s">
        <v>823</v>
      </c>
      <c r="D571" t="str">
        <f xml:space="preserve"> IF($B571="", "", _xlfn.XLOOKUP(RIGHT($B571), 聲母對照表[十五音], 聲母對照表[台語音標], "N/A"))</f>
        <v>b</v>
      </c>
      <c r="E571" t="str">
        <f xml:space="preserve"> IF($B571="", "", _xlfn.XLOOKUP(LEFT($B571), 韻母對照表[十五音], 韻母對照表[台語音標], "N/A"))</f>
        <v>ok</v>
      </c>
      <c r="F571">
        <f xml:space="preserve"> IF($B571="", "", _xlfn.XLOOKUP(MID($B571,2,1), 聲調對照表[十五音調號], 聲調對照表[傳統八聲調], "N/A"))</f>
        <v>8</v>
      </c>
    </row>
    <row r="572" spans="1:6">
      <c r="A572" t="s">
        <v>508</v>
      </c>
      <c r="B572" t="s">
        <v>310</v>
      </c>
      <c r="C572" t="s">
        <v>754</v>
      </c>
      <c r="D572" t="str">
        <f xml:space="preserve"> IF($B572="", "", _xlfn.XLOOKUP(RIGHT($B572), 聲母對照表[十五音], 聲母對照表[台語音標], "N/A"))</f>
        <v>c</v>
      </c>
      <c r="E572" t="str">
        <f xml:space="preserve"> IF($B572="", "", _xlfn.XLOOKUP(LEFT($B572), 韻母對照表[十五音], 韻母對照表[台語音標], "N/A"))</f>
        <v>u</v>
      </c>
      <c r="F572">
        <f xml:space="preserve"> IF($B572="", "", _xlfn.XLOOKUP(MID($B572,2,1), 聲調對照表[十五音調號], 聲調對照表[傳統八聲調], "N/A"))</f>
        <v>2</v>
      </c>
    </row>
    <row r="573" spans="1:6">
      <c r="A573" t="s">
        <v>54</v>
      </c>
      <c r="D573" t="str">
        <f xml:space="preserve"> IF($B573="", "", _xlfn.XLOOKUP(RIGHT($B573), 聲母對照表[十五音], 聲母對照表[台語音標], "N/A"))</f>
        <v/>
      </c>
      <c r="E573" t="str">
        <f xml:space="preserve"> IF($B573="", "", _xlfn.XLOOKUP(LEFT($B573), 韻母對照表[十五音], 韻母對照表[台語音標], "N/A"))</f>
        <v/>
      </c>
      <c r="F573" t="str">
        <f xml:space="preserve"> IF($B573="", "", _xlfn.XLOOKUP(MID($B573,2,1), 聲調對照表[十五音調號], 聲調對照表[傳統八聲調], "N/A"))</f>
        <v/>
      </c>
    </row>
    <row r="574" spans="1:6">
      <c r="A574" t="s">
        <v>509</v>
      </c>
      <c r="B574" t="s">
        <v>167</v>
      </c>
      <c r="C574" t="s">
        <v>971</v>
      </c>
      <c r="D574" t="str">
        <f xml:space="preserve"> IF($B574="", "", _xlfn.XLOOKUP(RIGHT($B574), 聲母對照表[十五音], 聲母對照表[台語音標], "N/A"))</f>
        <v>Ø</v>
      </c>
      <c r="E574" t="str">
        <f xml:space="preserve"> IF($B574="", "", _xlfn.XLOOKUP(LEFT($B574), 韻母對照表[十五音], 韻母對照表[台語音標], "N/A"))</f>
        <v>ui</v>
      </c>
      <c r="F574">
        <f xml:space="preserve"> IF($B574="", "", _xlfn.XLOOKUP(MID($B574,2,1), 聲調對照表[十五音調號], 聲調對照表[傳統八聲調], "N/A"))</f>
        <v>5</v>
      </c>
    </row>
    <row r="575" spans="1:6">
      <c r="A575" t="s">
        <v>118</v>
      </c>
      <c r="B575" t="s">
        <v>119</v>
      </c>
      <c r="C575" t="s">
        <v>654</v>
      </c>
      <c r="D575" t="str">
        <f xml:space="preserve"> IF($B575="", "", _xlfn.XLOOKUP(RIGHT($B575), 聲母對照表[十五音], 聲母對照表[台語音標], "N/A"))</f>
        <v>k</v>
      </c>
      <c r="E575" t="str">
        <f xml:space="preserve"> IF($B575="", "", _xlfn.XLOOKUP(LEFT($B575), 韻母對照表[十五音], 韻母對照表[台語音標], "N/A"))</f>
        <v>ak</v>
      </c>
      <c r="F575">
        <f xml:space="preserve"> IF($B575="", "", _xlfn.XLOOKUP(MID($B575,2,1), 聲調對照表[十五音調號], 聲調對照表[傳統八聲調], "N/A"))</f>
        <v>1</v>
      </c>
    </row>
    <row r="576" spans="1:6">
      <c r="A576" t="s">
        <v>101</v>
      </c>
      <c r="B576" t="s">
        <v>102</v>
      </c>
      <c r="C576" t="s">
        <v>643</v>
      </c>
      <c r="D576" t="str">
        <f xml:space="preserve"> IF($B576="", "", _xlfn.XLOOKUP(RIGHT($B576), 聲母對照表[十五音], 聲母對照表[台語音標], "N/A"))</f>
        <v>s</v>
      </c>
      <c r="E576" t="str">
        <f xml:space="preserve"> IF($B576="", "", _xlfn.XLOOKUP(LEFT($B576), 韻母對照表[十五音], 韻母對照表[台語音標], "N/A"))</f>
        <v>iok</v>
      </c>
      <c r="F576">
        <f xml:space="preserve"> IF($B576="", "", _xlfn.XLOOKUP(MID($B576,2,1), 聲調對照表[十五音調號], 聲調對照表[傳統八聲調], "N/A"))</f>
        <v>2</v>
      </c>
    </row>
    <row r="577" spans="1:6">
      <c r="A577" t="s">
        <v>25</v>
      </c>
      <c r="B577" t="s">
        <v>26</v>
      </c>
      <c r="C577" t="s">
        <v>584</v>
      </c>
      <c r="D577" t="str">
        <f xml:space="preserve"> IF($B577="", "", _xlfn.XLOOKUP(RIGHT($B577), 聲母對照表[十五音], 聲母對照表[台語音標], "N/A"))</f>
        <v>z</v>
      </c>
      <c r="E577" t="str">
        <f xml:space="preserve"> IF($B577="", "", _xlfn.XLOOKUP(LEFT($B577), 韻母對照表[十五音], 韻母對照表[台語音標], "N/A"))</f>
        <v>i</v>
      </c>
      <c r="F577">
        <f xml:space="preserve"> IF($B577="", "", _xlfn.XLOOKUP(MID($B577,2,1), 聲調對照表[十五音調號], 聲調對照表[傳統八聲調], "N/A"))</f>
        <v>1</v>
      </c>
    </row>
    <row r="578" spans="1:6">
      <c r="A578" t="s">
        <v>55</v>
      </c>
      <c r="B578" t="s">
        <v>56</v>
      </c>
      <c r="C578" t="s">
        <v>609</v>
      </c>
      <c r="D578" t="str">
        <f xml:space="preserve"> IF($B578="", "", _xlfn.XLOOKUP(RIGHT($B578), 聲母對照表[十五音], 聲母對照表[台語音標], "N/A"))</f>
        <v>c</v>
      </c>
      <c r="E578" t="str">
        <f xml:space="preserve"> IF($B578="", "", _xlfn.XLOOKUP(LEFT($B578), 韻母對照表[十五音], 韻母對照表[台語音標], "N/A"))</f>
        <v>ik</v>
      </c>
      <c r="F578">
        <f xml:space="preserve"> IF($B578="", "", _xlfn.XLOOKUP(MID($B578,2,1), 聲調對照表[十五音調號], 聲調對照表[傳統八聲調], "N/A"))</f>
        <v>1</v>
      </c>
    </row>
    <row r="579" spans="1:6">
      <c r="A579" t="s">
        <v>57</v>
      </c>
      <c r="B579" s="51" t="s">
        <v>1810</v>
      </c>
      <c r="C579" s="51" t="s">
        <v>1811</v>
      </c>
      <c r="D579" t="str">
        <f xml:space="preserve"> IF($B579="", "", _xlfn.XLOOKUP(RIGHT($B579), 聲母對照表[十五音], 聲母對照表[台語音標], "N/A"))</f>
        <v>h</v>
      </c>
      <c r="E579" t="str">
        <f xml:space="preserve"> IF($B579="", "", _xlfn.XLOOKUP(LEFT($B579), 韻母對照表[十五音], 韻母對照表[台語音標], "N/A"))</f>
        <v>ok</v>
      </c>
      <c r="F579">
        <f xml:space="preserve"> IF($B579="", "", _xlfn.XLOOKUP(MID($B579,2,1), 聲調對照表[十五音調號], 聲調對照表[傳統八聲調], "N/A"))</f>
        <v>1</v>
      </c>
    </row>
    <row r="580" spans="1:6">
      <c r="A580" t="s">
        <v>29</v>
      </c>
      <c r="D580" t="str">
        <f xml:space="preserve"> IF($B580="", "", _xlfn.XLOOKUP(RIGHT($B580), 聲母對照表[十五音], 聲母對照表[台語音標], "N/A"))</f>
        <v/>
      </c>
      <c r="E580" t="str">
        <f xml:space="preserve"> IF($B580="", "", _xlfn.XLOOKUP(LEFT($B580), 韻母對照表[十五音], 韻母對照表[台語音標], "N/A"))</f>
        <v/>
      </c>
      <c r="F580" t="str">
        <f xml:space="preserve"> IF($B580="", "", _xlfn.XLOOKUP(MID($B580,2,1), 聲調對照表[十五音調號], 聲調對照表[傳統八聲調], "N/A"))</f>
        <v/>
      </c>
    </row>
    <row r="581" spans="1:6">
      <c r="A581" t="s">
        <v>40</v>
      </c>
      <c r="B581" t="s">
        <v>41</v>
      </c>
      <c r="C581" t="s">
        <v>946</v>
      </c>
      <c r="D581" t="str">
        <f xml:space="preserve"> IF($B581="", "", _xlfn.XLOOKUP(RIGHT($B581), 聲母對照表[十五音], 聲母對照表[台語音標], "N/A"))</f>
        <v>Ø</v>
      </c>
      <c r="E581" t="str">
        <f xml:space="preserve"> IF($B581="", "", _xlfn.XLOOKUP(LEFT($B581), 韻母對照表[十五音], 韻母對照表[台語音標], "N/A"))</f>
        <v>u</v>
      </c>
      <c r="F581">
        <f xml:space="preserve"> IF($B581="", "", _xlfn.XLOOKUP(MID($B581,2,1), 聲調對照表[十五音調號], 聲調對照表[傳統八聲調], "N/A"))</f>
        <v>2</v>
      </c>
    </row>
    <row r="582" spans="1:6">
      <c r="A582" t="s">
        <v>99</v>
      </c>
      <c r="B582" t="s">
        <v>100</v>
      </c>
      <c r="C582" t="s">
        <v>641</v>
      </c>
      <c r="D582" t="str">
        <f xml:space="preserve"> IF($B582="", "", _xlfn.XLOOKUP(RIGHT($B582), 聲母對照表[十五音], 聲母對照表[台語音標], "N/A"))</f>
        <v>s</v>
      </c>
      <c r="E582" t="str">
        <f xml:space="preserve"> IF($B582="", "", _xlfn.XLOOKUP(LEFT($B582), 韻母對照表[十五音], 韻母對照表[台語音標], "N/A"))</f>
        <v>an</v>
      </c>
      <c r="F582">
        <f xml:space="preserve"> IF($B582="", "", _xlfn.XLOOKUP(MID($B582,2,1), 聲調對照表[十五音調號], 聲調對照表[傳統八聲調], "N/A"))</f>
        <v>1</v>
      </c>
    </row>
    <row r="583" spans="1:6">
      <c r="A583" t="s">
        <v>111</v>
      </c>
      <c r="B583" t="s">
        <v>112</v>
      </c>
      <c r="C583" t="s">
        <v>651</v>
      </c>
      <c r="D583" t="str">
        <f xml:space="preserve"> IF($B583="", "", _xlfn.XLOOKUP(RIGHT($B583), 聲母對照表[十五音], 聲母對照表[台語音標], "N/A"))</f>
        <v>k</v>
      </c>
      <c r="E583" t="str">
        <f xml:space="preserve"> IF($B583="", "", _xlfn.XLOOKUP(LEFT($B583), 韻母對照表[十五音], 韻母對照表[台語音標], "N/A"))</f>
        <v>an</v>
      </c>
      <c r="F583">
        <f xml:space="preserve"> IF($B583="", "", _xlfn.XLOOKUP(MID($B583,2,1), 聲調對照表[十五音調號], 聲調對照表[傳統八聲調], "N/A"))</f>
        <v>1</v>
      </c>
    </row>
    <row r="584" spans="1:6">
      <c r="A584" t="s">
        <v>25</v>
      </c>
      <c r="B584" t="s">
        <v>26</v>
      </c>
      <c r="C584" t="s">
        <v>584</v>
      </c>
      <c r="D584" t="str">
        <f xml:space="preserve"> IF($B584="", "", _xlfn.XLOOKUP(RIGHT($B584), 聲母對照表[十五音], 聲母對照表[台語音標], "N/A"))</f>
        <v>z</v>
      </c>
      <c r="E584" t="str">
        <f xml:space="preserve"> IF($B584="", "", _xlfn.XLOOKUP(LEFT($B584), 韻母對照表[十五音], 韻母對照表[台語音標], "N/A"))</f>
        <v>i</v>
      </c>
      <c r="F584">
        <f xml:space="preserve"> IF($B584="", "", _xlfn.XLOOKUP(MID($B584,2,1), 聲調對照表[十五音調號], 聲調對照表[傳統八聲調], "N/A"))</f>
        <v>1</v>
      </c>
    </row>
    <row r="585" spans="1:6">
      <c r="A585" t="s">
        <v>79</v>
      </c>
      <c r="B585" t="s">
        <v>80</v>
      </c>
      <c r="C585" t="s">
        <v>629</v>
      </c>
      <c r="D585" t="str">
        <f xml:space="preserve"> IF($B585="", "", _xlfn.XLOOKUP(RIGHT($B585), 聲母對照表[十五音], 聲母對照表[台語音標], "N/A"))</f>
        <v>b</v>
      </c>
      <c r="E585" t="str">
        <f xml:space="preserve"> IF($B585="", "", _xlfn.XLOOKUP(LEFT($B585), 韻母對照表[十五音], 韻母對照表[台語音標], "N/A"))</f>
        <v>ik</v>
      </c>
      <c r="F585">
        <f xml:space="preserve"> IF($B585="", "", _xlfn.XLOOKUP(MID($B585,2,1), 聲調對照表[十五音調號], 聲調對照表[傳統八聲調], "N/A"))</f>
        <v>5</v>
      </c>
    </row>
    <row r="586" spans="1:6">
      <c r="A586" t="s">
        <v>32</v>
      </c>
      <c r="B586" t="s">
        <v>33</v>
      </c>
      <c r="C586" t="s">
        <v>590</v>
      </c>
      <c r="D586" t="str">
        <f xml:space="preserve"> IF($B586="", "", _xlfn.XLOOKUP(RIGHT($B586), 聲母對照表[十五音], 聲母對照表[台語音標], "N/A"))</f>
        <v>g</v>
      </c>
      <c r="E586" t="str">
        <f xml:space="preserve"> IF($B586="", "", _xlfn.XLOOKUP(LEFT($B586), 韻母對照表[十五音], 韻母對照表[台語音標], "N/A"))</f>
        <v>uan</v>
      </c>
      <c r="F586">
        <f xml:space="preserve"> IF($B586="", "", _xlfn.XLOOKUP(MID($B586,2,1), 聲調對照表[十五音調號], 聲調對照表[傳統八聲調], "N/A"))</f>
        <v>8</v>
      </c>
    </row>
    <row r="587" spans="1:6">
      <c r="A587" t="s">
        <v>29</v>
      </c>
      <c r="D587" t="str">
        <f xml:space="preserve"> IF($B587="", "", _xlfn.XLOOKUP(RIGHT($B587), 聲母對照表[十五音], 聲母對照表[台語音標], "N/A"))</f>
        <v/>
      </c>
      <c r="E587" t="str">
        <f xml:space="preserve"> IF($B587="", "", _xlfn.XLOOKUP(LEFT($B587), 韻母對照表[十五音], 韻母對照表[台語音標], "N/A"))</f>
        <v/>
      </c>
      <c r="F587" t="str">
        <f xml:space="preserve"> IF($B587="", "", _xlfn.XLOOKUP(MID($B587,2,1), 聲調對照表[十五音調號], 聲調對照表[傳統八聲調], "N/A"))</f>
        <v/>
      </c>
    </row>
    <row r="588" spans="1:6">
      <c r="A588" t="s">
        <v>510</v>
      </c>
      <c r="B588" s="51" t="s">
        <v>356</v>
      </c>
      <c r="C588" s="51" t="s">
        <v>730</v>
      </c>
      <c r="D588" t="str">
        <f xml:space="preserve"> IF($B588="", "", _xlfn.XLOOKUP(RIGHT($B588), 聲母對照表[十五音], 聲母對照表[台語音標], "N/A"))</f>
        <v>l</v>
      </c>
      <c r="E588" t="str">
        <f xml:space="preserve"> IF($B588="", "", _xlfn.XLOOKUP(LEFT($B588), 韻母對照表[十五音], 韻母對照表[台語音標], "N/A"))</f>
        <v>i</v>
      </c>
      <c r="F588">
        <f xml:space="preserve"> IF($B588="", "", _xlfn.XLOOKUP(MID($B588,2,1), 聲調對照表[十五音調號], 聲調對照表[傳統八聲調], "N/A"))</f>
        <v>2</v>
      </c>
    </row>
    <row r="589" spans="1:6">
      <c r="A589" t="s">
        <v>443</v>
      </c>
      <c r="B589" t="s">
        <v>317</v>
      </c>
      <c r="C589" t="s">
        <v>757</v>
      </c>
      <c r="D589" t="str">
        <f xml:space="preserve"> IF($B589="", "", _xlfn.XLOOKUP(RIGHT($B589), 聲母對照表[十五音], 聲母對照表[台語音標], "N/A"))</f>
        <v>t</v>
      </c>
      <c r="E589" t="str">
        <f xml:space="preserve"> IF($B589="", "", _xlfn.XLOOKUP(LEFT($B589), 韻母對照表[十五音], 韻母對照表[台語音標], "N/A"))</f>
        <v>ik</v>
      </c>
      <c r="F589">
        <f xml:space="preserve"> IF($B589="", "", _xlfn.XLOOKUP(MID($B589,2,1), 聲調對照表[十五音調號], 聲調對照表[傳統八聲調], "N/A"))</f>
        <v>4</v>
      </c>
    </row>
    <row r="590" spans="1:6">
      <c r="A590" t="s">
        <v>25</v>
      </c>
      <c r="B590" t="s">
        <v>26</v>
      </c>
      <c r="C590" t="s">
        <v>584</v>
      </c>
      <c r="D590" t="str">
        <f xml:space="preserve"> IF($B590="", "", _xlfn.XLOOKUP(RIGHT($B590), 聲母對照表[十五音], 聲母對照表[台語音標], "N/A"))</f>
        <v>z</v>
      </c>
      <c r="E590" t="str">
        <f xml:space="preserve"> IF($B590="", "", _xlfn.XLOOKUP(LEFT($B590), 韻母對照表[十五音], 韻母對照表[台語音標], "N/A"))</f>
        <v>i</v>
      </c>
      <c r="F590">
        <f xml:space="preserve"> IF($B590="", "", _xlfn.XLOOKUP(MID($B590,2,1), 聲調對照表[十五音調號], 聲調對照表[傳統八聲調], "N/A"))</f>
        <v>1</v>
      </c>
    </row>
    <row r="591" spans="1:6">
      <c r="A591" t="s">
        <v>157</v>
      </c>
      <c r="B591" t="s">
        <v>150</v>
      </c>
      <c r="C591" t="s">
        <v>664</v>
      </c>
      <c r="D591" t="str">
        <f xml:space="preserve"> IF($B591="", "", _xlfn.XLOOKUP(RIGHT($B591), 聲母對照表[十五音], 聲母對照表[台語音標], "N/A"))</f>
        <v>j</v>
      </c>
      <c r="E591" t="str">
        <f xml:space="preserve"> IF($B591="", "", _xlfn.XLOOKUP(LEFT($B591), 韻母對照表[十五音], 韻母對照表[台語音標], "N/A"))</f>
        <v>i</v>
      </c>
      <c r="F591">
        <f xml:space="preserve"> IF($B591="", "", _xlfn.XLOOKUP(MID($B591,2,1), 聲調對照表[十五音調號], 聲調對照表[傳統八聲調], "N/A"))</f>
        <v>5</v>
      </c>
    </row>
    <row r="592" spans="1:6">
      <c r="A592" t="s">
        <v>292</v>
      </c>
      <c r="B592" t="s">
        <v>293</v>
      </c>
      <c r="C592" t="s">
        <v>989</v>
      </c>
      <c r="D592" t="str">
        <f xml:space="preserve"> IF($B592="", "", _xlfn.XLOOKUP(RIGHT($B592), 聲母對照表[十五音], 聲母對照表[台語音標], "N/A"))</f>
        <v>Ø</v>
      </c>
      <c r="E592" t="str">
        <f xml:space="preserve"> IF($B592="", "", _xlfn.XLOOKUP(LEFT($B592), 韻母對照表[十五音], 韻母對照表[台語音標], "N/A"))</f>
        <v>ui</v>
      </c>
      <c r="F592">
        <f xml:space="preserve"> IF($B592="", "", _xlfn.XLOOKUP(MID($B592,2,1), 聲調對照表[十五音調號], 聲調對照表[傳統八聲調], "N/A"))</f>
        <v>7</v>
      </c>
    </row>
    <row r="593" spans="1:6">
      <c r="A593" t="s">
        <v>243</v>
      </c>
      <c r="B593" t="s">
        <v>244</v>
      </c>
      <c r="C593" t="s">
        <v>722</v>
      </c>
      <c r="D593" t="str">
        <f xml:space="preserve"> IF($B593="", "", _xlfn.XLOOKUP(RIGHT($B593), 聲母對照表[十五音], 聲母對照表[台語音標], "N/A"))</f>
        <v>s</v>
      </c>
      <c r="E593" t="str">
        <f xml:space="preserve"> IF($B593="", "", _xlfn.XLOOKUP(LEFT($B593), 韻母對照表[十五音], 韻母對照表[台語音標], "N/A"))</f>
        <v>ik</v>
      </c>
      <c r="F593">
        <f xml:space="preserve"> IF($B593="", "", _xlfn.XLOOKUP(MID($B593,2,1), 聲調對照表[十五音調號], 聲調對照表[傳統八聲調], "N/A"))</f>
        <v>1</v>
      </c>
    </row>
    <row r="594" spans="1:6">
      <c r="A594" t="s">
        <v>29</v>
      </c>
      <c r="D594" t="str">
        <f xml:space="preserve"> IF($B594="", "", _xlfn.XLOOKUP(RIGHT($B594), 聲母對照表[十五音], 聲母對照表[台語音標], "N/A"))</f>
        <v/>
      </c>
      <c r="E594" t="str">
        <f xml:space="preserve"> IF($B594="", "", _xlfn.XLOOKUP(LEFT($B594), 韻母對照表[十五音], 韻母對照表[台語音標], "N/A"))</f>
        <v/>
      </c>
      <c r="F594" t="str">
        <f xml:space="preserve"> IF($B594="", "", _xlfn.XLOOKUP(MID($B594,2,1), 聲調對照表[十五音調號], 聲調對照表[傳統八聲調], "N/A"))</f>
        <v/>
      </c>
    </row>
    <row r="595" spans="1:6">
      <c r="A595" t="s">
        <v>511</v>
      </c>
      <c r="B595" s="51" t="s">
        <v>1828</v>
      </c>
      <c r="C595" s="51" t="s">
        <v>1829</v>
      </c>
      <c r="D595" t="str">
        <f xml:space="preserve"> IF($B595="", "", _xlfn.XLOOKUP(RIGHT($B595), 聲母對照表[十五音], 聲母對照表[台語音標], "N/A"))</f>
        <v>b</v>
      </c>
      <c r="E595" t="str">
        <f xml:space="preserve"> IF($B595="", "", _xlfn.XLOOKUP(LEFT($B595), 韻母對照表[十五音], 韻母對照表[台語音標], "N/A"))</f>
        <v>ok</v>
      </c>
      <c r="F595">
        <f xml:space="preserve"> IF($B595="", "", _xlfn.XLOOKUP(MID($B595,2,1), 聲調對照表[十五音調號], 聲調對照表[傳統八聲調], "N/A"))</f>
        <v>8</v>
      </c>
    </row>
    <row r="596" spans="1:6">
      <c r="A596" t="s">
        <v>513</v>
      </c>
      <c r="B596" t="s">
        <v>156</v>
      </c>
      <c r="C596" t="s">
        <v>970</v>
      </c>
      <c r="D596" t="str">
        <f xml:space="preserve"> IF($B596="", "", _xlfn.XLOOKUP(RIGHT($B596), 聲母對照表[十五音], 聲母對照表[台語音標], "N/A"))</f>
        <v>g</v>
      </c>
      <c r="E596" t="str">
        <f xml:space="preserve"> IF($B596="", "", _xlfn.XLOOKUP(LEFT($B596), 韻母對照表[十五音], 韻母對照表[台語音標], "N/A"))</f>
        <v>u</v>
      </c>
      <c r="F596">
        <f xml:space="preserve"> IF($B596="", "", _xlfn.XLOOKUP(MID($B596,2,1), 聲調對照表[十五音調號], 聲調對照表[傳統八聲調], "N/A"))</f>
        <v>7</v>
      </c>
    </row>
    <row r="597" spans="1:6">
      <c r="A597" t="s">
        <v>25</v>
      </c>
      <c r="B597" t="s">
        <v>26</v>
      </c>
      <c r="C597" t="s">
        <v>584</v>
      </c>
      <c r="D597" t="str">
        <f xml:space="preserve"> IF($B597="", "", _xlfn.XLOOKUP(RIGHT($B597), 聲母對照表[十五音], 聲母對照表[台語音標], "N/A"))</f>
        <v>z</v>
      </c>
      <c r="E597" t="str">
        <f xml:space="preserve"> IF($B597="", "", _xlfn.XLOOKUP(LEFT($B597), 韻母對照表[十五音], 韻母對照表[台語音標], "N/A"))</f>
        <v>i</v>
      </c>
      <c r="F597">
        <f xml:space="preserve"> IF($B597="", "", _xlfn.XLOOKUP(MID($B597,2,1), 聲調對照表[十五音調號], 聲調對照表[傳統八聲調], "N/A"))</f>
        <v>1</v>
      </c>
    </row>
    <row r="598" spans="1:6">
      <c r="A598" t="s">
        <v>157</v>
      </c>
      <c r="B598" t="s">
        <v>150</v>
      </c>
      <c r="C598" t="s">
        <v>664</v>
      </c>
      <c r="D598" t="str">
        <f xml:space="preserve"> IF($B598="", "", _xlfn.XLOOKUP(RIGHT($B598), 聲母對照表[十五音], 聲母對照表[台語音標], "N/A"))</f>
        <v>j</v>
      </c>
      <c r="E598" t="str">
        <f xml:space="preserve"> IF($B598="", "", _xlfn.XLOOKUP(LEFT($B598), 韻母對照表[十五音], 韻母對照表[台語音標], "N/A"))</f>
        <v>i</v>
      </c>
      <c r="F598">
        <f xml:space="preserve"> IF($B598="", "", _xlfn.XLOOKUP(MID($B598,2,1), 聲調對照表[十五音調號], 聲調對照表[傳統八聲調], "N/A"))</f>
        <v>5</v>
      </c>
    </row>
    <row r="599" spans="1:6">
      <c r="A599" t="s">
        <v>514</v>
      </c>
      <c r="B599" t="s">
        <v>515</v>
      </c>
      <c r="C599" t="s">
        <v>844</v>
      </c>
      <c r="D599" t="str">
        <f xml:space="preserve"> IF($B599="", "", _xlfn.XLOOKUP(RIGHT($B599), 聲母對照表[十五音], 聲母對照表[台語音標], "N/A"))</f>
        <v>s</v>
      </c>
      <c r="E599" t="str">
        <f xml:space="preserve"> IF($B599="", "", _xlfn.XLOOKUP(LEFT($B599), 韻母對照表[十五音], 韻母對照表[台語音標], "N/A"))</f>
        <v>ik</v>
      </c>
      <c r="F599">
        <f xml:space="preserve"> IF($B599="", "", _xlfn.XLOOKUP(MID($B599,2,1), 聲調對照表[十五音調號], 聲調對照表[傳統八聲調], "N/A"))</f>
        <v>5</v>
      </c>
    </row>
    <row r="600" spans="1:6">
      <c r="A600" t="s">
        <v>516</v>
      </c>
      <c r="B600" t="s">
        <v>20</v>
      </c>
      <c r="C600" t="s">
        <v>578</v>
      </c>
      <c r="D600" t="str">
        <f xml:space="preserve"> IF($B600="", "", _xlfn.XLOOKUP(RIGHT($B600), 聲母對照表[十五音], 聲母對照表[台語音標], "N/A"))</f>
        <v>s</v>
      </c>
      <c r="E600" t="str">
        <f xml:space="preserve"> IF($B600="", "", _xlfn.XLOOKUP(LEFT($B600), 韻母對照表[十五音], 韻母對照表[台語音標], "N/A"))</f>
        <v>ik</v>
      </c>
      <c r="F600">
        <f xml:space="preserve"> IF($B600="", "", _xlfn.XLOOKUP(MID($B600,2,1), 聲調對照表[十五音調號], 聲調對照表[傳統八聲調], "N/A"))</f>
        <v>4</v>
      </c>
    </row>
    <row r="601" spans="1:6">
      <c r="A601" t="s">
        <v>29</v>
      </c>
      <c r="D601" t="str">
        <f xml:space="preserve"> IF($B601="", "", _xlfn.XLOOKUP(RIGHT($B601), 聲母對照表[十五音], 聲母對照表[台語音標], "N/A"))</f>
        <v/>
      </c>
      <c r="E601" t="str">
        <f xml:space="preserve"> IF($B601="", "", _xlfn.XLOOKUP(LEFT($B601), 韻母對照表[十五音], 韻母對照表[台語音標], "N/A"))</f>
        <v/>
      </c>
      <c r="F601" t="str">
        <f xml:space="preserve"> IF($B601="", "", _xlfn.XLOOKUP(MID($B601,2,1), 聲調對照表[十五音調號], 聲調對照表[傳統八聲調], "N/A"))</f>
        <v/>
      </c>
    </row>
    <row r="602" spans="1:6">
      <c r="A602" t="s">
        <v>508</v>
      </c>
      <c r="B602" t="s">
        <v>310</v>
      </c>
      <c r="C602" t="s">
        <v>754</v>
      </c>
      <c r="D602" t="str">
        <f xml:space="preserve"> IF($B602="", "", _xlfn.XLOOKUP(RIGHT($B602), 聲母對照表[十五音], 聲母對照表[台語音標], "N/A"))</f>
        <v>c</v>
      </c>
      <c r="E602" t="str">
        <f xml:space="preserve"> IF($B602="", "", _xlfn.XLOOKUP(LEFT($B602), 韻母對照表[十五音], 韻母對照表[台語音標], "N/A"))</f>
        <v>u</v>
      </c>
      <c r="F602">
        <f xml:space="preserve"> IF($B602="", "", _xlfn.XLOOKUP(MID($B602,2,1), 聲調對照表[十五音調號], 聲調對照表[傳統八聲調], "N/A"))</f>
        <v>2</v>
      </c>
    </row>
    <row r="603" spans="1:6">
      <c r="A603" t="s">
        <v>25</v>
      </c>
      <c r="B603" t="s">
        <v>26</v>
      </c>
      <c r="C603" t="s">
        <v>584</v>
      </c>
      <c r="D603" t="str">
        <f xml:space="preserve"> IF($B603="", "", _xlfn.XLOOKUP(RIGHT($B603), 聲母對照表[十五音], 聲母對照表[台語音標], "N/A"))</f>
        <v>z</v>
      </c>
      <c r="E603" t="str">
        <f xml:space="preserve"> IF($B603="", "", _xlfn.XLOOKUP(LEFT($B603), 韻母對照表[十五音], 韻母對照表[台語音標], "N/A"))</f>
        <v>i</v>
      </c>
      <c r="F603">
        <f xml:space="preserve"> IF($B603="", "", _xlfn.XLOOKUP(MID($B603,2,1), 聲調對照表[十五音調號], 聲調對照表[傳統八聲調], "N/A"))</f>
        <v>1</v>
      </c>
    </row>
    <row r="604" spans="1:6">
      <c r="A604" t="s">
        <v>428</v>
      </c>
      <c r="B604" t="s">
        <v>429</v>
      </c>
      <c r="C604" t="s">
        <v>804</v>
      </c>
      <c r="D604" t="str">
        <f xml:space="preserve"> IF($B604="", "", _xlfn.XLOOKUP(RIGHT($B604), 聲母對照表[十五音], 聲母對照表[台語音標], "N/A"))</f>
        <v>b</v>
      </c>
      <c r="E604" t="str">
        <f xml:space="preserve"> IF($B604="", "", _xlfn.XLOOKUP(LEFT($B604), 韻母對照表[十五音], 韻母對照表[台語音標], "N/A"))</f>
        <v>u</v>
      </c>
      <c r="F604">
        <f xml:space="preserve"> IF($B604="", "", _xlfn.XLOOKUP(MID($B604,2,1), 聲調對照表[十五音調號], 聲調對照表[傳統八聲調], "N/A"))</f>
        <v>5</v>
      </c>
    </row>
    <row r="605" spans="1:6">
      <c r="A605" t="s">
        <v>517</v>
      </c>
      <c r="B605" t="s">
        <v>284</v>
      </c>
      <c r="C605" t="s">
        <v>742</v>
      </c>
      <c r="D605" t="str">
        <f xml:space="preserve"> IF($B605="", "", _xlfn.XLOOKUP(RIGHT($B605), 聲母對照表[十五音], 聲母對照表[台語音標], "N/A"))</f>
        <v>k</v>
      </c>
      <c r="E605" t="str">
        <f xml:space="preserve"> IF($B605="", "", _xlfn.XLOOKUP(LEFT($B605), 韻母對照表[十五音], 韻母對照表[台語音標], "N/A"))</f>
        <v>im</v>
      </c>
      <c r="F605">
        <f xml:space="preserve"> IF($B605="", "", _xlfn.XLOOKUP(MID($B605,2,1), 聲調對照表[十五音調號], 聲調對照表[傳統八聲調], "N/A"))</f>
        <v>1</v>
      </c>
    </row>
    <row r="606" spans="1:6">
      <c r="A606" t="s">
        <v>29</v>
      </c>
      <c r="D606" t="str">
        <f xml:space="preserve"> IF($B606="", "", _xlfn.XLOOKUP(RIGHT($B606), 聲母對照表[十五音], 聲母對照表[台語音標], "N/A"))</f>
        <v/>
      </c>
      <c r="E606" t="str">
        <f xml:space="preserve"> IF($B606="", "", _xlfn.XLOOKUP(LEFT($B606), 韻母對照表[十五音], 韻母對照表[台語音標], "N/A"))</f>
        <v/>
      </c>
      <c r="F606" t="str">
        <f xml:space="preserve"> IF($B606="", "", _xlfn.XLOOKUP(MID($B606,2,1), 聲調對照表[十五音調號], 聲調對照表[傳統八聲調], "N/A"))</f>
        <v/>
      </c>
    </row>
    <row r="607" spans="1:6">
      <c r="A607" t="s">
        <v>518</v>
      </c>
      <c r="B607" t="s">
        <v>519</v>
      </c>
      <c r="C607" t="s">
        <v>1009</v>
      </c>
      <c r="D607" t="str">
        <f xml:space="preserve"> IF($B607="", "", _xlfn.XLOOKUP(RIGHT($B607), 聲母對照表[十五音], 聲母對照表[台語音標], "N/A"))</f>
        <v>Ø</v>
      </c>
      <c r="E607" t="str">
        <f xml:space="preserve"> IF($B607="", "", _xlfn.XLOOKUP(LEFT($B607), 韻母對照表[十五音], 韻母對照表[台語音標], "N/A"))</f>
        <v>iok</v>
      </c>
      <c r="F607">
        <f xml:space="preserve"> IF($B607="", "", _xlfn.XLOOKUP(MID($B607,2,1), 聲調對照表[十五音調號], 聲調對照表[傳統八聲調], "N/A"))</f>
        <v>7</v>
      </c>
    </row>
    <row r="608" spans="1:6">
      <c r="A608" t="s">
        <v>25</v>
      </c>
      <c r="B608" t="s">
        <v>26</v>
      </c>
      <c r="C608" t="s">
        <v>584</v>
      </c>
      <c r="D608" t="str">
        <f xml:space="preserve"> IF($B608="", "", _xlfn.XLOOKUP(RIGHT($B608), 聲母對照表[十五音], 聲母對照表[台語音標], "N/A"))</f>
        <v>z</v>
      </c>
      <c r="E608" t="str">
        <f xml:space="preserve"> IF($B608="", "", _xlfn.XLOOKUP(LEFT($B608), 韻母對照表[十五音], 韻母對照表[台語音標], "N/A"))</f>
        <v>i</v>
      </c>
      <c r="F608">
        <f xml:space="preserve"> IF($B608="", "", _xlfn.XLOOKUP(MID($B608,2,1), 聲調對照表[十五音調號], 聲調對照表[傳統八聲調], "N/A"))</f>
        <v>1</v>
      </c>
    </row>
    <row r="609" spans="1:6">
      <c r="A609" t="s">
        <v>67</v>
      </c>
      <c r="B609" t="s">
        <v>68</v>
      </c>
      <c r="C609" t="s">
        <v>622</v>
      </c>
      <c r="D609" t="str">
        <f xml:space="preserve"> IF($B609="", "", _xlfn.XLOOKUP(RIGHT($B609), 聲母對照表[十五音], 聲母對照表[台語音標], "N/A"))</f>
        <v>p</v>
      </c>
      <c r="E609" t="str">
        <f xml:space="preserve"> IF($B609="", "", _xlfn.XLOOKUP(LEFT($B609), 韻母對照表[十五音], 韻母對照表[台語音標], "N/A"))</f>
        <v>un</v>
      </c>
      <c r="F609">
        <f xml:space="preserve"> IF($B609="", "", _xlfn.XLOOKUP(MID($B609,2,1), 聲調對照表[十五音調號], 聲調對照表[傳統八聲調], "N/A"))</f>
        <v>4</v>
      </c>
    </row>
    <row r="610" spans="1:6">
      <c r="A610" t="s">
        <v>520</v>
      </c>
      <c r="B610" t="s">
        <v>521</v>
      </c>
      <c r="C610" t="s">
        <v>846</v>
      </c>
      <c r="D610" t="str">
        <f xml:space="preserve"> IF($B610="", "", _xlfn.XLOOKUP(RIGHT($B610), 聲母對照表[十五音], 聲母對照表[台語音標], "N/A"))</f>
        <v>k</v>
      </c>
      <c r="E610" t="str">
        <f xml:space="preserve"> IF($B610="", "", _xlfn.XLOOKUP(LEFT($B610), 韻母對照表[十五音], 韻母對照表[台語音標], "N/A"))</f>
        <v>ian</v>
      </c>
      <c r="F610">
        <f xml:space="preserve"> IF($B610="", "", _xlfn.XLOOKUP(MID($B610,2,1), 聲調對照表[十五音調號], 聲調對照表[傳統八聲調], "N/A"))</f>
        <v>8</v>
      </c>
    </row>
    <row r="611" spans="1:6">
      <c r="A611" t="s">
        <v>29</v>
      </c>
      <c r="D611" t="str">
        <f xml:space="preserve"> IF($B611="", "", _xlfn.XLOOKUP(RIGHT($B611), 聲母對照表[十五音], 聲母對照表[台語音標], "N/A"))</f>
        <v/>
      </c>
      <c r="E611" t="str">
        <f xml:space="preserve"> IF($B611="", "", _xlfn.XLOOKUP(LEFT($B611), 韻母對照表[十五音], 韻母對照表[台語音標], "N/A"))</f>
        <v/>
      </c>
      <c r="F611" t="str">
        <f xml:space="preserve"> IF($B611="", "", _xlfn.XLOOKUP(MID($B611,2,1), 聲調對照表[十五音調號], 聲調對照表[傳統八聲調], "N/A"))</f>
        <v/>
      </c>
    </row>
    <row r="612" spans="1:6">
      <c r="A612" t="s">
        <v>181</v>
      </c>
      <c r="B612" t="s">
        <v>182</v>
      </c>
      <c r="C612" t="s">
        <v>688</v>
      </c>
      <c r="D612" t="str">
        <f xml:space="preserve"> IF($B612="", "", _xlfn.XLOOKUP(RIGHT($B612), 聲母對照表[十五音], 聲母對照表[台語音標], "N/A"))</f>
        <v>s</v>
      </c>
      <c r="E612" t="str">
        <f xml:space="preserve"> IF($B612="", "", _xlfn.XLOOKUP(LEFT($B612), 韻母對照表[十五音], 韻母對照表[台語音標], "N/A"))</f>
        <v>i</v>
      </c>
      <c r="F612">
        <f xml:space="preserve"> IF($B612="", "", _xlfn.XLOOKUP(MID($B612,2,1), 聲調對照表[十五音調號], 聲調對照表[傳統八聲調], "N/A"))</f>
        <v>2</v>
      </c>
    </row>
    <row r="613" spans="1:6">
      <c r="A613" t="s">
        <v>522</v>
      </c>
      <c r="B613" t="s">
        <v>288</v>
      </c>
      <c r="C613" t="s">
        <v>744</v>
      </c>
      <c r="D613" t="str">
        <f xml:space="preserve"> IF($B613="", "", _xlfn.XLOOKUP(RIGHT($B613), 聲母對照表[十五音], 聲母對照表[台語音標], "N/A"))</f>
        <v>z</v>
      </c>
      <c r="E613" t="str">
        <f xml:space="preserve"> IF($B613="", "", _xlfn.XLOOKUP(LEFT($B613), 韻母對照表[十五音], 韻母對照表[台語音標], "N/A"))</f>
        <v>o</v>
      </c>
      <c r="F613">
        <f xml:space="preserve"> IF($B613="", "", _xlfn.XLOOKUP(MID($B613,2,1), 聲調對照表[十五音調號], 聲調對照表[傳統八聲調], "N/A"))</f>
        <v>2</v>
      </c>
    </row>
    <row r="614" spans="1:6">
      <c r="A614" t="s">
        <v>488</v>
      </c>
      <c r="B614" t="s">
        <v>489</v>
      </c>
      <c r="C614" t="s">
        <v>832</v>
      </c>
      <c r="D614" t="str">
        <f xml:space="preserve"> IF($B614="", "", _xlfn.XLOOKUP(RIGHT($B614), 聲母對照表[十五音], 聲母對照表[台語音標], "N/A"))</f>
        <v>b</v>
      </c>
      <c r="E614" t="str">
        <f xml:space="preserve"> IF($B614="", "", _xlfn.XLOOKUP(LEFT($B614), 韻母對照表[十五音], 韻母對照表[台語音標], "N/A"))</f>
        <v>un</v>
      </c>
      <c r="F614">
        <f xml:space="preserve"> IF($B614="", "", _xlfn.XLOOKUP(MID($B614,2,1), 聲調對照表[十五音調號], 聲調對照表[傳統八聲調], "N/A"))</f>
        <v>8</v>
      </c>
    </row>
    <row r="615" spans="1:6">
      <c r="A615" t="s">
        <v>237</v>
      </c>
      <c r="B615" t="s">
        <v>238</v>
      </c>
      <c r="C615" t="s">
        <v>718</v>
      </c>
      <c r="D615" t="str">
        <f xml:space="preserve"> IF($B615="", "", _xlfn.XLOOKUP(RIGHT($B615), 聲母對照表[十五音], 聲母對照表[台語音標], "N/A"))</f>
        <v>z</v>
      </c>
      <c r="E615" t="str">
        <f xml:space="preserve"> IF($B615="", "", _xlfn.XLOOKUP(LEFT($B615), 韻母對照表[十五音], 韻母對照表[台語音標], "N/A"))</f>
        <v>ia</v>
      </c>
      <c r="F615">
        <f xml:space="preserve"> IF($B615="", "", _xlfn.XLOOKUP(MID($B615,2,1), 聲調對照表[十五音調號], 聲調對照表[傳統八聲調], "N/A"))</f>
        <v>2</v>
      </c>
    </row>
    <row r="616" spans="1:6">
      <c r="A616" t="s">
        <v>25</v>
      </c>
      <c r="B616" t="s">
        <v>26</v>
      </c>
      <c r="C616" t="s">
        <v>584</v>
      </c>
      <c r="D616" t="str">
        <f xml:space="preserve"> IF($B616="", "", _xlfn.XLOOKUP(RIGHT($B616), 聲母對照表[十五音], 聲母對照表[台語音標], "N/A"))</f>
        <v>z</v>
      </c>
      <c r="E616" t="str">
        <f xml:space="preserve"> IF($B616="", "", _xlfn.XLOOKUP(LEFT($B616), 韻母對照表[十五音], 韻母對照表[台語音標], "N/A"))</f>
        <v>i</v>
      </c>
      <c r="F616">
        <f xml:space="preserve"> IF($B616="", "", _xlfn.XLOOKUP(MID($B616,2,1), 聲調對照表[十五音調號], 聲調對照表[傳統八聲調], "N/A"))</f>
        <v>1</v>
      </c>
    </row>
    <row r="617" spans="1:6">
      <c r="A617" t="s">
        <v>428</v>
      </c>
      <c r="B617" t="s">
        <v>429</v>
      </c>
      <c r="C617" t="s">
        <v>804</v>
      </c>
      <c r="D617" t="str">
        <f xml:space="preserve"> IF($B617="", "", _xlfn.XLOOKUP(RIGHT($B617), 聲母對照表[十五音], 聲母對照表[台語音標], "N/A"))</f>
        <v>b</v>
      </c>
      <c r="E617" t="str">
        <f xml:space="preserve"> IF($B617="", "", _xlfn.XLOOKUP(LEFT($B617), 韻母對照表[十五音], 韻母對照表[台語音標], "N/A"))</f>
        <v>u</v>
      </c>
      <c r="F617">
        <f xml:space="preserve"> IF($B617="", "", _xlfn.XLOOKUP(MID($B617,2,1), 聲調對照表[十五音調號], 聲調對照表[傳統八聲調], "N/A"))</f>
        <v>5</v>
      </c>
    </row>
    <row r="618" spans="1:6">
      <c r="A618" t="s">
        <v>494</v>
      </c>
      <c r="B618" t="s">
        <v>495</v>
      </c>
      <c r="C618" t="s">
        <v>836</v>
      </c>
      <c r="D618" t="str">
        <f xml:space="preserve"> IF($B618="", "", _xlfn.XLOOKUP(RIGHT($B618), 聲母對照表[十五音], 聲母對照表[台語音標], "N/A"))</f>
        <v>z</v>
      </c>
      <c r="E618" t="str">
        <f xml:space="preserve"> IF($B618="", "", _xlfn.XLOOKUP(LEFT($B618), 韻母對照表[十五音], 韻母對照表[台語音標], "N/A"))</f>
        <v>in</v>
      </c>
      <c r="F618">
        <f xml:space="preserve"> IF($B618="", "", _xlfn.XLOOKUP(MID($B618,2,1), 聲調對照表[十五音調號], 聲調對照表[傳統八聲調], "N/A"))</f>
        <v>2</v>
      </c>
    </row>
    <row r="619" spans="1:6">
      <c r="A619" t="s">
        <v>523</v>
      </c>
      <c r="B619" t="s">
        <v>524</v>
      </c>
      <c r="C619" t="s">
        <v>847</v>
      </c>
      <c r="D619" t="str">
        <f xml:space="preserve"> IF($B619="", "", _xlfn.XLOOKUP(RIGHT($B619), 聲母對照表[十五音], 聲母對照表[台語音標], "N/A"))</f>
        <v>z</v>
      </c>
      <c r="E619" t="str">
        <f xml:space="preserve"> IF($B619="", "", _xlfn.XLOOKUP(LEFT($B619), 韻母對照表[十五音], 韻母對照表[台語音標], "N/A"))</f>
        <v>ok</v>
      </c>
      <c r="F619">
        <f xml:space="preserve"> IF($B619="", "", _xlfn.XLOOKUP(MID($B619,2,1), 聲調對照表[十五音調號], 聲調對照表[傳統八聲調], "N/A"))</f>
        <v>5</v>
      </c>
    </row>
    <row r="620" spans="1:6">
      <c r="A620" t="s">
        <v>294</v>
      </c>
      <c r="B620" t="s">
        <v>295</v>
      </c>
      <c r="C620" t="s">
        <v>990</v>
      </c>
      <c r="D620" t="str">
        <f xml:space="preserve"> IF($B620="", "", _xlfn.XLOOKUP(RIGHT($B620), 聲母對照表[十五音], 聲母對照表[台語音標], "N/A"))</f>
        <v>Ø</v>
      </c>
      <c r="E620" t="str">
        <f xml:space="preserve"> IF($B620="", "", _xlfn.XLOOKUP(LEFT($B620), 韻母對照表[十五音], 韻母對照表[台語音標], "N/A"))</f>
        <v>ia</v>
      </c>
      <c r="F620">
        <f xml:space="preserve"> IF($B620="", "", _xlfn.XLOOKUP(MID($B620,2,1), 聲調對照表[十五音調號], 聲調對照表[傳統八聲調], "N/A"))</f>
        <v>2</v>
      </c>
    </row>
    <row r="621" spans="1:6">
      <c r="A621" t="s">
        <v>29</v>
      </c>
      <c r="D621" t="str">
        <f xml:space="preserve"> IF($B621="", "", _xlfn.XLOOKUP(RIGHT($B621), 聲母對照表[十五音], 聲母對照表[台語音標], "N/A"))</f>
        <v/>
      </c>
      <c r="E621" t="str">
        <f xml:space="preserve"> IF($B621="", "", _xlfn.XLOOKUP(LEFT($B621), 韻母對照表[十五音], 韻母對照表[台語音標], "N/A"))</f>
        <v/>
      </c>
      <c r="F621" t="str">
        <f xml:space="preserve"> IF($B621="", "", _xlfn.XLOOKUP(MID($B621,2,1), 聲調對照表[十五音調號], 聲調對照表[傳統八聲調], "N/A"))</f>
        <v/>
      </c>
    </row>
    <row r="622" spans="1:6">
      <c r="A622" t="s">
        <v>157</v>
      </c>
      <c r="B622" t="s">
        <v>150</v>
      </c>
      <c r="C622" t="s">
        <v>664</v>
      </c>
      <c r="D622" t="str">
        <f xml:space="preserve"> IF($B622="", "", _xlfn.XLOOKUP(RIGHT($B622), 聲母對照表[十五音], 聲母對照表[台語音標], "N/A"))</f>
        <v>j</v>
      </c>
      <c r="E622" t="str">
        <f xml:space="preserve"> IF($B622="", "", _xlfn.XLOOKUP(LEFT($B622), 韻母對照表[十五音], 韻母對照表[台語音標], "N/A"))</f>
        <v>i</v>
      </c>
      <c r="F622">
        <f xml:space="preserve"> IF($B622="", "", _xlfn.XLOOKUP(MID($B622,2,1), 聲調對照表[十五音調號], 聲調對照表[傳統八聲調], "N/A"))</f>
        <v>5</v>
      </c>
    </row>
    <row r="623" spans="1:6">
      <c r="A623" t="s">
        <v>381</v>
      </c>
      <c r="B623" s="51" t="s">
        <v>525</v>
      </c>
      <c r="C623" s="51" t="s">
        <v>1010</v>
      </c>
      <c r="D623" t="str">
        <f xml:space="preserve"> IF($B623="", "", _xlfn.XLOOKUP(RIGHT($B623), 聲母對照表[十五音], 聲母對照表[台語音標], "N/A"))</f>
        <v>g</v>
      </c>
      <c r="E623" t="str">
        <f xml:space="preserve"> IF($B623="", "", _xlfn.XLOOKUP(LEFT($B623), 韻母對照表[十五音], 韻母對照表[台語音標], "N/A"))</f>
        <v>ohnn</v>
      </c>
      <c r="F623">
        <f xml:space="preserve"> IF($B623="", "", _xlfn.XLOOKUP(MID($B623,2,1), 聲調對照表[十五音調號], 聲調對照表[傳統八聲調], "N/A"))</f>
        <v>5</v>
      </c>
    </row>
    <row r="624" spans="1:6">
      <c r="A624" t="s">
        <v>40</v>
      </c>
      <c r="B624" t="s">
        <v>41</v>
      </c>
      <c r="C624" t="s">
        <v>946</v>
      </c>
      <c r="D624" t="str">
        <f xml:space="preserve"> IF($B624="", "", _xlfn.XLOOKUP(RIGHT($B624), 聲母對照表[十五音], 聲母對照表[台語音標], "N/A"))</f>
        <v>Ø</v>
      </c>
      <c r="E624" t="str">
        <f xml:space="preserve"> IF($B624="", "", _xlfn.XLOOKUP(LEFT($B624), 韻母對照表[十五音], 韻母對照表[台語音標], "N/A"))</f>
        <v>u</v>
      </c>
      <c r="F624">
        <f xml:space="preserve"> IF($B624="", "", _xlfn.XLOOKUP(MID($B624,2,1), 聲調對照表[十五音調號], 聲調對照表[傳統八聲調], "N/A"))</f>
        <v>2</v>
      </c>
    </row>
    <row r="625" spans="1:6">
      <c r="A625" t="s">
        <v>38</v>
      </c>
      <c r="B625" t="s">
        <v>39</v>
      </c>
      <c r="C625" t="s">
        <v>597</v>
      </c>
      <c r="D625" t="str">
        <f xml:space="preserve"> IF($B625="", "", _xlfn.XLOOKUP(RIGHT($B625), 聲母對照表[十五音], 聲母對照表[台語音標], "N/A"))</f>
        <v>z</v>
      </c>
      <c r="E625" t="str">
        <f xml:space="preserve"> IF($B625="", "", _xlfn.XLOOKUP(LEFT($B625), 韻母對照表[十五音], 韻母對照表[台語音標], "N/A"))</f>
        <v>u</v>
      </c>
      <c r="F625">
        <f xml:space="preserve"> IF($B625="", "", _xlfn.XLOOKUP(MID($B625,2,1), 聲調對照表[十五音調號], 聲調對照表[傳統八聲調], "N/A"))</f>
        <v>2</v>
      </c>
    </row>
    <row r="626" spans="1:6">
      <c r="A626" t="s">
        <v>25</v>
      </c>
      <c r="B626" t="s">
        <v>26</v>
      </c>
      <c r="C626" t="s">
        <v>584</v>
      </c>
      <c r="D626" t="str">
        <f xml:space="preserve"> IF($B626="", "", _xlfn.XLOOKUP(RIGHT($B626), 聲母對照表[十五音], 聲母對照表[台語音標], "N/A"))</f>
        <v>z</v>
      </c>
      <c r="E626" t="str">
        <f xml:space="preserve"> IF($B626="", "", _xlfn.XLOOKUP(LEFT($B626), 韻母對照表[十五音], 韻母對照表[台語音標], "N/A"))</f>
        <v>i</v>
      </c>
      <c r="F626">
        <f xml:space="preserve"> IF($B626="", "", _xlfn.XLOOKUP(MID($B626,2,1), 聲調對照表[十五音調號], 聲調對照表[傳統八聲調], "N/A"))</f>
        <v>1</v>
      </c>
    </row>
    <row r="627" spans="1:6">
      <c r="A627" t="s">
        <v>132</v>
      </c>
      <c r="B627" t="s">
        <v>133</v>
      </c>
      <c r="C627" t="s">
        <v>663</v>
      </c>
      <c r="D627" t="str">
        <f xml:space="preserve"> IF($B627="", "", _xlfn.XLOOKUP(RIGHT($B627), 聲母對照表[十五音], 聲母對照表[台語音標], "N/A"))</f>
        <v>s</v>
      </c>
      <c r="E627" t="str">
        <f xml:space="preserve"> IF($B627="", "", _xlfn.XLOOKUP(LEFT($B627), 韻母對照表[十五音], 韻母對照表[台語音標], "N/A"))</f>
        <v>oo</v>
      </c>
      <c r="F627">
        <f xml:space="preserve"> IF($B627="", "", _xlfn.XLOOKUP(MID($B627,2,1), 聲調對照表[十五音調號], 聲調對照表[傳統八聲調], "N/A"))</f>
        <v>2</v>
      </c>
    </row>
    <row r="628" spans="1:6">
      <c r="A628" t="s">
        <v>526</v>
      </c>
      <c r="B628" t="s">
        <v>527</v>
      </c>
      <c r="C628" t="s">
        <v>848</v>
      </c>
      <c r="D628" t="str">
        <f xml:space="preserve"> IF($B628="", "", _xlfn.XLOOKUP(RIGHT($B628), 聲母對照表[十五音], 聲母對照表[台語音標], "N/A"))</f>
        <v>k</v>
      </c>
      <c r="E628" t="str">
        <f xml:space="preserve"> IF($B628="", "", _xlfn.XLOOKUP(LEFT($B628), 韻母對照表[十五音], 韻母對照表[台語音標], "N/A"))</f>
        <v>iok</v>
      </c>
      <c r="F628">
        <f xml:space="preserve"> IF($B628="", "", _xlfn.XLOOKUP(MID($B628,2,1), 聲調對照表[十五音調號], 聲調對照表[傳統八聲調], "N/A"))</f>
        <v>1</v>
      </c>
    </row>
    <row r="629" spans="1:6">
      <c r="A629" t="s">
        <v>528</v>
      </c>
      <c r="B629" t="s">
        <v>20</v>
      </c>
      <c r="C629" t="s">
        <v>578</v>
      </c>
      <c r="D629" t="str">
        <f xml:space="preserve"> IF($B629="", "", _xlfn.XLOOKUP(RIGHT($B629), 聲母對照表[十五音], 聲母對照表[台語音標], "N/A"))</f>
        <v>s</v>
      </c>
      <c r="E629" t="str">
        <f xml:space="preserve"> IF($B629="", "", _xlfn.XLOOKUP(LEFT($B629), 韻母對照表[十五音], 韻母對照表[台語音標], "N/A"))</f>
        <v>ik</v>
      </c>
      <c r="F629">
        <f xml:space="preserve"> IF($B629="", "", _xlfn.XLOOKUP(MID($B629,2,1), 聲調對照表[十五音調號], 聲調對照表[傳統八聲調], "N/A"))</f>
        <v>4</v>
      </c>
    </row>
    <row r="630" spans="1:6">
      <c r="A630" t="s">
        <v>54</v>
      </c>
      <c r="D630" t="str">
        <f xml:space="preserve"> IF($B630="", "", _xlfn.XLOOKUP(RIGHT($B630), 聲母對照表[十五音], 聲母對照表[台語音標], "N/A"))</f>
        <v/>
      </c>
      <c r="E630" t="str">
        <f xml:space="preserve"> IF($B630="", "", _xlfn.XLOOKUP(LEFT($B630), 韻母對照表[十五音], 韻母對照表[台語音標], "N/A"))</f>
        <v/>
      </c>
      <c r="F630" t="str">
        <f xml:space="preserve"> IF($B630="", "", _xlfn.XLOOKUP(MID($B630,2,1), 聲調對照表[十五音調號], 聲調對照表[傳統八聲調], "N/A"))</f>
        <v/>
      </c>
    </row>
    <row r="631" spans="1:6">
      <c r="A631" t="s">
        <v>195</v>
      </c>
      <c r="D631" t="str">
        <f xml:space="preserve"> IF($B631="", "", _xlfn.XLOOKUP(RIGHT($B631), 聲母對照表[十五音], 聲母對照表[台語音標], "N/A"))</f>
        <v/>
      </c>
      <c r="E631" t="str">
        <f xml:space="preserve"> IF($B631="", "", _xlfn.XLOOKUP(LEFT($B631), 韻母對照表[十五音], 韻母對照表[台語音標], "N/A"))</f>
        <v/>
      </c>
      <c r="F631" t="str">
        <f xml:space="preserve"> IF($B631="", "", _xlfn.XLOOKUP(MID($B631,2,1), 聲調對照表[十五音調號], 聲調對照表[傳統八聲調], "N/A"))</f>
        <v/>
      </c>
    </row>
    <row r="632" spans="1:6">
      <c r="A632" t="s">
        <v>228</v>
      </c>
      <c r="D632" t="str">
        <f xml:space="preserve"> IF($B632="", "", _xlfn.XLOOKUP(RIGHT($B632), 聲母對照表[十五音], 聲母對照表[台語音標], "N/A"))</f>
        <v/>
      </c>
      <c r="E632" t="str">
        <f xml:space="preserve"> IF($B632="", "", _xlfn.XLOOKUP(LEFT($B632), 韻母對照表[十五音], 韻母對照表[台語音標], "N/A"))</f>
        <v/>
      </c>
      <c r="F632" t="str">
        <f xml:space="preserve"> IF($B632="", "", _xlfn.XLOOKUP(MID($B632,2,1), 聲調對照表[十五音調號], 聲調對照表[傳統八聲調], "N/A"))</f>
        <v/>
      </c>
    </row>
    <row r="633" spans="1:6">
      <c r="A633" t="s">
        <v>42</v>
      </c>
      <c r="B633" t="s">
        <v>43</v>
      </c>
      <c r="C633" t="s">
        <v>600</v>
      </c>
      <c r="D633" t="str">
        <f xml:space="preserve"> IF($B633="", "", _xlfn.XLOOKUP(RIGHT($B633), 聲母對照表[十五音], 聲母對照表[台語音標], "N/A"))</f>
        <v>kh</v>
      </c>
      <c r="E633" t="str">
        <f xml:space="preserve"> IF($B633="", "", _xlfn.XLOOKUP(LEFT($B633), 韻母對照表[十五音], 韻母對照表[台語音標], "N/A"))</f>
        <v>ik</v>
      </c>
      <c r="F633">
        <f xml:space="preserve"> IF($B633="", "", _xlfn.XLOOKUP(MID($B633,2,1), 聲調對照表[十五音調號], 聲調對照表[傳統八聲調], "N/A"))</f>
        <v>4</v>
      </c>
    </row>
    <row r="634" spans="1:6">
      <c r="A634" t="s">
        <v>529</v>
      </c>
      <c r="B634" t="s">
        <v>530</v>
      </c>
      <c r="C634" t="s">
        <v>849</v>
      </c>
      <c r="D634" t="str">
        <f xml:space="preserve"> IF($B634="", "", _xlfn.XLOOKUP(RIGHT($B634), 聲母對照表[十五音], 聲母對照表[台語音標], "N/A"))</f>
        <v>h</v>
      </c>
      <c r="E634" t="str">
        <f xml:space="preserve"> IF($B634="", "", _xlfn.XLOOKUP(LEFT($B634), 韻母對照表[十五音], 韻母對照表[台語音標], "N/A"))</f>
        <v>i</v>
      </c>
      <c r="F634">
        <f xml:space="preserve"> IF($B634="", "", _xlfn.XLOOKUP(MID($B634,2,1), 聲調對照表[十五音調號], 聲調對照表[傳統八聲調], "N/A"))</f>
        <v>2</v>
      </c>
    </row>
    <row r="635" spans="1:6">
      <c r="A635" t="s">
        <v>157</v>
      </c>
      <c r="B635" t="s">
        <v>150</v>
      </c>
      <c r="C635" t="s">
        <v>664</v>
      </c>
      <c r="D635" t="str">
        <f xml:space="preserve"> IF($B635="", "", _xlfn.XLOOKUP(RIGHT($B635), 聲母對照表[十五音], 聲母對照表[台語音標], "N/A"))</f>
        <v>j</v>
      </c>
      <c r="E635" t="str">
        <f xml:space="preserve"> IF($B635="", "", _xlfn.XLOOKUP(LEFT($B635), 韻母對照表[十五音], 韻母對照表[台語音標], "N/A"))</f>
        <v>i</v>
      </c>
      <c r="F635">
        <f xml:space="preserve"> IF($B635="", "", _xlfn.XLOOKUP(MID($B635,2,1), 聲調對照表[十五音調號], 聲調對照表[傳統八聲調], "N/A"))</f>
        <v>5</v>
      </c>
    </row>
    <row r="636" spans="1:6">
      <c r="A636" t="s">
        <v>531</v>
      </c>
      <c r="B636" t="s">
        <v>532</v>
      </c>
      <c r="C636" t="s">
        <v>850</v>
      </c>
      <c r="D636" t="str">
        <f xml:space="preserve"> IF($B636="", "", _xlfn.XLOOKUP(RIGHT($B636), 聲母對照表[十五音], 聲母對照表[台語音標], "N/A"))</f>
        <v>s</v>
      </c>
      <c r="E636" t="str">
        <f xml:space="preserve"> IF($B636="", "", _xlfn.XLOOKUP(LEFT($B636), 韻母對照表[十五音], 韻母對照表[台語音標], "N/A"))</f>
        <v>iau</v>
      </c>
      <c r="F636">
        <f xml:space="preserve"> IF($B636="", "", _xlfn.XLOOKUP(MID($B636,2,1), 聲調對照表[十五音調號], 聲調對照表[傳統八聲調], "N/A"))</f>
        <v>3</v>
      </c>
    </row>
    <row r="637" spans="1:6">
      <c r="A637" t="s">
        <v>29</v>
      </c>
      <c r="D637" t="str">
        <f xml:space="preserve"> IF($B637="", "", _xlfn.XLOOKUP(RIGHT($B637), 聲母對照表[十五音], 聲母對照表[台語音標], "N/A"))</f>
        <v/>
      </c>
      <c r="E637" t="str">
        <f xml:space="preserve"> IF($B637="", "", _xlfn.XLOOKUP(LEFT($B637), 韻母對照表[十五音], 韻母對照表[台語音標], "N/A"))</f>
        <v/>
      </c>
      <c r="F637" t="str">
        <f xml:space="preserve"> IF($B637="", "", _xlfn.XLOOKUP(MID($B637,2,1), 聲調對照表[十五音調號], 聲調對照表[傳統八聲調], "N/A"))</f>
        <v/>
      </c>
    </row>
    <row r="638" spans="1:6">
      <c r="A638" t="s">
        <v>533</v>
      </c>
      <c r="B638" t="s">
        <v>534</v>
      </c>
      <c r="C638" t="s">
        <v>1011</v>
      </c>
      <c r="D638" t="str">
        <f xml:space="preserve"> IF($B638="", "", _xlfn.XLOOKUP(RIGHT($B638), 聲母對照表[十五音], 聲母對照表[台語音標], "N/A"))</f>
        <v>s</v>
      </c>
      <c r="E638" t="str">
        <f xml:space="preserve"> IF($B638="", "", _xlfn.XLOOKUP(LEFT($B638), 韻母對照表[十五音], 韻母對照表[台語音標], "N/A"))</f>
        <v>e</v>
      </c>
      <c r="F638">
        <f xml:space="preserve"> IF($B638="", "", _xlfn.XLOOKUP(MID($B638,2,1), 聲調對照表[十五音調號], 聲調對照表[傳統八聲調], "N/A"))</f>
        <v>2</v>
      </c>
    </row>
    <row r="639" spans="1:6">
      <c r="A639" t="s">
        <v>535</v>
      </c>
      <c r="B639" t="s">
        <v>536</v>
      </c>
      <c r="C639" t="s">
        <v>852</v>
      </c>
      <c r="D639" t="str">
        <f xml:space="preserve"> IF($B639="", "", _xlfn.XLOOKUP(RIGHT($B639), 聲母對照表[十五音], 聲母對照表[台語音標], "N/A"))</f>
        <v>z</v>
      </c>
      <c r="E639" t="str">
        <f xml:space="preserve"> IF($B639="", "", _xlfn.XLOOKUP(LEFT($B639), 韻母對照表[十五音], 韻母對照表[台語音標], "N/A"))</f>
        <v>an</v>
      </c>
      <c r="F639">
        <f xml:space="preserve"> IF($B639="", "", _xlfn.XLOOKUP(MID($B639,2,1), 聲調對照表[十五音調號], 聲調對照表[傳統八聲調], "N/A"))</f>
        <v>2</v>
      </c>
    </row>
    <row r="640" spans="1:6">
      <c r="A640" t="s">
        <v>537</v>
      </c>
      <c r="B640" t="s">
        <v>344</v>
      </c>
      <c r="C640" t="s">
        <v>770</v>
      </c>
      <c r="D640" t="str">
        <f xml:space="preserve"> IF($B640="", "", _xlfn.XLOOKUP(RIGHT($B640), 聲母對照表[十五音], 聲母對照表[台語音標], "N/A"))</f>
        <v>k</v>
      </c>
      <c r="E640" t="str">
        <f xml:space="preserve"> IF($B640="", "", _xlfn.XLOOKUP(LEFT($B640), 韻母對照表[十五音], 韻母對照表[台語音標], "N/A"))</f>
        <v>ik</v>
      </c>
      <c r="F640">
        <f xml:space="preserve"> IF($B640="", "", _xlfn.XLOOKUP(MID($B640,2,1), 聲調對照表[十五音調號], 聲調對照表[傳統八聲調], "N/A"))</f>
        <v>1</v>
      </c>
    </row>
    <row r="641" spans="1:6">
      <c r="A641" t="s">
        <v>538</v>
      </c>
      <c r="B641" t="s">
        <v>76</v>
      </c>
      <c r="C641" t="s">
        <v>626</v>
      </c>
      <c r="D641" t="str">
        <f xml:space="preserve"> IF($B641="", "", _xlfn.XLOOKUP(RIGHT($B641), 聲母對照表[十五音], 聲母對照表[台語音標], "N/A"))</f>
        <v>z</v>
      </c>
      <c r="E641" t="str">
        <f xml:space="preserve"> IF($B641="", "", _xlfn.XLOOKUP(LEFT($B641), 韻母對照表[十五音], 韻母對照表[台語音標], "N/A"))</f>
        <v>iok</v>
      </c>
      <c r="F641">
        <f xml:space="preserve"> IF($B641="", "", _xlfn.XLOOKUP(MID($B641,2,1), 聲調對照表[十五音調號], 聲調對照表[傳統八聲調], "N/A"))</f>
        <v>4</v>
      </c>
    </row>
    <row r="642" spans="1:6">
      <c r="A642" t="s">
        <v>54</v>
      </c>
      <c r="D642" t="str">
        <f xml:space="preserve"> IF($B642="", "", _xlfn.XLOOKUP(RIGHT($B642), 聲母對照表[十五音], 聲母對照表[台語音標], "N/A"))</f>
        <v/>
      </c>
      <c r="E642" t="str">
        <f xml:space="preserve"> IF($B642="", "", _xlfn.XLOOKUP(LEFT($B642), 韻母對照表[十五音], 韻母對照表[台語音標], "N/A"))</f>
        <v/>
      </c>
      <c r="F642" t="str">
        <f xml:space="preserve"> IF($B642="", "", _xlfn.XLOOKUP(MID($B642,2,1), 聲調對照表[十五音調號], 聲調對照表[傳統八聲調], "N/A"))</f>
        <v/>
      </c>
    </row>
    <row r="643" spans="1:6">
      <c r="A643" t="s">
        <v>539</v>
      </c>
      <c r="B643" t="s">
        <v>540</v>
      </c>
      <c r="C643" t="s">
        <v>853</v>
      </c>
      <c r="D643" t="str">
        <f xml:space="preserve"> IF($B643="", "", _xlfn.XLOOKUP(RIGHT($B643), 聲母對照表[十五音], 聲母對照表[台語音標], "N/A"))</f>
        <v>h</v>
      </c>
      <c r="E643" t="str">
        <f xml:space="preserve"> IF($B643="", "", _xlfn.XLOOKUP(LEFT($B643), 韻母對照表[十五音], 韻母對照表[台語音標], "N/A"))</f>
        <v>au</v>
      </c>
      <c r="F643">
        <f xml:space="preserve"> IF($B643="", "", _xlfn.XLOOKUP(MID($B643,2,1), 聲調對照表[十五音調號], 聲調對照表[傳統八聲調], "N/A"))</f>
        <v>5</v>
      </c>
    </row>
    <row r="644" spans="1:6">
      <c r="A644" t="s">
        <v>541</v>
      </c>
      <c r="B644" t="s">
        <v>542</v>
      </c>
      <c r="C644" t="s">
        <v>854</v>
      </c>
      <c r="D644" t="str">
        <f xml:space="preserve"> IF($B644="", "", _xlfn.XLOOKUP(RIGHT($B644), 聲母對照表[十五音], 聲母對照表[台語音標], "N/A"))</f>
        <v>h</v>
      </c>
      <c r="E644" t="str">
        <f xml:space="preserve"> IF($B644="", "", _xlfn.XLOOKUP(LEFT($B644), 韻母對照表[十五音], 韻母對照表[台語音標], "N/A"))</f>
        <v>un</v>
      </c>
      <c r="F644">
        <f xml:space="preserve"> IF($B644="", "", _xlfn.XLOOKUP(MID($B644,2,1), 聲調對照表[十五音調號], 聲調對照表[傳統八聲調], "N/A"))</f>
        <v>8</v>
      </c>
    </row>
    <row r="645" spans="1:6">
      <c r="A645" t="s">
        <v>34</v>
      </c>
      <c r="B645" t="s">
        <v>35</v>
      </c>
      <c r="C645" t="s">
        <v>593</v>
      </c>
      <c r="D645" t="str">
        <f xml:space="preserve"> IF($B645="", "", _xlfn.XLOOKUP(RIGHT($B645), 聲母對照表[十五音], 聲母對照表[台語音標], "N/A"))</f>
        <v>k</v>
      </c>
      <c r="E645" t="str">
        <f xml:space="preserve"> IF($B645="", "", _xlfn.XLOOKUP(LEFT($B645), 韻母對照表[十五音], 韻母對照表[台語音標], "N/A"))</f>
        <v>i</v>
      </c>
      <c r="F645">
        <f xml:space="preserve"> IF($B645="", "", _xlfn.XLOOKUP(MID($B645,2,1), 聲調對照表[十五音調號], 聲調對照表[傳統八聲調], "N/A"))</f>
        <v>3</v>
      </c>
    </row>
    <row r="646" spans="1:6">
      <c r="A646" t="s">
        <v>494</v>
      </c>
      <c r="B646" t="s">
        <v>495</v>
      </c>
      <c r="C646" t="s">
        <v>836</v>
      </c>
      <c r="D646" t="str">
        <f xml:space="preserve"> IF($B646="", "", _xlfn.XLOOKUP(RIGHT($B646), 聲母對照表[十五音], 聲母對照表[台語音標], "N/A"))</f>
        <v>z</v>
      </c>
      <c r="E646" t="str">
        <f xml:space="preserve"> IF($B646="", "", _xlfn.XLOOKUP(LEFT($B646), 韻母對照表[十五音], 韻母對照表[台語音標], "N/A"))</f>
        <v>in</v>
      </c>
      <c r="F646">
        <f xml:space="preserve"> IF($B646="", "", _xlfn.XLOOKUP(MID($B646,2,1), 聲調對照表[十五音調號], 聲調對照表[傳統八聲調], "N/A"))</f>
        <v>2</v>
      </c>
    </row>
    <row r="647" spans="1:6">
      <c r="A647" t="s">
        <v>29</v>
      </c>
      <c r="D647" t="str">
        <f xml:space="preserve"> IF($B647="", "", _xlfn.XLOOKUP(RIGHT($B647), 聲母對照表[十五音], 聲母對照表[台語音標], "N/A"))</f>
        <v/>
      </c>
      <c r="E647" t="str">
        <f xml:space="preserve"> IF($B647="", "", _xlfn.XLOOKUP(LEFT($B647), 韻母對照表[十五音], 韻母對照表[台語音標], "N/A"))</f>
        <v/>
      </c>
      <c r="F647" t="str">
        <f xml:space="preserve"> IF($B647="", "", _xlfn.XLOOKUP(MID($B647,2,1), 聲調對照表[十五音調號], 聲調對照表[傳統八聲調], "N/A"))</f>
        <v/>
      </c>
    </row>
    <row r="648" spans="1:6">
      <c r="A648" t="s">
        <v>543</v>
      </c>
      <c r="B648" t="s">
        <v>544</v>
      </c>
      <c r="C648" t="s">
        <v>855</v>
      </c>
      <c r="D648" t="str">
        <f xml:space="preserve"> IF($B648="", "", _xlfn.XLOOKUP(RIGHT($B648), 聲母對照表[十五音], 聲母對照表[台語音標], "N/A"))</f>
        <v>p</v>
      </c>
      <c r="E648" t="str">
        <f xml:space="preserve"> IF($B648="", "", _xlfn.XLOOKUP(LEFT($B648), 韻母對照表[十五音], 韻母對照表[台語音標], "N/A"))</f>
        <v>ue</v>
      </c>
      <c r="F648">
        <f xml:space="preserve"> IF($B648="", "", _xlfn.XLOOKUP(MID($B648,2,1), 聲調對照表[十五音調號], 聲調對照表[傳統八聲調], "N/A"))</f>
        <v>1</v>
      </c>
    </row>
    <row r="649" spans="1:6">
      <c r="A649" t="s">
        <v>545</v>
      </c>
      <c r="B649" t="s">
        <v>546</v>
      </c>
      <c r="C649" t="s">
        <v>856</v>
      </c>
      <c r="D649" t="str">
        <f xml:space="preserve"> IF($B649="", "", _xlfn.XLOOKUP(RIGHT($B649), 聲母對照表[十五音], 聲母對照表[台語音標], "N/A"))</f>
        <v>p</v>
      </c>
      <c r="E649" t="str">
        <f xml:space="preserve"> IF($B649="", "", _xlfn.XLOOKUP(LEFT($B649), 韻母對照表[十五音], 韻母對照表[台語音標], "N/A"))</f>
        <v>uan</v>
      </c>
      <c r="F649">
        <f xml:space="preserve"> IF($B649="", "", _xlfn.XLOOKUP(MID($B649,2,1), 聲調對照表[十五音調號], 聲調對照表[傳統八聲調], "N/A"))</f>
        <v>5</v>
      </c>
    </row>
    <row r="650" spans="1:6">
      <c r="A650" t="s">
        <v>547</v>
      </c>
      <c r="B650" t="s">
        <v>340</v>
      </c>
      <c r="C650" t="s">
        <v>768</v>
      </c>
      <c r="D650" t="str">
        <f xml:space="preserve"> IF($B650="", "", _xlfn.XLOOKUP(RIGHT($B650), 聲母對照表[十五音], 聲母對照表[台語音標], "N/A"))</f>
        <v>l</v>
      </c>
      <c r="E650" t="str">
        <f xml:space="preserve"> IF($B650="", "", _xlfn.XLOOKUP(LEFT($B650), 韻母對照表[十五音], 韻母對照表[台語音標], "N/A"))</f>
        <v>ok</v>
      </c>
      <c r="F650">
        <f xml:space="preserve"> IF($B650="", "", _xlfn.XLOOKUP(MID($B650,2,1), 聲調對照表[十五音調號], 聲調對照表[傳統八聲調], "N/A"))</f>
        <v>5</v>
      </c>
    </row>
    <row r="651" spans="1:6">
      <c r="A651" t="s">
        <v>548</v>
      </c>
      <c r="B651" t="s">
        <v>549</v>
      </c>
      <c r="C651" t="s">
        <v>857</v>
      </c>
      <c r="D651" t="str">
        <f xml:space="preserve"> IF($B651="", "", _xlfn.XLOOKUP(RIGHT($B651), 聲母對照表[十五音], 聲母對照表[台語音標], "N/A"))</f>
        <v>z</v>
      </c>
      <c r="E651" t="str">
        <f xml:space="preserve"> IF($B651="", "", _xlfn.XLOOKUP(LEFT($B651), 韻母對照表[十五音], 韻母對照表[台語音標], "N/A"))</f>
        <v>ik</v>
      </c>
      <c r="F651">
        <f xml:space="preserve"> IF($B651="", "", _xlfn.XLOOKUP(MID($B651,2,1), 聲調對照表[十五音調號], 聲調對照表[傳統八聲調], "N/A"))</f>
        <v>8</v>
      </c>
    </row>
    <row r="652" spans="1:6">
      <c r="A652" t="s">
        <v>29</v>
      </c>
      <c r="D652" t="str">
        <f xml:space="preserve"> IF($B652="", "", _xlfn.XLOOKUP(RIGHT($B652), 聲母對照表[十五音], 聲母對照表[台語音標], "N/A"))</f>
        <v/>
      </c>
      <c r="E652" t="str">
        <f xml:space="preserve"> IF($B652="", "", _xlfn.XLOOKUP(LEFT($B652), 韻母對照表[十五音], 韻母對照表[台語音標], "N/A"))</f>
        <v/>
      </c>
      <c r="F652" t="str">
        <f xml:space="preserve"> IF($B652="", "", _xlfn.XLOOKUP(MID($B652,2,1), 聲調對照表[十五音調號], 聲調對照表[傳統八聲調], "N/A"))</f>
        <v/>
      </c>
    </row>
    <row r="653" spans="1:6">
      <c r="A653" t="s">
        <v>328</v>
      </c>
      <c r="B653" t="s">
        <v>329</v>
      </c>
      <c r="C653" t="s">
        <v>763</v>
      </c>
      <c r="D653" t="str">
        <f xml:space="preserve"> IF($B653="", "", _xlfn.XLOOKUP(RIGHT($B653), 聲母對照表[十五音], 聲母對照表[台語音標], "N/A"))</f>
        <v>s</v>
      </c>
      <c r="E653" t="str">
        <f xml:space="preserve"> IF($B653="", "", _xlfn.XLOOKUP(LEFT($B653), 韻母對照表[十五音], 韻母對照表[台語音標], "N/A"))</f>
        <v>iok</v>
      </c>
      <c r="F653">
        <f xml:space="preserve"> IF($B653="", "", _xlfn.XLOOKUP(MID($B653,2,1), 聲調對照表[十五音調號], 聲調對照表[傳統八聲調], "N/A"))</f>
        <v>1</v>
      </c>
    </row>
    <row r="654" spans="1:6">
      <c r="A654" t="s">
        <v>40</v>
      </c>
      <c r="B654" t="s">
        <v>41</v>
      </c>
      <c r="C654" t="s">
        <v>946</v>
      </c>
      <c r="D654" t="str">
        <f xml:space="preserve"> IF($B654="", "", _xlfn.XLOOKUP(RIGHT($B654), 聲母對照表[十五音], 聲母對照表[台語音標], "N/A"))</f>
        <v>Ø</v>
      </c>
      <c r="E654" t="str">
        <f xml:space="preserve"> IF($B654="", "", _xlfn.XLOOKUP(LEFT($B654), 韻母對照表[十五音], 韻母對照表[台語音標], "N/A"))</f>
        <v>u</v>
      </c>
      <c r="F654">
        <f xml:space="preserve"> IF($B654="", "", _xlfn.XLOOKUP(MID($B654,2,1), 聲調對照表[十五音調號], 聲調對照表[傳統八聲調], "N/A"))</f>
        <v>2</v>
      </c>
    </row>
    <row r="655" spans="1:6">
      <c r="A655" t="s">
        <v>550</v>
      </c>
      <c r="B655" t="s">
        <v>551</v>
      </c>
      <c r="C655" t="s">
        <v>858</v>
      </c>
      <c r="D655" t="str">
        <f xml:space="preserve"> IF($B655="", "", _xlfn.XLOOKUP(RIGHT($B655), 聲母對照表[十五音], 聲母對照表[台語音標], "N/A"))</f>
        <v>z</v>
      </c>
      <c r="E655" t="str">
        <f xml:space="preserve"> IF($B655="", "", _xlfn.XLOOKUP(LEFT($B655), 韻母對照表[十五音], 韻母對照表[台語音標], "N/A"))</f>
        <v>im</v>
      </c>
      <c r="F655">
        <f xml:space="preserve"> IF($B655="", "", _xlfn.XLOOKUP(MID($B655,2,1), 聲調對照表[十五音調號], 聲調對照表[傳統八聲調], "N/A"))</f>
        <v>2</v>
      </c>
    </row>
    <row r="656" spans="1:6">
      <c r="A656" t="s">
        <v>552</v>
      </c>
      <c r="B656" t="s">
        <v>553</v>
      </c>
      <c r="C656" t="s">
        <v>859</v>
      </c>
      <c r="D656" t="str">
        <f xml:space="preserve"> IF($B656="", "", _xlfn.XLOOKUP(RIGHT($B656), 聲母對照表[十五音], 聲母對照表[台語音標], "N/A"))</f>
        <v>z</v>
      </c>
      <c r="E656" t="str">
        <f xml:space="preserve"> IF($B656="", "", _xlfn.XLOOKUP(LEFT($B656), 韻母對照表[十五音], 韻母對照表[台語音標], "N/A"))</f>
        <v>ia</v>
      </c>
      <c r="F656">
        <f xml:space="preserve"> IF($B656="", "", _xlfn.XLOOKUP(MID($B656,2,1), 聲調對照表[十五音調號], 聲調對照表[傳統八聲調], "N/A"))</f>
        <v>7</v>
      </c>
    </row>
    <row r="657" spans="1:6">
      <c r="A657" t="s">
        <v>148</v>
      </c>
      <c r="B657" t="s">
        <v>149</v>
      </c>
      <c r="C657" t="s">
        <v>671</v>
      </c>
      <c r="D657" t="str">
        <f xml:space="preserve"> IF($B657="", "", _xlfn.XLOOKUP(RIGHT($B657), 聲母對照表[十五音], 聲母對照表[台語音標], "N/A"))</f>
        <v>h</v>
      </c>
      <c r="E657" t="str">
        <f xml:space="preserve"> IF($B657="", "", _xlfn.XLOOKUP(LEFT($B657), 韻母對照表[十五音], 韻母對照表[台語音標], "N/A"))</f>
        <v>oo</v>
      </c>
      <c r="F657">
        <f xml:space="preserve"> IF($B657="", "", _xlfn.XLOOKUP(MID($B657,2,1), 聲調對照表[十五音調號], 聲調對照表[傳統八聲調], "N/A"))</f>
        <v>5</v>
      </c>
    </row>
    <row r="658" spans="1:6">
      <c r="A658" t="s">
        <v>46</v>
      </c>
      <c r="B658" t="s">
        <v>47</v>
      </c>
      <c r="C658" t="s">
        <v>604</v>
      </c>
      <c r="D658" t="str">
        <f xml:space="preserve"> IF($B658="", "", _xlfn.XLOOKUP(RIGHT($B658), 聲母對照表[十五音], 聲母對照表[台語音標], "N/A"))</f>
        <v>z</v>
      </c>
      <c r="E658" t="str">
        <f xml:space="preserve"> IF($B658="", "", _xlfn.XLOOKUP(LEFT($B658), 韻母對照表[十五音], 韻母對照表[台語音標], "N/A"))</f>
        <v>iu</v>
      </c>
      <c r="F658">
        <f xml:space="preserve"> IF($B658="", "", _xlfn.XLOOKUP(MID($B658,2,1), 聲調對照表[十五音調號], 聲調對照表[傳統八聲調], "N/A"))</f>
        <v>1</v>
      </c>
    </row>
    <row r="659" spans="1:6">
      <c r="A659" t="s">
        <v>554</v>
      </c>
      <c r="B659" t="s">
        <v>555</v>
      </c>
      <c r="C659" t="s">
        <v>860</v>
      </c>
      <c r="D659" t="str">
        <f xml:space="preserve"> IF($B659="", "", _xlfn.XLOOKUP(RIGHT($B659), 聲母對照表[十五音], 聲母對照表[台語音標], "N/A"))</f>
        <v>t</v>
      </c>
      <c r="E659" t="str">
        <f xml:space="preserve"> IF($B659="", "", _xlfn.XLOOKUP(LEFT($B659), 韻母對照表[十五音], 韻母對照表[台語音標], "N/A"))</f>
        <v>iok</v>
      </c>
      <c r="F659">
        <f xml:space="preserve"> IF($B659="", "", _xlfn.XLOOKUP(MID($B659,2,1), 聲調對照表[十五音調號], 聲調對照表[傳統八聲調], "N/A"))</f>
        <v>1</v>
      </c>
    </row>
    <row r="660" spans="1:6">
      <c r="A660" t="s">
        <v>29</v>
      </c>
      <c r="D660" t="str">
        <f xml:space="preserve"> IF($B660="", "", _xlfn.XLOOKUP(RIGHT($B660), 聲母對照表[十五音], 聲母對照表[台語音標], "N/A"))</f>
        <v/>
      </c>
      <c r="E660" t="str">
        <f xml:space="preserve"> IF($B660="", "", _xlfn.XLOOKUP(LEFT($B660), 韻母對照表[十五音], 韻母對照表[台語音標], "N/A"))</f>
        <v/>
      </c>
      <c r="F660" t="str">
        <f xml:space="preserve"> IF($B660="", "", _xlfn.XLOOKUP(MID($B660,2,1), 聲調對照表[十五音調號], 聲調對照表[傳統八聲調], "N/A"))</f>
        <v/>
      </c>
    </row>
    <row r="661" spans="1:6">
      <c r="A661" t="s">
        <v>67</v>
      </c>
      <c r="B661" t="s">
        <v>68</v>
      </c>
      <c r="C661" t="s">
        <v>622</v>
      </c>
      <c r="D661" t="str">
        <f xml:space="preserve"> IF($B661="", "", _xlfn.XLOOKUP(RIGHT($B661), 聲母對照表[十五音], 聲母對照表[台語音標], "N/A"))</f>
        <v>p</v>
      </c>
      <c r="E661" t="str">
        <f xml:space="preserve"> IF($B661="", "", _xlfn.XLOOKUP(LEFT($B661), 韻母對照表[十五音], 韻母對照表[台語音標], "N/A"))</f>
        <v>un</v>
      </c>
      <c r="F661">
        <f xml:space="preserve"> IF($B661="", "", _xlfn.XLOOKUP(MID($B661,2,1), 聲調對照表[十五音調號], 聲調對照表[傳統八聲調], "N/A"))</f>
        <v>4</v>
      </c>
    </row>
    <row r="662" spans="1:6">
      <c r="A662" t="s">
        <v>158</v>
      </c>
      <c r="B662" t="s">
        <v>159</v>
      </c>
      <c r="C662" t="s">
        <v>675</v>
      </c>
      <c r="D662" t="str">
        <f xml:space="preserve"> IF($B662="", "", _xlfn.XLOOKUP(RIGHT($B662), 聲母對照表[十五音], 聲母對照表[台語音標], "N/A"))</f>
        <v>t</v>
      </c>
      <c r="E662" t="str">
        <f xml:space="preserve"> IF($B662="", "", _xlfn.XLOOKUP(LEFT($B662), 韻母對照表[十五音], 韻母對照表[台語音標], "N/A"))</f>
        <v>i</v>
      </c>
      <c r="F662">
        <f xml:space="preserve"> IF($B662="", "", _xlfn.XLOOKUP(MID($B662,2,1), 聲調對照表[十五音調號], 聲調對照表[傳統八聲調], "N/A"))</f>
        <v>1</v>
      </c>
    </row>
    <row r="663" spans="1:6">
      <c r="A663" t="s">
        <v>97</v>
      </c>
      <c r="B663" t="s">
        <v>98</v>
      </c>
      <c r="C663" t="s">
        <v>640</v>
      </c>
      <c r="D663" t="str">
        <f xml:space="preserve"> IF($B663="", "", _xlfn.XLOOKUP(RIGHT($B663), 聲母對照表[十五音], 聲母對照表[台語音標], "N/A"))</f>
        <v>t</v>
      </c>
      <c r="E663" t="str">
        <f xml:space="preserve"> IF($B663="", "", _xlfn.XLOOKUP(LEFT($B663), 韻母對照表[十五音], 韻母對照表[台語音標], "N/A"))</f>
        <v>ok</v>
      </c>
      <c r="F663">
        <f xml:space="preserve"> IF($B663="", "", _xlfn.XLOOKUP(MID($B663,2,1), 聲調對照表[十五音調號], 聲調對照表[傳統八聲調], "N/A"))</f>
        <v>1</v>
      </c>
    </row>
    <row r="664" spans="1:6">
      <c r="A664" t="s">
        <v>226</v>
      </c>
      <c r="B664" t="s">
        <v>227</v>
      </c>
      <c r="C664" t="s">
        <v>713</v>
      </c>
      <c r="D664" t="str">
        <f xml:space="preserve"> IF($B664="", "", _xlfn.XLOOKUP(RIGHT($B664), 聲母對照表[十五音], 聲母對照表[台語音標], "N/A"))</f>
        <v>h</v>
      </c>
      <c r="E664" t="str">
        <f xml:space="preserve"> IF($B664="", "", _xlfn.XLOOKUP(LEFT($B664), 韻母對照表[十五音], 韻母對照表[台語音標], "N/A"))</f>
        <v>iok</v>
      </c>
      <c r="F664">
        <f xml:space="preserve"> IF($B664="", "", _xlfn.XLOOKUP(MID($B664,2,1), 聲調對照表[十五音調號], 聲調對照表[傳統八聲調], "N/A"))</f>
        <v>5</v>
      </c>
    </row>
    <row r="665" spans="1:6">
      <c r="A665" t="s">
        <v>25</v>
      </c>
      <c r="B665" t="s">
        <v>26</v>
      </c>
      <c r="C665" t="s">
        <v>584</v>
      </c>
      <c r="D665" t="str">
        <f xml:space="preserve"> IF($B665="", "", _xlfn.XLOOKUP(RIGHT($B665), 聲母對照表[十五音], 聲母對照表[台語音標], "N/A"))</f>
        <v>z</v>
      </c>
      <c r="E665" t="str">
        <f xml:space="preserve"> IF($B665="", "", _xlfn.XLOOKUP(LEFT($B665), 韻母對照表[十五音], 韻母對照表[台語音標], "N/A"))</f>
        <v>i</v>
      </c>
      <c r="F665">
        <f xml:space="preserve"> IF($B665="", "", _xlfn.XLOOKUP(MID($B665,2,1), 聲調對照表[十五音調號], 聲調對照表[傳統八聲調], "N/A"))</f>
        <v>1</v>
      </c>
    </row>
    <row r="666" spans="1:6">
      <c r="A666" t="s">
        <v>34</v>
      </c>
      <c r="B666" t="s">
        <v>35</v>
      </c>
      <c r="C666" t="s">
        <v>593</v>
      </c>
      <c r="D666" t="str">
        <f xml:space="preserve"> IF($B666="", "", _xlfn.XLOOKUP(RIGHT($B666), 聲母對照表[十五音], 聲母對照表[台語音標], "N/A"))</f>
        <v>k</v>
      </c>
      <c r="E666" t="str">
        <f xml:space="preserve"> IF($B666="", "", _xlfn.XLOOKUP(LEFT($B666), 韻母對照表[十五音], 韻母對照表[台語音標], "N/A"))</f>
        <v>i</v>
      </c>
      <c r="F666">
        <f xml:space="preserve"> IF($B666="", "", _xlfn.XLOOKUP(MID($B666,2,1), 聲調對照表[十五音調號], 聲調對照表[傳統八聲調], "N/A"))</f>
        <v>3</v>
      </c>
    </row>
    <row r="667" spans="1:6">
      <c r="A667" t="s">
        <v>113</v>
      </c>
      <c r="B667" t="s">
        <v>114</v>
      </c>
      <c r="C667" t="s">
        <v>652</v>
      </c>
      <c r="D667" t="str">
        <f xml:space="preserve"> IF($B667="", "", _xlfn.XLOOKUP(RIGHT($B667), 聲母對照表[十五音], 聲母對照表[台語音標], "N/A"))</f>
        <v>p</v>
      </c>
      <c r="E667" t="str">
        <f xml:space="preserve"> IF($B667="", "", _xlfn.XLOOKUP(LEFT($B667), 韻母對照表[十五音], 韻母對照表[台語音標], "N/A"))</f>
        <v>ik</v>
      </c>
      <c r="F667">
        <f xml:space="preserve"> IF($B667="", "", _xlfn.XLOOKUP(MID($B667,2,1), 聲調對照表[十五音調號], 聲調對照表[傳統八聲調], "N/A"))</f>
        <v>8</v>
      </c>
    </row>
    <row r="668" spans="1:6">
      <c r="A668" t="s">
        <v>54</v>
      </c>
      <c r="D668" t="str">
        <f xml:space="preserve"> IF($B668="", "", _xlfn.XLOOKUP(RIGHT($B668), 聲母對照表[十五音], 聲母對照表[台語音標], "N/A"))</f>
        <v/>
      </c>
      <c r="E668" t="str">
        <f xml:space="preserve"> IF($B668="", "", _xlfn.XLOOKUP(LEFT($B668), 韻母對照表[十五音], 韻母對照表[台語音標], "N/A"))</f>
        <v/>
      </c>
      <c r="F668" t="str">
        <f xml:space="preserve"> IF($B668="", "", _xlfn.XLOOKUP(MID($B668,2,1), 聲調對照表[十五音調號], 聲調對照表[傳統八聲調], "N/A"))</f>
        <v/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545E1-4777-4D9A-931F-05BF5C0D9107}">
  <dimension ref="A1:F668"/>
  <sheetViews>
    <sheetView workbookViewId="0">
      <selection activeCell="C668" sqref="A1:C668"/>
    </sheetView>
  </sheetViews>
  <sheetFormatPr defaultRowHeight="25.5"/>
  <cols>
    <col min="1" max="1" width="4.6640625" bestFit="1" customWidth="1"/>
    <col min="2" max="3" width="8.1640625" bestFit="1" customWidth="1"/>
    <col min="4" max="6" width="11.83203125" bestFit="1" customWidth="1"/>
  </cols>
  <sheetData>
    <row r="1" spans="1:6">
      <c r="A1" t="s">
        <v>0</v>
      </c>
      <c r="B1" t="s">
        <v>1</v>
      </c>
      <c r="C1" t="s">
        <v>556</v>
      </c>
      <c r="D1" t="s">
        <v>557</v>
      </c>
      <c r="E1" t="s">
        <v>558</v>
      </c>
      <c r="F1" t="s">
        <v>559</v>
      </c>
    </row>
    <row r="2" spans="1:6">
      <c r="A2" t="s">
        <v>2</v>
      </c>
    </row>
    <row r="3" spans="1:6">
      <c r="A3" t="s">
        <v>3</v>
      </c>
      <c r="B3" t="s">
        <v>4</v>
      </c>
      <c r="C3" t="s">
        <v>560</v>
      </c>
      <c r="D3" t="s">
        <v>483</v>
      </c>
      <c r="E3" t="s">
        <v>929</v>
      </c>
      <c r="F3">
        <v>5</v>
      </c>
    </row>
    <row r="4" spans="1:6">
      <c r="A4" t="s">
        <v>5</v>
      </c>
      <c r="B4" t="s">
        <v>6</v>
      </c>
      <c r="C4" t="s">
        <v>563</v>
      </c>
      <c r="D4" t="s">
        <v>95</v>
      </c>
      <c r="E4" t="s">
        <v>930</v>
      </c>
      <c r="F4">
        <v>4</v>
      </c>
    </row>
    <row r="5" spans="1:6">
      <c r="A5" t="s">
        <v>7</v>
      </c>
      <c r="B5" t="s">
        <v>8</v>
      </c>
      <c r="C5" t="s">
        <v>566</v>
      </c>
      <c r="D5" t="s">
        <v>931</v>
      </c>
      <c r="E5" t="s">
        <v>930</v>
      </c>
      <c r="F5">
        <v>4</v>
      </c>
    </row>
    <row r="6" spans="1:6">
      <c r="A6" t="s">
        <v>9</v>
      </c>
      <c r="B6" t="s">
        <v>10</v>
      </c>
      <c r="C6" t="s">
        <v>568</v>
      </c>
      <c r="D6" t="s">
        <v>529</v>
      </c>
      <c r="E6" t="s">
        <v>932</v>
      </c>
      <c r="F6">
        <v>3</v>
      </c>
    </row>
    <row r="7" spans="1:6">
      <c r="A7" t="s">
        <v>11</v>
      </c>
    </row>
    <row r="8" spans="1:6">
      <c r="A8" t="s">
        <v>12</v>
      </c>
      <c r="B8" t="s">
        <v>13</v>
      </c>
      <c r="C8" t="s">
        <v>571</v>
      </c>
      <c r="D8" t="s">
        <v>931</v>
      </c>
      <c r="E8" t="s">
        <v>933</v>
      </c>
      <c r="F8">
        <v>4</v>
      </c>
    </row>
    <row r="9" spans="1:6">
      <c r="A9" t="s">
        <v>14</v>
      </c>
      <c r="B9" t="s">
        <v>15</v>
      </c>
      <c r="C9" t="s">
        <v>573</v>
      </c>
      <c r="D9" t="s">
        <v>934</v>
      </c>
      <c r="E9" t="s">
        <v>933</v>
      </c>
      <c r="F9">
        <v>3</v>
      </c>
    </row>
    <row r="10" spans="1:6">
      <c r="A10" t="s">
        <v>16</v>
      </c>
    </row>
    <row r="11" spans="1:6">
      <c r="A11" t="s">
        <v>17</v>
      </c>
      <c r="B11" t="s">
        <v>18</v>
      </c>
      <c r="C11" t="s">
        <v>576</v>
      </c>
      <c r="D11" t="s">
        <v>934</v>
      </c>
      <c r="E11" t="s">
        <v>935</v>
      </c>
      <c r="F11">
        <v>1</v>
      </c>
    </row>
    <row r="12" spans="1:6">
      <c r="A12" t="s">
        <v>19</v>
      </c>
      <c r="B12" t="s">
        <v>20</v>
      </c>
      <c r="C12" t="s">
        <v>578</v>
      </c>
      <c r="D12" t="s">
        <v>934</v>
      </c>
      <c r="E12" t="s">
        <v>930</v>
      </c>
      <c r="F12">
        <v>4</v>
      </c>
    </row>
    <row r="13" spans="1:6">
      <c r="A13" t="s">
        <v>21</v>
      </c>
      <c r="B13" t="s">
        <v>22</v>
      </c>
      <c r="C13" t="s">
        <v>579</v>
      </c>
      <c r="D13" t="s">
        <v>936</v>
      </c>
      <c r="E13" t="s">
        <v>937</v>
      </c>
      <c r="F13">
        <v>5</v>
      </c>
    </row>
    <row r="14" spans="1:6">
      <c r="A14" t="s">
        <v>23</v>
      </c>
      <c r="B14" t="s">
        <v>24</v>
      </c>
      <c r="C14" t="s">
        <v>582</v>
      </c>
      <c r="D14" t="s">
        <v>934</v>
      </c>
      <c r="E14" t="s">
        <v>938</v>
      </c>
      <c r="F14">
        <v>4</v>
      </c>
    </row>
    <row r="15" spans="1:6">
      <c r="A15" t="s">
        <v>25</v>
      </c>
      <c r="B15" t="s">
        <v>26</v>
      </c>
      <c r="C15" t="s">
        <v>584</v>
      </c>
      <c r="D15" t="s">
        <v>483</v>
      </c>
      <c r="E15" t="s">
        <v>939</v>
      </c>
      <c r="F15">
        <v>1</v>
      </c>
    </row>
    <row r="16" spans="1:6">
      <c r="A16" t="s">
        <v>27</v>
      </c>
      <c r="B16" t="s">
        <v>28</v>
      </c>
      <c r="C16" t="s">
        <v>586</v>
      </c>
      <c r="D16" t="s">
        <v>95</v>
      </c>
      <c r="E16" t="s">
        <v>940</v>
      </c>
      <c r="F16">
        <v>1</v>
      </c>
    </row>
    <row r="17" spans="1:6">
      <c r="A17" t="s">
        <v>29</v>
      </c>
    </row>
    <row r="18" spans="1:6">
      <c r="A18" t="s">
        <v>30</v>
      </c>
      <c r="B18" t="s">
        <v>31</v>
      </c>
      <c r="C18" t="s">
        <v>588</v>
      </c>
      <c r="D18" t="s">
        <v>95</v>
      </c>
      <c r="E18" t="s">
        <v>941</v>
      </c>
      <c r="F18">
        <v>4</v>
      </c>
    </row>
    <row r="19" spans="1:6">
      <c r="A19" t="s">
        <v>32</v>
      </c>
      <c r="B19" t="s">
        <v>33</v>
      </c>
      <c r="C19" t="s">
        <v>590</v>
      </c>
      <c r="D19" t="s">
        <v>942</v>
      </c>
      <c r="E19" t="s">
        <v>478</v>
      </c>
      <c r="F19">
        <v>8</v>
      </c>
    </row>
    <row r="20" spans="1:6">
      <c r="A20" t="s">
        <v>34</v>
      </c>
      <c r="B20" t="s">
        <v>35</v>
      </c>
      <c r="C20" t="s">
        <v>593</v>
      </c>
      <c r="D20" t="s">
        <v>943</v>
      </c>
      <c r="E20" t="s">
        <v>939</v>
      </c>
      <c r="F20">
        <v>3</v>
      </c>
    </row>
    <row r="21" spans="1:6">
      <c r="A21" t="s">
        <v>36</v>
      </c>
      <c r="B21" s="51" t="s">
        <v>1808</v>
      </c>
      <c r="C21" s="51" t="s">
        <v>1809</v>
      </c>
      <c r="D21" t="s">
        <v>944</v>
      </c>
      <c r="E21" t="s">
        <v>945</v>
      </c>
      <c r="F21">
        <v>7</v>
      </c>
    </row>
    <row r="22" spans="1:6">
      <c r="A22" t="s">
        <v>29</v>
      </c>
    </row>
    <row r="23" spans="1:6">
      <c r="A23" t="s">
        <v>17</v>
      </c>
      <c r="B23" t="s">
        <v>18</v>
      </c>
      <c r="C23" t="s">
        <v>576</v>
      </c>
      <c r="D23" t="s">
        <v>934</v>
      </c>
      <c r="E23" t="s">
        <v>935</v>
      </c>
      <c r="F23">
        <v>1</v>
      </c>
    </row>
    <row r="24" spans="1:6">
      <c r="A24" t="s">
        <v>38</v>
      </c>
      <c r="B24" t="s">
        <v>39</v>
      </c>
      <c r="C24" t="s">
        <v>597</v>
      </c>
      <c r="D24" t="s">
        <v>483</v>
      </c>
      <c r="E24" t="s">
        <v>932</v>
      </c>
      <c r="F24">
        <v>2</v>
      </c>
    </row>
    <row r="25" spans="1:6">
      <c r="A25" t="s">
        <v>40</v>
      </c>
      <c r="B25" t="s">
        <v>41</v>
      </c>
      <c r="C25" t="s">
        <v>946</v>
      </c>
      <c r="D25" t="s">
        <v>947</v>
      </c>
      <c r="E25" t="s">
        <v>932</v>
      </c>
      <c r="F25">
        <v>2</v>
      </c>
    </row>
    <row r="26" spans="1:6">
      <c r="A26" t="s">
        <v>42</v>
      </c>
      <c r="B26" t="s">
        <v>43</v>
      </c>
      <c r="C26" t="s">
        <v>600</v>
      </c>
      <c r="D26" t="s">
        <v>948</v>
      </c>
      <c r="E26" t="s">
        <v>930</v>
      </c>
      <c r="F26">
        <v>4</v>
      </c>
    </row>
    <row r="27" spans="1:6">
      <c r="A27" t="s">
        <v>44</v>
      </c>
      <c r="B27" t="s">
        <v>45</v>
      </c>
      <c r="C27" t="s">
        <v>602</v>
      </c>
      <c r="D27" t="s">
        <v>529</v>
      </c>
      <c r="E27" t="s">
        <v>478</v>
      </c>
      <c r="F27">
        <v>3</v>
      </c>
    </row>
    <row r="28" spans="1:6">
      <c r="A28" t="s">
        <v>46</v>
      </c>
      <c r="B28" t="s">
        <v>47</v>
      </c>
      <c r="C28" t="s">
        <v>604</v>
      </c>
      <c r="D28" t="s">
        <v>483</v>
      </c>
      <c r="E28" t="s">
        <v>940</v>
      </c>
      <c r="F28">
        <v>1</v>
      </c>
    </row>
    <row r="29" spans="1:6">
      <c r="A29" t="s">
        <v>48</v>
      </c>
      <c r="B29" t="s">
        <v>49</v>
      </c>
      <c r="C29" t="s">
        <v>949</v>
      </c>
      <c r="D29" t="s">
        <v>947</v>
      </c>
      <c r="E29" t="s">
        <v>940</v>
      </c>
      <c r="F29">
        <v>5</v>
      </c>
    </row>
    <row r="30" spans="1:6">
      <c r="A30" t="s">
        <v>50</v>
      </c>
      <c r="B30" t="s">
        <v>51</v>
      </c>
      <c r="C30" t="s">
        <v>950</v>
      </c>
      <c r="D30" t="s">
        <v>947</v>
      </c>
      <c r="E30" t="s">
        <v>932</v>
      </c>
      <c r="F30">
        <v>1</v>
      </c>
    </row>
    <row r="31" spans="1:6">
      <c r="A31" t="s">
        <v>5</v>
      </c>
      <c r="B31" t="s">
        <v>6</v>
      </c>
      <c r="C31" t="s">
        <v>563</v>
      </c>
      <c r="D31" t="s">
        <v>95</v>
      </c>
      <c r="E31" t="s">
        <v>930</v>
      </c>
      <c r="F31">
        <v>4</v>
      </c>
    </row>
    <row r="32" spans="1:6">
      <c r="A32" t="s">
        <v>7</v>
      </c>
      <c r="B32" t="s">
        <v>8</v>
      </c>
      <c r="C32" t="s">
        <v>566</v>
      </c>
      <c r="D32" t="s">
        <v>931</v>
      </c>
      <c r="E32" t="s">
        <v>930</v>
      </c>
      <c r="F32">
        <v>4</v>
      </c>
    </row>
    <row r="33" spans="1:6">
      <c r="A33" t="s">
        <v>25</v>
      </c>
      <c r="B33" t="s">
        <v>26</v>
      </c>
      <c r="C33" t="s">
        <v>584</v>
      </c>
      <c r="D33" t="s">
        <v>483</v>
      </c>
      <c r="E33" t="s">
        <v>939</v>
      </c>
      <c r="F33">
        <v>1</v>
      </c>
    </row>
    <row r="34" spans="1:6">
      <c r="A34" t="s">
        <v>52</v>
      </c>
      <c r="B34" t="s">
        <v>53</v>
      </c>
      <c r="C34" t="s">
        <v>951</v>
      </c>
      <c r="D34" t="s">
        <v>529</v>
      </c>
      <c r="E34" t="s">
        <v>952</v>
      </c>
      <c r="F34">
        <v>2</v>
      </c>
    </row>
    <row r="35" spans="1:6">
      <c r="A35" t="s">
        <v>54</v>
      </c>
    </row>
    <row r="36" spans="1:6">
      <c r="A36" t="s">
        <v>55</v>
      </c>
      <c r="B36" t="s">
        <v>56</v>
      </c>
      <c r="C36" t="s">
        <v>609</v>
      </c>
      <c r="D36" t="s">
        <v>95</v>
      </c>
      <c r="E36" t="s">
        <v>930</v>
      </c>
      <c r="F36">
        <v>1</v>
      </c>
    </row>
    <row r="37" spans="1:6">
      <c r="A37" t="s">
        <v>57</v>
      </c>
      <c r="B37" s="51" t="s">
        <v>1810</v>
      </c>
      <c r="C37" s="51" t="s">
        <v>1811</v>
      </c>
      <c r="D37" t="s">
        <v>529</v>
      </c>
      <c r="E37" t="s">
        <v>945</v>
      </c>
      <c r="F37">
        <v>1</v>
      </c>
    </row>
    <row r="38" spans="1:6">
      <c r="A38" t="s">
        <v>59</v>
      </c>
      <c r="B38" t="s">
        <v>60</v>
      </c>
      <c r="C38" t="s">
        <v>613</v>
      </c>
      <c r="D38" t="s">
        <v>934</v>
      </c>
      <c r="E38" t="s">
        <v>932</v>
      </c>
      <c r="F38">
        <v>5</v>
      </c>
    </row>
    <row r="39" spans="1:6">
      <c r="A39" t="s">
        <v>61</v>
      </c>
      <c r="B39" t="s">
        <v>62</v>
      </c>
      <c r="C39" t="s">
        <v>614</v>
      </c>
      <c r="D39" t="s">
        <v>953</v>
      </c>
      <c r="E39" t="s">
        <v>492</v>
      </c>
      <c r="F39">
        <v>5</v>
      </c>
    </row>
    <row r="40" spans="1:6">
      <c r="A40" t="s">
        <v>29</v>
      </c>
    </row>
    <row r="41" spans="1:6">
      <c r="A41" t="s">
        <v>63</v>
      </c>
      <c r="B41" t="s">
        <v>64</v>
      </c>
      <c r="C41" t="s">
        <v>617</v>
      </c>
      <c r="D41" t="s">
        <v>934</v>
      </c>
      <c r="E41" t="s">
        <v>954</v>
      </c>
      <c r="F41">
        <v>2</v>
      </c>
    </row>
    <row r="42" spans="1:6">
      <c r="A42" t="s">
        <v>65</v>
      </c>
      <c r="B42" t="s">
        <v>66</v>
      </c>
      <c r="C42" t="s">
        <v>619</v>
      </c>
      <c r="D42" t="s">
        <v>955</v>
      </c>
      <c r="E42" t="s">
        <v>956</v>
      </c>
      <c r="F42">
        <v>1</v>
      </c>
    </row>
    <row r="43" spans="1:6">
      <c r="A43" t="s">
        <v>67</v>
      </c>
      <c r="B43" t="s">
        <v>68</v>
      </c>
      <c r="C43" t="s">
        <v>622</v>
      </c>
      <c r="D43" t="s">
        <v>931</v>
      </c>
      <c r="E43" t="s">
        <v>938</v>
      </c>
      <c r="F43">
        <v>4</v>
      </c>
    </row>
    <row r="44" spans="1:6">
      <c r="A44" t="s">
        <v>69</v>
      </c>
      <c r="B44" t="s">
        <v>70</v>
      </c>
      <c r="C44" t="s">
        <v>623</v>
      </c>
      <c r="D44" t="s">
        <v>529</v>
      </c>
      <c r="E44" t="s">
        <v>930</v>
      </c>
      <c r="F44">
        <v>1</v>
      </c>
    </row>
    <row r="45" spans="1:6">
      <c r="A45" t="s">
        <v>29</v>
      </c>
    </row>
    <row r="46" spans="1:6">
      <c r="A46" t="s">
        <v>71</v>
      </c>
      <c r="B46" t="s">
        <v>72</v>
      </c>
      <c r="C46" t="s">
        <v>957</v>
      </c>
      <c r="D46" t="s">
        <v>943</v>
      </c>
      <c r="E46" t="s">
        <v>932</v>
      </c>
      <c r="F46">
        <v>2</v>
      </c>
    </row>
    <row r="47" spans="1:6">
      <c r="A47" t="s">
        <v>73</v>
      </c>
      <c r="B47" t="s">
        <v>74</v>
      </c>
      <c r="C47" t="s">
        <v>625</v>
      </c>
      <c r="D47" t="s">
        <v>483</v>
      </c>
      <c r="E47" t="s">
        <v>940</v>
      </c>
      <c r="F47">
        <v>2</v>
      </c>
    </row>
    <row r="48" spans="1:6">
      <c r="A48" t="s">
        <v>75</v>
      </c>
      <c r="B48" t="s">
        <v>76</v>
      </c>
      <c r="C48" t="s">
        <v>626</v>
      </c>
      <c r="D48" t="s">
        <v>483</v>
      </c>
      <c r="E48" t="s">
        <v>945</v>
      </c>
      <c r="F48">
        <v>4</v>
      </c>
    </row>
    <row r="49" spans="1:6">
      <c r="A49" t="s">
        <v>42</v>
      </c>
      <c r="B49" t="s">
        <v>43</v>
      </c>
      <c r="C49" t="s">
        <v>600</v>
      </c>
      <c r="D49" t="s">
        <v>948</v>
      </c>
      <c r="E49" t="s">
        <v>930</v>
      </c>
      <c r="F49">
        <v>4</v>
      </c>
    </row>
    <row r="50" spans="1:6">
      <c r="A50" t="s">
        <v>29</v>
      </c>
    </row>
    <row r="51" spans="1:6">
      <c r="A51" t="s">
        <v>77</v>
      </c>
      <c r="B51" t="s">
        <v>78</v>
      </c>
      <c r="C51" t="s">
        <v>628</v>
      </c>
      <c r="D51" t="s">
        <v>934</v>
      </c>
      <c r="E51" t="s">
        <v>945</v>
      </c>
      <c r="F51">
        <v>7</v>
      </c>
    </row>
    <row r="52" spans="1:6">
      <c r="A52" t="s">
        <v>79</v>
      </c>
      <c r="B52" t="s">
        <v>80</v>
      </c>
      <c r="C52" t="s">
        <v>629</v>
      </c>
      <c r="D52" t="s">
        <v>944</v>
      </c>
      <c r="E52" t="s">
        <v>930</v>
      </c>
      <c r="F52">
        <v>5</v>
      </c>
    </row>
    <row r="53" spans="1:6">
      <c r="A53" t="s">
        <v>32</v>
      </c>
      <c r="B53" t="s">
        <v>33</v>
      </c>
      <c r="C53" t="s">
        <v>590</v>
      </c>
      <c r="D53" t="s">
        <v>942</v>
      </c>
      <c r="E53" t="s">
        <v>478</v>
      </c>
      <c r="F53">
        <v>8</v>
      </c>
    </row>
    <row r="54" spans="1:6">
      <c r="A54" t="s">
        <v>25</v>
      </c>
      <c r="B54" t="s">
        <v>26</v>
      </c>
      <c r="C54" t="s">
        <v>584</v>
      </c>
      <c r="D54" t="s">
        <v>483</v>
      </c>
      <c r="E54" t="s">
        <v>939</v>
      </c>
      <c r="F54">
        <v>1</v>
      </c>
    </row>
    <row r="55" spans="1:6">
      <c r="A55" t="s">
        <v>81</v>
      </c>
      <c r="B55" t="s">
        <v>82</v>
      </c>
      <c r="C55" t="s">
        <v>630</v>
      </c>
      <c r="D55" t="s">
        <v>934</v>
      </c>
      <c r="E55" t="s">
        <v>939</v>
      </c>
      <c r="F55">
        <v>1</v>
      </c>
    </row>
    <row r="56" spans="1:6">
      <c r="A56" t="s">
        <v>29</v>
      </c>
    </row>
    <row r="57" spans="1:6">
      <c r="A57" t="s">
        <v>83</v>
      </c>
      <c r="B57" t="s">
        <v>84</v>
      </c>
      <c r="C57" t="s">
        <v>631</v>
      </c>
      <c r="D57" t="s">
        <v>943</v>
      </c>
      <c r="E57" t="s">
        <v>956</v>
      </c>
      <c r="F57">
        <v>1</v>
      </c>
    </row>
    <row r="58" spans="1:6">
      <c r="A58" t="s">
        <v>85</v>
      </c>
      <c r="B58" t="s">
        <v>86</v>
      </c>
      <c r="C58" t="s">
        <v>958</v>
      </c>
      <c r="D58" t="s">
        <v>947</v>
      </c>
      <c r="E58" t="s">
        <v>959</v>
      </c>
      <c r="F58">
        <v>2</v>
      </c>
    </row>
    <row r="59" spans="1:6">
      <c r="A59" t="s">
        <v>87</v>
      </c>
      <c r="B59" t="s">
        <v>88</v>
      </c>
      <c r="C59" t="s">
        <v>634</v>
      </c>
      <c r="D59" t="s">
        <v>412</v>
      </c>
      <c r="E59" t="s">
        <v>959</v>
      </c>
      <c r="F59">
        <v>2</v>
      </c>
    </row>
    <row r="60" spans="1:6">
      <c r="A60" t="s">
        <v>25</v>
      </c>
      <c r="B60" t="s">
        <v>26</v>
      </c>
      <c r="C60" t="s">
        <v>584</v>
      </c>
      <c r="D60" t="s">
        <v>483</v>
      </c>
      <c r="E60" t="s">
        <v>939</v>
      </c>
      <c r="F60">
        <v>1</v>
      </c>
    </row>
    <row r="61" spans="1:6">
      <c r="A61" t="s">
        <v>89</v>
      </c>
      <c r="B61" t="s">
        <v>90</v>
      </c>
      <c r="C61" t="s">
        <v>636</v>
      </c>
      <c r="D61" t="s">
        <v>483</v>
      </c>
      <c r="E61" t="s">
        <v>945</v>
      </c>
      <c r="F61">
        <v>1</v>
      </c>
    </row>
    <row r="62" spans="1:6">
      <c r="A62" t="s">
        <v>54</v>
      </c>
    </row>
    <row r="63" spans="1:6">
      <c r="A63" t="s">
        <v>91</v>
      </c>
      <c r="B63" t="s">
        <v>92</v>
      </c>
      <c r="C63" t="s">
        <v>637</v>
      </c>
      <c r="D63" t="s">
        <v>934</v>
      </c>
      <c r="E63" t="s">
        <v>959</v>
      </c>
      <c r="F63">
        <v>2</v>
      </c>
    </row>
    <row r="64" spans="1:6">
      <c r="A64" t="s">
        <v>93</v>
      </c>
      <c r="B64" t="s">
        <v>94</v>
      </c>
      <c r="C64" t="s">
        <v>960</v>
      </c>
      <c r="D64" t="s">
        <v>947</v>
      </c>
      <c r="E64" t="s">
        <v>929</v>
      </c>
      <c r="F64">
        <v>1</v>
      </c>
    </row>
    <row r="65" spans="1:6">
      <c r="A65" t="s">
        <v>29</v>
      </c>
    </row>
    <row r="66" spans="1:6">
      <c r="A66" t="s">
        <v>32</v>
      </c>
      <c r="B66" t="s">
        <v>33</v>
      </c>
      <c r="C66" t="s">
        <v>590</v>
      </c>
      <c r="D66" t="s">
        <v>942</v>
      </c>
      <c r="E66" t="s">
        <v>478</v>
      </c>
      <c r="F66">
        <v>8</v>
      </c>
    </row>
    <row r="67" spans="1:6">
      <c r="A67" t="s">
        <v>95</v>
      </c>
      <c r="B67" t="s">
        <v>96</v>
      </c>
      <c r="C67" t="s">
        <v>639</v>
      </c>
      <c r="D67" t="s">
        <v>95</v>
      </c>
      <c r="E67" t="s">
        <v>954</v>
      </c>
      <c r="F67">
        <v>3</v>
      </c>
    </row>
    <row r="68" spans="1:6">
      <c r="A68" t="s">
        <v>50</v>
      </c>
      <c r="B68" t="s">
        <v>51</v>
      </c>
      <c r="C68" t="s">
        <v>950</v>
      </c>
      <c r="D68" t="s">
        <v>947</v>
      </c>
      <c r="E68" t="s">
        <v>932</v>
      </c>
      <c r="F68">
        <v>1</v>
      </c>
    </row>
    <row r="69" spans="1:6">
      <c r="A69" t="s">
        <v>97</v>
      </c>
      <c r="B69" t="s">
        <v>98</v>
      </c>
      <c r="C69" t="s">
        <v>640</v>
      </c>
      <c r="D69" t="s">
        <v>412</v>
      </c>
      <c r="E69" t="s">
        <v>933</v>
      </c>
      <c r="F69">
        <v>1</v>
      </c>
    </row>
    <row r="70" spans="1:6">
      <c r="A70" t="s">
        <v>99</v>
      </c>
      <c r="B70" t="s">
        <v>100</v>
      </c>
      <c r="C70" t="s">
        <v>641</v>
      </c>
      <c r="D70" t="s">
        <v>934</v>
      </c>
      <c r="E70" t="s">
        <v>961</v>
      </c>
      <c r="F70">
        <v>1</v>
      </c>
    </row>
    <row r="71" spans="1:6">
      <c r="A71" t="s">
        <v>25</v>
      </c>
      <c r="B71" t="s">
        <v>26</v>
      </c>
      <c r="C71" t="s">
        <v>584</v>
      </c>
      <c r="D71" t="s">
        <v>483</v>
      </c>
      <c r="E71" t="s">
        <v>939</v>
      </c>
      <c r="F71">
        <v>1</v>
      </c>
    </row>
    <row r="72" spans="1:6">
      <c r="A72" t="s">
        <v>101</v>
      </c>
      <c r="B72" t="s">
        <v>102</v>
      </c>
      <c r="C72" t="s">
        <v>643</v>
      </c>
      <c r="D72" t="s">
        <v>934</v>
      </c>
      <c r="E72" t="s">
        <v>945</v>
      </c>
      <c r="F72">
        <v>2</v>
      </c>
    </row>
    <row r="73" spans="1:6">
      <c r="A73" t="s">
        <v>29</v>
      </c>
    </row>
    <row r="74" spans="1:6">
      <c r="A74" t="s">
        <v>103</v>
      </c>
      <c r="B74" t="s">
        <v>104</v>
      </c>
      <c r="C74" t="s">
        <v>644</v>
      </c>
      <c r="D74" t="s">
        <v>931</v>
      </c>
      <c r="E74" t="s">
        <v>492</v>
      </c>
      <c r="F74">
        <v>5</v>
      </c>
    </row>
    <row r="75" spans="1:6">
      <c r="A75" t="s">
        <v>105</v>
      </c>
      <c r="B75" t="s">
        <v>106</v>
      </c>
      <c r="C75" t="s">
        <v>645</v>
      </c>
      <c r="D75" t="s">
        <v>529</v>
      </c>
      <c r="E75" t="s">
        <v>962</v>
      </c>
      <c r="F75">
        <v>5</v>
      </c>
    </row>
    <row r="76" spans="1:6">
      <c r="A76" t="s">
        <v>50</v>
      </c>
      <c r="B76" t="s">
        <v>51</v>
      </c>
      <c r="C76" t="s">
        <v>950</v>
      </c>
      <c r="D76" t="s">
        <v>947</v>
      </c>
      <c r="E76" t="s">
        <v>932</v>
      </c>
      <c r="F76">
        <v>1</v>
      </c>
    </row>
    <row r="77" spans="1:6">
      <c r="A77" t="s">
        <v>107</v>
      </c>
      <c r="B77" t="s">
        <v>108</v>
      </c>
      <c r="C77" t="s">
        <v>647</v>
      </c>
      <c r="D77" t="s">
        <v>412</v>
      </c>
      <c r="E77" t="s">
        <v>935</v>
      </c>
      <c r="F77">
        <v>2</v>
      </c>
    </row>
    <row r="78" spans="1:6">
      <c r="A78" t="s">
        <v>109</v>
      </c>
      <c r="B78" t="s">
        <v>110</v>
      </c>
      <c r="C78" t="s">
        <v>963</v>
      </c>
      <c r="D78" t="s">
        <v>942</v>
      </c>
      <c r="E78" t="s">
        <v>932</v>
      </c>
      <c r="F78">
        <v>5</v>
      </c>
    </row>
    <row r="79" spans="1:6">
      <c r="A79" t="s">
        <v>25</v>
      </c>
      <c r="B79" t="s">
        <v>26</v>
      </c>
      <c r="C79" t="s">
        <v>584</v>
      </c>
      <c r="D79" t="s">
        <v>483</v>
      </c>
      <c r="E79" t="s">
        <v>939</v>
      </c>
      <c r="F79">
        <v>1</v>
      </c>
    </row>
    <row r="80" spans="1:6">
      <c r="A80" t="s">
        <v>111</v>
      </c>
      <c r="B80" t="s">
        <v>112</v>
      </c>
      <c r="C80" t="s">
        <v>651</v>
      </c>
      <c r="D80" t="s">
        <v>943</v>
      </c>
      <c r="E80" t="s">
        <v>961</v>
      </c>
      <c r="F80">
        <v>1</v>
      </c>
    </row>
    <row r="81" spans="1:6">
      <c r="A81" t="s">
        <v>29</v>
      </c>
    </row>
    <row r="82" spans="1:6">
      <c r="A82" t="s">
        <v>113</v>
      </c>
      <c r="B82" t="s">
        <v>114</v>
      </c>
      <c r="C82" t="s">
        <v>652</v>
      </c>
      <c r="D82" t="s">
        <v>931</v>
      </c>
      <c r="E82" t="s">
        <v>930</v>
      </c>
      <c r="F82">
        <v>8</v>
      </c>
    </row>
    <row r="83" spans="1:6">
      <c r="A83" t="s">
        <v>115</v>
      </c>
      <c r="B83" t="s">
        <v>116</v>
      </c>
      <c r="C83" t="s">
        <v>653</v>
      </c>
      <c r="D83" t="s">
        <v>953</v>
      </c>
      <c r="E83" t="s">
        <v>935</v>
      </c>
      <c r="F83">
        <v>7</v>
      </c>
    </row>
    <row r="84" spans="1:6">
      <c r="A84" t="s">
        <v>117</v>
      </c>
      <c r="B84" t="s">
        <v>70</v>
      </c>
      <c r="C84" t="s">
        <v>623</v>
      </c>
      <c r="D84" t="s">
        <v>529</v>
      </c>
      <c r="E84" t="s">
        <v>930</v>
      </c>
      <c r="F84">
        <v>1</v>
      </c>
    </row>
    <row r="85" spans="1:6">
      <c r="A85" t="s">
        <v>118</v>
      </c>
      <c r="B85" t="s">
        <v>119</v>
      </c>
      <c r="C85" t="s">
        <v>654</v>
      </c>
      <c r="D85" t="s">
        <v>943</v>
      </c>
      <c r="E85" t="s">
        <v>118</v>
      </c>
      <c r="F85">
        <v>1</v>
      </c>
    </row>
    <row r="86" spans="1:6">
      <c r="A86" t="s">
        <v>29</v>
      </c>
    </row>
    <row r="87" spans="1:6">
      <c r="A87" t="s">
        <v>63</v>
      </c>
      <c r="B87" t="s">
        <v>64</v>
      </c>
      <c r="C87" t="s">
        <v>617</v>
      </c>
      <c r="D87" t="s">
        <v>934</v>
      </c>
      <c r="E87" t="s">
        <v>954</v>
      </c>
      <c r="F87">
        <v>2</v>
      </c>
    </row>
    <row r="88" spans="1:6">
      <c r="A88" t="s">
        <v>120</v>
      </c>
      <c r="B88" t="s">
        <v>121</v>
      </c>
      <c r="C88" t="s">
        <v>656</v>
      </c>
      <c r="D88" t="s">
        <v>943</v>
      </c>
      <c r="E88" t="s">
        <v>933</v>
      </c>
      <c r="F88">
        <v>1</v>
      </c>
    </row>
    <row r="89" spans="1:6">
      <c r="A89" t="s">
        <v>122</v>
      </c>
      <c r="B89" t="s">
        <v>123</v>
      </c>
      <c r="C89" t="s">
        <v>657</v>
      </c>
      <c r="D89" t="s">
        <v>483</v>
      </c>
      <c r="E89" t="s">
        <v>964</v>
      </c>
      <c r="F89">
        <v>4</v>
      </c>
    </row>
    <row r="90" spans="1:6">
      <c r="A90" t="s">
        <v>124</v>
      </c>
      <c r="B90" t="s">
        <v>125</v>
      </c>
      <c r="C90" t="s">
        <v>659</v>
      </c>
      <c r="D90" t="s">
        <v>965</v>
      </c>
      <c r="E90" t="s">
        <v>929</v>
      </c>
      <c r="F90">
        <v>1</v>
      </c>
    </row>
    <row r="91" spans="1:6">
      <c r="A91" t="s">
        <v>126</v>
      </c>
    </row>
    <row r="92" spans="1:6">
      <c r="A92" t="s">
        <v>127</v>
      </c>
      <c r="B92" t="s">
        <v>90</v>
      </c>
      <c r="C92" t="s">
        <v>636</v>
      </c>
      <c r="D92" t="s">
        <v>483</v>
      </c>
      <c r="E92" t="s">
        <v>945</v>
      </c>
      <c r="F92">
        <v>1</v>
      </c>
    </row>
    <row r="93" spans="1:6">
      <c r="A93" t="s">
        <v>128</v>
      </c>
      <c r="B93" t="s">
        <v>129</v>
      </c>
      <c r="C93" t="s">
        <v>966</v>
      </c>
      <c r="D93" t="s">
        <v>947</v>
      </c>
      <c r="E93" t="s">
        <v>941</v>
      </c>
      <c r="F93">
        <v>4</v>
      </c>
    </row>
    <row r="94" spans="1:6">
      <c r="A94" t="s">
        <v>130</v>
      </c>
      <c r="B94" t="s">
        <v>131</v>
      </c>
      <c r="C94" t="s">
        <v>967</v>
      </c>
      <c r="D94" t="s">
        <v>947</v>
      </c>
      <c r="E94" t="s">
        <v>954</v>
      </c>
      <c r="F94">
        <v>2</v>
      </c>
    </row>
    <row r="95" spans="1:6">
      <c r="A95" t="s">
        <v>25</v>
      </c>
      <c r="B95" t="s">
        <v>26</v>
      </c>
      <c r="C95" t="s">
        <v>584</v>
      </c>
      <c r="D95" t="s">
        <v>483</v>
      </c>
      <c r="E95" t="s">
        <v>939</v>
      </c>
      <c r="F95">
        <v>1</v>
      </c>
    </row>
    <row r="96" spans="1:6">
      <c r="A96" t="s">
        <v>132</v>
      </c>
      <c r="B96" t="s">
        <v>133</v>
      </c>
      <c r="C96" t="s">
        <v>663</v>
      </c>
      <c r="D96" t="s">
        <v>934</v>
      </c>
      <c r="E96" t="s">
        <v>935</v>
      </c>
      <c r="F96">
        <v>2</v>
      </c>
    </row>
    <row r="97" spans="1:6">
      <c r="A97" t="s">
        <v>134</v>
      </c>
      <c r="B97" t="s">
        <v>135</v>
      </c>
      <c r="C97" t="s">
        <v>968</v>
      </c>
      <c r="D97" t="s">
        <v>936</v>
      </c>
      <c r="E97" t="s">
        <v>932</v>
      </c>
      <c r="F97">
        <v>5</v>
      </c>
    </row>
    <row r="98" spans="1:6">
      <c r="A98" t="s">
        <v>29</v>
      </c>
    </row>
    <row r="99" spans="1:6">
      <c r="A99" t="s">
        <v>136</v>
      </c>
      <c r="B99" t="s">
        <v>137</v>
      </c>
      <c r="C99" t="s">
        <v>665</v>
      </c>
      <c r="D99" t="s">
        <v>953</v>
      </c>
      <c r="E99" t="s">
        <v>930</v>
      </c>
      <c r="F99">
        <v>5</v>
      </c>
    </row>
    <row r="100" spans="1:6">
      <c r="A100" t="s">
        <v>138</v>
      </c>
      <c r="B100" t="s">
        <v>139</v>
      </c>
      <c r="C100" t="s">
        <v>969</v>
      </c>
      <c r="D100" t="s">
        <v>944</v>
      </c>
      <c r="E100" t="s">
        <v>478</v>
      </c>
      <c r="F100">
        <v>7</v>
      </c>
    </row>
    <row r="101" spans="1:6">
      <c r="A101" t="s">
        <v>140</v>
      </c>
      <c r="B101" t="s">
        <v>141</v>
      </c>
      <c r="C101" t="s">
        <v>667</v>
      </c>
      <c r="D101" t="s">
        <v>948</v>
      </c>
      <c r="E101" t="s">
        <v>930</v>
      </c>
      <c r="F101">
        <v>1</v>
      </c>
    </row>
    <row r="102" spans="1:6">
      <c r="A102" t="s">
        <v>25</v>
      </c>
      <c r="B102" t="s">
        <v>26</v>
      </c>
      <c r="C102" t="s">
        <v>584</v>
      </c>
      <c r="D102" t="s">
        <v>483</v>
      </c>
      <c r="E102" t="s">
        <v>939</v>
      </c>
      <c r="F102">
        <v>1</v>
      </c>
    </row>
    <row r="103" spans="1:6">
      <c r="A103" t="s">
        <v>142</v>
      </c>
      <c r="B103" t="s">
        <v>143</v>
      </c>
      <c r="C103" t="s">
        <v>668</v>
      </c>
      <c r="D103" t="s">
        <v>944</v>
      </c>
      <c r="E103" t="s">
        <v>933</v>
      </c>
      <c r="F103">
        <v>5</v>
      </c>
    </row>
    <row r="104" spans="1:6">
      <c r="A104" t="s">
        <v>144</v>
      </c>
      <c r="B104" t="s">
        <v>145</v>
      </c>
      <c r="C104" t="s">
        <v>669</v>
      </c>
      <c r="D104" t="s">
        <v>936</v>
      </c>
      <c r="E104" t="s">
        <v>929</v>
      </c>
      <c r="F104">
        <v>5</v>
      </c>
    </row>
    <row r="105" spans="1:6">
      <c r="A105" t="s">
        <v>54</v>
      </c>
    </row>
    <row r="106" spans="1:6">
      <c r="A106" t="s">
        <v>146</v>
      </c>
      <c r="B106" t="s">
        <v>147</v>
      </c>
      <c r="C106" t="s">
        <v>670</v>
      </c>
      <c r="D106" t="s">
        <v>529</v>
      </c>
      <c r="E106" t="s">
        <v>956</v>
      </c>
      <c r="F106">
        <v>2</v>
      </c>
    </row>
    <row r="107" spans="1:6">
      <c r="A107" t="s">
        <v>146</v>
      </c>
      <c r="B107" t="s">
        <v>147</v>
      </c>
      <c r="C107" t="s">
        <v>670</v>
      </c>
      <c r="D107" t="s">
        <v>529</v>
      </c>
      <c r="E107" t="s">
        <v>956</v>
      </c>
      <c r="F107">
        <v>2</v>
      </c>
    </row>
    <row r="108" spans="1:6">
      <c r="A108" t="s">
        <v>148</v>
      </c>
      <c r="B108" t="s">
        <v>149</v>
      </c>
      <c r="C108" t="s">
        <v>671</v>
      </c>
      <c r="D108" t="s">
        <v>529</v>
      </c>
      <c r="E108" t="s">
        <v>935</v>
      </c>
      <c r="F108">
        <v>5</v>
      </c>
    </row>
    <row r="109" spans="1:6">
      <c r="A109" t="s">
        <v>134</v>
      </c>
      <c r="B109" s="52" t="s">
        <v>1812</v>
      </c>
      <c r="C109" s="51" t="s">
        <v>1813</v>
      </c>
      <c r="D109" t="s">
        <v>936</v>
      </c>
      <c r="E109" t="s">
        <v>939</v>
      </c>
      <c r="F109">
        <v>5</v>
      </c>
    </row>
    <row r="110" spans="1:6">
      <c r="A110" t="s">
        <v>151</v>
      </c>
      <c r="B110" t="s">
        <v>152</v>
      </c>
      <c r="C110" t="s">
        <v>672</v>
      </c>
      <c r="D110" t="s">
        <v>931</v>
      </c>
      <c r="E110" t="s">
        <v>930</v>
      </c>
      <c r="F110">
        <v>5</v>
      </c>
    </row>
    <row r="111" spans="1:6">
      <c r="A111" t="s">
        <v>153</v>
      </c>
      <c r="B111" t="s">
        <v>154</v>
      </c>
      <c r="C111" t="s">
        <v>673</v>
      </c>
      <c r="D111" t="s">
        <v>529</v>
      </c>
      <c r="E111" t="s">
        <v>932</v>
      </c>
      <c r="F111">
        <v>1</v>
      </c>
    </row>
    <row r="112" spans="1:6">
      <c r="A112" t="s">
        <v>155</v>
      </c>
      <c r="B112" t="s">
        <v>156</v>
      </c>
      <c r="C112" t="s">
        <v>970</v>
      </c>
      <c r="D112" t="s">
        <v>942</v>
      </c>
      <c r="E112" t="s">
        <v>932</v>
      </c>
      <c r="F112">
        <v>7</v>
      </c>
    </row>
    <row r="113" spans="1:6">
      <c r="A113" t="s">
        <v>57</v>
      </c>
      <c r="B113" s="51" t="s">
        <v>1810</v>
      </c>
      <c r="C113" s="51" t="s">
        <v>1811</v>
      </c>
      <c r="D113" t="s">
        <v>529</v>
      </c>
      <c r="E113" t="s">
        <v>945</v>
      </c>
      <c r="F113">
        <v>1</v>
      </c>
    </row>
    <row r="114" spans="1:6">
      <c r="A114" t="s">
        <v>29</v>
      </c>
    </row>
    <row r="115" spans="1:6">
      <c r="A115" t="s">
        <v>157</v>
      </c>
      <c r="B115" t="s">
        <v>150</v>
      </c>
      <c r="C115" t="s">
        <v>664</v>
      </c>
      <c r="D115" t="s">
        <v>936</v>
      </c>
      <c r="E115" t="s">
        <v>939</v>
      </c>
      <c r="F115">
        <v>5</v>
      </c>
    </row>
    <row r="116" spans="1:6">
      <c r="A116" t="s">
        <v>67</v>
      </c>
      <c r="B116" t="s">
        <v>68</v>
      </c>
      <c r="C116" t="s">
        <v>622</v>
      </c>
      <c r="D116" t="s">
        <v>931</v>
      </c>
      <c r="E116" t="s">
        <v>938</v>
      </c>
      <c r="F116">
        <v>4</v>
      </c>
    </row>
    <row r="117" spans="1:6">
      <c r="A117" t="s">
        <v>158</v>
      </c>
      <c r="B117" t="s">
        <v>159</v>
      </c>
      <c r="C117" t="s">
        <v>675</v>
      </c>
      <c r="D117" t="s">
        <v>412</v>
      </c>
      <c r="E117" t="s">
        <v>939</v>
      </c>
      <c r="F117">
        <v>1</v>
      </c>
    </row>
    <row r="118" spans="1:6">
      <c r="A118" t="s">
        <v>160</v>
      </c>
      <c r="B118" t="s">
        <v>161</v>
      </c>
      <c r="C118" t="s">
        <v>676</v>
      </c>
      <c r="D118" t="s">
        <v>943</v>
      </c>
      <c r="E118" t="s">
        <v>939</v>
      </c>
      <c r="F118">
        <v>5</v>
      </c>
    </row>
    <row r="119" spans="1:6">
      <c r="A119" t="s">
        <v>132</v>
      </c>
      <c r="B119" t="s">
        <v>133</v>
      </c>
      <c r="C119" t="s">
        <v>663</v>
      </c>
      <c r="D119" t="s">
        <v>934</v>
      </c>
      <c r="E119" t="s">
        <v>935</v>
      </c>
      <c r="F119">
        <v>2</v>
      </c>
    </row>
    <row r="120" spans="1:6">
      <c r="A120" t="s">
        <v>162</v>
      </c>
      <c r="B120" t="s">
        <v>163</v>
      </c>
      <c r="C120" t="s">
        <v>677</v>
      </c>
      <c r="D120" t="s">
        <v>483</v>
      </c>
      <c r="E120" t="s">
        <v>939</v>
      </c>
      <c r="F120">
        <v>2</v>
      </c>
    </row>
    <row r="121" spans="1:6">
      <c r="A121" t="s">
        <v>126</v>
      </c>
    </row>
    <row r="122" spans="1:6">
      <c r="A122" t="s">
        <v>164</v>
      </c>
      <c r="B122" t="s">
        <v>165</v>
      </c>
      <c r="C122" t="s">
        <v>678</v>
      </c>
      <c r="D122" t="s">
        <v>955</v>
      </c>
      <c r="E122" t="s">
        <v>959</v>
      </c>
      <c r="F122">
        <v>1</v>
      </c>
    </row>
    <row r="123" spans="1:6">
      <c r="A123" t="s">
        <v>164</v>
      </c>
      <c r="B123" t="s">
        <v>165</v>
      </c>
      <c r="C123" t="s">
        <v>678</v>
      </c>
      <c r="D123" t="s">
        <v>955</v>
      </c>
      <c r="E123" t="s">
        <v>959</v>
      </c>
      <c r="F123">
        <v>1</v>
      </c>
    </row>
    <row r="124" spans="1:6">
      <c r="A124" t="s">
        <v>148</v>
      </c>
      <c r="B124" t="s">
        <v>149</v>
      </c>
      <c r="C124" t="s">
        <v>671</v>
      </c>
      <c r="D124" t="s">
        <v>529</v>
      </c>
      <c r="E124" t="s">
        <v>935</v>
      </c>
      <c r="F124">
        <v>5</v>
      </c>
    </row>
    <row r="125" spans="1:6">
      <c r="A125" t="s">
        <v>134</v>
      </c>
      <c r="B125" t="s">
        <v>135</v>
      </c>
      <c r="C125" t="s">
        <v>968</v>
      </c>
      <c r="D125" t="s">
        <v>936</v>
      </c>
      <c r="E125" t="s">
        <v>932</v>
      </c>
      <c r="F125">
        <v>5</v>
      </c>
    </row>
    <row r="126" spans="1:6">
      <c r="A126" t="s">
        <v>166</v>
      </c>
      <c r="B126" t="s">
        <v>167</v>
      </c>
      <c r="C126" t="s">
        <v>971</v>
      </c>
      <c r="D126" t="s">
        <v>947</v>
      </c>
      <c r="E126" t="s">
        <v>954</v>
      </c>
      <c r="F126">
        <v>5</v>
      </c>
    </row>
    <row r="127" spans="1:6">
      <c r="A127" t="s">
        <v>168</v>
      </c>
      <c r="B127" t="s">
        <v>169</v>
      </c>
      <c r="C127" t="s">
        <v>972</v>
      </c>
      <c r="D127" t="s">
        <v>934</v>
      </c>
      <c r="E127" t="s">
        <v>973</v>
      </c>
      <c r="F127">
        <v>3</v>
      </c>
    </row>
    <row r="128" spans="1:6">
      <c r="A128" t="s">
        <v>170</v>
      </c>
      <c r="B128" t="s">
        <v>171</v>
      </c>
      <c r="C128" t="s">
        <v>681</v>
      </c>
      <c r="D128" t="s">
        <v>412</v>
      </c>
      <c r="E128" t="s">
        <v>933</v>
      </c>
      <c r="F128">
        <v>8</v>
      </c>
    </row>
    <row r="129" spans="1:6">
      <c r="A129" t="s">
        <v>172</v>
      </c>
      <c r="B129" t="s">
        <v>173</v>
      </c>
      <c r="C129" t="s">
        <v>682</v>
      </c>
      <c r="D129" t="s">
        <v>953</v>
      </c>
      <c r="E129" t="s">
        <v>937</v>
      </c>
      <c r="F129">
        <v>8</v>
      </c>
    </row>
    <row r="130" spans="1:6">
      <c r="A130" t="s">
        <v>29</v>
      </c>
    </row>
    <row r="131" spans="1:6">
      <c r="A131" t="s">
        <v>174</v>
      </c>
      <c r="B131" t="s">
        <v>41</v>
      </c>
      <c r="C131" t="s">
        <v>946</v>
      </c>
      <c r="D131" t="s">
        <v>947</v>
      </c>
      <c r="E131" t="s">
        <v>932</v>
      </c>
      <c r="F131">
        <v>2</v>
      </c>
    </row>
    <row r="132" spans="1:6">
      <c r="A132" t="s">
        <v>175</v>
      </c>
      <c r="B132" t="s">
        <v>176</v>
      </c>
      <c r="C132" t="s">
        <v>684</v>
      </c>
      <c r="D132" t="s">
        <v>529</v>
      </c>
      <c r="E132" t="s">
        <v>974</v>
      </c>
      <c r="F132">
        <v>3</v>
      </c>
    </row>
    <row r="133" spans="1:6">
      <c r="A133" t="s">
        <v>157</v>
      </c>
      <c r="B133" t="s">
        <v>150</v>
      </c>
      <c r="C133" t="s">
        <v>664</v>
      </c>
      <c r="D133" t="s">
        <v>936</v>
      </c>
      <c r="E133" t="s">
        <v>939</v>
      </c>
      <c r="F133">
        <v>5</v>
      </c>
    </row>
    <row r="134" spans="1:6">
      <c r="A134" t="s">
        <v>177</v>
      </c>
      <c r="B134" t="s">
        <v>178</v>
      </c>
      <c r="C134" t="s">
        <v>686</v>
      </c>
      <c r="D134" t="s">
        <v>412</v>
      </c>
      <c r="E134" t="s">
        <v>930</v>
      </c>
      <c r="F134">
        <v>1</v>
      </c>
    </row>
    <row r="135" spans="1:6">
      <c r="A135" t="s">
        <v>179</v>
      </c>
      <c r="B135" t="s">
        <v>180</v>
      </c>
      <c r="C135" t="s">
        <v>687</v>
      </c>
      <c r="D135" t="s">
        <v>934</v>
      </c>
      <c r="E135" t="s">
        <v>929</v>
      </c>
      <c r="F135">
        <v>1</v>
      </c>
    </row>
    <row r="136" spans="1:6">
      <c r="A136" t="s">
        <v>54</v>
      </c>
    </row>
    <row r="137" spans="1:6">
      <c r="A137" t="s">
        <v>50</v>
      </c>
      <c r="B137" t="s">
        <v>51</v>
      </c>
      <c r="C137" t="s">
        <v>950</v>
      </c>
      <c r="D137" t="s">
        <v>947</v>
      </c>
      <c r="E137" t="s">
        <v>932</v>
      </c>
      <c r="F137">
        <v>1</v>
      </c>
    </row>
    <row r="138" spans="1:6">
      <c r="A138" t="s">
        <v>181</v>
      </c>
      <c r="B138" t="s">
        <v>182</v>
      </c>
      <c r="C138" t="s">
        <v>688</v>
      </c>
      <c r="D138" t="s">
        <v>934</v>
      </c>
      <c r="E138" t="s">
        <v>939</v>
      </c>
      <c r="F138">
        <v>2</v>
      </c>
    </row>
    <row r="139" spans="1:6">
      <c r="A139" t="s">
        <v>183</v>
      </c>
      <c r="B139" t="s">
        <v>184</v>
      </c>
      <c r="C139" t="s">
        <v>975</v>
      </c>
      <c r="D139" t="s">
        <v>947</v>
      </c>
      <c r="E139" t="s">
        <v>937</v>
      </c>
      <c r="F139">
        <v>2</v>
      </c>
    </row>
    <row r="140" spans="1:6">
      <c r="A140" t="s">
        <v>73</v>
      </c>
      <c r="B140" t="s">
        <v>74</v>
      </c>
      <c r="C140" t="s">
        <v>625</v>
      </c>
      <c r="D140" t="s">
        <v>483</v>
      </c>
      <c r="E140" t="s">
        <v>940</v>
      </c>
      <c r="F140">
        <v>2</v>
      </c>
    </row>
    <row r="141" spans="1:6">
      <c r="A141" t="s">
        <v>185</v>
      </c>
      <c r="B141" t="s">
        <v>186</v>
      </c>
      <c r="C141" t="s">
        <v>690</v>
      </c>
      <c r="D141" t="s">
        <v>953</v>
      </c>
      <c r="E141" t="s">
        <v>933</v>
      </c>
      <c r="F141">
        <v>8</v>
      </c>
    </row>
    <row r="142" spans="1:6">
      <c r="A142" t="s">
        <v>187</v>
      </c>
      <c r="B142" t="s">
        <v>188</v>
      </c>
      <c r="C142" t="s">
        <v>691</v>
      </c>
      <c r="D142" t="s">
        <v>934</v>
      </c>
      <c r="E142" t="s">
        <v>937</v>
      </c>
      <c r="F142">
        <v>2</v>
      </c>
    </row>
    <row r="143" spans="1:6">
      <c r="A143" t="s">
        <v>29</v>
      </c>
    </row>
    <row r="144" spans="1:6">
      <c r="A144" t="s">
        <v>189</v>
      </c>
      <c r="B144" t="s">
        <v>190</v>
      </c>
      <c r="C144" t="s">
        <v>692</v>
      </c>
      <c r="D144" t="s">
        <v>948</v>
      </c>
      <c r="E144" t="s">
        <v>935</v>
      </c>
      <c r="F144">
        <v>3</v>
      </c>
    </row>
    <row r="145" spans="1:6">
      <c r="A145" t="s">
        <v>191</v>
      </c>
      <c r="B145" t="s">
        <v>192</v>
      </c>
      <c r="C145" t="s">
        <v>693</v>
      </c>
      <c r="D145" t="s">
        <v>529</v>
      </c>
      <c r="E145" t="s">
        <v>929</v>
      </c>
      <c r="F145">
        <v>5</v>
      </c>
    </row>
    <row r="146" spans="1:6">
      <c r="A146" t="s">
        <v>157</v>
      </c>
      <c r="B146" t="s">
        <v>150</v>
      </c>
      <c r="C146" t="s">
        <v>664</v>
      </c>
      <c r="D146" t="s">
        <v>936</v>
      </c>
      <c r="E146" t="s">
        <v>939</v>
      </c>
      <c r="F146">
        <v>5</v>
      </c>
    </row>
    <row r="147" spans="1:6">
      <c r="A147" t="s">
        <v>83</v>
      </c>
      <c r="B147" t="s">
        <v>84</v>
      </c>
      <c r="C147" t="s">
        <v>631</v>
      </c>
      <c r="D147" t="s">
        <v>943</v>
      </c>
      <c r="E147" t="s">
        <v>956</v>
      </c>
      <c r="F147">
        <v>1</v>
      </c>
    </row>
    <row r="148" spans="1:6">
      <c r="A148" t="s">
        <v>25</v>
      </c>
      <c r="B148" t="s">
        <v>26</v>
      </c>
      <c r="C148" t="s">
        <v>584</v>
      </c>
      <c r="D148" t="s">
        <v>483</v>
      </c>
      <c r="E148" t="s">
        <v>939</v>
      </c>
      <c r="F148">
        <v>1</v>
      </c>
    </row>
    <row r="149" spans="1:6">
      <c r="A149" t="s">
        <v>54</v>
      </c>
    </row>
    <row r="150" spans="1:6">
      <c r="A150" t="s">
        <v>83</v>
      </c>
      <c r="B150" t="s">
        <v>84</v>
      </c>
      <c r="C150" t="s">
        <v>631</v>
      </c>
      <c r="D150" t="s">
        <v>943</v>
      </c>
      <c r="E150" t="s">
        <v>956</v>
      </c>
      <c r="F150">
        <v>1</v>
      </c>
    </row>
    <row r="151" spans="1:6">
      <c r="A151" t="s">
        <v>193</v>
      </c>
      <c r="B151" t="s">
        <v>194</v>
      </c>
      <c r="C151" t="s">
        <v>976</v>
      </c>
      <c r="D151" t="s">
        <v>947</v>
      </c>
      <c r="E151" t="s">
        <v>478</v>
      </c>
      <c r="F151">
        <v>8</v>
      </c>
    </row>
    <row r="152" spans="1:6">
      <c r="A152" t="s">
        <v>16</v>
      </c>
    </row>
    <row r="153" spans="1:6">
      <c r="A153" t="s">
        <v>195</v>
      </c>
    </row>
    <row r="154" spans="1:6">
      <c r="A154" t="s">
        <v>196</v>
      </c>
    </row>
    <row r="155" spans="1:6">
      <c r="A155" t="s">
        <v>197</v>
      </c>
      <c r="B155" t="s">
        <v>198</v>
      </c>
      <c r="C155" t="s">
        <v>695</v>
      </c>
      <c r="D155" t="s">
        <v>943</v>
      </c>
      <c r="E155" t="s">
        <v>962</v>
      </c>
      <c r="F155">
        <v>3</v>
      </c>
    </row>
    <row r="156" spans="1:6">
      <c r="A156" t="s">
        <v>199</v>
      </c>
      <c r="B156" t="s">
        <v>200</v>
      </c>
      <c r="C156" t="s">
        <v>696</v>
      </c>
      <c r="D156" t="s">
        <v>483</v>
      </c>
      <c r="E156" t="s">
        <v>977</v>
      </c>
      <c r="F156">
        <v>7</v>
      </c>
    </row>
    <row r="157" spans="1:6">
      <c r="A157" t="s">
        <v>201</v>
      </c>
      <c r="B157" t="s">
        <v>202</v>
      </c>
      <c r="C157" t="s">
        <v>978</v>
      </c>
      <c r="D157" t="s">
        <v>529</v>
      </c>
      <c r="E157" t="s">
        <v>973</v>
      </c>
      <c r="F157">
        <v>5</v>
      </c>
    </row>
    <row r="158" spans="1:6">
      <c r="A158" t="s">
        <v>203</v>
      </c>
      <c r="B158" t="s">
        <v>204</v>
      </c>
      <c r="C158" t="s">
        <v>700</v>
      </c>
      <c r="D158" t="s">
        <v>953</v>
      </c>
      <c r="E158" t="s">
        <v>961</v>
      </c>
      <c r="F158">
        <v>5</v>
      </c>
    </row>
    <row r="159" spans="1:6">
      <c r="A159" t="s">
        <v>205</v>
      </c>
      <c r="B159" t="s">
        <v>206</v>
      </c>
      <c r="C159" t="s">
        <v>701</v>
      </c>
      <c r="D159" t="s">
        <v>483</v>
      </c>
      <c r="E159" t="s">
        <v>945</v>
      </c>
      <c r="F159">
        <v>2</v>
      </c>
    </row>
    <row r="160" spans="1:6">
      <c r="A160" t="s">
        <v>29</v>
      </c>
    </row>
    <row r="161" spans="1:6">
      <c r="A161" t="s">
        <v>207</v>
      </c>
      <c r="B161" t="s">
        <v>208</v>
      </c>
      <c r="C161" t="s">
        <v>702</v>
      </c>
      <c r="D161" t="s">
        <v>943</v>
      </c>
      <c r="E161" t="s">
        <v>930</v>
      </c>
      <c r="F161">
        <v>4</v>
      </c>
    </row>
    <row r="162" spans="1:6">
      <c r="A162" t="s">
        <v>209</v>
      </c>
      <c r="B162" t="s">
        <v>210</v>
      </c>
      <c r="C162" t="s">
        <v>703</v>
      </c>
      <c r="D162" t="s">
        <v>948</v>
      </c>
      <c r="E162" t="s">
        <v>933</v>
      </c>
      <c r="F162">
        <v>1</v>
      </c>
    </row>
    <row r="163" spans="1:6">
      <c r="A163" t="s">
        <v>79</v>
      </c>
      <c r="B163" t="s">
        <v>80</v>
      </c>
      <c r="C163" t="s">
        <v>629</v>
      </c>
      <c r="D163" t="s">
        <v>944</v>
      </c>
      <c r="E163" t="s">
        <v>930</v>
      </c>
      <c r="F163">
        <v>5</v>
      </c>
    </row>
    <row r="164" spans="1:6">
      <c r="A164" t="s">
        <v>201</v>
      </c>
      <c r="B164" t="s">
        <v>202</v>
      </c>
      <c r="C164" t="s">
        <v>978</v>
      </c>
      <c r="D164" t="s">
        <v>529</v>
      </c>
      <c r="E164" t="s">
        <v>973</v>
      </c>
      <c r="F164">
        <v>5</v>
      </c>
    </row>
    <row r="165" spans="1:6">
      <c r="A165" t="s">
        <v>211</v>
      </c>
      <c r="B165" t="s">
        <v>212</v>
      </c>
      <c r="C165" t="s">
        <v>704</v>
      </c>
      <c r="D165" t="s">
        <v>934</v>
      </c>
      <c r="E165" t="s">
        <v>935</v>
      </c>
      <c r="F165">
        <v>3</v>
      </c>
    </row>
    <row r="166" spans="1:6">
      <c r="A166" t="s">
        <v>213</v>
      </c>
      <c r="B166" t="s">
        <v>214</v>
      </c>
      <c r="C166" t="s">
        <v>705</v>
      </c>
      <c r="D166" t="s">
        <v>953</v>
      </c>
      <c r="E166" t="s">
        <v>940</v>
      </c>
      <c r="F166">
        <v>5</v>
      </c>
    </row>
    <row r="167" spans="1:6">
      <c r="A167" t="s">
        <v>120</v>
      </c>
      <c r="B167" t="s">
        <v>121</v>
      </c>
      <c r="C167" t="s">
        <v>656</v>
      </c>
      <c r="D167" t="s">
        <v>943</v>
      </c>
      <c r="E167" t="s">
        <v>933</v>
      </c>
      <c r="F167">
        <v>1</v>
      </c>
    </row>
    <row r="168" spans="1:6">
      <c r="A168" t="s">
        <v>54</v>
      </c>
    </row>
    <row r="169" spans="1:6">
      <c r="A169" t="s">
        <v>215</v>
      </c>
      <c r="B169" t="s">
        <v>216</v>
      </c>
      <c r="C169" t="s">
        <v>706</v>
      </c>
      <c r="D169" t="s">
        <v>944</v>
      </c>
      <c r="E169" t="s">
        <v>959</v>
      </c>
      <c r="F169">
        <v>2</v>
      </c>
    </row>
    <row r="170" spans="1:6">
      <c r="A170" t="s">
        <v>215</v>
      </c>
      <c r="B170" t="s">
        <v>216</v>
      </c>
      <c r="C170" t="s">
        <v>706</v>
      </c>
      <c r="D170" t="s">
        <v>944</v>
      </c>
      <c r="E170" t="s">
        <v>959</v>
      </c>
      <c r="F170">
        <v>2</v>
      </c>
    </row>
    <row r="171" spans="1:6">
      <c r="A171" t="s">
        <v>201</v>
      </c>
      <c r="B171" t="s">
        <v>202</v>
      </c>
      <c r="C171" t="s">
        <v>978</v>
      </c>
      <c r="D171" t="s">
        <v>529</v>
      </c>
      <c r="E171" t="s">
        <v>973</v>
      </c>
      <c r="F171">
        <v>5</v>
      </c>
    </row>
    <row r="172" spans="1:6">
      <c r="A172" t="s">
        <v>217</v>
      </c>
      <c r="B172" t="s">
        <v>218</v>
      </c>
      <c r="C172" t="s">
        <v>979</v>
      </c>
      <c r="D172" t="s">
        <v>947</v>
      </c>
      <c r="E172" t="s">
        <v>932</v>
      </c>
      <c r="F172">
        <v>5</v>
      </c>
    </row>
    <row r="173" spans="1:6">
      <c r="A173" t="s">
        <v>219</v>
      </c>
      <c r="B173" t="s">
        <v>220</v>
      </c>
      <c r="C173" t="s">
        <v>708</v>
      </c>
      <c r="D173" t="s">
        <v>529</v>
      </c>
      <c r="E173" t="s">
        <v>980</v>
      </c>
      <c r="F173">
        <v>5</v>
      </c>
    </row>
    <row r="174" spans="1:6">
      <c r="A174" t="s">
        <v>29</v>
      </c>
    </row>
    <row r="175" spans="1:6">
      <c r="A175" t="s">
        <v>36</v>
      </c>
      <c r="B175" s="51" t="s">
        <v>1808</v>
      </c>
      <c r="C175" s="51" t="s">
        <v>1809</v>
      </c>
      <c r="D175" t="s">
        <v>944</v>
      </c>
      <c r="E175" t="s">
        <v>945</v>
      </c>
      <c r="F175">
        <v>5</v>
      </c>
    </row>
    <row r="176" spans="1:6">
      <c r="A176" t="s">
        <v>222</v>
      </c>
      <c r="B176" t="s">
        <v>223</v>
      </c>
      <c r="C176" t="s">
        <v>710</v>
      </c>
      <c r="D176" t="s">
        <v>944</v>
      </c>
      <c r="E176" t="s">
        <v>939</v>
      </c>
      <c r="F176">
        <v>2</v>
      </c>
    </row>
    <row r="177" spans="1:6">
      <c r="A177" t="s">
        <v>224</v>
      </c>
      <c r="B177" t="s">
        <v>225</v>
      </c>
      <c r="C177" t="s">
        <v>711</v>
      </c>
      <c r="D177" t="s">
        <v>936</v>
      </c>
      <c r="E177" t="s">
        <v>941</v>
      </c>
      <c r="F177">
        <v>5</v>
      </c>
    </row>
    <row r="178" spans="1:6">
      <c r="A178" t="s">
        <v>201</v>
      </c>
      <c r="B178" t="s">
        <v>202</v>
      </c>
      <c r="C178" t="s">
        <v>978</v>
      </c>
      <c r="D178" t="s">
        <v>529</v>
      </c>
      <c r="E178" t="s">
        <v>973</v>
      </c>
      <c r="F178">
        <v>5</v>
      </c>
    </row>
    <row r="179" spans="1:6">
      <c r="A179" t="s">
        <v>124</v>
      </c>
      <c r="B179" t="s">
        <v>125</v>
      </c>
      <c r="C179" t="s">
        <v>659</v>
      </c>
      <c r="D179" t="s">
        <v>965</v>
      </c>
      <c r="E179" t="s">
        <v>929</v>
      </c>
      <c r="F179">
        <v>1</v>
      </c>
    </row>
    <row r="180" spans="1:6">
      <c r="A180" t="s">
        <v>128</v>
      </c>
      <c r="B180" t="s">
        <v>129</v>
      </c>
      <c r="C180" t="s">
        <v>966</v>
      </c>
      <c r="D180" t="s">
        <v>947</v>
      </c>
      <c r="E180" t="s">
        <v>941</v>
      </c>
      <c r="F180">
        <v>4</v>
      </c>
    </row>
    <row r="181" spans="1:6">
      <c r="A181" t="s">
        <v>226</v>
      </c>
      <c r="B181" s="51" t="s">
        <v>1814</v>
      </c>
      <c r="C181" s="51" t="s">
        <v>1815</v>
      </c>
      <c r="D181" t="s">
        <v>529</v>
      </c>
      <c r="E181" t="s">
        <v>945</v>
      </c>
      <c r="F181">
        <v>5</v>
      </c>
    </row>
    <row r="182" spans="1:6">
      <c r="A182" t="s">
        <v>54</v>
      </c>
    </row>
    <row r="183" spans="1:6">
      <c r="A183" t="s">
        <v>195</v>
      </c>
    </row>
    <row r="184" spans="1:6">
      <c r="A184" t="s">
        <v>228</v>
      </c>
    </row>
    <row r="185" spans="1:6">
      <c r="A185" t="s">
        <v>42</v>
      </c>
      <c r="B185" t="s">
        <v>43</v>
      </c>
      <c r="C185" t="s">
        <v>600</v>
      </c>
      <c r="D185" t="s">
        <v>948</v>
      </c>
      <c r="E185" t="s">
        <v>930</v>
      </c>
      <c r="F185">
        <v>4</v>
      </c>
    </row>
    <row r="186" spans="1:6">
      <c r="A186" t="s">
        <v>229</v>
      </c>
      <c r="B186" t="s">
        <v>230</v>
      </c>
      <c r="C186" t="s">
        <v>981</v>
      </c>
      <c r="D186" t="s">
        <v>947</v>
      </c>
      <c r="E186" t="s">
        <v>940</v>
      </c>
      <c r="F186">
        <v>2</v>
      </c>
    </row>
    <row r="187" spans="1:6">
      <c r="A187" t="s">
        <v>231</v>
      </c>
      <c r="B187" t="s">
        <v>232</v>
      </c>
      <c r="C187" t="s">
        <v>715</v>
      </c>
      <c r="D187" t="s">
        <v>95</v>
      </c>
      <c r="E187" t="s">
        <v>954</v>
      </c>
      <c r="F187">
        <v>1</v>
      </c>
    </row>
    <row r="188" spans="1:6">
      <c r="A188" t="s">
        <v>233</v>
      </c>
      <c r="B188" t="s">
        <v>234</v>
      </c>
      <c r="C188" t="s">
        <v>716</v>
      </c>
      <c r="D188" t="s">
        <v>412</v>
      </c>
      <c r="E188" t="s">
        <v>933</v>
      </c>
      <c r="F188">
        <v>5</v>
      </c>
    </row>
    <row r="189" spans="1:6">
      <c r="A189" t="s">
        <v>235</v>
      </c>
      <c r="B189" t="s">
        <v>236</v>
      </c>
      <c r="C189" t="s">
        <v>717</v>
      </c>
      <c r="D189" t="s">
        <v>934</v>
      </c>
      <c r="E189" t="s">
        <v>959</v>
      </c>
      <c r="F189">
        <v>1</v>
      </c>
    </row>
    <row r="190" spans="1:6">
      <c r="A190" t="s">
        <v>237</v>
      </c>
      <c r="B190" t="s">
        <v>238</v>
      </c>
      <c r="C190" t="s">
        <v>718</v>
      </c>
      <c r="D190" t="s">
        <v>483</v>
      </c>
      <c r="E190" t="s">
        <v>982</v>
      </c>
      <c r="F190">
        <v>2</v>
      </c>
    </row>
    <row r="191" spans="1:6">
      <c r="A191" t="s">
        <v>29</v>
      </c>
    </row>
    <row r="192" spans="1:6">
      <c r="A192" t="s">
        <v>239</v>
      </c>
      <c r="B192" t="s">
        <v>240</v>
      </c>
      <c r="C192" t="s">
        <v>983</v>
      </c>
      <c r="D192" t="s">
        <v>947</v>
      </c>
      <c r="E192" t="s">
        <v>939</v>
      </c>
      <c r="F192">
        <v>2</v>
      </c>
    </row>
    <row r="193" spans="1:6">
      <c r="A193" t="s">
        <v>83</v>
      </c>
      <c r="B193" t="s">
        <v>84</v>
      </c>
      <c r="C193" t="s">
        <v>631</v>
      </c>
      <c r="D193" t="s">
        <v>943</v>
      </c>
      <c r="E193" t="s">
        <v>956</v>
      </c>
      <c r="F193">
        <v>1</v>
      </c>
    </row>
    <row r="194" spans="1:6">
      <c r="A194" t="s">
        <v>157</v>
      </c>
      <c r="B194" t="s">
        <v>150</v>
      </c>
      <c r="C194" t="s">
        <v>664</v>
      </c>
      <c r="D194" t="s">
        <v>936</v>
      </c>
      <c r="E194" t="s">
        <v>939</v>
      </c>
      <c r="F194">
        <v>5</v>
      </c>
    </row>
    <row r="195" spans="1:6">
      <c r="A195" t="s">
        <v>241</v>
      </c>
      <c r="B195" t="s">
        <v>242</v>
      </c>
      <c r="C195" t="s">
        <v>721</v>
      </c>
      <c r="D195" t="s">
        <v>529</v>
      </c>
      <c r="E195" t="s">
        <v>956</v>
      </c>
      <c r="F195">
        <v>5</v>
      </c>
    </row>
    <row r="196" spans="1:6">
      <c r="A196" t="s">
        <v>25</v>
      </c>
      <c r="B196" t="s">
        <v>26</v>
      </c>
      <c r="C196" t="s">
        <v>584</v>
      </c>
      <c r="D196" t="s">
        <v>483</v>
      </c>
      <c r="E196" t="s">
        <v>939</v>
      </c>
      <c r="F196">
        <v>1</v>
      </c>
    </row>
    <row r="197" spans="1:6">
      <c r="A197" t="s">
        <v>29</v>
      </c>
    </row>
    <row r="198" spans="1:6">
      <c r="A198" t="s">
        <v>160</v>
      </c>
      <c r="B198" t="s">
        <v>161</v>
      </c>
      <c r="C198" t="s">
        <v>676</v>
      </c>
      <c r="D198" t="s">
        <v>943</v>
      </c>
      <c r="E198" t="s">
        <v>939</v>
      </c>
      <c r="F198">
        <v>5</v>
      </c>
    </row>
    <row r="199" spans="1:6">
      <c r="A199" t="s">
        <v>243</v>
      </c>
      <c r="B199" t="s">
        <v>244</v>
      </c>
      <c r="C199" t="s">
        <v>722</v>
      </c>
      <c r="D199" t="s">
        <v>934</v>
      </c>
      <c r="E199" t="s">
        <v>930</v>
      </c>
      <c r="F199">
        <v>1</v>
      </c>
    </row>
    <row r="200" spans="1:6">
      <c r="A200" t="s">
        <v>245</v>
      </c>
      <c r="B200" t="s">
        <v>246</v>
      </c>
      <c r="C200" t="s">
        <v>984</v>
      </c>
      <c r="D200" t="s">
        <v>947</v>
      </c>
      <c r="E200" t="s">
        <v>935</v>
      </c>
      <c r="F200">
        <v>1</v>
      </c>
    </row>
    <row r="201" spans="1:6">
      <c r="A201" t="s">
        <v>245</v>
      </c>
      <c r="B201" t="s">
        <v>246</v>
      </c>
      <c r="C201" t="s">
        <v>984</v>
      </c>
      <c r="D201" t="s">
        <v>947</v>
      </c>
      <c r="E201" t="s">
        <v>935</v>
      </c>
      <c r="F201">
        <v>1</v>
      </c>
    </row>
    <row r="202" spans="1:6">
      <c r="A202" t="s">
        <v>144</v>
      </c>
      <c r="B202" t="s">
        <v>145</v>
      </c>
      <c r="C202" t="s">
        <v>669</v>
      </c>
      <c r="D202" t="s">
        <v>936</v>
      </c>
      <c r="E202" t="s">
        <v>929</v>
      </c>
      <c r="F202">
        <v>5</v>
      </c>
    </row>
    <row r="203" spans="1:6">
      <c r="A203" t="s">
        <v>29</v>
      </c>
    </row>
    <row r="204" spans="1:6">
      <c r="A204" t="s">
        <v>134</v>
      </c>
      <c r="B204" t="s">
        <v>135</v>
      </c>
      <c r="C204" t="s">
        <v>968</v>
      </c>
      <c r="D204" t="s">
        <v>936</v>
      </c>
      <c r="E204" t="s">
        <v>932</v>
      </c>
      <c r="F204">
        <v>5</v>
      </c>
    </row>
    <row r="205" spans="1:6">
      <c r="A205" t="s">
        <v>247</v>
      </c>
      <c r="B205" t="s">
        <v>248</v>
      </c>
      <c r="C205" t="s">
        <v>985</v>
      </c>
      <c r="D205" t="s">
        <v>947</v>
      </c>
      <c r="E205" t="s">
        <v>478</v>
      </c>
      <c r="F205">
        <v>1</v>
      </c>
    </row>
    <row r="206" spans="1:6">
      <c r="A206" t="s">
        <v>134</v>
      </c>
      <c r="B206" t="s">
        <v>135</v>
      </c>
      <c r="C206" t="s">
        <v>968</v>
      </c>
      <c r="D206" t="s">
        <v>936</v>
      </c>
      <c r="E206" t="s">
        <v>932</v>
      </c>
      <c r="F206">
        <v>5</v>
      </c>
    </row>
    <row r="207" spans="1:6">
      <c r="A207" t="s">
        <v>249</v>
      </c>
      <c r="B207" t="s">
        <v>250</v>
      </c>
      <c r="C207" t="s">
        <v>725</v>
      </c>
      <c r="D207" t="s">
        <v>944</v>
      </c>
      <c r="E207" t="s">
        <v>935</v>
      </c>
      <c r="F207">
        <v>7</v>
      </c>
    </row>
    <row r="208" spans="1:6">
      <c r="A208" t="s">
        <v>29</v>
      </c>
    </row>
    <row r="209" spans="1:6">
      <c r="A209" t="s">
        <v>134</v>
      </c>
      <c r="B209" t="s">
        <v>135</v>
      </c>
      <c r="C209" t="s">
        <v>968</v>
      </c>
      <c r="D209" t="s">
        <v>936</v>
      </c>
      <c r="E209" t="s">
        <v>932</v>
      </c>
      <c r="F209">
        <v>5</v>
      </c>
    </row>
    <row r="210" spans="1:6">
      <c r="A210" t="s">
        <v>251</v>
      </c>
      <c r="B210" t="s">
        <v>252</v>
      </c>
      <c r="C210" t="s">
        <v>726</v>
      </c>
      <c r="D210" t="s">
        <v>948</v>
      </c>
      <c r="E210" t="s">
        <v>937</v>
      </c>
      <c r="F210">
        <v>4</v>
      </c>
    </row>
    <row r="211" spans="1:6">
      <c r="A211" t="s">
        <v>134</v>
      </c>
      <c r="B211" t="s">
        <v>135</v>
      </c>
      <c r="C211" t="s">
        <v>968</v>
      </c>
      <c r="D211" t="s">
        <v>936</v>
      </c>
      <c r="E211" t="s">
        <v>932</v>
      </c>
      <c r="F211">
        <v>5</v>
      </c>
    </row>
    <row r="212" spans="1:6">
      <c r="A212" t="s">
        <v>253</v>
      </c>
      <c r="B212" t="s">
        <v>212</v>
      </c>
      <c r="C212" t="s">
        <v>704</v>
      </c>
      <c r="D212" t="s">
        <v>934</v>
      </c>
      <c r="E212" t="s">
        <v>935</v>
      </c>
      <c r="F212">
        <v>3</v>
      </c>
    </row>
    <row r="213" spans="1:6">
      <c r="A213" t="s">
        <v>29</v>
      </c>
    </row>
    <row r="214" spans="1:6">
      <c r="A214" t="s">
        <v>254</v>
      </c>
      <c r="B214" t="s">
        <v>218</v>
      </c>
      <c r="C214" t="s">
        <v>979</v>
      </c>
      <c r="D214" t="s">
        <v>947</v>
      </c>
      <c r="E214" t="s">
        <v>932</v>
      </c>
      <c r="F214">
        <v>5</v>
      </c>
    </row>
    <row r="215" spans="1:6">
      <c r="A215" t="s">
        <v>255</v>
      </c>
      <c r="B215" t="s">
        <v>256</v>
      </c>
      <c r="C215" t="s">
        <v>986</v>
      </c>
      <c r="D215" t="s">
        <v>947</v>
      </c>
      <c r="E215" t="s">
        <v>937</v>
      </c>
      <c r="F215">
        <v>1</v>
      </c>
    </row>
    <row r="216" spans="1:6">
      <c r="A216" t="s">
        <v>257</v>
      </c>
      <c r="B216" t="s">
        <v>258</v>
      </c>
      <c r="C216" t="s">
        <v>728</v>
      </c>
      <c r="D216" t="s">
        <v>953</v>
      </c>
      <c r="E216" t="s">
        <v>959</v>
      </c>
      <c r="F216">
        <v>2</v>
      </c>
    </row>
    <row r="217" spans="1:6">
      <c r="A217" t="s">
        <v>257</v>
      </c>
      <c r="B217" t="s">
        <v>258</v>
      </c>
      <c r="C217" t="s">
        <v>728</v>
      </c>
      <c r="D217" t="s">
        <v>953</v>
      </c>
      <c r="E217" t="s">
        <v>959</v>
      </c>
      <c r="F217">
        <v>2</v>
      </c>
    </row>
    <row r="218" spans="1:6">
      <c r="A218" t="s">
        <v>29</v>
      </c>
    </row>
    <row r="219" spans="1:6">
      <c r="A219" t="s">
        <v>67</v>
      </c>
      <c r="B219" t="s">
        <v>68</v>
      </c>
      <c r="C219" t="s">
        <v>622</v>
      </c>
      <c r="D219" t="s">
        <v>931</v>
      </c>
      <c r="E219" t="s">
        <v>938</v>
      </c>
      <c r="F219">
        <v>4</v>
      </c>
    </row>
    <row r="220" spans="1:6">
      <c r="A220" t="s">
        <v>259</v>
      </c>
      <c r="B220" t="s">
        <v>260</v>
      </c>
      <c r="C220" t="s">
        <v>729</v>
      </c>
      <c r="D220" t="s">
        <v>483</v>
      </c>
      <c r="E220" t="s">
        <v>478</v>
      </c>
      <c r="F220">
        <v>8</v>
      </c>
    </row>
    <row r="221" spans="1:6">
      <c r="A221" t="s">
        <v>134</v>
      </c>
      <c r="B221" s="52" t="s">
        <v>1812</v>
      </c>
      <c r="C221" s="51" t="s">
        <v>1813</v>
      </c>
      <c r="D221" t="s">
        <v>936</v>
      </c>
      <c r="E221" t="s">
        <v>939</v>
      </c>
      <c r="F221">
        <v>5</v>
      </c>
    </row>
    <row r="222" spans="1:6">
      <c r="A222" t="s">
        <v>261</v>
      </c>
      <c r="B222" t="s">
        <v>262</v>
      </c>
      <c r="C222" t="s">
        <v>987</v>
      </c>
      <c r="D222" t="s">
        <v>953</v>
      </c>
      <c r="E222" t="s">
        <v>932</v>
      </c>
      <c r="F222">
        <v>2</v>
      </c>
    </row>
    <row r="223" spans="1:6">
      <c r="A223" t="s">
        <v>54</v>
      </c>
    </row>
    <row r="224" spans="1:6">
      <c r="A224" t="s">
        <v>263</v>
      </c>
      <c r="B224" t="s">
        <v>264</v>
      </c>
      <c r="C224" t="s">
        <v>731</v>
      </c>
      <c r="D224" t="s">
        <v>944</v>
      </c>
      <c r="E224" t="s">
        <v>932</v>
      </c>
      <c r="F224">
        <v>2</v>
      </c>
    </row>
    <row r="225" spans="1:6">
      <c r="A225" t="s">
        <v>265</v>
      </c>
      <c r="B225" t="s">
        <v>266</v>
      </c>
      <c r="C225" t="s">
        <v>988</v>
      </c>
      <c r="D225" t="s">
        <v>947</v>
      </c>
      <c r="E225" t="s">
        <v>940</v>
      </c>
      <c r="F225">
        <v>1</v>
      </c>
    </row>
    <row r="226" spans="1:6">
      <c r="A226" t="s">
        <v>267</v>
      </c>
      <c r="B226" t="s">
        <v>268</v>
      </c>
      <c r="C226" t="s">
        <v>733</v>
      </c>
      <c r="D226" t="s">
        <v>529</v>
      </c>
      <c r="E226" t="s">
        <v>933</v>
      </c>
      <c r="F226">
        <v>4</v>
      </c>
    </row>
    <row r="227" spans="1:6">
      <c r="A227" t="s">
        <v>25</v>
      </c>
      <c r="B227" t="s">
        <v>26</v>
      </c>
      <c r="C227" t="s">
        <v>584</v>
      </c>
      <c r="D227" t="s">
        <v>483</v>
      </c>
      <c r="E227" t="s">
        <v>939</v>
      </c>
      <c r="F227">
        <v>1</v>
      </c>
    </row>
    <row r="228" spans="1:6">
      <c r="A228" t="s">
        <v>269</v>
      </c>
      <c r="B228" t="s">
        <v>270</v>
      </c>
      <c r="C228" t="s">
        <v>734</v>
      </c>
      <c r="D228" t="s">
        <v>483</v>
      </c>
      <c r="E228" t="s">
        <v>964</v>
      </c>
      <c r="F228">
        <v>5</v>
      </c>
    </row>
    <row r="229" spans="1:6">
      <c r="A229" t="s">
        <v>271</v>
      </c>
      <c r="B229" t="s">
        <v>272</v>
      </c>
      <c r="C229" t="s">
        <v>736</v>
      </c>
      <c r="D229" t="s">
        <v>943</v>
      </c>
      <c r="E229" t="s">
        <v>977</v>
      </c>
      <c r="F229">
        <v>1</v>
      </c>
    </row>
    <row r="230" spans="1:6">
      <c r="A230" t="s">
        <v>29</v>
      </c>
    </row>
    <row r="231" spans="1:6">
      <c r="A231" t="s">
        <v>251</v>
      </c>
      <c r="B231" t="s">
        <v>252</v>
      </c>
      <c r="C231" t="s">
        <v>726</v>
      </c>
      <c r="D231" t="s">
        <v>948</v>
      </c>
      <c r="E231" t="s">
        <v>937</v>
      </c>
      <c r="F231">
        <v>4</v>
      </c>
    </row>
    <row r="232" spans="1:6">
      <c r="A232" t="s">
        <v>273</v>
      </c>
      <c r="B232" t="s">
        <v>274</v>
      </c>
      <c r="C232" t="s">
        <v>737</v>
      </c>
      <c r="D232" t="s">
        <v>943</v>
      </c>
      <c r="E232" t="s">
        <v>935</v>
      </c>
      <c r="F232">
        <v>1</v>
      </c>
    </row>
    <row r="233" spans="1:6">
      <c r="A233" t="s">
        <v>46</v>
      </c>
      <c r="B233" t="s">
        <v>47</v>
      </c>
      <c r="C233" t="s">
        <v>604</v>
      </c>
      <c r="D233" t="s">
        <v>483</v>
      </c>
      <c r="E233" t="s">
        <v>940</v>
      </c>
      <c r="F233">
        <v>1</v>
      </c>
    </row>
    <row r="234" spans="1:6">
      <c r="A234" t="s">
        <v>25</v>
      </c>
      <c r="B234" t="s">
        <v>26</v>
      </c>
      <c r="C234" t="s">
        <v>584</v>
      </c>
      <c r="D234" t="s">
        <v>483</v>
      </c>
      <c r="E234" t="s">
        <v>939</v>
      </c>
      <c r="F234">
        <v>1</v>
      </c>
    </row>
    <row r="235" spans="1:6">
      <c r="A235" t="s">
        <v>275</v>
      </c>
      <c r="B235" t="s">
        <v>276</v>
      </c>
      <c r="C235" t="s">
        <v>738</v>
      </c>
      <c r="D235" t="s">
        <v>953</v>
      </c>
      <c r="E235" t="s">
        <v>939</v>
      </c>
      <c r="F235">
        <v>5</v>
      </c>
    </row>
    <row r="236" spans="1:6">
      <c r="A236" t="s">
        <v>277</v>
      </c>
      <c r="B236" t="s">
        <v>278</v>
      </c>
      <c r="C236" t="s">
        <v>739</v>
      </c>
      <c r="D236" t="s">
        <v>529</v>
      </c>
      <c r="E236" t="s">
        <v>932</v>
      </c>
      <c r="F236">
        <v>7</v>
      </c>
    </row>
    <row r="237" spans="1:6">
      <c r="A237" t="s">
        <v>54</v>
      </c>
    </row>
    <row r="238" spans="1:6">
      <c r="A238" t="s">
        <v>17</v>
      </c>
      <c r="B238" t="s">
        <v>18</v>
      </c>
      <c r="C238" t="s">
        <v>576</v>
      </c>
      <c r="D238" t="s">
        <v>934</v>
      </c>
      <c r="E238" t="s">
        <v>935</v>
      </c>
      <c r="F238">
        <v>1</v>
      </c>
    </row>
    <row r="239" spans="1:6">
      <c r="A239" t="s">
        <v>38</v>
      </c>
      <c r="B239" t="s">
        <v>163</v>
      </c>
      <c r="C239" t="s">
        <v>677</v>
      </c>
      <c r="D239" t="s">
        <v>483</v>
      </c>
      <c r="E239" t="s">
        <v>939</v>
      </c>
      <c r="F239">
        <v>2</v>
      </c>
    </row>
    <row r="240" spans="1:6">
      <c r="A240" t="s">
        <v>279</v>
      </c>
      <c r="B240" s="52" t="s">
        <v>1816</v>
      </c>
      <c r="C240" s="51" t="s">
        <v>1817</v>
      </c>
      <c r="D240" t="s">
        <v>95</v>
      </c>
      <c r="E240" t="s">
        <v>959</v>
      </c>
      <c r="F240">
        <v>2</v>
      </c>
    </row>
    <row r="241" spans="1:6">
      <c r="A241" t="s">
        <v>144</v>
      </c>
      <c r="B241" t="s">
        <v>145</v>
      </c>
      <c r="C241" t="s">
        <v>669</v>
      </c>
      <c r="D241" t="s">
        <v>936</v>
      </c>
      <c r="E241" t="s">
        <v>929</v>
      </c>
      <c r="F241">
        <v>5</v>
      </c>
    </row>
    <row r="242" spans="1:6">
      <c r="A242" t="s">
        <v>29</v>
      </c>
    </row>
    <row r="243" spans="1:6">
      <c r="A243" t="s">
        <v>281</v>
      </c>
      <c r="B243" t="s">
        <v>282</v>
      </c>
      <c r="C243" t="s">
        <v>741</v>
      </c>
      <c r="D243" t="s">
        <v>483</v>
      </c>
      <c r="E243" t="s">
        <v>930</v>
      </c>
      <c r="F243">
        <v>3</v>
      </c>
    </row>
    <row r="244" spans="1:6">
      <c r="A244" t="s">
        <v>283</v>
      </c>
      <c r="B244" t="s">
        <v>284</v>
      </c>
      <c r="C244" t="s">
        <v>742</v>
      </c>
      <c r="D244" t="s">
        <v>943</v>
      </c>
      <c r="E244" t="s">
        <v>937</v>
      </c>
      <c r="F244">
        <v>1</v>
      </c>
    </row>
    <row r="245" spans="1:6">
      <c r="A245" t="s">
        <v>285</v>
      </c>
      <c r="B245" t="s">
        <v>286</v>
      </c>
      <c r="C245" t="s">
        <v>743</v>
      </c>
      <c r="D245" t="s">
        <v>942</v>
      </c>
      <c r="E245" t="s">
        <v>954</v>
      </c>
      <c r="F245">
        <v>5</v>
      </c>
    </row>
    <row r="246" spans="1:6">
      <c r="A246" t="s">
        <v>287</v>
      </c>
      <c r="B246" t="s">
        <v>288</v>
      </c>
      <c r="C246" t="s">
        <v>744</v>
      </c>
      <c r="D246" t="s">
        <v>483</v>
      </c>
      <c r="E246" t="s">
        <v>956</v>
      </c>
      <c r="F246">
        <v>2</v>
      </c>
    </row>
    <row r="247" spans="1:6">
      <c r="A247" t="s">
        <v>29</v>
      </c>
    </row>
    <row r="248" spans="1:6">
      <c r="A248" t="s">
        <v>157</v>
      </c>
      <c r="B248" t="s">
        <v>150</v>
      </c>
      <c r="C248" t="s">
        <v>664</v>
      </c>
      <c r="D248" t="s">
        <v>936</v>
      </c>
      <c r="E248" t="s">
        <v>939</v>
      </c>
      <c r="F248">
        <v>5</v>
      </c>
    </row>
    <row r="249" spans="1:6">
      <c r="A249" t="s">
        <v>289</v>
      </c>
      <c r="B249" t="s">
        <v>290</v>
      </c>
      <c r="C249" t="s">
        <v>745</v>
      </c>
      <c r="D249" t="s">
        <v>944</v>
      </c>
      <c r="E249" t="s">
        <v>938</v>
      </c>
      <c r="F249">
        <v>7</v>
      </c>
    </row>
    <row r="250" spans="1:6">
      <c r="A250" t="s">
        <v>42</v>
      </c>
      <c r="B250" t="s">
        <v>43</v>
      </c>
      <c r="C250" t="s">
        <v>600</v>
      </c>
      <c r="D250" t="s">
        <v>948</v>
      </c>
      <c r="E250" t="s">
        <v>930</v>
      </c>
      <c r="F250">
        <v>4</v>
      </c>
    </row>
    <row r="251" spans="1:6">
      <c r="A251" t="s">
        <v>193</v>
      </c>
      <c r="B251" t="s">
        <v>194</v>
      </c>
      <c r="C251" t="s">
        <v>976</v>
      </c>
      <c r="D251" t="s">
        <v>947</v>
      </c>
      <c r="E251" t="s">
        <v>478</v>
      </c>
      <c r="F251">
        <v>8</v>
      </c>
    </row>
    <row r="252" spans="1:6">
      <c r="A252" t="s">
        <v>16</v>
      </c>
    </row>
    <row r="253" spans="1:6">
      <c r="A253" t="s">
        <v>195</v>
      </c>
    </row>
    <row r="254" spans="1:6">
      <c r="A254" t="s">
        <v>196</v>
      </c>
    </row>
    <row r="255" spans="1:6">
      <c r="A255" t="s">
        <v>291</v>
      </c>
      <c r="B255" t="s">
        <v>242</v>
      </c>
      <c r="C255" t="s">
        <v>721</v>
      </c>
      <c r="D255" t="s">
        <v>529</v>
      </c>
      <c r="E255" t="s">
        <v>956</v>
      </c>
      <c r="F255">
        <v>5</v>
      </c>
    </row>
    <row r="256" spans="1:6">
      <c r="A256" t="s">
        <v>292</v>
      </c>
      <c r="B256" t="s">
        <v>293</v>
      </c>
      <c r="C256" t="s">
        <v>989</v>
      </c>
      <c r="D256" t="s">
        <v>947</v>
      </c>
      <c r="E256" t="s">
        <v>954</v>
      </c>
      <c r="F256">
        <v>7</v>
      </c>
    </row>
    <row r="257" spans="1:6">
      <c r="A257" t="s">
        <v>160</v>
      </c>
      <c r="B257" t="s">
        <v>161</v>
      </c>
      <c r="C257" t="s">
        <v>676</v>
      </c>
      <c r="D257" t="s">
        <v>943</v>
      </c>
      <c r="E257" t="s">
        <v>939</v>
      </c>
      <c r="F257">
        <v>5</v>
      </c>
    </row>
    <row r="258" spans="1:6">
      <c r="A258" t="s">
        <v>144</v>
      </c>
      <c r="B258" t="s">
        <v>145</v>
      </c>
      <c r="C258" t="s">
        <v>669</v>
      </c>
      <c r="D258" t="s">
        <v>936</v>
      </c>
      <c r="E258" t="s">
        <v>929</v>
      </c>
      <c r="F258">
        <v>5</v>
      </c>
    </row>
    <row r="259" spans="1:6">
      <c r="A259" t="s">
        <v>294</v>
      </c>
      <c r="B259" t="s">
        <v>295</v>
      </c>
      <c r="C259" t="s">
        <v>990</v>
      </c>
      <c r="D259" t="s">
        <v>947</v>
      </c>
      <c r="E259" t="s">
        <v>982</v>
      </c>
      <c r="F259">
        <v>2</v>
      </c>
    </row>
    <row r="260" spans="1:6">
      <c r="A260" t="s">
        <v>296</v>
      </c>
    </row>
    <row r="261" spans="1:6">
      <c r="A261" t="s">
        <v>195</v>
      </c>
    </row>
    <row r="262" spans="1:6">
      <c r="A262" t="s">
        <v>228</v>
      </c>
    </row>
    <row r="263" spans="1:6">
      <c r="A263" t="s">
        <v>42</v>
      </c>
      <c r="B263" t="s">
        <v>43</v>
      </c>
      <c r="C263" t="s">
        <v>600</v>
      </c>
      <c r="D263" t="s">
        <v>948</v>
      </c>
      <c r="E263" t="s">
        <v>930</v>
      </c>
      <c r="F263">
        <v>4</v>
      </c>
    </row>
    <row r="264" spans="1:6">
      <c r="A264" t="s">
        <v>193</v>
      </c>
      <c r="B264" t="s">
        <v>194</v>
      </c>
      <c r="C264" t="s">
        <v>976</v>
      </c>
      <c r="D264" t="s">
        <v>947</v>
      </c>
      <c r="E264" t="s">
        <v>478</v>
      </c>
      <c r="F264">
        <v>8</v>
      </c>
    </row>
    <row r="265" spans="1:6">
      <c r="A265" t="s">
        <v>16</v>
      </c>
    </row>
    <row r="266" spans="1:6">
      <c r="A266" t="s">
        <v>195</v>
      </c>
    </row>
    <row r="267" spans="1:6">
      <c r="A267" t="s">
        <v>196</v>
      </c>
    </row>
    <row r="268" spans="1:6">
      <c r="A268" t="s">
        <v>195</v>
      </c>
    </row>
    <row r="269" spans="1:6">
      <c r="A269" t="s">
        <v>297</v>
      </c>
    </row>
    <row r="270" spans="1:6">
      <c r="A270" t="s">
        <v>32</v>
      </c>
      <c r="B270" t="s">
        <v>33</v>
      </c>
      <c r="C270" t="s">
        <v>590</v>
      </c>
      <c r="D270" t="s">
        <v>942</v>
      </c>
      <c r="E270" t="s">
        <v>478</v>
      </c>
      <c r="F270">
        <v>8</v>
      </c>
    </row>
    <row r="271" spans="1:6">
      <c r="A271" t="s">
        <v>79</v>
      </c>
      <c r="B271" t="s">
        <v>80</v>
      </c>
      <c r="C271" t="s">
        <v>629</v>
      </c>
      <c r="D271" t="s">
        <v>944</v>
      </c>
      <c r="E271" t="s">
        <v>930</v>
      </c>
      <c r="F271">
        <v>5</v>
      </c>
    </row>
    <row r="272" spans="1:6">
      <c r="A272" t="s">
        <v>298</v>
      </c>
      <c r="B272" t="s">
        <v>244</v>
      </c>
      <c r="C272" t="s">
        <v>722</v>
      </c>
      <c r="D272" t="s">
        <v>934</v>
      </c>
      <c r="E272" t="s">
        <v>930</v>
      </c>
      <c r="F272">
        <v>1</v>
      </c>
    </row>
    <row r="273" spans="1:6">
      <c r="A273" t="s">
        <v>299</v>
      </c>
      <c r="B273" t="s">
        <v>300</v>
      </c>
      <c r="C273" t="s">
        <v>749</v>
      </c>
      <c r="D273" t="s">
        <v>529</v>
      </c>
      <c r="E273" t="s">
        <v>939</v>
      </c>
      <c r="F273">
        <v>1</v>
      </c>
    </row>
    <row r="274" spans="1:6">
      <c r="A274" t="s">
        <v>29</v>
      </c>
    </row>
    <row r="275" spans="1:6">
      <c r="A275" t="s">
        <v>301</v>
      </c>
      <c r="B275" t="s">
        <v>246</v>
      </c>
      <c r="C275" t="s">
        <v>984</v>
      </c>
      <c r="D275" t="s">
        <v>947</v>
      </c>
      <c r="E275" t="s">
        <v>935</v>
      </c>
      <c r="F275">
        <v>1</v>
      </c>
    </row>
    <row r="276" spans="1:6">
      <c r="A276" t="s">
        <v>302</v>
      </c>
      <c r="B276" t="s">
        <v>303</v>
      </c>
      <c r="C276" t="s">
        <v>750</v>
      </c>
      <c r="D276" t="s">
        <v>95</v>
      </c>
      <c r="E276" t="s">
        <v>945</v>
      </c>
      <c r="F276">
        <v>4</v>
      </c>
    </row>
    <row r="277" spans="1:6">
      <c r="A277" t="s">
        <v>304</v>
      </c>
      <c r="B277" t="s">
        <v>305</v>
      </c>
      <c r="C277" t="s">
        <v>751</v>
      </c>
      <c r="D277" t="s">
        <v>953</v>
      </c>
      <c r="E277" t="s">
        <v>991</v>
      </c>
      <c r="F277">
        <v>5</v>
      </c>
    </row>
    <row r="278" spans="1:6">
      <c r="A278" t="s">
        <v>306</v>
      </c>
      <c r="B278" t="s">
        <v>307</v>
      </c>
      <c r="C278" t="s">
        <v>753</v>
      </c>
      <c r="D278" t="s">
        <v>529</v>
      </c>
      <c r="E278" t="s">
        <v>954</v>
      </c>
      <c r="F278">
        <v>1</v>
      </c>
    </row>
    <row r="279" spans="1:6">
      <c r="A279" t="s">
        <v>308</v>
      </c>
    </row>
    <row r="280" spans="1:6">
      <c r="A280" t="s">
        <v>195</v>
      </c>
    </row>
    <row r="281" spans="1:6">
      <c r="A281" t="s">
        <v>29</v>
      </c>
    </row>
    <row r="282" spans="1:6">
      <c r="A282" t="s">
        <v>309</v>
      </c>
      <c r="B282" t="s">
        <v>310</v>
      </c>
      <c r="C282" t="s">
        <v>754</v>
      </c>
      <c r="D282" t="s">
        <v>95</v>
      </c>
      <c r="E282" t="s">
        <v>932</v>
      </c>
      <c r="F282">
        <v>2</v>
      </c>
    </row>
    <row r="283" spans="1:6">
      <c r="A283" t="s">
        <v>311</v>
      </c>
      <c r="B283" t="s">
        <v>307</v>
      </c>
      <c r="C283" t="s">
        <v>753</v>
      </c>
      <c r="D283" t="s">
        <v>529</v>
      </c>
      <c r="E283" t="s">
        <v>954</v>
      </c>
      <c r="F283">
        <v>1</v>
      </c>
    </row>
    <row r="284" spans="1:6">
      <c r="A284" t="s">
        <v>312</v>
      </c>
      <c r="B284" t="s">
        <v>313</v>
      </c>
      <c r="C284" t="s">
        <v>755</v>
      </c>
      <c r="D284" t="s">
        <v>483</v>
      </c>
      <c r="E284" t="s">
        <v>956</v>
      </c>
      <c r="F284">
        <v>5</v>
      </c>
    </row>
    <row r="285" spans="1:6">
      <c r="A285" t="s">
        <v>314</v>
      </c>
      <c r="B285" t="s">
        <v>315</v>
      </c>
      <c r="C285" t="s">
        <v>756</v>
      </c>
      <c r="D285" t="s">
        <v>944</v>
      </c>
      <c r="E285" t="s">
        <v>930</v>
      </c>
      <c r="F285">
        <v>7</v>
      </c>
    </row>
    <row r="286" spans="1:6">
      <c r="A286" t="s">
        <v>316</v>
      </c>
      <c r="B286" t="s">
        <v>317</v>
      </c>
      <c r="C286" t="s">
        <v>757</v>
      </c>
      <c r="D286" t="s">
        <v>412</v>
      </c>
      <c r="E286" t="s">
        <v>930</v>
      </c>
      <c r="F286">
        <v>4</v>
      </c>
    </row>
    <row r="287" spans="1:6">
      <c r="A287" t="s">
        <v>25</v>
      </c>
      <c r="B287" t="s">
        <v>26</v>
      </c>
      <c r="C287" t="s">
        <v>584</v>
      </c>
      <c r="D287" t="s">
        <v>483</v>
      </c>
      <c r="E287" t="s">
        <v>939</v>
      </c>
      <c r="F287">
        <v>1</v>
      </c>
    </row>
    <row r="288" spans="1:6">
      <c r="A288" t="s">
        <v>81</v>
      </c>
      <c r="B288" t="s">
        <v>82</v>
      </c>
      <c r="C288" t="s">
        <v>630</v>
      </c>
      <c r="D288" t="s">
        <v>934</v>
      </c>
      <c r="E288" t="s">
        <v>939</v>
      </c>
      <c r="F288">
        <v>1</v>
      </c>
    </row>
    <row r="289" spans="1:6">
      <c r="A289" t="s">
        <v>148</v>
      </c>
      <c r="B289" t="s">
        <v>149</v>
      </c>
      <c r="C289" t="s">
        <v>671</v>
      </c>
      <c r="D289" t="s">
        <v>529</v>
      </c>
      <c r="E289" t="s">
        <v>935</v>
      </c>
      <c r="F289">
        <v>5</v>
      </c>
    </row>
    <row r="290" spans="1:6">
      <c r="A290" t="s">
        <v>296</v>
      </c>
    </row>
    <row r="291" spans="1:6">
      <c r="A291" t="s">
        <v>318</v>
      </c>
      <c r="B291" t="s">
        <v>319</v>
      </c>
      <c r="C291" t="s">
        <v>758</v>
      </c>
      <c r="D291" t="s">
        <v>934</v>
      </c>
      <c r="E291" t="s">
        <v>973</v>
      </c>
      <c r="F291">
        <v>1</v>
      </c>
    </row>
    <row r="292" spans="1:6">
      <c r="A292" t="s">
        <v>36</v>
      </c>
      <c r="B292" s="51" t="s">
        <v>1808</v>
      </c>
      <c r="C292" s="51" t="s">
        <v>1809</v>
      </c>
      <c r="D292" t="s">
        <v>944</v>
      </c>
      <c r="E292" t="s">
        <v>945</v>
      </c>
      <c r="F292">
        <v>5</v>
      </c>
    </row>
    <row r="293" spans="1:6">
      <c r="A293" t="s">
        <v>320</v>
      </c>
      <c r="B293" t="s">
        <v>53</v>
      </c>
      <c r="C293" t="s">
        <v>951</v>
      </c>
      <c r="D293" t="s">
        <v>529</v>
      </c>
      <c r="E293" t="s">
        <v>952</v>
      </c>
      <c r="F293">
        <v>2</v>
      </c>
    </row>
    <row r="294" spans="1:6">
      <c r="A294" t="s">
        <v>321</v>
      </c>
      <c r="B294" t="s">
        <v>322</v>
      </c>
      <c r="C294" t="s">
        <v>760</v>
      </c>
      <c r="D294" t="s">
        <v>948</v>
      </c>
      <c r="E294" t="s">
        <v>935</v>
      </c>
      <c r="F294">
        <v>2</v>
      </c>
    </row>
    <row r="295" spans="1:6">
      <c r="A295" t="s">
        <v>29</v>
      </c>
    </row>
    <row r="296" spans="1:6">
      <c r="A296" t="s">
        <v>97</v>
      </c>
      <c r="B296" t="s">
        <v>98</v>
      </c>
      <c r="C296" t="s">
        <v>640</v>
      </c>
      <c r="D296" t="s">
        <v>412</v>
      </c>
      <c r="E296" t="s">
        <v>933</v>
      </c>
      <c r="F296">
        <v>1</v>
      </c>
    </row>
    <row r="297" spans="1:6">
      <c r="A297" t="s">
        <v>36</v>
      </c>
      <c r="B297" s="51" t="s">
        <v>1808</v>
      </c>
      <c r="C297" s="51" t="s">
        <v>1809</v>
      </c>
      <c r="D297" t="s">
        <v>944</v>
      </c>
      <c r="E297" t="s">
        <v>945</v>
      </c>
      <c r="F297">
        <v>5</v>
      </c>
    </row>
    <row r="298" spans="1:6">
      <c r="A298" t="s">
        <v>323</v>
      </c>
      <c r="B298" t="s">
        <v>264</v>
      </c>
      <c r="C298" t="s">
        <v>731</v>
      </c>
      <c r="D298" t="s">
        <v>944</v>
      </c>
      <c r="E298" t="s">
        <v>932</v>
      </c>
      <c r="F298">
        <v>2</v>
      </c>
    </row>
    <row r="299" spans="1:6">
      <c r="A299" t="s">
        <v>324</v>
      </c>
      <c r="B299" t="s">
        <v>325</v>
      </c>
      <c r="C299" t="s">
        <v>761</v>
      </c>
      <c r="D299" t="s">
        <v>95</v>
      </c>
      <c r="E299" t="s">
        <v>945</v>
      </c>
      <c r="F299">
        <v>1</v>
      </c>
    </row>
    <row r="300" spans="1:6">
      <c r="A300" t="s">
        <v>29</v>
      </c>
    </row>
    <row r="301" spans="1:6">
      <c r="A301" t="s">
        <v>99</v>
      </c>
      <c r="B301" t="s">
        <v>100</v>
      </c>
      <c r="C301" t="s">
        <v>641</v>
      </c>
      <c r="D301" t="s">
        <v>934</v>
      </c>
      <c r="E301" t="s">
        <v>961</v>
      </c>
      <c r="F301">
        <v>1</v>
      </c>
    </row>
    <row r="302" spans="1:6">
      <c r="A302" t="s">
        <v>326</v>
      </c>
      <c r="B302" t="s">
        <v>327</v>
      </c>
      <c r="C302" t="s">
        <v>762</v>
      </c>
      <c r="D302" t="s">
        <v>95</v>
      </c>
      <c r="E302" t="s">
        <v>478</v>
      </c>
      <c r="F302">
        <v>1</v>
      </c>
    </row>
    <row r="303" spans="1:6">
      <c r="A303" t="s">
        <v>328</v>
      </c>
      <c r="B303" t="s">
        <v>329</v>
      </c>
      <c r="C303" t="s">
        <v>763</v>
      </c>
      <c r="D303" t="s">
        <v>934</v>
      </c>
      <c r="E303" t="s">
        <v>945</v>
      </c>
      <c r="F303">
        <v>1</v>
      </c>
    </row>
    <row r="304" spans="1:6">
      <c r="A304" t="s">
        <v>330</v>
      </c>
      <c r="B304" t="s">
        <v>331</v>
      </c>
      <c r="C304" t="s">
        <v>764</v>
      </c>
      <c r="D304" t="s">
        <v>944</v>
      </c>
      <c r="E304" t="s">
        <v>940</v>
      </c>
      <c r="F304">
        <v>5</v>
      </c>
    </row>
    <row r="305" spans="1:6">
      <c r="A305" t="s">
        <v>29</v>
      </c>
    </row>
    <row r="306" spans="1:6">
      <c r="A306" t="s">
        <v>332</v>
      </c>
      <c r="B306" t="s">
        <v>333</v>
      </c>
      <c r="C306" t="s">
        <v>992</v>
      </c>
      <c r="D306" t="s">
        <v>947</v>
      </c>
      <c r="E306" t="s">
        <v>938</v>
      </c>
      <c r="F306">
        <v>4</v>
      </c>
    </row>
    <row r="307" spans="1:6">
      <c r="A307" t="s">
        <v>148</v>
      </c>
      <c r="B307" t="s">
        <v>149</v>
      </c>
      <c r="C307" t="s">
        <v>671</v>
      </c>
      <c r="D307" t="s">
        <v>529</v>
      </c>
      <c r="E307" t="s">
        <v>935</v>
      </c>
      <c r="F307">
        <v>5</v>
      </c>
    </row>
    <row r="308" spans="1:6">
      <c r="A308" t="s">
        <v>334</v>
      </c>
      <c r="B308" t="s">
        <v>335</v>
      </c>
      <c r="C308" t="s">
        <v>766</v>
      </c>
      <c r="D308" t="s">
        <v>95</v>
      </c>
      <c r="E308" t="s">
        <v>933</v>
      </c>
      <c r="F308">
        <v>1</v>
      </c>
    </row>
    <row r="309" spans="1:6">
      <c r="A309" t="s">
        <v>334</v>
      </c>
      <c r="B309" t="s">
        <v>335</v>
      </c>
      <c r="C309" t="s">
        <v>766</v>
      </c>
      <c r="D309" t="s">
        <v>95</v>
      </c>
      <c r="E309" t="s">
        <v>933</v>
      </c>
      <c r="F309">
        <v>1</v>
      </c>
    </row>
    <row r="310" spans="1:6">
      <c r="A310" t="s">
        <v>29</v>
      </c>
    </row>
    <row r="311" spans="1:6">
      <c r="A311" t="s">
        <v>309</v>
      </c>
      <c r="B311" t="s">
        <v>310</v>
      </c>
      <c r="C311" t="s">
        <v>754</v>
      </c>
      <c r="D311" t="s">
        <v>95</v>
      </c>
      <c r="E311" t="s">
        <v>932</v>
      </c>
      <c r="F311">
        <v>2</v>
      </c>
    </row>
    <row r="312" spans="1:6">
      <c r="A312" t="s">
        <v>311</v>
      </c>
      <c r="B312" t="s">
        <v>307</v>
      </c>
      <c r="C312" t="s">
        <v>753</v>
      </c>
      <c r="D312" t="s">
        <v>529</v>
      </c>
      <c r="E312" t="s">
        <v>954</v>
      </c>
      <c r="F312">
        <v>1</v>
      </c>
    </row>
    <row r="313" spans="1:6">
      <c r="A313" t="s">
        <v>314</v>
      </c>
      <c r="B313" t="s">
        <v>315</v>
      </c>
      <c r="C313" t="s">
        <v>756</v>
      </c>
      <c r="D313" t="s">
        <v>944</v>
      </c>
      <c r="E313" t="s">
        <v>930</v>
      </c>
      <c r="F313">
        <v>7</v>
      </c>
    </row>
    <row r="314" spans="1:6">
      <c r="A314" t="s">
        <v>316</v>
      </c>
      <c r="B314" t="s">
        <v>317</v>
      </c>
      <c r="C314" t="s">
        <v>757</v>
      </c>
      <c r="D314" t="s">
        <v>412</v>
      </c>
      <c r="E314" t="s">
        <v>930</v>
      </c>
      <c r="F314">
        <v>4</v>
      </c>
    </row>
    <row r="315" spans="1:6">
      <c r="A315" t="s">
        <v>25</v>
      </c>
      <c r="B315" t="s">
        <v>26</v>
      </c>
      <c r="C315" t="s">
        <v>584</v>
      </c>
      <c r="D315" t="s">
        <v>483</v>
      </c>
      <c r="E315" t="s">
        <v>939</v>
      </c>
      <c r="F315">
        <v>1</v>
      </c>
    </row>
    <row r="316" spans="1:6">
      <c r="A316" t="s">
        <v>336</v>
      </c>
      <c r="B316" t="s">
        <v>337</v>
      </c>
      <c r="C316" t="s">
        <v>767</v>
      </c>
      <c r="D316" t="s">
        <v>948</v>
      </c>
      <c r="E316" t="s">
        <v>938</v>
      </c>
      <c r="F316">
        <v>3</v>
      </c>
    </row>
    <row r="317" spans="1:6">
      <c r="A317" t="s">
        <v>50</v>
      </c>
      <c r="B317" t="s">
        <v>51</v>
      </c>
      <c r="C317" t="s">
        <v>950</v>
      </c>
      <c r="D317" t="s">
        <v>947</v>
      </c>
      <c r="E317" t="s">
        <v>932</v>
      </c>
      <c r="F317">
        <v>1</v>
      </c>
    </row>
    <row r="318" spans="1:6">
      <c r="A318" t="s">
        <v>338</v>
      </c>
      <c r="B318" t="s">
        <v>47</v>
      </c>
      <c r="C318" t="s">
        <v>604</v>
      </c>
      <c r="D318" t="s">
        <v>483</v>
      </c>
      <c r="E318" t="s">
        <v>940</v>
      </c>
      <c r="F318">
        <v>1</v>
      </c>
    </row>
    <row r="319" spans="1:6">
      <c r="A319" t="s">
        <v>339</v>
      </c>
      <c r="B319" t="s">
        <v>340</v>
      </c>
      <c r="C319" t="s">
        <v>768</v>
      </c>
      <c r="D319" t="s">
        <v>953</v>
      </c>
      <c r="E319" t="s">
        <v>933</v>
      </c>
      <c r="F319">
        <v>5</v>
      </c>
    </row>
    <row r="320" spans="1:6">
      <c r="A320" t="s">
        <v>237</v>
      </c>
      <c r="B320" t="s">
        <v>238</v>
      </c>
      <c r="C320" t="s">
        <v>718</v>
      </c>
      <c r="D320" t="s">
        <v>483</v>
      </c>
      <c r="E320" t="s">
        <v>982</v>
      </c>
      <c r="F320">
        <v>2</v>
      </c>
    </row>
    <row r="321" spans="1:6">
      <c r="A321" t="s">
        <v>148</v>
      </c>
      <c r="B321" t="s">
        <v>149</v>
      </c>
      <c r="C321" t="s">
        <v>671</v>
      </c>
      <c r="D321" t="s">
        <v>529</v>
      </c>
      <c r="E321" t="s">
        <v>935</v>
      </c>
      <c r="F321">
        <v>5</v>
      </c>
    </row>
    <row r="322" spans="1:6">
      <c r="A322" t="s">
        <v>296</v>
      </c>
    </row>
    <row r="323" spans="1:6">
      <c r="A323" t="s">
        <v>226</v>
      </c>
      <c r="B323" s="51" t="s">
        <v>1818</v>
      </c>
      <c r="C323" s="51" t="s">
        <v>1815</v>
      </c>
      <c r="D323" t="s">
        <v>529</v>
      </c>
      <c r="E323" t="s">
        <v>945</v>
      </c>
      <c r="F323">
        <v>5</v>
      </c>
    </row>
    <row r="324" spans="1:6">
      <c r="A324" t="s">
        <v>160</v>
      </c>
      <c r="B324" t="s">
        <v>161</v>
      </c>
      <c r="C324" t="s">
        <v>676</v>
      </c>
      <c r="D324" t="s">
        <v>943</v>
      </c>
      <c r="E324" t="s">
        <v>939</v>
      </c>
      <c r="F324">
        <v>5</v>
      </c>
    </row>
    <row r="325" spans="1:6">
      <c r="A325" t="s">
        <v>341</v>
      </c>
      <c r="B325" t="s">
        <v>342</v>
      </c>
      <c r="C325" t="s">
        <v>769</v>
      </c>
      <c r="D325" t="s">
        <v>955</v>
      </c>
      <c r="E325" t="s">
        <v>956</v>
      </c>
      <c r="F325">
        <v>3</v>
      </c>
    </row>
    <row r="326" spans="1:6">
      <c r="A326" t="s">
        <v>343</v>
      </c>
      <c r="B326" t="s">
        <v>344</v>
      </c>
      <c r="C326" t="s">
        <v>770</v>
      </c>
      <c r="D326" t="s">
        <v>943</v>
      </c>
      <c r="E326" t="s">
        <v>930</v>
      </c>
      <c r="F326">
        <v>1</v>
      </c>
    </row>
    <row r="327" spans="1:6">
      <c r="A327" t="s">
        <v>345</v>
      </c>
      <c r="B327" t="s">
        <v>47</v>
      </c>
      <c r="C327" t="s">
        <v>604</v>
      </c>
      <c r="D327" t="s">
        <v>483</v>
      </c>
      <c r="E327" t="s">
        <v>940</v>
      </c>
      <c r="F327">
        <v>1</v>
      </c>
    </row>
    <row r="328" spans="1:6">
      <c r="A328" t="s">
        <v>29</v>
      </c>
    </row>
    <row r="329" spans="1:6">
      <c r="A329" t="s">
        <v>52</v>
      </c>
      <c r="B329" t="s">
        <v>53</v>
      </c>
      <c r="C329" t="s">
        <v>951</v>
      </c>
      <c r="D329" t="s">
        <v>529</v>
      </c>
      <c r="E329" t="s">
        <v>952</v>
      </c>
      <c r="F329">
        <v>2</v>
      </c>
    </row>
    <row r="330" spans="1:6">
      <c r="A330" t="s">
        <v>118</v>
      </c>
      <c r="B330" t="s">
        <v>119</v>
      </c>
      <c r="C330" t="s">
        <v>654</v>
      </c>
      <c r="D330" t="s">
        <v>943</v>
      </c>
      <c r="E330" t="s">
        <v>118</v>
      </c>
      <c r="F330">
        <v>1</v>
      </c>
    </row>
    <row r="331" spans="1:6">
      <c r="A331" t="s">
        <v>346</v>
      </c>
      <c r="B331" t="s">
        <v>137</v>
      </c>
      <c r="C331" t="s">
        <v>665</v>
      </c>
      <c r="D331" t="s">
        <v>953</v>
      </c>
      <c r="E331" t="s">
        <v>930</v>
      </c>
      <c r="F331">
        <v>5</v>
      </c>
    </row>
    <row r="332" spans="1:6">
      <c r="A332" t="s">
        <v>29</v>
      </c>
    </row>
    <row r="333" spans="1:6">
      <c r="A333" t="s">
        <v>347</v>
      </c>
      <c r="B333" t="s">
        <v>348</v>
      </c>
      <c r="C333" t="s">
        <v>771</v>
      </c>
      <c r="D333" t="s">
        <v>934</v>
      </c>
      <c r="E333" t="s">
        <v>938</v>
      </c>
      <c r="F333">
        <v>7</v>
      </c>
    </row>
    <row r="334" spans="1:6">
      <c r="A334" t="s">
        <v>213</v>
      </c>
      <c r="B334" t="s">
        <v>214</v>
      </c>
      <c r="C334" t="s">
        <v>705</v>
      </c>
      <c r="D334" t="s">
        <v>953</v>
      </c>
      <c r="E334" t="s">
        <v>940</v>
      </c>
      <c r="F334">
        <v>5</v>
      </c>
    </row>
    <row r="335" spans="1:6">
      <c r="A335" t="s">
        <v>157</v>
      </c>
      <c r="B335" t="s">
        <v>150</v>
      </c>
      <c r="C335" t="s">
        <v>664</v>
      </c>
      <c r="D335" t="s">
        <v>936</v>
      </c>
      <c r="E335" t="s">
        <v>939</v>
      </c>
      <c r="F335">
        <v>5</v>
      </c>
    </row>
    <row r="336" spans="1:6">
      <c r="A336" t="s">
        <v>97</v>
      </c>
      <c r="B336" t="s">
        <v>98</v>
      </c>
      <c r="C336" t="s">
        <v>640</v>
      </c>
      <c r="D336" t="s">
        <v>412</v>
      </c>
      <c r="E336" t="s">
        <v>933</v>
      </c>
      <c r="F336">
        <v>1</v>
      </c>
    </row>
    <row r="337" spans="1:6">
      <c r="A337" t="s">
        <v>294</v>
      </c>
      <c r="B337" t="s">
        <v>295</v>
      </c>
      <c r="C337" t="s">
        <v>990</v>
      </c>
      <c r="D337" t="s">
        <v>947</v>
      </c>
      <c r="E337" t="s">
        <v>982</v>
      </c>
      <c r="F337">
        <v>2</v>
      </c>
    </row>
    <row r="338" spans="1:6">
      <c r="A338" t="s">
        <v>29</v>
      </c>
    </row>
    <row r="339" spans="1:6">
      <c r="A339" t="s">
        <v>349</v>
      </c>
      <c r="B339" t="s">
        <v>350</v>
      </c>
      <c r="C339" t="s">
        <v>772</v>
      </c>
      <c r="D339" t="s">
        <v>412</v>
      </c>
      <c r="E339" t="s">
        <v>945</v>
      </c>
      <c r="F339">
        <v>8</v>
      </c>
    </row>
    <row r="340" spans="1:6">
      <c r="A340" t="s">
        <v>351</v>
      </c>
      <c r="B340" t="s">
        <v>352</v>
      </c>
      <c r="C340" t="s">
        <v>773</v>
      </c>
      <c r="D340" t="s">
        <v>953</v>
      </c>
      <c r="E340" t="s">
        <v>935</v>
      </c>
      <c r="F340">
        <v>5</v>
      </c>
    </row>
    <row r="341" spans="1:6">
      <c r="A341" t="s">
        <v>353</v>
      </c>
      <c r="B341" t="s">
        <v>354</v>
      </c>
      <c r="C341" t="s">
        <v>774</v>
      </c>
      <c r="D341" t="s">
        <v>95</v>
      </c>
      <c r="E341" t="s">
        <v>929</v>
      </c>
      <c r="F341">
        <v>1</v>
      </c>
    </row>
    <row r="342" spans="1:6">
      <c r="A342" t="s">
        <v>355</v>
      </c>
      <c r="B342" t="s">
        <v>356</v>
      </c>
      <c r="C342" t="s">
        <v>730</v>
      </c>
      <c r="D342" t="s">
        <v>953</v>
      </c>
      <c r="E342" t="s">
        <v>939</v>
      </c>
      <c r="F342">
        <v>2</v>
      </c>
    </row>
    <row r="343" spans="1:6">
      <c r="A343" t="s">
        <v>29</v>
      </c>
    </row>
    <row r="344" spans="1:6">
      <c r="A344" t="s">
        <v>357</v>
      </c>
      <c r="B344" t="s">
        <v>358</v>
      </c>
      <c r="C344" t="s">
        <v>775</v>
      </c>
      <c r="D344" t="s">
        <v>483</v>
      </c>
      <c r="E344" t="s">
        <v>930</v>
      </c>
      <c r="F344">
        <v>1</v>
      </c>
    </row>
    <row r="345" spans="1:6">
      <c r="A345" t="s">
        <v>359</v>
      </c>
      <c r="B345" t="s">
        <v>161</v>
      </c>
      <c r="C345" t="s">
        <v>676</v>
      </c>
      <c r="D345" t="s">
        <v>943</v>
      </c>
      <c r="E345" t="s">
        <v>939</v>
      </c>
      <c r="F345">
        <v>5</v>
      </c>
    </row>
    <row r="346" spans="1:6">
      <c r="A346" t="s">
        <v>360</v>
      </c>
      <c r="B346" t="s">
        <v>361</v>
      </c>
      <c r="C346" t="s">
        <v>993</v>
      </c>
      <c r="D346" t="s">
        <v>931</v>
      </c>
      <c r="E346" t="s">
        <v>973</v>
      </c>
      <c r="F346">
        <v>3</v>
      </c>
    </row>
    <row r="347" spans="1:6">
      <c r="A347" t="s">
        <v>209</v>
      </c>
      <c r="B347" t="s">
        <v>210</v>
      </c>
      <c r="C347" t="s">
        <v>703</v>
      </c>
      <c r="D347" t="s">
        <v>948</v>
      </c>
      <c r="E347" t="s">
        <v>933</v>
      </c>
      <c r="F347">
        <v>1</v>
      </c>
    </row>
    <row r="348" spans="1:6">
      <c r="A348" t="s">
        <v>29</v>
      </c>
    </row>
    <row r="349" spans="1:6">
      <c r="A349" t="s">
        <v>362</v>
      </c>
      <c r="B349" t="s">
        <v>363</v>
      </c>
      <c r="C349" t="s">
        <v>777</v>
      </c>
      <c r="D349" t="s">
        <v>934</v>
      </c>
      <c r="E349" t="s">
        <v>932</v>
      </c>
      <c r="F349">
        <v>1</v>
      </c>
    </row>
    <row r="350" spans="1:6">
      <c r="A350" t="s">
        <v>73</v>
      </c>
      <c r="B350" t="s">
        <v>74</v>
      </c>
      <c r="C350" t="s">
        <v>625</v>
      </c>
      <c r="D350" t="s">
        <v>483</v>
      </c>
      <c r="E350" t="s">
        <v>940</v>
      </c>
      <c r="F350">
        <v>2</v>
      </c>
    </row>
    <row r="351" spans="1:6">
      <c r="A351" t="s">
        <v>364</v>
      </c>
      <c r="B351" t="s">
        <v>365</v>
      </c>
      <c r="C351" t="s">
        <v>778</v>
      </c>
      <c r="D351" t="s">
        <v>953</v>
      </c>
      <c r="E351" t="s">
        <v>937</v>
      </c>
      <c r="F351">
        <v>5</v>
      </c>
    </row>
    <row r="352" spans="1:6">
      <c r="A352" t="s">
        <v>118</v>
      </c>
      <c r="B352" t="s">
        <v>119</v>
      </c>
      <c r="C352" t="s">
        <v>654</v>
      </c>
      <c r="D352" t="s">
        <v>943</v>
      </c>
      <c r="E352" t="s">
        <v>118</v>
      </c>
      <c r="F352">
        <v>1</v>
      </c>
    </row>
    <row r="353" spans="1:6">
      <c r="A353" t="s">
        <v>29</v>
      </c>
    </row>
    <row r="354" spans="1:6">
      <c r="A354" t="s">
        <v>117</v>
      </c>
      <c r="B354" t="s">
        <v>366</v>
      </c>
      <c r="C354" t="s">
        <v>779</v>
      </c>
      <c r="D354" t="s">
        <v>529</v>
      </c>
      <c r="E354" t="s">
        <v>930</v>
      </c>
      <c r="F354">
        <v>5</v>
      </c>
    </row>
    <row r="355" spans="1:6">
      <c r="A355" t="s">
        <v>367</v>
      </c>
      <c r="B355" t="s">
        <v>368</v>
      </c>
      <c r="C355" t="s">
        <v>780</v>
      </c>
      <c r="D355" t="s">
        <v>934</v>
      </c>
      <c r="E355" t="s">
        <v>933</v>
      </c>
      <c r="F355">
        <v>4</v>
      </c>
    </row>
    <row r="356" spans="1:6">
      <c r="A356" t="s">
        <v>9</v>
      </c>
      <c r="B356" t="s">
        <v>10</v>
      </c>
      <c r="C356" t="s">
        <v>568</v>
      </c>
      <c r="D356" t="s">
        <v>529</v>
      </c>
      <c r="E356" t="s">
        <v>932</v>
      </c>
      <c r="F356">
        <v>3</v>
      </c>
    </row>
    <row r="357" spans="1:6">
      <c r="A357" t="s">
        <v>81</v>
      </c>
      <c r="B357" t="s">
        <v>82</v>
      </c>
      <c r="C357" t="s">
        <v>630</v>
      </c>
      <c r="D357" t="s">
        <v>934</v>
      </c>
      <c r="E357" t="s">
        <v>939</v>
      </c>
      <c r="F357">
        <v>1</v>
      </c>
    </row>
    <row r="358" spans="1:6">
      <c r="A358" t="s">
        <v>29</v>
      </c>
    </row>
    <row r="359" spans="1:6">
      <c r="A359" t="s">
        <v>369</v>
      </c>
      <c r="B359" t="s">
        <v>370</v>
      </c>
      <c r="C359" t="s">
        <v>781</v>
      </c>
      <c r="D359" t="s">
        <v>943</v>
      </c>
      <c r="E359" t="s">
        <v>935</v>
      </c>
      <c r="F359">
        <v>3</v>
      </c>
    </row>
    <row r="360" spans="1:6">
      <c r="A360" t="s">
        <v>128</v>
      </c>
      <c r="B360" t="s">
        <v>129</v>
      </c>
      <c r="C360" t="s">
        <v>966</v>
      </c>
      <c r="D360" t="s">
        <v>947</v>
      </c>
      <c r="E360" t="s">
        <v>941</v>
      </c>
      <c r="F360">
        <v>4</v>
      </c>
    </row>
    <row r="361" spans="1:6">
      <c r="A361" t="s">
        <v>168</v>
      </c>
      <c r="B361" t="s">
        <v>169</v>
      </c>
      <c r="C361" t="s">
        <v>972</v>
      </c>
      <c r="D361" t="s">
        <v>934</v>
      </c>
      <c r="E361" t="s">
        <v>973</v>
      </c>
      <c r="F361">
        <v>3</v>
      </c>
    </row>
    <row r="362" spans="1:6">
      <c r="A362" t="s">
        <v>25</v>
      </c>
      <c r="B362" t="s">
        <v>26</v>
      </c>
      <c r="C362" t="s">
        <v>584</v>
      </c>
      <c r="D362" t="s">
        <v>483</v>
      </c>
      <c r="E362" t="s">
        <v>939</v>
      </c>
      <c r="F362">
        <v>1</v>
      </c>
    </row>
    <row r="363" spans="1:6">
      <c r="A363" t="s">
        <v>371</v>
      </c>
      <c r="B363" t="s">
        <v>227</v>
      </c>
      <c r="C363" t="s">
        <v>713</v>
      </c>
      <c r="D363" t="s">
        <v>529</v>
      </c>
      <c r="E363" t="s">
        <v>945</v>
      </c>
      <c r="F363">
        <v>5</v>
      </c>
    </row>
    <row r="364" spans="1:6">
      <c r="A364" t="s">
        <v>294</v>
      </c>
      <c r="B364" t="s">
        <v>295</v>
      </c>
      <c r="C364" t="s">
        <v>990</v>
      </c>
      <c r="D364" t="s">
        <v>947</v>
      </c>
      <c r="E364" t="s">
        <v>982</v>
      </c>
      <c r="F364">
        <v>2</v>
      </c>
    </row>
    <row r="365" spans="1:6">
      <c r="A365" t="s">
        <v>29</v>
      </c>
    </row>
    <row r="366" spans="1:6">
      <c r="A366" t="s">
        <v>157</v>
      </c>
      <c r="B366" t="s">
        <v>150</v>
      </c>
      <c r="C366" t="s">
        <v>664</v>
      </c>
      <c r="D366" t="s">
        <v>936</v>
      </c>
      <c r="E366" t="s">
        <v>939</v>
      </c>
      <c r="F366">
        <v>5</v>
      </c>
    </row>
    <row r="367" spans="1:6">
      <c r="A367" t="s">
        <v>372</v>
      </c>
      <c r="B367" t="s">
        <v>284</v>
      </c>
      <c r="C367" t="s">
        <v>742</v>
      </c>
      <c r="D367" t="s">
        <v>943</v>
      </c>
      <c r="E367" t="s">
        <v>937</v>
      </c>
      <c r="F367">
        <v>1</v>
      </c>
    </row>
    <row r="368" spans="1:6">
      <c r="A368" t="s">
        <v>373</v>
      </c>
      <c r="B368" t="s">
        <v>374</v>
      </c>
      <c r="C368" t="s">
        <v>994</v>
      </c>
      <c r="D368" t="s">
        <v>947</v>
      </c>
      <c r="E368" t="s">
        <v>961</v>
      </c>
      <c r="F368">
        <v>1</v>
      </c>
    </row>
    <row r="369" spans="1:6">
      <c r="A369" t="s">
        <v>375</v>
      </c>
      <c r="B369" t="s">
        <v>376</v>
      </c>
      <c r="C369" t="s">
        <v>783</v>
      </c>
      <c r="D369" t="s">
        <v>483</v>
      </c>
      <c r="E369" t="s">
        <v>492</v>
      </c>
      <c r="F369">
        <v>2</v>
      </c>
    </row>
    <row r="370" spans="1:6">
      <c r="A370" t="s">
        <v>377</v>
      </c>
      <c r="B370" t="s">
        <v>378</v>
      </c>
      <c r="C370" t="s">
        <v>784</v>
      </c>
      <c r="D370" t="s">
        <v>483</v>
      </c>
      <c r="E370" t="s">
        <v>492</v>
      </c>
      <c r="F370">
        <v>1</v>
      </c>
    </row>
    <row r="371" spans="1:6">
      <c r="A371" t="s">
        <v>296</v>
      </c>
    </row>
    <row r="372" spans="1:6">
      <c r="A372" t="s">
        <v>379</v>
      </c>
      <c r="B372" t="s">
        <v>380</v>
      </c>
      <c r="C372" t="s">
        <v>785</v>
      </c>
      <c r="D372" t="s">
        <v>529</v>
      </c>
      <c r="E372" t="s">
        <v>933</v>
      </c>
      <c r="F372">
        <v>3</v>
      </c>
    </row>
    <row r="373" spans="1:6">
      <c r="A373" t="s">
        <v>381</v>
      </c>
      <c r="B373" s="51" t="s">
        <v>382</v>
      </c>
      <c r="C373" s="51" t="s">
        <v>786</v>
      </c>
      <c r="D373" t="s">
        <v>942</v>
      </c>
      <c r="E373" t="s">
        <v>935</v>
      </c>
      <c r="F373">
        <v>5</v>
      </c>
    </row>
    <row r="374" spans="1:6">
      <c r="A374" t="s">
        <v>40</v>
      </c>
      <c r="B374" t="s">
        <v>41</v>
      </c>
      <c r="C374" t="s">
        <v>946</v>
      </c>
      <c r="D374" t="s">
        <v>947</v>
      </c>
      <c r="E374" t="s">
        <v>932</v>
      </c>
      <c r="F374">
        <v>2</v>
      </c>
    </row>
    <row r="375" spans="1:6">
      <c r="A375" t="s">
        <v>38</v>
      </c>
      <c r="B375" s="52" t="s">
        <v>1819</v>
      </c>
      <c r="C375" s="51" t="s">
        <v>1820</v>
      </c>
      <c r="D375" t="s">
        <v>483</v>
      </c>
      <c r="E375" t="s">
        <v>939</v>
      </c>
      <c r="F375">
        <v>2</v>
      </c>
    </row>
    <row r="376" spans="1:6">
      <c r="A376" t="s">
        <v>29</v>
      </c>
    </row>
    <row r="377" spans="1:6">
      <c r="A377" t="s">
        <v>383</v>
      </c>
      <c r="B377" t="s">
        <v>110</v>
      </c>
      <c r="C377" t="s">
        <v>963</v>
      </c>
      <c r="D377" t="s">
        <v>942</v>
      </c>
      <c r="E377" t="s">
        <v>932</v>
      </c>
      <c r="F377">
        <v>5</v>
      </c>
    </row>
    <row r="378" spans="1:6">
      <c r="A378" t="s">
        <v>384</v>
      </c>
      <c r="B378" t="s">
        <v>385</v>
      </c>
      <c r="C378" t="s">
        <v>788</v>
      </c>
      <c r="D378" t="s">
        <v>483</v>
      </c>
      <c r="E378" t="s">
        <v>959</v>
      </c>
      <c r="F378">
        <v>5</v>
      </c>
    </row>
    <row r="379" spans="1:6">
      <c r="A379" t="s">
        <v>50</v>
      </c>
      <c r="B379" t="s">
        <v>51</v>
      </c>
      <c r="C379" t="s">
        <v>950</v>
      </c>
      <c r="D379" t="s">
        <v>947</v>
      </c>
      <c r="E379" t="s">
        <v>932</v>
      </c>
      <c r="F379">
        <v>1</v>
      </c>
    </row>
    <row r="380" spans="1:6">
      <c r="A380" t="s">
        <v>118</v>
      </c>
      <c r="B380" t="s">
        <v>119</v>
      </c>
      <c r="C380" t="s">
        <v>654</v>
      </c>
      <c r="D380" t="s">
        <v>943</v>
      </c>
      <c r="E380" t="s">
        <v>118</v>
      </c>
      <c r="F380">
        <v>1</v>
      </c>
    </row>
    <row r="381" spans="1:6">
      <c r="A381" t="s">
        <v>386</v>
      </c>
      <c r="B381" t="s">
        <v>39</v>
      </c>
      <c r="C381" t="s">
        <v>597</v>
      </c>
      <c r="D381" t="s">
        <v>483</v>
      </c>
      <c r="E381" t="s">
        <v>932</v>
      </c>
      <c r="F381">
        <v>2</v>
      </c>
    </row>
    <row r="382" spans="1:6">
      <c r="A382" t="s">
        <v>25</v>
      </c>
      <c r="B382" t="s">
        <v>26</v>
      </c>
      <c r="C382" t="s">
        <v>584</v>
      </c>
      <c r="D382" t="s">
        <v>483</v>
      </c>
      <c r="E382" t="s">
        <v>939</v>
      </c>
      <c r="F382">
        <v>1</v>
      </c>
    </row>
    <row r="383" spans="1:6">
      <c r="A383" t="s">
        <v>101</v>
      </c>
      <c r="B383" t="s">
        <v>102</v>
      </c>
      <c r="C383" t="s">
        <v>643</v>
      </c>
      <c r="D383" t="s">
        <v>934</v>
      </c>
      <c r="E383" t="s">
        <v>945</v>
      </c>
      <c r="F383">
        <v>2</v>
      </c>
    </row>
    <row r="384" spans="1:6">
      <c r="A384" t="s">
        <v>29</v>
      </c>
    </row>
    <row r="385" spans="1:6">
      <c r="A385" t="s">
        <v>387</v>
      </c>
      <c r="B385" t="s">
        <v>388</v>
      </c>
      <c r="C385" t="s">
        <v>995</v>
      </c>
      <c r="D385" t="s">
        <v>953</v>
      </c>
      <c r="E385" t="s">
        <v>932</v>
      </c>
      <c r="F385">
        <v>7</v>
      </c>
    </row>
    <row r="386" spans="1:6">
      <c r="A386" t="s">
        <v>389</v>
      </c>
      <c r="B386" t="s">
        <v>110</v>
      </c>
      <c r="C386" t="s">
        <v>963</v>
      </c>
      <c r="D386" t="s">
        <v>942</v>
      </c>
      <c r="E386" t="s">
        <v>932</v>
      </c>
      <c r="F386">
        <v>5</v>
      </c>
    </row>
    <row r="387" spans="1:6">
      <c r="A387" t="s">
        <v>390</v>
      </c>
      <c r="B387" t="s">
        <v>391</v>
      </c>
      <c r="C387" t="s">
        <v>790</v>
      </c>
      <c r="D387" t="s">
        <v>529</v>
      </c>
      <c r="E387" t="s">
        <v>996</v>
      </c>
      <c r="F387">
        <v>5</v>
      </c>
    </row>
    <row r="388" spans="1:6">
      <c r="A388" t="s">
        <v>157</v>
      </c>
      <c r="B388" t="s">
        <v>150</v>
      </c>
      <c r="C388" t="s">
        <v>664</v>
      </c>
      <c r="D388" t="s">
        <v>936</v>
      </c>
      <c r="E388" t="s">
        <v>939</v>
      </c>
      <c r="F388">
        <v>5</v>
      </c>
    </row>
    <row r="389" spans="1:6">
      <c r="A389" t="s">
        <v>392</v>
      </c>
      <c r="B389" t="s">
        <v>230</v>
      </c>
      <c r="C389" t="s">
        <v>981</v>
      </c>
      <c r="D389" t="s">
        <v>947</v>
      </c>
      <c r="E389" t="s">
        <v>940</v>
      </c>
      <c r="F389">
        <v>2</v>
      </c>
    </row>
    <row r="390" spans="1:6">
      <c r="A390" t="s">
        <v>393</v>
      </c>
      <c r="B390" t="s">
        <v>394</v>
      </c>
      <c r="C390" t="s">
        <v>791</v>
      </c>
      <c r="D390" t="s">
        <v>944</v>
      </c>
      <c r="E390" t="s">
        <v>939</v>
      </c>
      <c r="F390">
        <v>5</v>
      </c>
    </row>
    <row r="391" spans="1:6">
      <c r="A391" t="s">
        <v>395</v>
      </c>
      <c r="B391" t="s">
        <v>186</v>
      </c>
      <c r="C391" t="s">
        <v>690</v>
      </c>
      <c r="D391" t="s">
        <v>953</v>
      </c>
      <c r="E391" t="s">
        <v>933</v>
      </c>
      <c r="F391">
        <v>8</v>
      </c>
    </row>
    <row r="392" spans="1:6">
      <c r="A392" t="s">
        <v>126</v>
      </c>
    </row>
    <row r="393" spans="1:6">
      <c r="A393" t="s">
        <v>396</v>
      </c>
      <c r="B393" t="s">
        <v>397</v>
      </c>
      <c r="C393" t="s">
        <v>997</v>
      </c>
      <c r="D393" t="s">
        <v>943</v>
      </c>
      <c r="E393" t="s">
        <v>952</v>
      </c>
      <c r="F393">
        <v>3</v>
      </c>
    </row>
    <row r="394" spans="1:6">
      <c r="A394" t="s">
        <v>128</v>
      </c>
      <c r="B394" t="s">
        <v>129</v>
      </c>
      <c r="C394" t="s">
        <v>966</v>
      </c>
      <c r="D394" t="s">
        <v>947</v>
      </c>
      <c r="E394" t="s">
        <v>941</v>
      </c>
      <c r="F394">
        <v>4</v>
      </c>
    </row>
    <row r="395" spans="1:6">
      <c r="A395" t="s">
        <v>398</v>
      </c>
      <c r="B395" t="s">
        <v>399</v>
      </c>
      <c r="C395" t="s">
        <v>998</v>
      </c>
      <c r="D395" t="s">
        <v>947</v>
      </c>
      <c r="E395" t="s">
        <v>964</v>
      </c>
      <c r="F395">
        <v>8</v>
      </c>
    </row>
    <row r="396" spans="1:6">
      <c r="A396" t="s">
        <v>25</v>
      </c>
      <c r="B396" t="s">
        <v>26</v>
      </c>
      <c r="C396" t="s">
        <v>584</v>
      </c>
      <c r="D396" t="s">
        <v>483</v>
      </c>
      <c r="E396" t="s">
        <v>939</v>
      </c>
      <c r="F396">
        <v>1</v>
      </c>
    </row>
    <row r="397" spans="1:6">
      <c r="A397" t="s">
        <v>400</v>
      </c>
      <c r="B397" t="s">
        <v>401</v>
      </c>
      <c r="C397" t="s">
        <v>794</v>
      </c>
      <c r="D397" t="s">
        <v>955</v>
      </c>
      <c r="E397" t="s">
        <v>929</v>
      </c>
      <c r="F397">
        <v>1</v>
      </c>
    </row>
    <row r="398" spans="1:6">
      <c r="A398" t="s">
        <v>46</v>
      </c>
      <c r="B398" t="s">
        <v>47</v>
      </c>
      <c r="C398" t="s">
        <v>604</v>
      </c>
      <c r="D398" t="s">
        <v>483</v>
      </c>
      <c r="E398" t="s">
        <v>940</v>
      </c>
      <c r="F398">
        <v>1</v>
      </c>
    </row>
    <row r="399" spans="1:6">
      <c r="A399" t="s">
        <v>29</v>
      </c>
    </row>
    <row r="400" spans="1:6">
      <c r="A400" t="s">
        <v>402</v>
      </c>
      <c r="B400" t="s">
        <v>72</v>
      </c>
      <c r="C400" t="s">
        <v>957</v>
      </c>
      <c r="D400" t="s">
        <v>943</v>
      </c>
      <c r="E400" t="s">
        <v>932</v>
      </c>
      <c r="F400">
        <v>2</v>
      </c>
    </row>
    <row r="401" spans="1:6">
      <c r="A401" t="s">
        <v>403</v>
      </c>
      <c r="B401" t="s">
        <v>404</v>
      </c>
      <c r="C401" t="s">
        <v>795</v>
      </c>
      <c r="D401" t="s">
        <v>931</v>
      </c>
      <c r="E401" t="s">
        <v>977</v>
      </c>
      <c r="F401">
        <v>5</v>
      </c>
    </row>
    <row r="402" spans="1:6">
      <c r="A402" t="s">
        <v>405</v>
      </c>
      <c r="B402" t="s">
        <v>406</v>
      </c>
      <c r="C402" t="s">
        <v>796</v>
      </c>
      <c r="D402" t="s">
        <v>483</v>
      </c>
      <c r="E402" t="s">
        <v>938</v>
      </c>
      <c r="F402">
        <v>1</v>
      </c>
    </row>
    <row r="403" spans="1:6">
      <c r="A403" t="s">
        <v>407</v>
      </c>
      <c r="B403" t="s">
        <v>240</v>
      </c>
      <c r="C403" t="s">
        <v>983</v>
      </c>
      <c r="D403" t="s">
        <v>947</v>
      </c>
      <c r="E403" t="s">
        <v>939</v>
      </c>
      <c r="F403">
        <v>2</v>
      </c>
    </row>
    <row r="404" spans="1:6">
      <c r="A404" t="s">
        <v>328</v>
      </c>
      <c r="B404" t="s">
        <v>329</v>
      </c>
      <c r="C404" t="s">
        <v>763</v>
      </c>
      <c r="D404" t="s">
        <v>934</v>
      </c>
      <c r="E404" t="s">
        <v>945</v>
      </c>
      <c r="F404">
        <v>1</v>
      </c>
    </row>
    <row r="405" spans="1:6">
      <c r="A405" t="s">
        <v>75</v>
      </c>
      <c r="B405" t="s">
        <v>76</v>
      </c>
      <c r="C405" t="s">
        <v>626</v>
      </c>
      <c r="D405" t="s">
        <v>483</v>
      </c>
      <c r="E405" t="s">
        <v>945</v>
      </c>
      <c r="F405">
        <v>4</v>
      </c>
    </row>
    <row r="406" spans="1:6">
      <c r="A406" t="s">
        <v>54</v>
      </c>
    </row>
    <row r="407" spans="1:6">
      <c r="A407" t="s">
        <v>408</v>
      </c>
      <c r="B407" t="s">
        <v>35</v>
      </c>
      <c r="C407" t="s">
        <v>593</v>
      </c>
      <c r="D407" t="s">
        <v>943</v>
      </c>
      <c r="E407" t="s">
        <v>939</v>
      </c>
      <c r="F407">
        <v>3</v>
      </c>
    </row>
    <row r="408" spans="1:6">
      <c r="A408" t="s">
        <v>409</v>
      </c>
      <c r="B408" t="s">
        <v>410</v>
      </c>
      <c r="C408" t="s">
        <v>797</v>
      </c>
      <c r="D408" t="s">
        <v>529</v>
      </c>
      <c r="E408" t="s">
        <v>932</v>
      </c>
      <c r="F408">
        <v>5</v>
      </c>
    </row>
    <row r="409" spans="1:6">
      <c r="A409" t="s">
        <v>411</v>
      </c>
      <c r="B409" t="s">
        <v>49</v>
      </c>
      <c r="C409" t="s">
        <v>949</v>
      </c>
      <c r="D409" t="s">
        <v>947</v>
      </c>
      <c r="E409" t="s">
        <v>940</v>
      </c>
      <c r="F409">
        <v>5</v>
      </c>
    </row>
    <row r="410" spans="1:6">
      <c r="A410" t="s">
        <v>50</v>
      </c>
      <c r="B410" t="s">
        <v>51</v>
      </c>
      <c r="C410" t="s">
        <v>950</v>
      </c>
      <c r="D410" t="s">
        <v>947</v>
      </c>
      <c r="E410" t="s">
        <v>932</v>
      </c>
      <c r="F410">
        <v>1</v>
      </c>
    </row>
    <row r="411" spans="1:6">
      <c r="A411" t="s">
        <v>124</v>
      </c>
      <c r="B411" t="s">
        <v>125</v>
      </c>
      <c r="C411" t="s">
        <v>659</v>
      </c>
      <c r="D411" t="s">
        <v>965</v>
      </c>
      <c r="E411" t="s">
        <v>929</v>
      </c>
      <c r="F411">
        <v>1</v>
      </c>
    </row>
    <row r="412" spans="1:6">
      <c r="A412" t="s">
        <v>412</v>
      </c>
      <c r="B412" s="51" t="s">
        <v>1821</v>
      </c>
      <c r="C412" s="51" t="s">
        <v>1822</v>
      </c>
      <c r="D412" t="s">
        <v>412</v>
      </c>
      <c r="E412" t="s">
        <v>939</v>
      </c>
      <c r="F412">
        <v>7</v>
      </c>
    </row>
    <row r="413" spans="1:6">
      <c r="A413" t="s">
        <v>29</v>
      </c>
    </row>
    <row r="414" spans="1:6">
      <c r="A414" t="s">
        <v>215</v>
      </c>
      <c r="B414" t="s">
        <v>216</v>
      </c>
      <c r="C414" t="s">
        <v>706</v>
      </c>
      <c r="D414" t="s">
        <v>944</v>
      </c>
      <c r="E414" t="s">
        <v>959</v>
      </c>
      <c r="F414">
        <v>2</v>
      </c>
    </row>
    <row r="415" spans="1:6">
      <c r="A415" t="s">
        <v>414</v>
      </c>
      <c r="B415" t="s">
        <v>335</v>
      </c>
      <c r="C415" t="s">
        <v>766</v>
      </c>
      <c r="D415" t="s">
        <v>95</v>
      </c>
      <c r="E415" t="s">
        <v>933</v>
      </c>
      <c r="F415">
        <v>1</v>
      </c>
    </row>
    <row r="416" spans="1:6">
      <c r="A416" t="s">
        <v>415</v>
      </c>
      <c r="B416" t="s">
        <v>416</v>
      </c>
      <c r="C416" t="s">
        <v>799</v>
      </c>
      <c r="D416" t="s">
        <v>529</v>
      </c>
      <c r="E416" t="s">
        <v>492</v>
      </c>
      <c r="F416">
        <v>2</v>
      </c>
    </row>
    <row r="417" spans="1:6">
      <c r="A417" t="s">
        <v>25</v>
      </c>
      <c r="B417" t="s">
        <v>26</v>
      </c>
      <c r="C417" t="s">
        <v>584</v>
      </c>
      <c r="D417" t="s">
        <v>483</v>
      </c>
      <c r="E417" t="s">
        <v>939</v>
      </c>
      <c r="F417">
        <v>1</v>
      </c>
    </row>
    <row r="418" spans="1:6">
      <c r="A418" t="s">
        <v>128</v>
      </c>
      <c r="B418" t="s">
        <v>129</v>
      </c>
      <c r="C418" t="s">
        <v>966</v>
      </c>
      <c r="D418" t="s">
        <v>947</v>
      </c>
      <c r="E418" t="s">
        <v>941</v>
      </c>
      <c r="F418">
        <v>4</v>
      </c>
    </row>
    <row r="419" spans="1:6">
      <c r="A419" t="s">
        <v>417</v>
      </c>
      <c r="B419" t="s">
        <v>418</v>
      </c>
      <c r="C419" t="s">
        <v>800</v>
      </c>
      <c r="D419" t="s">
        <v>934</v>
      </c>
      <c r="E419" t="s">
        <v>945</v>
      </c>
      <c r="F419">
        <v>4</v>
      </c>
    </row>
    <row r="420" spans="1:6">
      <c r="A420" t="s">
        <v>54</v>
      </c>
    </row>
    <row r="421" spans="1:6">
      <c r="A421" t="s">
        <v>419</v>
      </c>
      <c r="B421" t="s">
        <v>420</v>
      </c>
      <c r="C421" t="s">
        <v>999</v>
      </c>
      <c r="D421" t="s">
        <v>947</v>
      </c>
      <c r="E421" t="s">
        <v>492</v>
      </c>
      <c r="F421">
        <v>1</v>
      </c>
    </row>
    <row r="422" spans="1:6">
      <c r="A422" t="s">
        <v>381</v>
      </c>
      <c r="B422" s="51" t="s">
        <v>382</v>
      </c>
      <c r="C422" s="51" t="s">
        <v>786</v>
      </c>
      <c r="D422" t="s">
        <v>942</v>
      </c>
      <c r="E422" t="s">
        <v>935</v>
      </c>
      <c r="F422">
        <v>5</v>
      </c>
    </row>
    <row r="423" spans="1:6">
      <c r="A423" t="s">
        <v>421</v>
      </c>
      <c r="B423" t="s">
        <v>244</v>
      </c>
      <c r="C423" t="s">
        <v>722</v>
      </c>
      <c r="D423" t="s">
        <v>934</v>
      </c>
      <c r="E423" t="s">
        <v>930</v>
      </c>
      <c r="F423">
        <v>1</v>
      </c>
    </row>
    <row r="424" spans="1:6">
      <c r="A424" t="s">
        <v>25</v>
      </c>
      <c r="B424" t="s">
        <v>26</v>
      </c>
      <c r="C424" t="s">
        <v>584</v>
      </c>
      <c r="D424" t="s">
        <v>483</v>
      </c>
      <c r="E424" t="s">
        <v>939</v>
      </c>
      <c r="F424">
        <v>1</v>
      </c>
    </row>
    <row r="425" spans="1:6">
      <c r="A425" t="s">
        <v>422</v>
      </c>
      <c r="B425" t="s">
        <v>363</v>
      </c>
      <c r="C425" t="s">
        <v>777</v>
      </c>
      <c r="D425" t="s">
        <v>934</v>
      </c>
      <c r="E425" t="s">
        <v>932</v>
      </c>
      <c r="F425">
        <v>1</v>
      </c>
    </row>
    <row r="426" spans="1:6">
      <c r="A426" t="s">
        <v>423</v>
      </c>
      <c r="B426" t="s">
        <v>218</v>
      </c>
      <c r="C426" t="s">
        <v>979</v>
      </c>
      <c r="D426" t="s">
        <v>947</v>
      </c>
      <c r="E426" t="s">
        <v>932</v>
      </c>
      <c r="F426">
        <v>5</v>
      </c>
    </row>
    <row r="427" spans="1:6">
      <c r="A427" t="s">
        <v>29</v>
      </c>
    </row>
    <row r="428" spans="1:6">
      <c r="A428" t="s">
        <v>424</v>
      </c>
      <c r="B428" t="s">
        <v>425</v>
      </c>
      <c r="C428" t="s">
        <v>802</v>
      </c>
      <c r="D428" t="s">
        <v>934</v>
      </c>
      <c r="E428" t="s">
        <v>929</v>
      </c>
      <c r="F428">
        <v>7</v>
      </c>
    </row>
    <row r="429" spans="1:6">
      <c r="A429" t="s">
        <v>426</v>
      </c>
      <c r="B429" t="s">
        <v>427</v>
      </c>
      <c r="C429" t="s">
        <v>803</v>
      </c>
      <c r="D429" t="s">
        <v>412</v>
      </c>
      <c r="E429" t="s">
        <v>945</v>
      </c>
      <c r="F429">
        <v>5</v>
      </c>
    </row>
    <row r="430" spans="1:6">
      <c r="A430" t="s">
        <v>118</v>
      </c>
      <c r="B430" t="s">
        <v>119</v>
      </c>
      <c r="C430" t="s">
        <v>654</v>
      </c>
      <c r="D430" t="s">
        <v>943</v>
      </c>
      <c r="E430" t="s">
        <v>118</v>
      </c>
      <c r="F430">
        <v>1</v>
      </c>
    </row>
    <row r="431" spans="1:6">
      <c r="A431" t="s">
        <v>25</v>
      </c>
      <c r="B431" t="s">
        <v>26</v>
      </c>
      <c r="C431" t="s">
        <v>584</v>
      </c>
      <c r="D431" t="s">
        <v>483</v>
      </c>
      <c r="E431" t="s">
        <v>939</v>
      </c>
      <c r="F431">
        <v>1</v>
      </c>
    </row>
    <row r="432" spans="1:6">
      <c r="A432" t="s">
        <v>428</v>
      </c>
      <c r="B432" t="s">
        <v>429</v>
      </c>
      <c r="C432" t="s">
        <v>804</v>
      </c>
      <c r="D432" t="s">
        <v>944</v>
      </c>
      <c r="E432" t="s">
        <v>932</v>
      </c>
      <c r="F432">
        <v>5</v>
      </c>
    </row>
    <row r="433" spans="1:6">
      <c r="A433" t="s">
        <v>430</v>
      </c>
      <c r="B433" t="s">
        <v>431</v>
      </c>
      <c r="C433" t="s">
        <v>805</v>
      </c>
      <c r="D433" t="s">
        <v>943</v>
      </c>
      <c r="E433" t="s">
        <v>945</v>
      </c>
      <c r="F433">
        <v>5</v>
      </c>
    </row>
    <row r="434" spans="1:6">
      <c r="A434" t="s">
        <v>54</v>
      </c>
    </row>
    <row r="435" spans="1:6">
      <c r="A435" t="s">
        <v>432</v>
      </c>
      <c r="B435" t="s">
        <v>433</v>
      </c>
      <c r="C435" t="s">
        <v>806</v>
      </c>
      <c r="D435" t="s">
        <v>529</v>
      </c>
      <c r="E435" t="s">
        <v>929</v>
      </c>
      <c r="F435">
        <v>8</v>
      </c>
    </row>
    <row r="436" spans="1:6">
      <c r="A436" t="s">
        <v>306</v>
      </c>
      <c r="B436" t="s">
        <v>307</v>
      </c>
      <c r="C436" t="s">
        <v>753</v>
      </c>
      <c r="D436" t="s">
        <v>529</v>
      </c>
      <c r="E436" t="s">
        <v>954</v>
      </c>
      <c r="F436">
        <v>1</v>
      </c>
    </row>
    <row r="437" spans="1:6">
      <c r="A437" t="s">
        <v>179</v>
      </c>
      <c r="B437" t="s">
        <v>180</v>
      </c>
      <c r="C437" t="s">
        <v>687</v>
      </c>
      <c r="D437" t="s">
        <v>934</v>
      </c>
      <c r="E437" t="s">
        <v>929</v>
      </c>
      <c r="F437">
        <v>1</v>
      </c>
    </row>
    <row r="438" spans="1:6">
      <c r="A438" t="s">
        <v>407</v>
      </c>
      <c r="B438" t="s">
        <v>240</v>
      </c>
      <c r="C438" t="s">
        <v>983</v>
      </c>
      <c r="D438" t="s">
        <v>947</v>
      </c>
      <c r="E438" t="s">
        <v>939</v>
      </c>
      <c r="F438">
        <v>2</v>
      </c>
    </row>
    <row r="439" spans="1:6">
      <c r="A439" t="s">
        <v>434</v>
      </c>
      <c r="B439" s="51" t="s">
        <v>435</v>
      </c>
      <c r="C439" s="51" t="s">
        <v>808</v>
      </c>
      <c r="D439" t="s">
        <v>942</v>
      </c>
      <c r="E439" t="s">
        <v>956</v>
      </c>
      <c r="F439">
        <v>5</v>
      </c>
    </row>
    <row r="440" spans="1:6">
      <c r="A440" t="s">
        <v>48</v>
      </c>
      <c r="B440" t="s">
        <v>49</v>
      </c>
      <c r="C440" t="s">
        <v>949</v>
      </c>
      <c r="D440" t="s">
        <v>947</v>
      </c>
      <c r="E440" t="s">
        <v>940</v>
      </c>
      <c r="F440">
        <v>5</v>
      </c>
    </row>
    <row r="441" spans="1:6">
      <c r="A441" t="s">
        <v>29</v>
      </c>
    </row>
    <row r="442" spans="1:6">
      <c r="A442" t="s">
        <v>436</v>
      </c>
      <c r="B442" t="s">
        <v>437</v>
      </c>
      <c r="C442" t="s">
        <v>809</v>
      </c>
      <c r="D442" t="s">
        <v>931</v>
      </c>
      <c r="E442" t="s">
        <v>956</v>
      </c>
      <c r="F442">
        <v>2</v>
      </c>
    </row>
    <row r="443" spans="1:6">
      <c r="A443" t="s">
        <v>79</v>
      </c>
      <c r="B443" t="s">
        <v>80</v>
      </c>
      <c r="C443" t="s">
        <v>629</v>
      </c>
      <c r="D443" t="s">
        <v>944</v>
      </c>
      <c r="E443" t="s">
        <v>930</v>
      </c>
      <c r="F443">
        <v>5</v>
      </c>
    </row>
    <row r="444" spans="1:6">
      <c r="A444" t="s">
        <v>32</v>
      </c>
      <c r="B444" t="s">
        <v>33</v>
      </c>
      <c r="C444" t="s">
        <v>590</v>
      </c>
      <c r="D444" t="s">
        <v>942</v>
      </c>
      <c r="E444" t="s">
        <v>478</v>
      </c>
      <c r="F444">
        <v>8</v>
      </c>
    </row>
    <row r="445" spans="1:6">
      <c r="A445" t="s">
        <v>157</v>
      </c>
      <c r="B445" t="s">
        <v>150</v>
      </c>
      <c r="C445" t="s">
        <v>664</v>
      </c>
      <c r="D445" t="s">
        <v>936</v>
      </c>
      <c r="E445" t="s">
        <v>939</v>
      </c>
      <c r="F445">
        <v>5</v>
      </c>
    </row>
    <row r="446" spans="1:6">
      <c r="A446" t="s">
        <v>426</v>
      </c>
      <c r="B446" t="s">
        <v>427</v>
      </c>
      <c r="C446" t="s">
        <v>803</v>
      </c>
      <c r="D446" t="s">
        <v>412</v>
      </c>
      <c r="E446" t="s">
        <v>945</v>
      </c>
      <c r="F446">
        <v>5</v>
      </c>
    </row>
    <row r="447" spans="1:6">
      <c r="A447" t="s">
        <v>438</v>
      </c>
      <c r="B447" t="s">
        <v>90</v>
      </c>
      <c r="C447" t="s">
        <v>636</v>
      </c>
      <c r="D447" t="s">
        <v>483</v>
      </c>
      <c r="E447" t="s">
        <v>945</v>
      </c>
      <c r="F447">
        <v>1</v>
      </c>
    </row>
    <row r="448" spans="1:6">
      <c r="A448" t="s">
        <v>54</v>
      </c>
    </row>
    <row r="449" spans="1:6">
      <c r="A449" t="s">
        <v>158</v>
      </c>
      <c r="B449" t="s">
        <v>159</v>
      </c>
      <c r="C449" t="s">
        <v>675</v>
      </c>
      <c r="D449" t="s">
        <v>412</v>
      </c>
      <c r="E449" t="s">
        <v>939</v>
      </c>
      <c r="F449">
        <v>1</v>
      </c>
    </row>
    <row r="450" spans="1:6">
      <c r="A450" t="s">
        <v>67</v>
      </c>
      <c r="B450" t="s">
        <v>68</v>
      </c>
      <c r="C450" t="s">
        <v>622</v>
      </c>
      <c r="D450" t="s">
        <v>931</v>
      </c>
      <c r="E450" t="s">
        <v>938</v>
      </c>
      <c r="F450">
        <v>4</v>
      </c>
    </row>
    <row r="451" spans="1:6">
      <c r="A451" t="s">
        <v>439</v>
      </c>
      <c r="B451" t="s">
        <v>440</v>
      </c>
      <c r="C451" t="s">
        <v>810</v>
      </c>
      <c r="D451" t="s">
        <v>948</v>
      </c>
      <c r="E451" t="s">
        <v>956</v>
      </c>
      <c r="F451">
        <v>2</v>
      </c>
    </row>
    <row r="452" spans="1:6">
      <c r="A452" t="s">
        <v>148</v>
      </c>
      <c r="B452" t="s">
        <v>149</v>
      </c>
      <c r="C452" t="s">
        <v>671</v>
      </c>
      <c r="D452" t="s">
        <v>529</v>
      </c>
      <c r="E452" t="s">
        <v>935</v>
      </c>
      <c r="F452">
        <v>5</v>
      </c>
    </row>
    <row r="453" spans="1:6">
      <c r="A453" t="s">
        <v>441</v>
      </c>
      <c r="B453" t="s">
        <v>442</v>
      </c>
      <c r="C453" t="s">
        <v>811</v>
      </c>
      <c r="D453" t="s">
        <v>483</v>
      </c>
      <c r="E453" t="s">
        <v>935</v>
      </c>
      <c r="F453">
        <v>7</v>
      </c>
    </row>
    <row r="454" spans="1:6">
      <c r="A454" t="s">
        <v>443</v>
      </c>
      <c r="B454" t="s">
        <v>317</v>
      </c>
      <c r="C454" t="s">
        <v>757</v>
      </c>
      <c r="D454" t="s">
        <v>412</v>
      </c>
      <c r="E454" t="s">
        <v>930</v>
      </c>
      <c r="F454">
        <v>4</v>
      </c>
    </row>
    <row r="455" spans="1:6">
      <c r="A455" t="s">
        <v>29</v>
      </c>
    </row>
    <row r="456" spans="1:6">
      <c r="A456" t="s">
        <v>444</v>
      </c>
      <c r="B456" t="s">
        <v>445</v>
      </c>
      <c r="C456" t="s">
        <v>812</v>
      </c>
      <c r="D456" t="s">
        <v>965</v>
      </c>
      <c r="E456" t="s">
        <v>933</v>
      </c>
      <c r="F456">
        <v>4</v>
      </c>
    </row>
    <row r="457" spans="1:6">
      <c r="A457" t="s">
        <v>166</v>
      </c>
      <c r="B457" t="s">
        <v>167</v>
      </c>
      <c r="C457" t="s">
        <v>971</v>
      </c>
      <c r="D457" t="s">
        <v>947</v>
      </c>
      <c r="E457" t="s">
        <v>954</v>
      </c>
      <c r="F457">
        <v>5</v>
      </c>
    </row>
    <row r="458" spans="1:6">
      <c r="A458" t="s">
        <v>446</v>
      </c>
      <c r="B458" t="s">
        <v>447</v>
      </c>
      <c r="C458" t="s">
        <v>813</v>
      </c>
      <c r="D458" t="s">
        <v>529</v>
      </c>
      <c r="E458" t="s">
        <v>945</v>
      </c>
      <c r="F458">
        <v>2</v>
      </c>
    </row>
    <row r="459" spans="1:6">
      <c r="A459" t="s">
        <v>50</v>
      </c>
      <c r="B459" t="s">
        <v>51</v>
      </c>
      <c r="C459" t="s">
        <v>950</v>
      </c>
      <c r="D459" t="s">
        <v>947</v>
      </c>
      <c r="E459" t="s">
        <v>932</v>
      </c>
      <c r="F459">
        <v>1</v>
      </c>
    </row>
    <row r="460" spans="1:6">
      <c r="A460" t="s">
        <v>448</v>
      </c>
      <c r="B460" t="s">
        <v>449</v>
      </c>
      <c r="C460" t="s">
        <v>814</v>
      </c>
      <c r="D460" t="s">
        <v>931</v>
      </c>
      <c r="E460" t="s">
        <v>939</v>
      </c>
      <c r="F460">
        <v>1</v>
      </c>
    </row>
    <row r="461" spans="1:6">
      <c r="A461" t="s">
        <v>57</v>
      </c>
      <c r="B461" s="51" t="s">
        <v>1823</v>
      </c>
      <c r="C461" s="51" t="s">
        <v>1811</v>
      </c>
      <c r="D461" t="s">
        <v>529</v>
      </c>
      <c r="E461" t="s">
        <v>945</v>
      </c>
      <c r="F461">
        <v>1</v>
      </c>
    </row>
    <row r="462" spans="1:6">
      <c r="A462" t="s">
        <v>54</v>
      </c>
    </row>
    <row r="463" spans="1:6">
      <c r="A463" t="s">
        <v>195</v>
      </c>
    </row>
    <row r="464" spans="1:6">
      <c r="A464" t="s">
        <v>228</v>
      </c>
    </row>
    <row r="465" spans="1:6">
      <c r="A465" t="s">
        <v>17</v>
      </c>
      <c r="B465" t="s">
        <v>18</v>
      </c>
      <c r="C465" t="s">
        <v>576</v>
      </c>
      <c r="D465" t="s">
        <v>934</v>
      </c>
      <c r="E465" t="s">
        <v>935</v>
      </c>
      <c r="F465">
        <v>1</v>
      </c>
    </row>
    <row r="466" spans="1:6">
      <c r="A466" t="s">
        <v>38</v>
      </c>
      <c r="B466" t="s">
        <v>39</v>
      </c>
      <c r="C466" t="s">
        <v>597</v>
      </c>
      <c r="D466" t="s">
        <v>483</v>
      </c>
      <c r="E466" t="s">
        <v>932</v>
      </c>
      <c r="F466">
        <v>2</v>
      </c>
    </row>
    <row r="467" spans="1:6">
      <c r="A467" t="s">
        <v>193</v>
      </c>
      <c r="B467" t="s">
        <v>194</v>
      </c>
      <c r="C467" t="s">
        <v>976</v>
      </c>
      <c r="D467" t="s">
        <v>947</v>
      </c>
      <c r="E467" t="s">
        <v>478</v>
      </c>
      <c r="F467">
        <v>8</v>
      </c>
    </row>
    <row r="468" spans="1:6">
      <c r="A468" t="s">
        <v>16</v>
      </c>
    </row>
    <row r="469" spans="1:6">
      <c r="A469" t="s">
        <v>195</v>
      </c>
    </row>
    <row r="470" spans="1:6">
      <c r="A470" t="s">
        <v>196</v>
      </c>
    </row>
    <row r="471" spans="1:6">
      <c r="A471" t="s">
        <v>42</v>
      </c>
      <c r="B471" t="s">
        <v>43</v>
      </c>
      <c r="C471" t="s">
        <v>600</v>
      </c>
      <c r="D471" t="s">
        <v>948</v>
      </c>
      <c r="E471" t="s">
        <v>930</v>
      </c>
      <c r="F471">
        <v>4</v>
      </c>
    </row>
    <row r="472" spans="1:6">
      <c r="A472" t="s">
        <v>450</v>
      </c>
      <c r="B472" t="s">
        <v>451</v>
      </c>
      <c r="C472" t="s">
        <v>1000</v>
      </c>
      <c r="D472" t="s">
        <v>947</v>
      </c>
      <c r="E472" t="s">
        <v>930</v>
      </c>
      <c r="F472">
        <v>8</v>
      </c>
    </row>
    <row r="473" spans="1:6">
      <c r="A473" t="s">
        <v>158</v>
      </c>
      <c r="B473" t="s">
        <v>159</v>
      </c>
      <c r="C473" t="s">
        <v>675</v>
      </c>
      <c r="D473" t="s">
        <v>412</v>
      </c>
      <c r="E473" t="s">
        <v>939</v>
      </c>
      <c r="F473">
        <v>1</v>
      </c>
    </row>
    <row r="474" spans="1:6">
      <c r="A474" t="s">
        <v>452</v>
      </c>
      <c r="B474" t="s">
        <v>410</v>
      </c>
      <c r="C474" t="s">
        <v>797</v>
      </c>
      <c r="D474" t="s">
        <v>529</v>
      </c>
      <c r="E474" t="s">
        <v>932</v>
      </c>
      <c r="F474">
        <v>5</v>
      </c>
    </row>
    <row r="475" spans="1:6">
      <c r="A475" t="s">
        <v>63</v>
      </c>
      <c r="B475" t="s">
        <v>64</v>
      </c>
      <c r="C475" t="s">
        <v>617</v>
      </c>
      <c r="D475" t="s">
        <v>934</v>
      </c>
      <c r="E475" t="s">
        <v>954</v>
      </c>
      <c r="F475">
        <v>2</v>
      </c>
    </row>
    <row r="476" spans="1:6">
      <c r="A476" t="s">
        <v>40</v>
      </c>
      <c r="B476" t="s">
        <v>41</v>
      </c>
      <c r="C476" t="s">
        <v>946</v>
      </c>
      <c r="D476" t="s">
        <v>947</v>
      </c>
      <c r="E476" t="s">
        <v>932</v>
      </c>
      <c r="F476">
        <v>2</v>
      </c>
    </row>
    <row r="477" spans="1:6">
      <c r="A477" t="s">
        <v>32</v>
      </c>
      <c r="B477" t="s">
        <v>33</v>
      </c>
      <c r="C477" t="s">
        <v>590</v>
      </c>
      <c r="D477" t="s">
        <v>942</v>
      </c>
      <c r="E477" t="s">
        <v>478</v>
      </c>
      <c r="F477">
        <v>8</v>
      </c>
    </row>
    <row r="478" spans="1:6">
      <c r="A478" t="s">
        <v>148</v>
      </c>
      <c r="B478" t="s">
        <v>149</v>
      </c>
      <c r="C478" t="s">
        <v>671</v>
      </c>
      <c r="D478" t="s">
        <v>529</v>
      </c>
      <c r="E478" t="s">
        <v>935</v>
      </c>
      <c r="F478">
        <v>5</v>
      </c>
    </row>
    <row r="479" spans="1:6">
      <c r="A479" t="s">
        <v>296</v>
      </c>
    </row>
    <row r="480" spans="1:6">
      <c r="A480" t="s">
        <v>453</v>
      </c>
      <c r="B480" t="s">
        <v>454</v>
      </c>
      <c r="C480" t="s">
        <v>1001</v>
      </c>
      <c r="D480" t="s">
        <v>934</v>
      </c>
      <c r="E480" t="s">
        <v>973</v>
      </c>
      <c r="F480">
        <v>7</v>
      </c>
    </row>
    <row r="481" spans="1:6">
      <c r="A481" t="s">
        <v>237</v>
      </c>
      <c r="B481" t="s">
        <v>238</v>
      </c>
      <c r="C481" t="s">
        <v>718</v>
      </c>
      <c r="D481" t="s">
        <v>483</v>
      </c>
      <c r="E481" t="s">
        <v>982</v>
      </c>
      <c r="F481">
        <v>2</v>
      </c>
    </row>
    <row r="482" spans="1:6">
      <c r="A482" t="s">
        <v>134</v>
      </c>
      <c r="B482" t="s">
        <v>135</v>
      </c>
      <c r="C482" t="s">
        <v>968</v>
      </c>
      <c r="D482" t="s">
        <v>936</v>
      </c>
      <c r="E482" t="s">
        <v>932</v>
      </c>
      <c r="F482">
        <v>5</v>
      </c>
    </row>
    <row r="483" spans="1:6">
      <c r="A483" t="s">
        <v>455</v>
      </c>
      <c r="B483" t="s">
        <v>363</v>
      </c>
      <c r="C483" t="s">
        <v>777</v>
      </c>
      <c r="D483" t="s">
        <v>934</v>
      </c>
      <c r="E483" t="s">
        <v>932</v>
      </c>
      <c r="F483">
        <v>1</v>
      </c>
    </row>
    <row r="484" spans="1:6">
      <c r="A484" t="s">
        <v>29</v>
      </c>
    </row>
    <row r="485" spans="1:6">
      <c r="A485" t="s">
        <v>157</v>
      </c>
      <c r="B485" t="s">
        <v>150</v>
      </c>
      <c r="C485" t="s">
        <v>664</v>
      </c>
      <c r="D485" t="s">
        <v>936</v>
      </c>
      <c r="E485" t="s">
        <v>939</v>
      </c>
      <c r="F485">
        <v>5</v>
      </c>
    </row>
    <row r="486" spans="1:6">
      <c r="A486" t="s">
        <v>456</v>
      </c>
      <c r="B486" t="s">
        <v>457</v>
      </c>
      <c r="C486" t="s">
        <v>1002</v>
      </c>
      <c r="D486" t="s">
        <v>944</v>
      </c>
      <c r="E486" t="s">
        <v>954</v>
      </c>
      <c r="F486">
        <v>7</v>
      </c>
    </row>
    <row r="487" spans="1:6">
      <c r="A487" t="s">
        <v>458</v>
      </c>
      <c r="B487" t="s">
        <v>459</v>
      </c>
      <c r="C487" t="s">
        <v>818</v>
      </c>
      <c r="D487" t="s">
        <v>934</v>
      </c>
      <c r="E487" t="s">
        <v>945</v>
      </c>
      <c r="F487">
        <v>5</v>
      </c>
    </row>
    <row r="488" spans="1:6">
      <c r="A488" t="s">
        <v>460</v>
      </c>
      <c r="B488" s="51" t="s">
        <v>1824</v>
      </c>
      <c r="C488" s="51" t="s">
        <v>1825</v>
      </c>
      <c r="D488" t="s">
        <v>947</v>
      </c>
      <c r="E488" t="s">
        <v>945</v>
      </c>
      <c r="F488">
        <v>2</v>
      </c>
    </row>
    <row r="489" spans="1:6">
      <c r="A489" t="s">
        <v>294</v>
      </c>
      <c r="B489" t="s">
        <v>295</v>
      </c>
      <c r="C489" t="s">
        <v>990</v>
      </c>
      <c r="D489" t="s">
        <v>947</v>
      </c>
      <c r="E489" t="s">
        <v>982</v>
      </c>
      <c r="F489">
        <v>2</v>
      </c>
    </row>
    <row r="490" spans="1:6">
      <c r="A490" t="s">
        <v>126</v>
      </c>
    </row>
    <row r="491" spans="1:6">
      <c r="A491" t="s">
        <v>462</v>
      </c>
      <c r="B491" t="s">
        <v>463</v>
      </c>
      <c r="C491" t="s">
        <v>1003</v>
      </c>
      <c r="D491" t="s">
        <v>947</v>
      </c>
      <c r="E491" t="s">
        <v>930</v>
      </c>
      <c r="F491">
        <v>5</v>
      </c>
    </row>
    <row r="492" spans="1:6">
      <c r="A492" t="s">
        <v>153</v>
      </c>
      <c r="B492" t="s">
        <v>154</v>
      </c>
      <c r="C492" t="s">
        <v>673</v>
      </c>
      <c r="D492" t="s">
        <v>529</v>
      </c>
      <c r="E492" t="s">
        <v>932</v>
      </c>
      <c r="F492">
        <v>1</v>
      </c>
    </row>
    <row r="493" spans="1:6">
      <c r="A493" t="s">
        <v>237</v>
      </c>
      <c r="B493" t="s">
        <v>238</v>
      </c>
      <c r="C493" t="s">
        <v>718</v>
      </c>
      <c r="D493" t="s">
        <v>483</v>
      </c>
      <c r="E493" t="s">
        <v>982</v>
      </c>
      <c r="F493">
        <v>2</v>
      </c>
    </row>
    <row r="494" spans="1:6">
      <c r="A494" t="s">
        <v>134</v>
      </c>
      <c r="B494" t="s">
        <v>135</v>
      </c>
      <c r="C494" t="s">
        <v>968</v>
      </c>
      <c r="D494" t="s">
        <v>936</v>
      </c>
      <c r="E494" t="s">
        <v>932</v>
      </c>
      <c r="F494">
        <v>5</v>
      </c>
    </row>
    <row r="495" spans="1:6">
      <c r="A495" t="s">
        <v>464</v>
      </c>
      <c r="B495" t="s">
        <v>465</v>
      </c>
      <c r="C495" t="s">
        <v>821</v>
      </c>
      <c r="D495" t="s">
        <v>931</v>
      </c>
      <c r="E495" t="s">
        <v>939</v>
      </c>
      <c r="F495">
        <v>2</v>
      </c>
    </row>
    <row r="496" spans="1:6">
      <c r="A496" t="s">
        <v>29</v>
      </c>
    </row>
    <row r="497" spans="1:6">
      <c r="A497" t="s">
        <v>157</v>
      </c>
      <c r="B497" t="s">
        <v>150</v>
      </c>
      <c r="C497" t="s">
        <v>664</v>
      </c>
      <c r="D497" t="s">
        <v>936</v>
      </c>
      <c r="E497" t="s">
        <v>939</v>
      </c>
      <c r="F497">
        <v>5</v>
      </c>
    </row>
    <row r="498" spans="1:6">
      <c r="A498" t="s">
        <v>466</v>
      </c>
      <c r="B498" t="s">
        <v>467</v>
      </c>
      <c r="C498" t="s">
        <v>822</v>
      </c>
      <c r="D498" t="s">
        <v>483</v>
      </c>
      <c r="E498" t="s">
        <v>938</v>
      </c>
      <c r="F498">
        <v>4</v>
      </c>
    </row>
    <row r="499" spans="1:6">
      <c r="A499" t="s">
        <v>468</v>
      </c>
      <c r="B499" t="s">
        <v>469</v>
      </c>
      <c r="C499" t="s">
        <v>823</v>
      </c>
      <c r="D499" t="s">
        <v>944</v>
      </c>
      <c r="E499" t="s">
        <v>933</v>
      </c>
      <c r="F499">
        <v>8</v>
      </c>
    </row>
    <row r="500" spans="1:6">
      <c r="A500" t="s">
        <v>470</v>
      </c>
      <c r="B500" t="s">
        <v>236</v>
      </c>
      <c r="C500" t="s">
        <v>717</v>
      </c>
      <c r="D500" t="s">
        <v>934</v>
      </c>
      <c r="E500" t="s">
        <v>959</v>
      </c>
      <c r="F500">
        <v>1</v>
      </c>
    </row>
    <row r="501" spans="1:6">
      <c r="A501" t="s">
        <v>426</v>
      </c>
      <c r="B501" t="s">
        <v>427</v>
      </c>
      <c r="C501" t="s">
        <v>803</v>
      </c>
      <c r="D501" t="s">
        <v>412</v>
      </c>
      <c r="E501" t="s">
        <v>945</v>
      </c>
      <c r="F501">
        <v>5</v>
      </c>
    </row>
    <row r="502" spans="1:6">
      <c r="A502" t="s">
        <v>294</v>
      </c>
      <c r="B502" t="s">
        <v>295</v>
      </c>
      <c r="C502" t="s">
        <v>990</v>
      </c>
      <c r="D502" t="s">
        <v>947</v>
      </c>
      <c r="E502" t="s">
        <v>982</v>
      </c>
      <c r="F502">
        <v>2</v>
      </c>
    </row>
    <row r="503" spans="1:6">
      <c r="A503" t="s">
        <v>29</v>
      </c>
    </row>
    <row r="504" spans="1:6">
      <c r="A504" t="s">
        <v>471</v>
      </c>
      <c r="B504" t="s">
        <v>472</v>
      </c>
      <c r="C504" t="s">
        <v>824</v>
      </c>
      <c r="D504" t="s">
        <v>943</v>
      </c>
      <c r="E504" t="s">
        <v>492</v>
      </c>
      <c r="F504">
        <v>3</v>
      </c>
    </row>
    <row r="505" spans="1:6">
      <c r="A505" t="s">
        <v>473</v>
      </c>
      <c r="B505" t="s">
        <v>90</v>
      </c>
      <c r="C505" t="s">
        <v>636</v>
      </c>
      <c r="D505" t="s">
        <v>483</v>
      </c>
      <c r="E505" t="s">
        <v>945</v>
      </c>
      <c r="F505">
        <v>1</v>
      </c>
    </row>
    <row r="506" spans="1:6">
      <c r="A506" t="s">
        <v>474</v>
      </c>
      <c r="B506" t="s">
        <v>475</v>
      </c>
      <c r="C506" t="s">
        <v>825</v>
      </c>
      <c r="D506" t="s">
        <v>483</v>
      </c>
      <c r="E506" t="s">
        <v>932</v>
      </c>
      <c r="F506">
        <v>7</v>
      </c>
    </row>
    <row r="507" spans="1:6">
      <c r="A507" t="s">
        <v>160</v>
      </c>
      <c r="B507" t="s">
        <v>161</v>
      </c>
      <c r="C507" t="s">
        <v>676</v>
      </c>
      <c r="D507" t="s">
        <v>943</v>
      </c>
      <c r="E507" t="s">
        <v>939</v>
      </c>
      <c r="F507">
        <v>5</v>
      </c>
    </row>
    <row r="508" spans="1:6">
      <c r="A508" t="s">
        <v>476</v>
      </c>
      <c r="B508" t="s">
        <v>477</v>
      </c>
      <c r="C508" t="s">
        <v>826</v>
      </c>
      <c r="D508" t="s">
        <v>931</v>
      </c>
      <c r="E508" t="s">
        <v>929</v>
      </c>
      <c r="F508">
        <v>3</v>
      </c>
    </row>
    <row r="509" spans="1:6">
      <c r="A509" t="s">
        <v>237</v>
      </c>
      <c r="B509" t="s">
        <v>238</v>
      </c>
      <c r="C509" t="s">
        <v>718</v>
      </c>
      <c r="D509" t="s">
        <v>483</v>
      </c>
      <c r="E509" t="s">
        <v>982</v>
      </c>
      <c r="F509">
        <v>2</v>
      </c>
    </row>
    <row r="510" spans="1:6">
      <c r="A510" t="s">
        <v>157</v>
      </c>
      <c r="B510" t="s">
        <v>150</v>
      </c>
      <c r="C510" t="s">
        <v>664</v>
      </c>
      <c r="D510" t="s">
        <v>936</v>
      </c>
      <c r="E510" t="s">
        <v>939</v>
      </c>
      <c r="F510">
        <v>5</v>
      </c>
    </row>
    <row r="511" spans="1:6">
      <c r="A511" t="s">
        <v>478</v>
      </c>
      <c r="B511" t="s">
        <v>479</v>
      </c>
      <c r="C511" t="s">
        <v>827</v>
      </c>
      <c r="D511" t="s">
        <v>943</v>
      </c>
      <c r="E511" t="s">
        <v>478</v>
      </c>
      <c r="F511">
        <v>1</v>
      </c>
    </row>
    <row r="512" spans="1:6">
      <c r="A512" t="s">
        <v>25</v>
      </c>
      <c r="B512" t="s">
        <v>26</v>
      </c>
      <c r="C512" t="s">
        <v>584</v>
      </c>
      <c r="D512" t="s">
        <v>483</v>
      </c>
      <c r="E512" t="s">
        <v>939</v>
      </c>
      <c r="F512">
        <v>1</v>
      </c>
    </row>
    <row r="513" spans="1:6">
      <c r="A513" t="s">
        <v>29</v>
      </c>
    </row>
    <row r="514" spans="1:6">
      <c r="A514" t="s">
        <v>480</v>
      </c>
      <c r="B514" t="s">
        <v>481</v>
      </c>
      <c r="C514" t="s">
        <v>828</v>
      </c>
      <c r="D514" t="s">
        <v>483</v>
      </c>
      <c r="E514" t="s">
        <v>930</v>
      </c>
      <c r="F514">
        <v>4</v>
      </c>
    </row>
    <row r="515" spans="1:6">
      <c r="A515" t="s">
        <v>124</v>
      </c>
      <c r="B515" t="s">
        <v>125</v>
      </c>
      <c r="C515" t="s">
        <v>659</v>
      </c>
      <c r="D515" t="s">
        <v>965</v>
      </c>
      <c r="E515" t="s">
        <v>929</v>
      </c>
      <c r="F515">
        <v>1</v>
      </c>
    </row>
    <row r="516" spans="1:6">
      <c r="A516" t="s">
        <v>412</v>
      </c>
      <c r="B516" t="s">
        <v>482</v>
      </c>
      <c r="C516" t="s">
        <v>829</v>
      </c>
      <c r="D516" t="s">
        <v>412</v>
      </c>
      <c r="E516" t="s">
        <v>1004</v>
      </c>
      <c r="F516">
        <v>7</v>
      </c>
    </row>
    <row r="517" spans="1:6">
      <c r="A517" t="s">
        <v>483</v>
      </c>
      <c r="B517" t="s">
        <v>358</v>
      </c>
      <c r="C517" t="s">
        <v>775</v>
      </c>
      <c r="D517" t="s">
        <v>483</v>
      </c>
      <c r="E517" t="s">
        <v>930</v>
      </c>
      <c r="F517">
        <v>1</v>
      </c>
    </row>
    <row r="518" spans="1:6">
      <c r="A518" t="s">
        <v>67</v>
      </c>
      <c r="B518" t="s">
        <v>68</v>
      </c>
      <c r="C518" t="s">
        <v>622</v>
      </c>
      <c r="D518" t="s">
        <v>931</v>
      </c>
      <c r="E518" t="s">
        <v>938</v>
      </c>
      <c r="F518">
        <v>4</v>
      </c>
    </row>
    <row r="519" spans="1:6">
      <c r="A519" t="s">
        <v>484</v>
      </c>
      <c r="B519" t="s">
        <v>137</v>
      </c>
      <c r="C519" t="s">
        <v>665</v>
      </c>
      <c r="D519" t="s">
        <v>953</v>
      </c>
      <c r="E519" t="s">
        <v>930</v>
      </c>
      <c r="F519">
        <v>5</v>
      </c>
    </row>
    <row r="520" spans="1:6">
      <c r="A520" t="s">
        <v>407</v>
      </c>
      <c r="B520" t="s">
        <v>240</v>
      </c>
      <c r="C520" t="s">
        <v>983</v>
      </c>
      <c r="D520" t="s">
        <v>947</v>
      </c>
      <c r="E520" t="s">
        <v>939</v>
      </c>
      <c r="F520">
        <v>2</v>
      </c>
    </row>
    <row r="521" spans="1:6">
      <c r="A521" t="s">
        <v>128</v>
      </c>
      <c r="B521" t="s">
        <v>129</v>
      </c>
      <c r="C521" t="s">
        <v>966</v>
      </c>
      <c r="D521" t="s">
        <v>947</v>
      </c>
      <c r="E521" t="s">
        <v>941</v>
      </c>
      <c r="F521">
        <v>4</v>
      </c>
    </row>
    <row r="522" spans="1:6">
      <c r="A522" t="s">
        <v>485</v>
      </c>
      <c r="B522" t="s">
        <v>486</v>
      </c>
      <c r="C522" t="s">
        <v>830</v>
      </c>
      <c r="D522" t="s">
        <v>934</v>
      </c>
      <c r="E522" t="s">
        <v>938</v>
      </c>
      <c r="F522">
        <v>3</v>
      </c>
    </row>
    <row r="523" spans="1:6">
      <c r="A523" t="s">
        <v>126</v>
      </c>
    </row>
    <row r="524" spans="1:6">
      <c r="A524" t="s">
        <v>474</v>
      </c>
      <c r="B524" t="s">
        <v>475</v>
      </c>
      <c r="C524" t="s">
        <v>825</v>
      </c>
      <c r="D524" t="s">
        <v>483</v>
      </c>
      <c r="E524" t="s">
        <v>932</v>
      </c>
      <c r="F524">
        <v>7</v>
      </c>
    </row>
    <row r="525" spans="1:6">
      <c r="A525" t="s">
        <v>160</v>
      </c>
      <c r="B525" t="s">
        <v>161</v>
      </c>
      <c r="C525" t="s">
        <v>676</v>
      </c>
      <c r="D525" t="s">
        <v>943</v>
      </c>
      <c r="E525" t="s">
        <v>939</v>
      </c>
      <c r="F525">
        <v>5</v>
      </c>
    </row>
    <row r="526" spans="1:6">
      <c r="A526" t="s">
        <v>67</v>
      </c>
      <c r="B526" t="s">
        <v>68</v>
      </c>
      <c r="C526" t="s">
        <v>622</v>
      </c>
      <c r="D526" t="s">
        <v>931</v>
      </c>
      <c r="E526" t="s">
        <v>938</v>
      </c>
      <c r="F526">
        <v>4</v>
      </c>
    </row>
    <row r="527" spans="1:6">
      <c r="A527" t="s">
        <v>476</v>
      </c>
      <c r="B527" s="51" t="s">
        <v>1826</v>
      </c>
      <c r="C527" s="51" t="s">
        <v>1827</v>
      </c>
      <c r="D527" t="s">
        <v>931</v>
      </c>
      <c r="E527" t="s">
        <v>478</v>
      </c>
      <c r="F527">
        <v>3</v>
      </c>
    </row>
    <row r="528" spans="1:6">
      <c r="A528" t="s">
        <v>237</v>
      </c>
      <c r="B528" t="s">
        <v>238</v>
      </c>
      <c r="C528" t="s">
        <v>718</v>
      </c>
      <c r="D528" t="s">
        <v>483</v>
      </c>
      <c r="E528" t="s">
        <v>982</v>
      </c>
      <c r="F528">
        <v>2</v>
      </c>
    </row>
    <row r="529" spans="1:6">
      <c r="A529" t="s">
        <v>157</v>
      </c>
      <c r="B529" t="s">
        <v>150</v>
      </c>
      <c r="C529" t="s">
        <v>664</v>
      </c>
      <c r="D529" t="s">
        <v>936</v>
      </c>
      <c r="E529" t="s">
        <v>939</v>
      </c>
      <c r="F529">
        <v>5</v>
      </c>
    </row>
    <row r="530" spans="1:6">
      <c r="A530" t="s">
        <v>478</v>
      </c>
      <c r="B530" t="s">
        <v>479</v>
      </c>
      <c r="C530" t="s">
        <v>827</v>
      </c>
      <c r="D530" t="s">
        <v>943</v>
      </c>
      <c r="E530" t="s">
        <v>478</v>
      </c>
      <c r="F530">
        <v>1</v>
      </c>
    </row>
    <row r="531" spans="1:6">
      <c r="A531" t="s">
        <v>25</v>
      </c>
      <c r="B531" t="s">
        <v>26</v>
      </c>
      <c r="C531" t="s">
        <v>584</v>
      </c>
      <c r="D531" t="s">
        <v>483</v>
      </c>
      <c r="E531" t="s">
        <v>939</v>
      </c>
      <c r="F531">
        <v>1</v>
      </c>
    </row>
    <row r="532" spans="1:6">
      <c r="A532" t="s">
        <v>29</v>
      </c>
    </row>
    <row r="533" spans="1:6">
      <c r="A533" t="s">
        <v>480</v>
      </c>
      <c r="B533" t="s">
        <v>481</v>
      </c>
      <c r="C533" t="s">
        <v>828</v>
      </c>
      <c r="D533" t="s">
        <v>483</v>
      </c>
      <c r="E533" t="s">
        <v>930</v>
      </c>
      <c r="F533">
        <v>4</v>
      </c>
    </row>
    <row r="534" spans="1:6">
      <c r="A534" t="s">
        <v>488</v>
      </c>
      <c r="B534" t="s">
        <v>489</v>
      </c>
      <c r="C534" t="s">
        <v>832</v>
      </c>
      <c r="D534" t="s">
        <v>944</v>
      </c>
      <c r="E534" t="s">
        <v>938</v>
      </c>
      <c r="F534">
        <v>8</v>
      </c>
    </row>
    <row r="535" spans="1:6">
      <c r="A535" t="s">
        <v>40</v>
      </c>
      <c r="B535" t="s">
        <v>41</v>
      </c>
      <c r="C535" t="s">
        <v>946</v>
      </c>
      <c r="D535" t="s">
        <v>947</v>
      </c>
      <c r="E535" t="s">
        <v>932</v>
      </c>
      <c r="F535">
        <v>2</v>
      </c>
    </row>
    <row r="536" spans="1:6">
      <c r="A536" t="s">
        <v>490</v>
      </c>
      <c r="B536" s="51" t="s">
        <v>491</v>
      </c>
      <c r="C536" s="51" t="s">
        <v>1005</v>
      </c>
      <c r="D536" t="s">
        <v>942</v>
      </c>
      <c r="E536" t="s">
        <v>1006</v>
      </c>
      <c r="F536">
        <v>2</v>
      </c>
    </row>
    <row r="537" spans="1:6">
      <c r="A537" t="s">
        <v>492</v>
      </c>
      <c r="B537" t="s">
        <v>493</v>
      </c>
      <c r="C537" t="s">
        <v>835</v>
      </c>
      <c r="D537" t="s">
        <v>943</v>
      </c>
      <c r="E537" t="s">
        <v>492</v>
      </c>
      <c r="F537">
        <v>1</v>
      </c>
    </row>
    <row r="538" spans="1:6">
      <c r="A538" t="s">
        <v>428</v>
      </c>
      <c r="B538" t="s">
        <v>429</v>
      </c>
      <c r="C538" t="s">
        <v>804</v>
      </c>
      <c r="D538" t="s">
        <v>944</v>
      </c>
      <c r="E538" t="s">
        <v>932</v>
      </c>
      <c r="F538">
        <v>5</v>
      </c>
    </row>
    <row r="539" spans="1:6">
      <c r="A539" t="s">
        <v>494</v>
      </c>
      <c r="B539" t="s">
        <v>495</v>
      </c>
      <c r="C539" t="s">
        <v>836</v>
      </c>
      <c r="D539" t="s">
        <v>483</v>
      </c>
      <c r="E539" t="s">
        <v>941</v>
      </c>
      <c r="F539">
        <v>2</v>
      </c>
    </row>
    <row r="540" spans="1:6">
      <c r="A540" t="s">
        <v>294</v>
      </c>
      <c r="B540" t="s">
        <v>295</v>
      </c>
      <c r="C540" t="s">
        <v>990</v>
      </c>
      <c r="D540" t="s">
        <v>947</v>
      </c>
      <c r="E540" t="s">
        <v>982</v>
      </c>
      <c r="F540">
        <v>2</v>
      </c>
    </row>
    <row r="541" spans="1:6">
      <c r="A541" t="s">
        <v>29</v>
      </c>
    </row>
    <row r="542" spans="1:6">
      <c r="A542" t="s">
        <v>157</v>
      </c>
      <c r="B542" t="s">
        <v>150</v>
      </c>
      <c r="C542" t="s">
        <v>664</v>
      </c>
      <c r="D542" t="s">
        <v>936</v>
      </c>
      <c r="E542" t="s">
        <v>939</v>
      </c>
      <c r="F542">
        <v>5</v>
      </c>
    </row>
    <row r="543" spans="1:6">
      <c r="A543" t="s">
        <v>496</v>
      </c>
      <c r="B543" t="s">
        <v>497</v>
      </c>
      <c r="C543" t="s">
        <v>1007</v>
      </c>
      <c r="D543" t="s">
        <v>947</v>
      </c>
      <c r="E543" t="s">
        <v>940</v>
      </c>
      <c r="F543">
        <v>7</v>
      </c>
    </row>
    <row r="544" spans="1:6">
      <c r="A544" t="s">
        <v>291</v>
      </c>
      <c r="B544" t="s">
        <v>242</v>
      </c>
      <c r="C544" t="s">
        <v>721</v>
      </c>
      <c r="D544" t="s">
        <v>529</v>
      </c>
      <c r="E544" t="s">
        <v>956</v>
      </c>
      <c r="F544">
        <v>5</v>
      </c>
    </row>
    <row r="545" spans="1:6">
      <c r="A545" t="s">
        <v>424</v>
      </c>
      <c r="B545" t="s">
        <v>425</v>
      </c>
      <c r="C545" t="s">
        <v>802</v>
      </c>
      <c r="D545" t="s">
        <v>934</v>
      </c>
      <c r="E545" t="s">
        <v>929</v>
      </c>
      <c r="F545">
        <v>7</v>
      </c>
    </row>
    <row r="546" spans="1:6">
      <c r="A546" t="s">
        <v>148</v>
      </c>
      <c r="B546" t="s">
        <v>149</v>
      </c>
      <c r="C546" t="s">
        <v>671</v>
      </c>
      <c r="D546" t="s">
        <v>529</v>
      </c>
      <c r="E546" t="s">
        <v>935</v>
      </c>
      <c r="F546">
        <v>5</v>
      </c>
    </row>
    <row r="547" spans="1:6">
      <c r="A547" t="s">
        <v>296</v>
      </c>
    </row>
    <row r="548" spans="1:6">
      <c r="A548" t="s">
        <v>498</v>
      </c>
      <c r="B548" t="s">
        <v>499</v>
      </c>
      <c r="C548" t="s">
        <v>838</v>
      </c>
      <c r="D548" t="s">
        <v>95</v>
      </c>
      <c r="E548" t="s">
        <v>1008</v>
      </c>
      <c r="F548">
        <v>2</v>
      </c>
    </row>
    <row r="549" spans="1:6">
      <c r="A549" t="s">
        <v>452</v>
      </c>
      <c r="B549" t="s">
        <v>410</v>
      </c>
      <c r="C549" t="s">
        <v>797</v>
      </c>
      <c r="D549" t="s">
        <v>529</v>
      </c>
      <c r="E549" t="s">
        <v>932</v>
      </c>
      <c r="F549">
        <v>5</v>
      </c>
    </row>
    <row r="550" spans="1:6">
      <c r="A550" t="s">
        <v>124</v>
      </c>
      <c r="B550" t="s">
        <v>125</v>
      </c>
      <c r="C550" t="s">
        <v>659</v>
      </c>
      <c r="D550" t="s">
        <v>965</v>
      </c>
      <c r="E550" t="s">
        <v>929</v>
      </c>
      <c r="F550">
        <v>1</v>
      </c>
    </row>
    <row r="551" spans="1:6">
      <c r="A551" t="s">
        <v>412</v>
      </c>
      <c r="B551" t="s">
        <v>482</v>
      </c>
      <c r="C551" t="s">
        <v>829</v>
      </c>
      <c r="D551" t="s">
        <v>412</v>
      </c>
      <c r="E551" t="s">
        <v>1004</v>
      </c>
      <c r="F551">
        <v>7</v>
      </c>
    </row>
    <row r="552" spans="1:6">
      <c r="A552" t="s">
        <v>25</v>
      </c>
      <c r="B552" t="s">
        <v>26</v>
      </c>
      <c r="C552" t="s">
        <v>584</v>
      </c>
      <c r="D552" t="s">
        <v>483</v>
      </c>
      <c r="E552" t="s">
        <v>939</v>
      </c>
      <c r="F552">
        <v>1</v>
      </c>
    </row>
    <row r="553" spans="1:6">
      <c r="A553" t="s">
        <v>111</v>
      </c>
      <c r="B553" t="s">
        <v>112</v>
      </c>
      <c r="C553" t="s">
        <v>651</v>
      </c>
      <c r="D553" t="s">
        <v>943</v>
      </c>
      <c r="E553" t="s">
        <v>961</v>
      </c>
      <c r="F553">
        <v>1</v>
      </c>
    </row>
    <row r="554" spans="1:6">
      <c r="A554" t="s">
        <v>29</v>
      </c>
    </row>
    <row r="555" spans="1:6">
      <c r="A555" t="s">
        <v>488</v>
      </c>
      <c r="B555" t="s">
        <v>489</v>
      </c>
      <c r="C555" t="s">
        <v>832</v>
      </c>
      <c r="D555" t="s">
        <v>944</v>
      </c>
      <c r="E555" t="s">
        <v>938</v>
      </c>
      <c r="F555">
        <v>8</v>
      </c>
    </row>
    <row r="556" spans="1:6">
      <c r="A556" t="s">
        <v>500</v>
      </c>
      <c r="B556" t="s">
        <v>501</v>
      </c>
      <c r="C556" t="s">
        <v>840</v>
      </c>
      <c r="D556" t="s">
        <v>943</v>
      </c>
      <c r="E556" t="s">
        <v>933</v>
      </c>
      <c r="F556">
        <v>4</v>
      </c>
    </row>
    <row r="557" spans="1:6">
      <c r="A557" t="s">
        <v>229</v>
      </c>
      <c r="B557" t="s">
        <v>230</v>
      </c>
      <c r="C557" t="s">
        <v>981</v>
      </c>
      <c r="D557" t="s">
        <v>947</v>
      </c>
      <c r="E557" t="s">
        <v>940</v>
      </c>
      <c r="F557">
        <v>2</v>
      </c>
    </row>
    <row r="558" spans="1:6">
      <c r="A558" t="s">
        <v>502</v>
      </c>
      <c r="B558" t="s">
        <v>39</v>
      </c>
      <c r="C558" t="s">
        <v>597</v>
      </c>
      <c r="D558" t="s">
        <v>483</v>
      </c>
      <c r="E558" t="s">
        <v>932</v>
      </c>
      <c r="F558">
        <v>2</v>
      </c>
    </row>
    <row r="559" spans="1:6">
      <c r="A559" t="s">
        <v>29</v>
      </c>
    </row>
    <row r="560" spans="1:6">
      <c r="A560" t="s">
        <v>503</v>
      </c>
      <c r="B560" t="s">
        <v>504</v>
      </c>
      <c r="C560" t="s">
        <v>841</v>
      </c>
      <c r="D560" t="s">
        <v>943</v>
      </c>
      <c r="E560" t="s">
        <v>935</v>
      </c>
      <c r="F560">
        <v>2</v>
      </c>
    </row>
    <row r="561" spans="1:6">
      <c r="A561" t="s">
        <v>311</v>
      </c>
      <c r="B561" t="s">
        <v>307</v>
      </c>
      <c r="C561" t="s">
        <v>753</v>
      </c>
      <c r="D561" t="s">
        <v>529</v>
      </c>
      <c r="E561" t="s">
        <v>954</v>
      </c>
      <c r="F561">
        <v>1</v>
      </c>
    </row>
    <row r="562" spans="1:6">
      <c r="A562" t="s">
        <v>381</v>
      </c>
      <c r="B562" s="51" t="s">
        <v>491</v>
      </c>
      <c r="C562" s="51" t="s">
        <v>1005</v>
      </c>
      <c r="D562" t="s">
        <v>942</v>
      </c>
      <c r="E562" t="s">
        <v>1006</v>
      </c>
      <c r="F562">
        <v>2</v>
      </c>
    </row>
    <row r="563" spans="1:6">
      <c r="A563" t="s">
        <v>25</v>
      </c>
      <c r="B563" t="s">
        <v>26</v>
      </c>
      <c r="C563" t="s">
        <v>584</v>
      </c>
      <c r="D563" t="s">
        <v>483</v>
      </c>
      <c r="E563" t="s">
        <v>939</v>
      </c>
      <c r="F563">
        <v>1</v>
      </c>
    </row>
    <row r="564" spans="1:6">
      <c r="A564" t="s">
        <v>132</v>
      </c>
      <c r="B564" t="s">
        <v>133</v>
      </c>
      <c r="C564" t="s">
        <v>663</v>
      </c>
      <c r="D564" t="s">
        <v>934</v>
      </c>
      <c r="E564" t="s">
        <v>935</v>
      </c>
      <c r="F564">
        <v>2</v>
      </c>
    </row>
    <row r="565" spans="1:6">
      <c r="A565" t="s">
        <v>229</v>
      </c>
      <c r="B565" t="s">
        <v>230</v>
      </c>
      <c r="C565" t="s">
        <v>981</v>
      </c>
      <c r="D565" t="s">
        <v>947</v>
      </c>
      <c r="E565" t="s">
        <v>940</v>
      </c>
      <c r="F565">
        <v>2</v>
      </c>
    </row>
    <row r="566" spans="1:6">
      <c r="A566" t="s">
        <v>29</v>
      </c>
    </row>
    <row r="567" spans="1:6">
      <c r="A567" t="s">
        <v>505</v>
      </c>
      <c r="B567" t="s">
        <v>506</v>
      </c>
      <c r="C567" t="s">
        <v>842</v>
      </c>
      <c r="D567" t="s">
        <v>934</v>
      </c>
      <c r="E567" t="s">
        <v>954</v>
      </c>
      <c r="F567">
        <v>1</v>
      </c>
    </row>
    <row r="568" spans="1:6">
      <c r="A568" t="s">
        <v>128</v>
      </c>
      <c r="B568" t="s">
        <v>129</v>
      </c>
      <c r="C568" t="s">
        <v>966</v>
      </c>
      <c r="D568" t="s">
        <v>947</v>
      </c>
      <c r="E568" t="s">
        <v>941</v>
      </c>
      <c r="F568">
        <v>4</v>
      </c>
    </row>
    <row r="569" spans="1:6">
      <c r="A569" t="s">
        <v>507</v>
      </c>
      <c r="B569" t="s">
        <v>242</v>
      </c>
      <c r="C569" t="s">
        <v>721</v>
      </c>
      <c r="D569" t="s">
        <v>529</v>
      </c>
      <c r="E569" t="s">
        <v>956</v>
      </c>
      <c r="F569">
        <v>5</v>
      </c>
    </row>
    <row r="570" spans="1:6">
      <c r="A570" t="s">
        <v>157</v>
      </c>
      <c r="B570" t="s">
        <v>150</v>
      </c>
      <c r="C570" t="s">
        <v>664</v>
      </c>
      <c r="D570" t="s">
        <v>936</v>
      </c>
      <c r="E570" t="s">
        <v>939</v>
      </c>
      <c r="F570">
        <v>5</v>
      </c>
    </row>
    <row r="571" spans="1:6">
      <c r="A571" t="s">
        <v>468</v>
      </c>
      <c r="B571" t="s">
        <v>469</v>
      </c>
      <c r="C571" t="s">
        <v>823</v>
      </c>
      <c r="D571" t="s">
        <v>944</v>
      </c>
      <c r="E571" t="s">
        <v>933</v>
      </c>
      <c r="F571">
        <v>8</v>
      </c>
    </row>
    <row r="572" spans="1:6">
      <c r="A572" t="s">
        <v>508</v>
      </c>
      <c r="B572" t="s">
        <v>310</v>
      </c>
      <c r="C572" t="s">
        <v>754</v>
      </c>
      <c r="D572" t="s">
        <v>95</v>
      </c>
      <c r="E572" t="s">
        <v>932</v>
      </c>
      <c r="F572">
        <v>2</v>
      </c>
    </row>
    <row r="573" spans="1:6">
      <c r="A573" t="s">
        <v>54</v>
      </c>
    </row>
    <row r="574" spans="1:6">
      <c r="A574" t="s">
        <v>509</v>
      </c>
      <c r="B574" t="s">
        <v>167</v>
      </c>
      <c r="C574" t="s">
        <v>971</v>
      </c>
      <c r="D574" t="s">
        <v>947</v>
      </c>
      <c r="E574" t="s">
        <v>954</v>
      </c>
      <c r="F574">
        <v>5</v>
      </c>
    </row>
    <row r="575" spans="1:6">
      <c r="A575" t="s">
        <v>118</v>
      </c>
      <c r="B575" t="s">
        <v>119</v>
      </c>
      <c r="C575" t="s">
        <v>654</v>
      </c>
      <c r="D575" t="s">
        <v>943</v>
      </c>
      <c r="E575" t="s">
        <v>118</v>
      </c>
      <c r="F575">
        <v>1</v>
      </c>
    </row>
    <row r="576" spans="1:6">
      <c r="A576" t="s">
        <v>101</v>
      </c>
      <c r="B576" t="s">
        <v>102</v>
      </c>
      <c r="C576" t="s">
        <v>643</v>
      </c>
      <c r="D576" t="s">
        <v>934</v>
      </c>
      <c r="E576" t="s">
        <v>945</v>
      </c>
      <c r="F576">
        <v>2</v>
      </c>
    </row>
    <row r="577" spans="1:6">
      <c r="A577" t="s">
        <v>25</v>
      </c>
      <c r="B577" t="s">
        <v>26</v>
      </c>
      <c r="C577" t="s">
        <v>584</v>
      </c>
      <c r="D577" t="s">
        <v>483</v>
      </c>
      <c r="E577" t="s">
        <v>939</v>
      </c>
      <c r="F577">
        <v>1</v>
      </c>
    </row>
    <row r="578" spans="1:6">
      <c r="A578" t="s">
        <v>55</v>
      </c>
      <c r="B578" t="s">
        <v>56</v>
      </c>
      <c r="C578" t="s">
        <v>609</v>
      </c>
      <c r="D578" t="s">
        <v>95</v>
      </c>
      <c r="E578" t="s">
        <v>930</v>
      </c>
      <c r="F578">
        <v>1</v>
      </c>
    </row>
    <row r="579" spans="1:6">
      <c r="A579" t="s">
        <v>57</v>
      </c>
      <c r="B579" s="51" t="s">
        <v>1810</v>
      </c>
      <c r="C579" s="51" t="s">
        <v>1811</v>
      </c>
      <c r="D579" t="s">
        <v>529</v>
      </c>
      <c r="E579" t="s">
        <v>945</v>
      </c>
      <c r="F579">
        <v>1</v>
      </c>
    </row>
    <row r="580" spans="1:6">
      <c r="A580" t="s">
        <v>29</v>
      </c>
    </row>
    <row r="581" spans="1:6">
      <c r="A581" t="s">
        <v>40</v>
      </c>
      <c r="B581" t="s">
        <v>41</v>
      </c>
      <c r="C581" t="s">
        <v>946</v>
      </c>
      <c r="D581" t="s">
        <v>947</v>
      </c>
      <c r="E581" t="s">
        <v>932</v>
      </c>
      <c r="F581">
        <v>2</v>
      </c>
    </row>
    <row r="582" spans="1:6">
      <c r="A582" t="s">
        <v>99</v>
      </c>
      <c r="B582" t="s">
        <v>100</v>
      </c>
      <c r="C582" t="s">
        <v>641</v>
      </c>
      <c r="D582" t="s">
        <v>934</v>
      </c>
      <c r="E582" t="s">
        <v>961</v>
      </c>
      <c r="F582">
        <v>1</v>
      </c>
    </row>
    <row r="583" spans="1:6">
      <c r="A583" t="s">
        <v>111</v>
      </c>
      <c r="B583" t="s">
        <v>112</v>
      </c>
      <c r="C583" t="s">
        <v>651</v>
      </c>
      <c r="D583" t="s">
        <v>943</v>
      </c>
      <c r="E583" t="s">
        <v>961</v>
      </c>
      <c r="F583">
        <v>1</v>
      </c>
    </row>
    <row r="584" spans="1:6">
      <c r="A584" t="s">
        <v>25</v>
      </c>
      <c r="B584" t="s">
        <v>26</v>
      </c>
      <c r="C584" t="s">
        <v>584</v>
      </c>
      <c r="D584" t="s">
        <v>483</v>
      </c>
      <c r="E584" t="s">
        <v>939</v>
      </c>
      <c r="F584">
        <v>1</v>
      </c>
    </row>
    <row r="585" spans="1:6">
      <c r="A585" t="s">
        <v>79</v>
      </c>
      <c r="B585" t="s">
        <v>80</v>
      </c>
      <c r="C585" t="s">
        <v>629</v>
      </c>
      <c r="D585" t="s">
        <v>944</v>
      </c>
      <c r="E585" t="s">
        <v>930</v>
      </c>
      <c r="F585">
        <v>5</v>
      </c>
    </row>
    <row r="586" spans="1:6">
      <c r="A586" t="s">
        <v>32</v>
      </c>
      <c r="B586" t="s">
        <v>33</v>
      </c>
      <c r="C586" t="s">
        <v>590</v>
      </c>
      <c r="D586" t="s">
        <v>942</v>
      </c>
      <c r="E586" t="s">
        <v>478</v>
      </c>
      <c r="F586">
        <v>8</v>
      </c>
    </row>
    <row r="587" spans="1:6">
      <c r="A587" t="s">
        <v>29</v>
      </c>
    </row>
    <row r="588" spans="1:6">
      <c r="A588" t="s">
        <v>510</v>
      </c>
      <c r="B588" s="51" t="s">
        <v>356</v>
      </c>
      <c r="C588" s="51" t="s">
        <v>730</v>
      </c>
      <c r="D588" t="s">
        <v>953</v>
      </c>
      <c r="E588" t="s">
        <v>939</v>
      </c>
      <c r="F588">
        <v>2</v>
      </c>
    </row>
    <row r="589" spans="1:6">
      <c r="A589" t="s">
        <v>443</v>
      </c>
      <c r="B589" t="s">
        <v>317</v>
      </c>
      <c r="C589" t="s">
        <v>757</v>
      </c>
      <c r="D589" t="s">
        <v>412</v>
      </c>
      <c r="E589" t="s">
        <v>930</v>
      </c>
      <c r="F589">
        <v>4</v>
      </c>
    </row>
    <row r="590" spans="1:6">
      <c r="A590" t="s">
        <v>25</v>
      </c>
      <c r="B590" t="s">
        <v>26</v>
      </c>
      <c r="C590" t="s">
        <v>584</v>
      </c>
      <c r="D590" t="s">
        <v>483</v>
      </c>
      <c r="E590" t="s">
        <v>939</v>
      </c>
      <c r="F590">
        <v>1</v>
      </c>
    </row>
    <row r="591" spans="1:6">
      <c r="A591" t="s">
        <v>157</v>
      </c>
      <c r="B591" t="s">
        <v>150</v>
      </c>
      <c r="C591" t="s">
        <v>664</v>
      </c>
      <c r="D591" t="s">
        <v>936</v>
      </c>
      <c r="E591" t="s">
        <v>939</v>
      </c>
      <c r="F591">
        <v>5</v>
      </c>
    </row>
    <row r="592" spans="1:6">
      <c r="A592" t="s">
        <v>292</v>
      </c>
      <c r="B592" t="s">
        <v>293</v>
      </c>
      <c r="C592" t="s">
        <v>989</v>
      </c>
      <c r="D592" t="s">
        <v>947</v>
      </c>
      <c r="E592" t="s">
        <v>954</v>
      </c>
      <c r="F592">
        <v>7</v>
      </c>
    </row>
    <row r="593" spans="1:6">
      <c r="A593" t="s">
        <v>243</v>
      </c>
      <c r="B593" t="s">
        <v>244</v>
      </c>
      <c r="C593" t="s">
        <v>722</v>
      </c>
      <c r="D593" t="s">
        <v>934</v>
      </c>
      <c r="E593" t="s">
        <v>930</v>
      </c>
      <c r="F593">
        <v>1</v>
      </c>
    </row>
    <row r="594" spans="1:6">
      <c r="A594" t="s">
        <v>29</v>
      </c>
    </row>
    <row r="595" spans="1:6">
      <c r="A595" t="s">
        <v>511</v>
      </c>
      <c r="B595" s="51" t="s">
        <v>1828</v>
      </c>
      <c r="C595" s="51" t="s">
        <v>1829</v>
      </c>
      <c r="D595" t="s">
        <v>944</v>
      </c>
      <c r="E595" t="s">
        <v>945</v>
      </c>
      <c r="F595">
        <v>8</v>
      </c>
    </row>
    <row r="596" spans="1:6">
      <c r="A596" t="s">
        <v>513</v>
      </c>
      <c r="B596" t="s">
        <v>156</v>
      </c>
      <c r="C596" t="s">
        <v>970</v>
      </c>
      <c r="D596" t="s">
        <v>942</v>
      </c>
      <c r="E596" t="s">
        <v>932</v>
      </c>
      <c r="F596">
        <v>7</v>
      </c>
    </row>
    <row r="597" spans="1:6">
      <c r="A597" t="s">
        <v>25</v>
      </c>
      <c r="B597" t="s">
        <v>26</v>
      </c>
      <c r="C597" t="s">
        <v>584</v>
      </c>
      <c r="D597" t="s">
        <v>483</v>
      </c>
      <c r="E597" t="s">
        <v>939</v>
      </c>
      <c r="F597">
        <v>1</v>
      </c>
    </row>
    <row r="598" spans="1:6">
      <c r="A598" t="s">
        <v>157</v>
      </c>
      <c r="B598" t="s">
        <v>150</v>
      </c>
      <c r="C598" t="s">
        <v>664</v>
      </c>
      <c r="D598" t="s">
        <v>936</v>
      </c>
      <c r="E598" t="s">
        <v>939</v>
      </c>
      <c r="F598">
        <v>5</v>
      </c>
    </row>
    <row r="599" spans="1:6">
      <c r="A599" t="s">
        <v>514</v>
      </c>
      <c r="B599" t="s">
        <v>515</v>
      </c>
      <c r="C599" t="s">
        <v>844</v>
      </c>
      <c r="D599" t="s">
        <v>934</v>
      </c>
      <c r="E599" t="s">
        <v>930</v>
      </c>
      <c r="F599">
        <v>5</v>
      </c>
    </row>
    <row r="600" spans="1:6">
      <c r="A600" t="s">
        <v>516</v>
      </c>
      <c r="B600" t="s">
        <v>20</v>
      </c>
      <c r="C600" t="s">
        <v>578</v>
      </c>
      <c r="D600" t="s">
        <v>934</v>
      </c>
      <c r="E600" t="s">
        <v>930</v>
      </c>
      <c r="F600">
        <v>4</v>
      </c>
    </row>
    <row r="601" spans="1:6">
      <c r="A601" t="s">
        <v>29</v>
      </c>
    </row>
    <row r="602" spans="1:6">
      <c r="A602" t="s">
        <v>508</v>
      </c>
      <c r="B602" t="s">
        <v>310</v>
      </c>
      <c r="C602" t="s">
        <v>754</v>
      </c>
      <c r="D602" t="s">
        <v>95</v>
      </c>
      <c r="E602" t="s">
        <v>932</v>
      </c>
      <c r="F602">
        <v>2</v>
      </c>
    </row>
    <row r="603" spans="1:6">
      <c r="A603" t="s">
        <v>25</v>
      </c>
      <c r="B603" t="s">
        <v>26</v>
      </c>
      <c r="C603" t="s">
        <v>584</v>
      </c>
      <c r="D603" t="s">
        <v>483</v>
      </c>
      <c r="E603" t="s">
        <v>939</v>
      </c>
      <c r="F603">
        <v>1</v>
      </c>
    </row>
    <row r="604" spans="1:6">
      <c r="A604" t="s">
        <v>428</v>
      </c>
      <c r="B604" t="s">
        <v>429</v>
      </c>
      <c r="C604" t="s">
        <v>804</v>
      </c>
      <c r="D604" t="s">
        <v>944</v>
      </c>
      <c r="E604" t="s">
        <v>932</v>
      </c>
      <c r="F604">
        <v>5</v>
      </c>
    </row>
    <row r="605" spans="1:6">
      <c r="A605" t="s">
        <v>517</v>
      </c>
      <c r="B605" t="s">
        <v>284</v>
      </c>
      <c r="C605" t="s">
        <v>742</v>
      </c>
      <c r="D605" t="s">
        <v>943</v>
      </c>
      <c r="E605" t="s">
        <v>937</v>
      </c>
      <c r="F605">
        <v>1</v>
      </c>
    </row>
    <row r="606" spans="1:6">
      <c r="A606" t="s">
        <v>29</v>
      </c>
    </row>
    <row r="607" spans="1:6">
      <c r="A607" t="s">
        <v>518</v>
      </c>
      <c r="B607" t="s">
        <v>519</v>
      </c>
      <c r="C607" t="s">
        <v>1009</v>
      </c>
      <c r="D607" t="s">
        <v>947</v>
      </c>
      <c r="E607" t="s">
        <v>945</v>
      </c>
      <c r="F607">
        <v>7</v>
      </c>
    </row>
    <row r="608" spans="1:6">
      <c r="A608" t="s">
        <v>25</v>
      </c>
      <c r="B608" t="s">
        <v>26</v>
      </c>
      <c r="C608" t="s">
        <v>584</v>
      </c>
      <c r="D608" t="s">
        <v>483</v>
      </c>
      <c r="E608" t="s">
        <v>939</v>
      </c>
      <c r="F608">
        <v>1</v>
      </c>
    </row>
    <row r="609" spans="1:6">
      <c r="A609" t="s">
        <v>67</v>
      </c>
      <c r="B609" t="s">
        <v>68</v>
      </c>
      <c r="C609" t="s">
        <v>622</v>
      </c>
      <c r="D609" t="s">
        <v>931</v>
      </c>
      <c r="E609" t="s">
        <v>938</v>
      </c>
      <c r="F609">
        <v>4</v>
      </c>
    </row>
    <row r="610" spans="1:6">
      <c r="A610" t="s">
        <v>520</v>
      </c>
      <c r="B610" t="s">
        <v>521</v>
      </c>
      <c r="C610" t="s">
        <v>846</v>
      </c>
      <c r="D610" t="s">
        <v>943</v>
      </c>
      <c r="E610" t="s">
        <v>929</v>
      </c>
      <c r="F610">
        <v>8</v>
      </c>
    </row>
    <row r="611" spans="1:6">
      <c r="A611" t="s">
        <v>29</v>
      </c>
    </row>
    <row r="612" spans="1:6">
      <c r="A612" t="s">
        <v>181</v>
      </c>
      <c r="B612" t="s">
        <v>182</v>
      </c>
      <c r="C612" t="s">
        <v>688</v>
      </c>
      <c r="D612" t="s">
        <v>934</v>
      </c>
      <c r="E612" t="s">
        <v>939</v>
      </c>
      <c r="F612">
        <v>2</v>
      </c>
    </row>
    <row r="613" spans="1:6">
      <c r="A613" t="s">
        <v>522</v>
      </c>
      <c r="B613" t="s">
        <v>288</v>
      </c>
      <c r="C613" t="s">
        <v>744</v>
      </c>
      <c r="D613" t="s">
        <v>483</v>
      </c>
      <c r="E613" t="s">
        <v>956</v>
      </c>
      <c r="F613">
        <v>2</v>
      </c>
    </row>
    <row r="614" spans="1:6">
      <c r="A614" t="s">
        <v>488</v>
      </c>
      <c r="B614" t="s">
        <v>489</v>
      </c>
      <c r="C614" t="s">
        <v>832</v>
      </c>
      <c r="D614" t="s">
        <v>944</v>
      </c>
      <c r="E614" t="s">
        <v>938</v>
      </c>
      <c r="F614">
        <v>8</v>
      </c>
    </row>
    <row r="615" spans="1:6">
      <c r="A615" t="s">
        <v>237</v>
      </c>
      <c r="B615" t="s">
        <v>238</v>
      </c>
      <c r="C615" t="s">
        <v>718</v>
      </c>
      <c r="D615" t="s">
        <v>483</v>
      </c>
      <c r="E615" t="s">
        <v>982</v>
      </c>
      <c r="F615">
        <v>2</v>
      </c>
    </row>
    <row r="616" spans="1:6">
      <c r="A616" t="s">
        <v>25</v>
      </c>
      <c r="B616" t="s">
        <v>26</v>
      </c>
      <c r="C616" t="s">
        <v>584</v>
      </c>
      <c r="D616" t="s">
        <v>483</v>
      </c>
      <c r="E616" t="s">
        <v>939</v>
      </c>
      <c r="F616">
        <v>1</v>
      </c>
    </row>
    <row r="617" spans="1:6">
      <c r="A617" t="s">
        <v>428</v>
      </c>
      <c r="B617" t="s">
        <v>429</v>
      </c>
      <c r="C617" t="s">
        <v>804</v>
      </c>
      <c r="D617" t="s">
        <v>944</v>
      </c>
      <c r="E617" t="s">
        <v>932</v>
      </c>
      <c r="F617">
        <v>5</v>
      </c>
    </row>
    <row r="618" spans="1:6">
      <c r="A618" t="s">
        <v>494</v>
      </c>
      <c r="B618" t="s">
        <v>495</v>
      </c>
      <c r="C618" t="s">
        <v>836</v>
      </c>
      <c r="D618" t="s">
        <v>483</v>
      </c>
      <c r="E618" t="s">
        <v>941</v>
      </c>
      <c r="F618">
        <v>2</v>
      </c>
    </row>
    <row r="619" spans="1:6">
      <c r="A619" t="s">
        <v>523</v>
      </c>
      <c r="B619" t="s">
        <v>524</v>
      </c>
      <c r="C619" t="s">
        <v>847</v>
      </c>
      <c r="D619" t="s">
        <v>483</v>
      </c>
      <c r="E619" t="s">
        <v>933</v>
      </c>
      <c r="F619">
        <v>5</v>
      </c>
    </row>
    <row r="620" spans="1:6">
      <c r="A620" t="s">
        <v>294</v>
      </c>
      <c r="B620" t="s">
        <v>295</v>
      </c>
      <c r="C620" t="s">
        <v>990</v>
      </c>
      <c r="D620" t="s">
        <v>947</v>
      </c>
      <c r="E620" t="s">
        <v>982</v>
      </c>
      <c r="F620">
        <v>2</v>
      </c>
    </row>
    <row r="621" spans="1:6">
      <c r="A621" t="s">
        <v>29</v>
      </c>
    </row>
    <row r="622" spans="1:6">
      <c r="A622" t="s">
        <v>157</v>
      </c>
      <c r="B622" t="s">
        <v>150</v>
      </c>
      <c r="C622" t="s">
        <v>664</v>
      </c>
      <c r="D622" t="s">
        <v>936</v>
      </c>
      <c r="E622" t="s">
        <v>939</v>
      </c>
      <c r="F622">
        <v>5</v>
      </c>
    </row>
    <row r="623" spans="1:6">
      <c r="A623" t="s">
        <v>381</v>
      </c>
      <c r="B623" s="51" t="s">
        <v>525</v>
      </c>
      <c r="C623" s="51" t="s">
        <v>1010</v>
      </c>
      <c r="D623" t="s">
        <v>942</v>
      </c>
      <c r="E623" t="s">
        <v>1006</v>
      </c>
      <c r="F623">
        <v>5</v>
      </c>
    </row>
    <row r="624" spans="1:6">
      <c r="A624" t="s">
        <v>40</v>
      </c>
      <c r="B624" t="s">
        <v>41</v>
      </c>
      <c r="C624" t="s">
        <v>946</v>
      </c>
      <c r="D624" t="s">
        <v>947</v>
      </c>
      <c r="E624" t="s">
        <v>932</v>
      </c>
      <c r="F624">
        <v>2</v>
      </c>
    </row>
    <row r="625" spans="1:6">
      <c r="A625" t="s">
        <v>38</v>
      </c>
      <c r="B625" t="s">
        <v>39</v>
      </c>
      <c r="C625" t="s">
        <v>597</v>
      </c>
      <c r="D625" t="s">
        <v>483</v>
      </c>
      <c r="E625" t="s">
        <v>932</v>
      </c>
      <c r="F625">
        <v>2</v>
      </c>
    </row>
    <row r="626" spans="1:6">
      <c r="A626" t="s">
        <v>25</v>
      </c>
      <c r="B626" t="s">
        <v>26</v>
      </c>
      <c r="C626" t="s">
        <v>584</v>
      </c>
      <c r="D626" t="s">
        <v>483</v>
      </c>
      <c r="E626" t="s">
        <v>939</v>
      </c>
      <c r="F626">
        <v>1</v>
      </c>
    </row>
    <row r="627" spans="1:6">
      <c r="A627" t="s">
        <v>132</v>
      </c>
      <c r="B627" t="s">
        <v>133</v>
      </c>
      <c r="C627" t="s">
        <v>663</v>
      </c>
      <c r="D627" t="s">
        <v>934</v>
      </c>
      <c r="E627" t="s">
        <v>935</v>
      </c>
      <c r="F627">
        <v>2</v>
      </c>
    </row>
    <row r="628" spans="1:6">
      <c r="A628" t="s">
        <v>526</v>
      </c>
      <c r="B628" t="s">
        <v>527</v>
      </c>
      <c r="C628" t="s">
        <v>848</v>
      </c>
      <c r="D628" t="s">
        <v>943</v>
      </c>
      <c r="E628" t="s">
        <v>945</v>
      </c>
      <c r="F628">
        <v>1</v>
      </c>
    </row>
    <row r="629" spans="1:6">
      <c r="A629" t="s">
        <v>528</v>
      </c>
      <c r="B629" t="s">
        <v>20</v>
      </c>
      <c r="C629" t="s">
        <v>578</v>
      </c>
      <c r="D629" t="s">
        <v>934</v>
      </c>
      <c r="E629" t="s">
        <v>930</v>
      </c>
      <c r="F629">
        <v>4</v>
      </c>
    </row>
    <row r="630" spans="1:6">
      <c r="A630" t="s">
        <v>54</v>
      </c>
    </row>
    <row r="631" spans="1:6">
      <c r="A631" t="s">
        <v>195</v>
      </c>
    </row>
    <row r="632" spans="1:6">
      <c r="A632" t="s">
        <v>228</v>
      </c>
    </row>
    <row r="633" spans="1:6">
      <c r="A633" t="s">
        <v>42</v>
      </c>
      <c r="B633" t="s">
        <v>43</v>
      </c>
      <c r="C633" t="s">
        <v>600</v>
      </c>
      <c r="D633" t="s">
        <v>948</v>
      </c>
      <c r="E633" t="s">
        <v>930</v>
      </c>
      <c r="F633">
        <v>4</v>
      </c>
    </row>
    <row r="634" spans="1:6">
      <c r="A634" t="s">
        <v>529</v>
      </c>
      <c r="B634" t="s">
        <v>530</v>
      </c>
      <c r="C634" t="s">
        <v>849</v>
      </c>
      <c r="D634" t="s">
        <v>529</v>
      </c>
      <c r="E634" t="s">
        <v>939</v>
      </c>
      <c r="F634">
        <v>2</v>
      </c>
    </row>
    <row r="635" spans="1:6">
      <c r="A635" t="s">
        <v>157</v>
      </c>
      <c r="B635" t="s">
        <v>150</v>
      </c>
      <c r="C635" t="s">
        <v>664</v>
      </c>
      <c r="D635" t="s">
        <v>936</v>
      </c>
      <c r="E635" t="s">
        <v>939</v>
      </c>
      <c r="F635">
        <v>5</v>
      </c>
    </row>
    <row r="636" spans="1:6">
      <c r="A636" t="s">
        <v>531</v>
      </c>
      <c r="B636" t="s">
        <v>532</v>
      </c>
      <c r="C636" t="s">
        <v>850</v>
      </c>
      <c r="D636" t="s">
        <v>934</v>
      </c>
      <c r="E636" t="s">
        <v>959</v>
      </c>
      <c r="F636">
        <v>3</v>
      </c>
    </row>
    <row r="637" spans="1:6">
      <c r="A637" t="s">
        <v>29</v>
      </c>
    </row>
    <row r="638" spans="1:6">
      <c r="A638" t="s">
        <v>533</v>
      </c>
      <c r="B638" t="s">
        <v>534</v>
      </c>
      <c r="C638" t="s">
        <v>1011</v>
      </c>
      <c r="D638" t="s">
        <v>934</v>
      </c>
      <c r="E638" t="s">
        <v>973</v>
      </c>
      <c r="F638">
        <v>2</v>
      </c>
    </row>
    <row r="639" spans="1:6">
      <c r="A639" t="s">
        <v>535</v>
      </c>
      <c r="B639" t="s">
        <v>536</v>
      </c>
      <c r="C639" t="s">
        <v>852</v>
      </c>
      <c r="D639" t="s">
        <v>483</v>
      </c>
      <c r="E639" t="s">
        <v>961</v>
      </c>
      <c r="F639">
        <v>2</v>
      </c>
    </row>
    <row r="640" spans="1:6">
      <c r="A640" t="s">
        <v>537</v>
      </c>
      <c r="B640" t="s">
        <v>344</v>
      </c>
      <c r="C640" t="s">
        <v>770</v>
      </c>
      <c r="D640" t="s">
        <v>943</v>
      </c>
      <c r="E640" t="s">
        <v>930</v>
      </c>
      <c r="F640">
        <v>1</v>
      </c>
    </row>
    <row r="641" spans="1:6">
      <c r="A641" t="s">
        <v>538</v>
      </c>
      <c r="B641" t="s">
        <v>76</v>
      </c>
      <c r="C641" t="s">
        <v>626</v>
      </c>
      <c r="D641" t="s">
        <v>483</v>
      </c>
      <c r="E641" t="s">
        <v>945</v>
      </c>
      <c r="F641">
        <v>4</v>
      </c>
    </row>
    <row r="642" spans="1:6">
      <c r="A642" t="s">
        <v>54</v>
      </c>
    </row>
    <row r="643" spans="1:6">
      <c r="A643" t="s">
        <v>539</v>
      </c>
      <c r="B643" t="s">
        <v>540</v>
      </c>
      <c r="C643" t="s">
        <v>853</v>
      </c>
      <c r="D643" t="s">
        <v>529</v>
      </c>
      <c r="E643" t="s">
        <v>977</v>
      </c>
      <c r="F643">
        <v>5</v>
      </c>
    </row>
    <row r="644" spans="1:6">
      <c r="A644" t="s">
        <v>541</v>
      </c>
      <c r="B644" t="s">
        <v>542</v>
      </c>
      <c r="C644" t="s">
        <v>854</v>
      </c>
      <c r="D644" t="s">
        <v>529</v>
      </c>
      <c r="E644" t="s">
        <v>938</v>
      </c>
      <c r="F644">
        <v>8</v>
      </c>
    </row>
    <row r="645" spans="1:6">
      <c r="A645" t="s">
        <v>34</v>
      </c>
      <c r="B645" t="s">
        <v>35</v>
      </c>
      <c r="C645" t="s">
        <v>593</v>
      </c>
      <c r="D645" t="s">
        <v>943</v>
      </c>
      <c r="E645" t="s">
        <v>939</v>
      </c>
      <c r="F645">
        <v>3</v>
      </c>
    </row>
    <row r="646" spans="1:6">
      <c r="A646" t="s">
        <v>494</v>
      </c>
      <c r="B646" t="s">
        <v>495</v>
      </c>
      <c r="C646" t="s">
        <v>836</v>
      </c>
      <c r="D646" t="s">
        <v>483</v>
      </c>
      <c r="E646" t="s">
        <v>941</v>
      </c>
      <c r="F646">
        <v>2</v>
      </c>
    </row>
    <row r="647" spans="1:6">
      <c r="A647" t="s">
        <v>29</v>
      </c>
    </row>
    <row r="648" spans="1:6">
      <c r="A648" t="s">
        <v>543</v>
      </c>
      <c r="B648" t="s">
        <v>544</v>
      </c>
      <c r="C648" t="s">
        <v>855</v>
      </c>
      <c r="D648" t="s">
        <v>931</v>
      </c>
      <c r="E648" t="s">
        <v>962</v>
      </c>
      <c r="F648">
        <v>1</v>
      </c>
    </row>
    <row r="649" spans="1:6">
      <c r="A649" t="s">
        <v>545</v>
      </c>
      <c r="B649" t="s">
        <v>546</v>
      </c>
      <c r="C649" t="s">
        <v>856</v>
      </c>
      <c r="D649" t="s">
        <v>931</v>
      </c>
      <c r="E649" t="s">
        <v>478</v>
      </c>
      <c r="F649">
        <v>5</v>
      </c>
    </row>
    <row r="650" spans="1:6">
      <c r="A650" t="s">
        <v>547</v>
      </c>
      <c r="B650" t="s">
        <v>340</v>
      </c>
      <c r="C650" t="s">
        <v>768</v>
      </c>
      <c r="D650" t="s">
        <v>953</v>
      </c>
      <c r="E650" t="s">
        <v>933</v>
      </c>
      <c r="F650">
        <v>5</v>
      </c>
    </row>
    <row r="651" spans="1:6">
      <c r="A651" t="s">
        <v>548</v>
      </c>
      <c r="B651" t="s">
        <v>549</v>
      </c>
      <c r="C651" t="s">
        <v>857</v>
      </c>
      <c r="D651" t="s">
        <v>483</v>
      </c>
      <c r="E651" t="s">
        <v>930</v>
      </c>
      <c r="F651">
        <v>8</v>
      </c>
    </row>
    <row r="652" spans="1:6">
      <c r="A652" t="s">
        <v>29</v>
      </c>
    </row>
    <row r="653" spans="1:6">
      <c r="A653" t="s">
        <v>328</v>
      </c>
      <c r="B653" t="s">
        <v>329</v>
      </c>
      <c r="C653" t="s">
        <v>763</v>
      </c>
      <c r="D653" t="s">
        <v>934</v>
      </c>
      <c r="E653" t="s">
        <v>945</v>
      </c>
      <c r="F653">
        <v>1</v>
      </c>
    </row>
    <row r="654" spans="1:6">
      <c r="A654" t="s">
        <v>40</v>
      </c>
      <c r="B654" t="s">
        <v>41</v>
      </c>
      <c r="C654" t="s">
        <v>946</v>
      </c>
      <c r="D654" t="s">
        <v>947</v>
      </c>
      <c r="E654" t="s">
        <v>932</v>
      </c>
      <c r="F654">
        <v>2</v>
      </c>
    </row>
    <row r="655" spans="1:6">
      <c r="A655" t="s">
        <v>550</v>
      </c>
      <c r="B655" t="s">
        <v>551</v>
      </c>
      <c r="C655" t="s">
        <v>858</v>
      </c>
      <c r="D655" t="s">
        <v>483</v>
      </c>
      <c r="E655" t="s">
        <v>937</v>
      </c>
      <c r="F655">
        <v>2</v>
      </c>
    </row>
    <row r="656" spans="1:6">
      <c r="A656" t="s">
        <v>552</v>
      </c>
      <c r="B656" t="s">
        <v>553</v>
      </c>
      <c r="C656" t="s">
        <v>859</v>
      </c>
      <c r="D656" t="s">
        <v>483</v>
      </c>
      <c r="E656" t="s">
        <v>982</v>
      </c>
      <c r="F656">
        <v>7</v>
      </c>
    </row>
    <row r="657" spans="1:6">
      <c r="A657" t="s">
        <v>148</v>
      </c>
      <c r="B657" t="s">
        <v>149</v>
      </c>
      <c r="C657" t="s">
        <v>671</v>
      </c>
      <c r="D657" t="s">
        <v>529</v>
      </c>
      <c r="E657" t="s">
        <v>935</v>
      </c>
      <c r="F657">
        <v>5</v>
      </c>
    </row>
    <row r="658" spans="1:6">
      <c r="A658" t="s">
        <v>46</v>
      </c>
      <c r="B658" t="s">
        <v>47</v>
      </c>
      <c r="C658" t="s">
        <v>604</v>
      </c>
      <c r="D658" t="s">
        <v>483</v>
      </c>
      <c r="E658" t="s">
        <v>940</v>
      </c>
      <c r="F658">
        <v>1</v>
      </c>
    </row>
    <row r="659" spans="1:6">
      <c r="A659" t="s">
        <v>554</v>
      </c>
      <c r="B659" t="s">
        <v>555</v>
      </c>
      <c r="C659" t="s">
        <v>860</v>
      </c>
      <c r="D659" t="s">
        <v>412</v>
      </c>
      <c r="E659" t="s">
        <v>945</v>
      </c>
      <c r="F659">
        <v>1</v>
      </c>
    </row>
    <row r="660" spans="1:6">
      <c r="A660" t="s">
        <v>29</v>
      </c>
    </row>
    <row r="661" spans="1:6">
      <c r="A661" t="s">
        <v>67</v>
      </c>
      <c r="B661" t="s">
        <v>68</v>
      </c>
      <c r="C661" t="s">
        <v>622</v>
      </c>
      <c r="D661" t="s">
        <v>931</v>
      </c>
      <c r="E661" t="s">
        <v>938</v>
      </c>
      <c r="F661">
        <v>4</v>
      </c>
    </row>
    <row r="662" spans="1:6">
      <c r="A662" t="s">
        <v>158</v>
      </c>
      <c r="B662" t="s">
        <v>159</v>
      </c>
      <c r="C662" t="s">
        <v>675</v>
      </c>
      <c r="D662" t="s">
        <v>412</v>
      </c>
      <c r="E662" t="s">
        <v>939</v>
      </c>
      <c r="F662">
        <v>1</v>
      </c>
    </row>
    <row r="663" spans="1:6">
      <c r="A663" t="s">
        <v>97</v>
      </c>
      <c r="B663" t="s">
        <v>98</v>
      </c>
      <c r="C663" t="s">
        <v>640</v>
      </c>
      <c r="D663" t="s">
        <v>412</v>
      </c>
      <c r="E663" t="s">
        <v>933</v>
      </c>
      <c r="F663">
        <v>1</v>
      </c>
    </row>
    <row r="664" spans="1:6">
      <c r="A664" t="s">
        <v>226</v>
      </c>
      <c r="B664" t="s">
        <v>227</v>
      </c>
      <c r="C664" t="s">
        <v>713</v>
      </c>
      <c r="D664" t="s">
        <v>529</v>
      </c>
      <c r="E664" t="s">
        <v>945</v>
      </c>
      <c r="F664">
        <v>5</v>
      </c>
    </row>
    <row r="665" spans="1:6">
      <c r="A665" t="s">
        <v>25</v>
      </c>
      <c r="B665" t="s">
        <v>26</v>
      </c>
      <c r="C665" t="s">
        <v>584</v>
      </c>
      <c r="D665" t="s">
        <v>483</v>
      </c>
      <c r="E665" t="s">
        <v>939</v>
      </c>
      <c r="F665">
        <v>1</v>
      </c>
    </row>
    <row r="666" spans="1:6">
      <c r="A666" t="s">
        <v>34</v>
      </c>
      <c r="B666" t="s">
        <v>35</v>
      </c>
      <c r="C666" t="s">
        <v>593</v>
      </c>
      <c r="D666" t="s">
        <v>943</v>
      </c>
      <c r="E666" t="s">
        <v>939</v>
      </c>
      <c r="F666">
        <v>3</v>
      </c>
    </row>
    <row r="667" spans="1:6">
      <c r="A667" t="s">
        <v>113</v>
      </c>
      <c r="B667" t="s">
        <v>114</v>
      </c>
      <c r="C667" t="s">
        <v>652</v>
      </c>
      <c r="D667" t="s">
        <v>931</v>
      </c>
      <c r="E667" t="s">
        <v>930</v>
      </c>
      <c r="F667">
        <v>8</v>
      </c>
    </row>
    <row r="668" spans="1:6">
      <c r="A668" t="s">
        <v>54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BEF77-0FDE-42E0-94A0-8647770F7893}">
  <dimension ref="B2:D51"/>
  <sheetViews>
    <sheetView workbookViewId="0">
      <selection activeCell="D2" sqref="D2:D51"/>
    </sheetView>
  </sheetViews>
  <sheetFormatPr defaultRowHeight="25.5"/>
  <cols>
    <col min="2" max="2" width="10.08203125" bestFit="1" customWidth="1"/>
    <col min="4" max="4" width="23.58203125" bestFit="1" customWidth="1"/>
  </cols>
  <sheetData>
    <row r="2" spans="2:4">
      <c r="B2" t="s">
        <v>911</v>
      </c>
      <c r="D2" t="s">
        <v>861</v>
      </c>
    </row>
    <row r="3" spans="2:4">
      <c r="B3" t="s">
        <v>912</v>
      </c>
      <c r="D3" t="s">
        <v>862</v>
      </c>
    </row>
    <row r="4" spans="2:4">
      <c r="B4" t="s">
        <v>913</v>
      </c>
      <c r="D4" t="s">
        <v>863</v>
      </c>
    </row>
    <row r="5" spans="2:4">
      <c r="B5" t="s">
        <v>914</v>
      </c>
      <c r="D5" t="s">
        <v>864</v>
      </c>
    </row>
    <row r="6" spans="2:4">
      <c r="B6" t="s">
        <v>915</v>
      </c>
      <c r="D6" t="s">
        <v>865</v>
      </c>
    </row>
    <row r="7" spans="2:4">
      <c r="B7" t="s">
        <v>916</v>
      </c>
      <c r="D7" t="s">
        <v>866</v>
      </c>
    </row>
    <row r="8" spans="2:4">
      <c r="B8" t="s">
        <v>917</v>
      </c>
      <c r="D8" t="s">
        <v>867</v>
      </c>
    </row>
    <row r="9" spans="2:4">
      <c r="B9" t="s">
        <v>918</v>
      </c>
      <c r="D9" t="s">
        <v>868</v>
      </c>
    </row>
    <row r="10" spans="2:4">
      <c r="B10" t="s">
        <v>919</v>
      </c>
      <c r="D10" t="s">
        <v>869</v>
      </c>
    </row>
    <row r="11" spans="2:4">
      <c r="B11" t="s">
        <v>920</v>
      </c>
      <c r="D11" t="s">
        <v>870</v>
      </c>
    </row>
    <row r="12" spans="2:4">
      <c r="B12" t="s">
        <v>921</v>
      </c>
      <c r="D12" t="s">
        <v>871</v>
      </c>
    </row>
    <row r="13" spans="2:4">
      <c r="B13" t="s">
        <v>922</v>
      </c>
      <c r="D13" t="s">
        <v>872</v>
      </c>
    </row>
    <row r="14" spans="2:4">
      <c r="B14" t="s">
        <v>921</v>
      </c>
      <c r="D14" t="s">
        <v>873</v>
      </c>
    </row>
    <row r="15" spans="2:4">
      <c r="B15" t="s">
        <v>923</v>
      </c>
      <c r="D15" t="s">
        <v>874</v>
      </c>
    </row>
    <row r="16" spans="2:4">
      <c r="B16" t="s">
        <v>924</v>
      </c>
      <c r="D16" t="s">
        <v>875</v>
      </c>
    </row>
    <row r="17" spans="2:4">
      <c r="B17" t="s">
        <v>925</v>
      </c>
      <c r="D17" t="s">
        <v>876</v>
      </c>
    </row>
    <row r="18" spans="2:4">
      <c r="B18" t="s">
        <v>926</v>
      </c>
      <c r="D18" t="s">
        <v>877</v>
      </c>
    </row>
    <row r="19" spans="2:4">
      <c r="B19" t="s">
        <v>927</v>
      </c>
      <c r="D19" t="s">
        <v>878</v>
      </c>
    </row>
    <row r="20" spans="2:4">
      <c r="B20" t="s">
        <v>928</v>
      </c>
      <c r="D20" t="s">
        <v>879</v>
      </c>
    </row>
    <row r="21" spans="2:4">
      <c r="D21" t="s">
        <v>880</v>
      </c>
    </row>
    <row r="22" spans="2:4">
      <c r="D22" t="s">
        <v>881</v>
      </c>
    </row>
    <row r="23" spans="2:4">
      <c r="D23" t="s">
        <v>882</v>
      </c>
    </row>
    <row r="24" spans="2:4">
      <c r="D24" t="s">
        <v>883</v>
      </c>
    </row>
    <row r="25" spans="2:4">
      <c r="D25" t="s">
        <v>884</v>
      </c>
    </row>
    <row r="26" spans="2:4">
      <c r="D26" t="s">
        <v>885</v>
      </c>
    </row>
    <row r="27" spans="2:4">
      <c r="D27" t="s">
        <v>886</v>
      </c>
    </row>
    <row r="28" spans="2:4">
      <c r="D28" t="s">
        <v>887</v>
      </c>
    </row>
    <row r="29" spans="2:4">
      <c r="D29" t="s">
        <v>888</v>
      </c>
    </row>
    <row r="30" spans="2:4">
      <c r="D30" t="s">
        <v>889</v>
      </c>
    </row>
    <row r="31" spans="2:4">
      <c r="D31" t="s">
        <v>890</v>
      </c>
    </row>
    <row r="32" spans="2:4">
      <c r="D32" t="s">
        <v>891</v>
      </c>
    </row>
    <row r="33" spans="4:4">
      <c r="D33" t="s">
        <v>892</v>
      </c>
    </row>
    <row r="34" spans="4:4">
      <c r="D34" t="s">
        <v>893</v>
      </c>
    </row>
    <row r="35" spans="4:4">
      <c r="D35" t="s">
        <v>894</v>
      </c>
    </row>
    <row r="36" spans="4:4">
      <c r="D36" t="s">
        <v>895</v>
      </c>
    </row>
    <row r="37" spans="4:4">
      <c r="D37" t="s">
        <v>896</v>
      </c>
    </row>
    <row r="38" spans="4:4">
      <c r="D38" t="s">
        <v>897</v>
      </c>
    </row>
    <row r="39" spans="4:4">
      <c r="D39" t="s">
        <v>898</v>
      </c>
    </row>
    <row r="40" spans="4:4">
      <c r="D40" t="s">
        <v>899</v>
      </c>
    </row>
    <row r="41" spans="4:4">
      <c r="D41" t="s">
        <v>900</v>
      </c>
    </row>
    <row r="42" spans="4:4">
      <c r="D42" t="s">
        <v>901</v>
      </c>
    </row>
    <row r="43" spans="4:4">
      <c r="D43" t="s">
        <v>902</v>
      </c>
    </row>
    <row r="44" spans="4:4">
      <c r="D44" t="s">
        <v>903</v>
      </c>
    </row>
    <row r="45" spans="4:4">
      <c r="D45" t="s">
        <v>904</v>
      </c>
    </row>
    <row r="46" spans="4:4">
      <c r="D46" t="s">
        <v>905</v>
      </c>
    </row>
    <row r="47" spans="4:4">
      <c r="D47" t="s">
        <v>906</v>
      </c>
    </row>
    <row r="48" spans="4:4">
      <c r="D48" t="s">
        <v>907</v>
      </c>
    </row>
    <row r="49" spans="4:4">
      <c r="D49" t="s">
        <v>908</v>
      </c>
    </row>
    <row r="50" spans="4:4">
      <c r="D50" t="s">
        <v>909</v>
      </c>
    </row>
    <row r="51" spans="4:4">
      <c r="D51" t="s">
        <v>910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9D3A-0525-49A7-910E-6DA406DD489C}">
  <dimension ref="B2:G21"/>
  <sheetViews>
    <sheetView workbookViewId="0">
      <selection activeCell="J7" sqref="J7"/>
    </sheetView>
  </sheetViews>
  <sheetFormatPr defaultRowHeight="25.5"/>
  <cols>
    <col min="4" max="7" width="9.25" customWidth="1"/>
  </cols>
  <sheetData>
    <row r="2" spans="2:7">
      <c r="B2" s="59" t="s">
        <v>1014</v>
      </c>
      <c r="C2" s="59" t="s">
        <v>1830</v>
      </c>
      <c r="D2" s="58" t="s">
        <v>1012</v>
      </c>
      <c r="E2" s="58" t="s">
        <v>1063</v>
      </c>
      <c r="F2" s="58" t="s">
        <v>1831</v>
      </c>
      <c r="G2" s="58" t="s">
        <v>1013</v>
      </c>
    </row>
    <row r="3" spans="2:7" ht="44.25">
      <c r="B3" s="53" t="s">
        <v>931</v>
      </c>
      <c r="C3" s="53" t="s">
        <v>931</v>
      </c>
      <c r="D3" s="5" t="s">
        <v>1015</v>
      </c>
      <c r="E3" s="3" t="s">
        <v>567</v>
      </c>
      <c r="F3" s="3" t="s">
        <v>596</v>
      </c>
      <c r="G3" s="4" t="s">
        <v>1016</v>
      </c>
    </row>
    <row r="4" spans="2:7" ht="44.25">
      <c r="B4" s="53" t="s">
        <v>955</v>
      </c>
      <c r="C4" s="53" t="s">
        <v>955</v>
      </c>
      <c r="D4" s="5" t="s">
        <v>1017</v>
      </c>
      <c r="E4" s="3" t="s">
        <v>620</v>
      </c>
      <c r="F4" s="3" t="s">
        <v>567</v>
      </c>
      <c r="G4" s="4" t="s">
        <v>1018</v>
      </c>
    </row>
    <row r="5" spans="2:7" ht="44.25">
      <c r="B5" s="53" t="s">
        <v>944</v>
      </c>
      <c r="C5" s="53" t="s">
        <v>944</v>
      </c>
      <c r="D5" s="5" t="s">
        <v>1019</v>
      </c>
      <c r="E5" s="3" t="s">
        <v>596</v>
      </c>
      <c r="F5" s="3" t="s">
        <v>1020</v>
      </c>
      <c r="G5" s="4" t="s">
        <v>1021</v>
      </c>
    </row>
    <row r="6" spans="2:7" ht="44.25">
      <c r="B6" s="53" t="s">
        <v>1025</v>
      </c>
      <c r="C6" s="53" t="s">
        <v>1025</v>
      </c>
      <c r="D6" s="5" t="s">
        <v>1022</v>
      </c>
      <c r="E6" s="3" t="s">
        <v>1023</v>
      </c>
      <c r="F6" s="3" t="s">
        <v>1023</v>
      </c>
      <c r="G6" s="4" t="s">
        <v>1024</v>
      </c>
    </row>
    <row r="7" spans="2:7" ht="44.25">
      <c r="B7" s="53" t="s">
        <v>412</v>
      </c>
      <c r="C7" s="53" t="s">
        <v>412</v>
      </c>
      <c r="D7" s="5" t="s">
        <v>1026</v>
      </c>
      <c r="E7" s="3" t="s">
        <v>635</v>
      </c>
      <c r="F7" s="3" t="s">
        <v>1027</v>
      </c>
      <c r="G7" s="4" t="s">
        <v>1028</v>
      </c>
    </row>
    <row r="8" spans="2:7" ht="44.25">
      <c r="B8" s="53" t="s">
        <v>965</v>
      </c>
      <c r="C8" s="53" t="s">
        <v>965</v>
      </c>
      <c r="D8" s="5" t="s">
        <v>1029</v>
      </c>
      <c r="E8" s="3" t="s">
        <v>660</v>
      </c>
      <c r="F8" s="3" t="s">
        <v>635</v>
      </c>
      <c r="G8" s="4" t="s">
        <v>1030</v>
      </c>
    </row>
    <row r="9" spans="2:7" ht="44.25">
      <c r="B9" s="53" t="s">
        <v>1034</v>
      </c>
      <c r="C9" s="53" t="s">
        <v>1034</v>
      </c>
      <c r="D9" s="5" t="s">
        <v>1031</v>
      </c>
      <c r="E9" s="3" t="s">
        <v>1032</v>
      </c>
      <c r="F9" s="3" t="s">
        <v>1032</v>
      </c>
      <c r="G9" s="4" t="s">
        <v>1033</v>
      </c>
    </row>
    <row r="10" spans="2:7" ht="44.25">
      <c r="B10" s="53" t="s">
        <v>953</v>
      </c>
      <c r="C10" s="53" t="s">
        <v>953</v>
      </c>
      <c r="D10" s="5" t="s">
        <v>1035</v>
      </c>
      <c r="E10" s="3" t="s">
        <v>615</v>
      </c>
      <c r="F10" s="3" t="s">
        <v>615</v>
      </c>
      <c r="G10" s="4" t="s">
        <v>1036</v>
      </c>
    </row>
    <row r="11" spans="2:7" ht="44.25">
      <c r="B11" s="53" t="s">
        <v>483</v>
      </c>
      <c r="C11" s="53" t="s">
        <v>483</v>
      </c>
      <c r="D11" s="5" t="s">
        <v>1037</v>
      </c>
      <c r="E11" s="3" t="s">
        <v>561</v>
      </c>
      <c r="F11" s="3" t="s">
        <v>561</v>
      </c>
      <c r="G11" s="4" t="s">
        <v>1038</v>
      </c>
    </row>
    <row r="12" spans="2:7" ht="44.25">
      <c r="B12" s="53" t="s">
        <v>95</v>
      </c>
      <c r="C12" s="53" t="s">
        <v>95</v>
      </c>
      <c r="D12" s="5" t="s">
        <v>1039</v>
      </c>
      <c r="E12" s="3" t="s">
        <v>564</v>
      </c>
      <c r="F12" s="3" t="s">
        <v>564</v>
      </c>
      <c r="G12" s="4" t="s">
        <v>1040</v>
      </c>
    </row>
    <row r="13" spans="2:7" ht="44.25">
      <c r="B13" s="53" t="s">
        <v>934</v>
      </c>
      <c r="C13" s="53" t="s">
        <v>934</v>
      </c>
      <c r="D13" s="5" t="s">
        <v>1041</v>
      </c>
      <c r="E13" s="3" t="s">
        <v>574</v>
      </c>
      <c r="F13" s="3" t="s">
        <v>574</v>
      </c>
      <c r="G13" s="4" t="s">
        <v>1042</v>
      </c>
    </row>
    <row r="14" spans="2:7" ht="44.25">
      <c r="B14" s="53" t="s">
        <v>936</v>
      </c>
      <c r="C14" s="53" t="s">
        <v>936</v>
      </c>
      <c r="D14" s="5" t="s">
        <v>1043</v>
      </c>
      <c r="E14" s="3" t="s">
        <v>580</v>
      </c>
      <c r="F14" s="3" t="s">
        <v>1044</v>
      </c>
      <c r="G14" s="4" t="s">
        <v>1045</v>
      </c>
    </row>
    <row r="15" spans="2:7" ht="44.25">
      <c r="B15" s="53" t="s">
        <v>934</v>
      </c>
      <c r="C15" s="53" t="s">
        <v>934</v>
      </c>
      <c r="D15" s="5" t="s">
        <v>1046</v>
      </c>
      <c r="E15" s="3" t="s">
        <v>574</v>
      </c>
      <c r="F15" s="3" t="s">
        <v>1047</v>
      </c>
      <c r="G15" s="4" t="s">
        <v>1048</v>
      </c>
    </row>
    <row r="16" spans="2:7" ht="44.25">
      <c r="B16" s="53" t="s">
        <v>943</v>
      </c>
      <c r="C16" s="53" t="s">
        <v>943</v>
      </c>
      <c r="D16" s="5" t="s">
        <v>1049</v>
      </c>
      <c r="E16" s="3" t="s">
        <v>594</v>
      </c>
      <c r="F16" s="3" t="s">
        <v>591</v>
      </c>
      <c r="G16" s="4" t="s">
        <v>1050</v>
      </c>
    </row>
    <row r="17" spans="2:7" ht="44.25">
      <c r="B17" s="53" t="s">
        <v>948</v>
      </c>
      <c r="C17" s="53" t="s">
        <v>948</v>
      </c>
      <c r="D17" s="5" t="s">
        <v>1051</v>
      </c>
      <c r="E17" s="3" t="s">
        <v>601</v>
      </c>
      <c r="F17" s="3" t="s">
        <v>594</v>
      </c>
      <c r="G17" s="4" t="s">
        <v>1052</v>
      </c>
    </row>
    <row r="18" spans="2:7" ht="44.25">
      <c r="B18" s="53" t="s">
        <v>942</v>
      </c>
      <c r="C18" s="53" t="s">
        <v>942</v>
      </c>
      <c r="D18" s="5" t="s">
        <v>1053</v>
      </c>
      <c r="E18" s="3" t="s">
        <v>591</v>
      </c>
      <c r="F18" s="3" t="s">
        <v>1054</v>
      </c>
      <c r="G18" s="4" t="s">
        <v>1055</v>
      </c>
    </row>
    <row r="19" spans="2:7" ht="44.25">
      <c r="B19" s="53" t="s">
        <v>1058</v>
      </c>
      <c r="C19" s="53" t="s">
        <v>1058</v>
      </c>
      <c r="D19" s="5" t="s">
        <v>1056</v>
      </c>
      <c r="E19" s="3" t="s">
        <v>649</v>
      </c>
      <c r="F19" s="3" t="s">
        <v>649</v>
      </c>
      <c r="G19" s="4" t="s">
        <v>1057</v>
      </c>
    </row>
    <row r="20" spans="2:7" ht="44.25">
      <c r="B20" s="53" t="s">
        <v>529</v>
      </c>
      <c r="C20" s="53" t="s">
        <v>529</v>
      </c>
      <c r="D20" s="5" t="s">
        <v>1059</v>
      </c>
      <c r="E20" s="3" t="s">
        <v>569</v>
      </c>
      <c r="F20" s="3" t="s">
        <v>569</v>
      </c>
      <c r="G20" s="4" t="s">
        <v>1060</v>
      </c>
    </row>
    <row r="21" spans="2:7" ht="44.25">
      <c r="B21" s="57" t="s">
        <v>947</v>
      </c>
      <c r="C21" s="57" t="s">
        <v>947</v>
      </c>
      <c r="D21" s="54" t="s">
        <v>1061</v>
      </c>
      <c r="E21" s="55" t="s">
        <v>1062</v>
      </c>
      <c r="F21" s="55" t="s">
        <v>1062</v>
      </c>
      <c r="G21" s="56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979D6-5459-4AA4-9CB4-CA35483EC038}">
  <dimension ref="B2:N86"/>
  <sheetViews>
    <sheetView workbookViewId="0">
      <selection activeCell="G13" sqref="G13"/>
    </sheetView>
  </sheetViews>
  <sheetFormatPr defaultRowHeight="25.5"/>
  <sheetData>
    <row r="2" spans="2:14">
      <c r="B2" s="6" t="s">
        <v>1064</v>
      </c>
      <c r="C2" s="7" t="s">
        <v>1065</v>
      </c>
      <c r="D2" s="7" t="s">
        <v>1012</v>
      </c>
      <c r="E2" s="7" t="s">
        <v>1066</v>
      </c>
      <c r="F2" s="7" t="s">
        <v>1067</v>
      </c>
      <c r="G2" s="7" t="s">
        <v>556</v>
      </c>
      <c r="H2" s="7" t="s">
        <v>1068</v>
      </c>
      <c r="I2" s="7" t="s">
        <v>1069</v>
      </c>
      <c r="J2" s="7" t="s">
        <v>1070</v>
      </c>
      <c r="K2" s="7" t="s">
        <v>1071</v>
      </c>
      <c r="L2" s="7" t="s">
        <v>1072</v>
      </c>
      <c r="M2" s="7" t="s">
        <v>1073</v>
      </c>
      <c r="N2" s="8" t="s">
        <v>1074</v>
      </c>
    </row>
    <row r="3" spans="2:14">
      <c r="B3" s="9" t="s">
        <v>1075</v>
      </c>
      <c r="C3" s="10" t="s">
        <v>1076</v>
      </c>
      <c r="D3" s="10" t="s">
        <v>1077</v>
      </c>
      <c r="E3" s="10" t="s">
        <v>952</v>
      </c>
      <c r="F3" s="10" t="s">
        <v>1078</v>
      </c>
      <c r="G3" s="10" t="s">
        <v>1077</v>
      </c>
      <c r="H3" s="10" t="s">
        <v>1077</v>
      </c>
      <c r="I3" s="10" t="s">
        <v>1077</v>
      </c>
      <c r="J3" s="10" t="s">
        <v>1077</v>
      </c>
      <c r="K3" s="10" t="s">
        <v>1077</v>
      </c>
      <c r="L3" s="10" t="s">
        <v>1079</v>
      </c>
      <c r="M3" s="10" t="s">
        <v>1080</v>
      </c>
      <c r="N3" s="11" t="s">
        <v>1081</v>
      </c>
    </row>
    <row r="4" spans="2:14">
      <c r="B4" s="9" t="s">
        <v>1082</v>
      </c>
      <c r="C4" s="10" t="s">
        <v>1083</v>
      </c>
      <c r="D4" s="10" t="s">
        <v>1084</v>
      </c>
      <c r="E4" s="10" t="s">
        <v>952</v>
      </c>
      <c r="F4" s="10" t="s">
        <v>1085</v>
      </c>
      <c r="G4" s="10" t="s">
        <v>1086</v>
      </c>
      <c r="H4" s="10" t="s">
        <v>1086</v>
      </c>
      <c r="I4" s="10" t="s">
        <v>1086</v>
      </c>
      <c r="J4" s="10" t="s">
        <v>1086</v>
      </c>
      <c r="K4" s="10" t="s">
        <v>1086</v>
      </c>
      <c r="L4" s="10" t="s">
        <v>1087</v>
      </c>
      <c r="M4" s="10" t="s">
        <v>1088</v>
      </c>
      <c r="N4" s="11" t="s">
        <v>1081</v>
      </c>
    </row>
    <row r="5" spans="2:14">
      <c r="B5" s="9" t="s">
        <v>1089</v>
      </c>
      <c r="C5" s="10" t="s">
        <v>1090</v>
      </c>
      <c r="D5" s="10" t="s">
        <v>1091</v>
      </c>
      <c r="E5" s="10" t="s">
        <v>1092</v>
      </c>
      <c r="F5" s="10" t="s">
        <v>1093</v>
      </c>
      <c r="G5" s="10" t="s">
        <v>1094</v>
      </c>
      <c r="H5" s="10" t="s">
        <v>1095</v>
      </c>
      <c r="I5" s="10" t="s">
        <v>1096</v>
      </c>
      <c r="J5" s="10" t="s">
        <v>1097</v>
      </c>
      <c r="K5" s="10" t="s">
        <v>1095</v>
      </c>
      <c r="L5" s="10" t="s">
        <v>1087</v>
      </c>
      <c r="M5" s="10" t="s">
        <v>1098</v>
      </c>
      <c r="N5" s="11" t="s">
        <v>1099</v>
      </c>
    </row>
    <row r="6" spans="2:14">
      <c r="B6" s="9" t="s">
        <v>1100</v>
      </c>
      <c r="C6" s="10" t="s">
        <v>1101</v>
      </c>
      <c r="D6" s="10" t="s">
        <v>616</v>
      </c>
      <c r="E6" s="10" t="s">
        <v>492</v>
      </c>
      <c r="F6" s="10" t="s">
        <v>1102</v>
      </c>
      <c r="G6" s="10" t="s">
        <v>616</v>
      </c>
      <c r="H6" s="10" t="s">
        <v>616</v>
      </c>
      <c r="I6" s="10" t="s">
        <v>616</v>
      </c>
      <c r="J6" s="10" t="s">
        <v>616</v>
      </c>
      <c r="K6" s="10" t="s">
        <v>616</v>
      </c>
      <c r="L6" s="10" t="s">
        <v>1079</v>
      </c>
      <c r="M6" s="10" t="s">
        <v>1103</v>
      </c>
      <c r="N6" s="11" t="s">
        <v>1104</v>
      </c>
    </row>
    <row r="7" spans="2:14">
      <c r="B7" s="9" t="s">
        <v>1105</v>
      </c>
      <c r="C7" s="10" t="s">
        <v>1106</v>
      </c>
      <c r="D7" s="10" t="s">
        <v>1107</v>
      </c>
      <c r="E7" s="10" t="s">
        <v>1108</v>
      </c>
      <c r="F7" s="10" t="s">
        <v>1109</v>
      </c>
      <c r="G7" s="10" t="s">
        <v>1110</v>
      </c>
      <c r="H7" s="10" t="s">
        <v>1110</v>
      </c>
      <c r="I7" s="10" t="s">
        <v>1111</v>
      </c>
      <c r="J7" s="10" t="s">
        <v>1112</v>
      </c>
      <c r="K7" s="10" t="s">
        <v>1110</v>
      </c>
      <c r="L7" s="10" t="s">
        <v>1079</v>
      </c>
      <c r="M7" s="10" t="s">
        <v>1113</v>
      </c>
      <c r="N7" s="11" t="s">
        <v>1114</v>
      </c>
    </row>
    <row r="8" spans="2:14">
      <c r="B8" s="9" t="s">
        <v>1115</v>
      </c>
      <c r="C8" s="10" t="s">
        <v>1116</v>
      </c>
      <c r="D8" s="10" t="s">
        <v>1117</v>
      </c>
      <c r="E8" s="10" t="s">
        <v>118</v>
      </c>
      <c r="F8" s="10" t="s">
        <v>1118</v>
      </c>
      <c r="G8" s="10" t="s">
        <v>1119</v>
      </c>
      <c r="H8" s="10" t="s">
        <v>1119</v>
      </c>
      <c r="I8" s="10" t="s">
        <v>1119</v>
      </c>
      <c r="J8" s="10" t="s">
        <v>1119</v>
      </c>
      <c r="K8" s="10" t="s">
        <v>1119</v>
      </c>
      <c r="L8" s="10" t="s">
        <v>1087</v>
      </c>
      <c r="M8" s="10" t="s">
        <v>1120</v>
      </c>
      <c r="N8" s="11" t="s">
        <v>1121</v>
      </c>
    </row>
    <row r="9" spans="2:14">
      <c r="B9" s="9" t="s">
        <v>1122</v>
      </c>
      <c r="C9" s="10" t="s">
        <v>1123</v>
      </c>
      <c r="D9" s="10" t="s">
        <v>752</v>
      </c>
      <c r="E9" s="10" t="s">
        <v>991</v>
      </c>
      <c r="F9" s="10" t="s">
        <v>1124</v>
      </c>
      <c r="G9" s="10" t="s">
        <v>752</v>
      </c>
      <c r="H9" s="10" t="s">
        <v>752</v>
      </c>
      <c r="I9" s="10" t="s">
        <v>752</v>
      </c>
      <c r="J9" s="10" t="s">
        <v>752</v>
      </c>
      <c r="K9" s="10" t="s">
        <v>752</v>
      </c>
      <c r="L9" s="10" t="s">
        <v>1079</v>
      </c>
      <c r="M9" s="10" t="s">
        <v>1125</v>
      </c>
      <c r="N9" s="11" t="s">
        <v>1126</v>
      </c>
    </row>
    <row r="10" spans="2:14">
      <c r="B10" s="9" t="s">
        <v>1127</v>
      </c>
      <c r="C10" s="10" t="s">
        <v>203</v>
      </c>
      <c r="D10" s="10" t="s">
        <v>642</v>
      </c>
      <c r="E10" s="10" t="s">
        <v>961</v>
      </c>
      <c r="F10" s="10" t="s">
        <v>1128</v>
      </c>
      <c r="G10" s="10" t="s">
        <v>642</v>
      </c>
      <c r="H10" s="10" t="s">
        <v>642</v>
      </c>
      <c r="I10" s="10" t="s">
        <v>642</v>
      </c>
      <c r="J10" s="10" t="s">
        <v>642</v>
      </c>
      <c r="K10" s="10" t="s">
        <v>642</v>
      </c>
      <c r="L10" s="10" t="s">
        <v>1079</v>
      </c>
      <c r="M10" s="10" t="s">
        <v>1129</v>
      </c>
      <c r="N10" s="11" t="s">
        <v>1130</v>
      </c>
    </row>
    <row r="11" spans="2:14">
      <c r="B11" s="9" t="s">
        <v>1131</v>
      </c>
      <c r="C11" s="10" t="s">
        <v>1132</v>
      </c>
      <c r="D11" s="10" t="s">
        <v>1133</v>
      </c>
      <c r="E11" s="10" t="s">
        <v>118</v>
      </c>
      <c r="F11" s="10" t="s">
        <v>1134</v>
      </c>
      <c r="G11" s="10" t="s">
        <v>655</v>
      </c>
      <c r="H11" s="10" t="s">
        <v>655</v>
      </c>
      <c r="I11" s="10" t="s">
        <v>655</v>
      </c>
      <c r="J11" s="10" t="s">
        <v>655</v>
      </c>
      <c r="K11" s="10" t="s">
        <v>655</v>
      </c>
      <c r="L11" s="10" t="s">
        <v>1079</v>
      </c>
      <c r="M11" s="10" t="s">
        <v>1135</v>
      </c>
      <c r="N11" s="11" t="s">
        <v>1121</v>
      </c>
    </row>
    <row r="12" spans="2:14">
      <c r="B12" s="9" t="s">
        <v>1136</v>
      </c>
      <c r="C12" s="10" t="s">
        <v>1137</v>
      </c>
      <c r="D12" s="10" t="s">
        <v>1138</v>
      </c>
      <c r="E12" s="10" t="s">
        <v>1092</v>
      </c>
      <c r="F12" s="10" t="s">
        <v>1139</v>
      </c>
      <c r="G12" s="10" t="s">
        <v>1140</v>
      </c>
      <c r="H12" s="10" t="s">
        <v>1140</v>
      </c>
      <c r="I12" s="10" t="s">
        <v>1141</v>
      </c>
      <c r="J12" s="10" t="s">
        <v>1142</v>
      </c>
      <c r="K12" s="10" t="s">
        <v>1140</v>
      </c>
      <c r="L12" s="10" t="s">
        <v>1079</v>
      </c>
      <c r="M12" s="10" t="s">
        <v>1143</v>
      </c>
      <c r="N12" s="11" t="s">
        <v>1099</v>
      </c>
    </row>
    <row r="13" spans="2:14">
      <c r="B13" s="9" t="s">
        <v>1144</v>
      </c>
      <c r="C13" s="10" t="s">
        <v>1145</v>
      </c>
      <c r="D13" s="10" t="s">
        <v>1146</v>
      </c>
      <c r="E13" s="10" t="s">
        <v>991</v>
      </c>
      <c r="F13" s="10" t="s">
        <v>1147</v>
      </c>
      <c r="G13" s="10" t="s">
        <v>1148</v>
      </c>
      <c r="H13" s="10" t="s">
        <v>1148</v>
      </c>
      <c r="I13" s="10" t="s">
        <v>1148</v>
      </c>
      <c r="J13" s="10" t="s">
        <v>1148</v>
      </c>
      <c r="K13" s="10" t="s">
        <v>1148</v>
      </c>
      <c r="L13" s="10" t="s">
        <v>1087</v>
      </c>
      <c r="M13" s="10" t="s">
        <v>1149</v>
      </c>
      <c r="N13" s="11" t="s">
        <v>1126</v>
      </c>
    </row>
    <row r="14" spans="2:14">
      <c r="B14" s="9" t="s">
        <v>1150</v>
      </c>
      <c r="C14" s="10" t="s">
        <v>1151</v>
      </c>
      <c r="D14" s="10" t="s">
        <v>1152</v>
      </c>
      <c r="E14" s="10" t="s">
        <v>961</v>
      </c>
      <c r="F14" s="10" t="s">
        <v>1153</v>
      </c>
      <c r="G14" s="10" t="s">
        <v>1154</v>
      </c>
      <c r="H14" s="10" t="s">
        <v>1154</v>
      </c>
      <c r="I14" s="10" t="s">
        <v>1154</v>
      </c>
      <c r="J14" s="10" t="s">
        <v>1154</v>
      </c>
      <c r="K14" s="10" t="s">
        <v>1154</v>
      </c>
      <c r="L14" s="10" t="s">
        <v>1087</v>
      </c>
      <c r="M14" s="10" t="s">
        <v>1155</v>
      </c>
      <c r="N14" s="11" t="s">
        <v>1130</v>
      </c>
    </row>
    <row r="15" spans="2:14">
      <c r="B15" s="9" t="s">
        <v>1156</v>
      </c>
      <c r="C15" s="10" t="s">
        <v>1157</v>
      </c>
      <c r="D15" s="10" t="s">
        <v>697</v>
      </c>
      <c r="E15" s="10" t="s">
        <v>977</v>
      </c>
      <c r="F15" s="10" t="s">
        <v>1158</v>
      </c>
      <c r="G15" s="10" t="s">
        <v>697</v>
      </c>
      <c r="H15" s="10" t="s">
        <v>697</v>
      </c>
      <c r="I15" s="10" t="s">
        <v>697</v>
      </c>
      <c r="J15" s="10" t="s">
        <v>1159</v>
      </c>
      <c r="K15" s="10" t="s">
        <v>697</v>
      </c>
      <c r="L15" s="10" t="s">
        <v>1079</v>
      </c>
      <c r="M15" s="10" t="s">
        <v>1160</v>
      </c>
      <c r="N15" s="11" t="s">
        <v>1161</v>
      </c>
    </row>
    <row r="16" spans="2:14">
      <c r="B16" s="9" t="s">
        <v>1162</v>
      </c>
      <c r="C16" s="10" t="s">
        <v>1163</v>
      </c>
      <c r="D16" s="10" t="s">
        <v>1164</v>
      </c>
      <c r="E16" s="10" t="s">
        <v>977</v>
      </c>
      <c r="F16" s="10" t="s">
        <v>1165</v>
      </c>
      <c r="G16" s="10" t="s">
        <v>1166</v>
      </c>
      <c r="H16" s="10" t="s">
        <v>1166</v>
      </c>
      <c r="I16" s="10" t="s">
        <v>1166</v>
      </c>
      <c r="J16" s="10" t="s">
        <v>1167</v>
      </c>
      <c r="K16" s="10" t="s">
        <v>1166</v>
      </c>
      <c r="L16" s="10" t="s">
        <v>1087</v>
      </c>
      <c r="M16" s="10" t="s">
        <v>1168</v>
      </c>
      <c r="N16" s="11" t="s">
        <v>1161</v>
      </c>
    </row>
    <row r="17" spans="2:14">
      <c r="B17" s="9" t="s">
        <v>1169</v>
      </c>
      <c r="C17" s="10" t="s">
        <v>1170</v>
      </c>
      <c r="D17" s="10" t="s">
        <v>1171</v>
      </c>
      <c r="E17" s="10" t="s">
        <v>1172</v>
      </c>
      <c r="F17" s="10" t="s">
        <v>1173</v>
      </c>
      <c r="G17" s="10" t="s">
        <v>1174</v>
      </c>
      <c r="H17" s="10" t="s">
        <v>1174</v>
      </c>
      <c r="I17" s="10" t="s">
        <v>1175</v>
      </c>
      <c r="J17" s="10" t="s">
        <v>1176</v>
      </c>
      <c r="K17" s="10" t="s">
        <v>1174</v>
      </c>
      <c r="L17" s="10" t="s">
        <v>1079</v>
      </c>
      <c r="M17" s="10" t="s">
        <v>1177</v>
      </c>
      <c r="N17" s="11" t="s">
        <v>1178</v>
      </c>
    </row>
    <row r="18" spans="2:14">
      <c r="B18" s="9" t="s">
        <v>1179</v>
      </c>
      <c r="C18" s="10" t="s">
        <v>1180</v>
      </c>
      <c r="D18" s="10" t="s">
        <v>759</v>
      </c>
      <c r="E18" s="10" t="s">
        <v>973</v>
      </c>
      <c r="F18" s="10" t="s">
        <v>1181</v>
      </c>
      <c r="G18" s="10" t="s">
        <v>759</v>
      </c>
      <c r="H18" s="10" t="s">
        <v>759</v>
      </c>
      <c r="I18" s="10" t="s">
        <v>759</v>
      </c>
      <c r="J18" s="10" t="s">
        <v>759</v>
      </c>
      <c r="K18" s="10" t="s">
        <v>759</v>
      </c>
      <c r="L18" s="10" t="s">
        <v>1079</v>
      </c>
      <c r="M18" s="10" t="s">
        <v>1182</v>
      </c>
      <c r="N18" s="11" t="s">
        <v>1183</v>
      </c>
    </row>
    <row r="19" spans="2:14">
      <c r="B19" s="9" t="s">
        <v>1184</v>
      </c>
      <c r="C19" s="10" t="s">
        <v>1185</v>
      </c>
      <c r="D19" s="10" t="s">
        <v>1186</v>
      </c>
      <c r="E19" s="10" t="s">
        <v>996</v>
      </c>
      <c r="F19" s="10" t="s">
        <v>1187</v>
      </c>
      <c r="G19" s="10" t="s">
        <v>608</v>
      </c>
      <c r="H19" s="10" t="s">
        <v>608</v>
      </c>
      <c r="I19" s="10" t="s">
        <v>759</v>
      </c>
      <c r="J19" s="10" t="s">
        <v>608</v>
      </c>
      <c r="K19" s="10" t="s">
        <v>759</v>
      </c>
      <c r="L19" s="10" t="s">
        <v>1079</v>
      </c>
      <c r="M19" s="10" t="s">
        <v>1188</v>
      </c>
      <c r="N19" s="11" t="s">
        <v>1189</v>
      </c>
    </row>
    <row r="20" spans="2:14">
      <c r="B20" s="9" t="s">
        <v>1190</v>
      </c>
      <c r="C20" s="10" t="s">
        <v>1191</v>
      </c>
      <c r="D20" s="10" t="s">
        <v>1192</v>
      </c>
      <c r="E20" s="10" t="s">
        <v>996</v>
      </c>
      <c r="F20" s="10" t="s">
        <v>1193</v>
      </c>
      <c r="G20" s="10" t="s">
        <v>1194</v>
      </c>
      <c r="H20" s="10" t="s">
        <v>1194</v>
      </c>
      <c r="I20" s="10" t="s">
        <v>1194</v>
      </c>
      <c r="J20" s="10" t="s">
        <v>1195</v>
      </c>
      <c r="K20" s="10" t="s">
        <v>1196</v>
      </c>
      <c r="L20" s="10" t="s">
        <v>1087</v>
      </c>
      <c r="M20" s="10" t="s">
        <v>1197</v>
      </c>
      <c r="N20" s="11" t="s">
        <v>1189</v>
      </c>
    </row>
    <row r="21" spans="2:14">
      <c r="B21" s="9" t="s">
        <v>1198</v>
      </c>
      <c r="C21" s="10" t="s">
        <v>1199</v>
      </c>
      <c r="D21" s="10" t="s">
        <v>1200</v>
      </c>
      <c r="E21" s="10" t="s">
        <v>973</v>
      </c>
      <c r="F21" s="10" t="s">
        <v>1201</v>
      </c>
      <c r="G21" s="10" t="s">
        <v>1196</v>
      </c>
      <c r="H21" s="10" t="s">
        <v>1196</v>
      </c>
      <c r="I21" s="10" t="s">
        <v>1196</v>
      </c>
      <c r="J21" s="10" t="s">
        <v>1196</v>
      </c>
      <c r="K21" s="10" t="s">
        <v>1196</v>
      </c>
      <c r="L21" s="10" t="s">
        <v>1087</v>
      </c>
      <c r="M21" s="10" t="s">
        <v>1202</v>
      </c>
      <c r="N21" s="11" t="s">
        <v>1183</v>
      </c>
    </row>
    <row r="22" spans="2:14">
      <c r="B22" s="9" t="s">
        <v>1203</v>
      </c>
      <c r="C22" s="10" t="s">
        <v>432</v>
      </c>
      <c r="D22" s="10" t="s">
        <v>1204</v>
      </c>
      <c r="E22" s="10" t="s">
        <v>537</v>
      </c>
      <c r="F22" s="10" t="s">
        <v>1205</v>
      </c>
      <c r="G22" s="10" t="s">
        <v>1206</v>
      </c>
      <c r="H22" s="10" t="s">
        <v>1207</v>
      </c>
      <c r="I22" s="10" t="s">
        <v>1208</v>
      </c>
      <c r="J22" s="10" t="s">
        <v>1209</v>
      </c>
      <c r="K22" s="10" t="s">
        <v>1207</v>
      </c>
      <c r="L22" s="10" t="s">
        <v>1087</v>
      </c>
      <c r="M22" s="10" t="s">
        <v>1210</v>
      </c>
      <c r="N22" s="11" t="s">
        <v>1100</v>
      </c>
    </row>
    <row r="23" spans="2:14">
      <c r="B23" s="9" t="s">
        <v>1211</v>
      </c>
      <c r="C23" s="10" t="s">
        <v>1212</v>
      </c>
      <c r="D23" s="10" t="s">
        <v>699</v>
      </c>
      <c r="E23" s="10" t="s">
        <v>1004</v>
      </c>
      <c r="F23" s="10" t="s">
        <v>1181</v>
      </c>
      <c r="G23" s="10" t="s">
        <v>699</v>
      </c>
      <c r="H23" s="10" t="s">
        <v>759</v>
      </c>
      <c r="I23" s="10" t="s">
        <v>759</v>
      </c>
      <c r="J23" s="10" t="s">
        <v>759</v>
      </c>
      <c r="K23" s="10" t="s">
        <v>759</v>
      </c>
      <c r="L23" s="10" t="s">
        <v>1079</v>
      </c>
      <c r="M23" s="10" t="s">
        <v>1213</v>
      </c>
      <c r="N23" s="11" t="s">
        <v>1214</v>
      </c>
    </row>
    <row r="24" spans="2:14">
      <c r="B24" s="9" t="s">
        <v>1215</v>
      </c>
      <c r="C24" s="10" t="s">
        <v>1216</v>
      </c>
      <c r="D24" s="10" t="s">
        <v>1217</v>
      </c>
      <c r="E24" s="10" t="s">
        <v>537</v>
      </c>
      <c r="F24" s="10" t="s">
        <v>1218</v>
      </c>
      <c r="G24" s="10" t="s">
        <v>1219</v>
      </c>
      <c r="H24" s="10" t="s">
        <v>1219</v>
      </c>
      <c r="I24" s="10" t="s">
        <v>1220</v>
      </c>
      <c r="J24" s="10" t="s">
        <v>1221</v>
      </c>
      <c r="K24" s="10" t="s">
        <v>1219</v>
      </c>
      <c r="L24" s="10" t="s">
        <v>1079</v>
      </c>
      <c r="M24" s="10" t="s">
        <v>1222</v>
      </c>
      <c r="N24" s="11" t="s">
        <v>1100</v>
      </c>
    </row>
    <row r="25" spans="2:14">
      <c r="B25" s="9" t="s">
        <v>1223</v>
      </c>
      <c r="C25" s="10" t="s">
        <v>1224</v>
      </c>
      <c r="D25" s="10" t="s">
        <v>585</v>
      </c>
      <c r="E25" s="10" t="s">
        <v>939</v>
      </c>
      <c r="F25" s="10" t="s">
        <v>1225</v>
      </c>
      <c r="G25" s="10" t="s">
        <v>585</v>
      </c>
      <c r="H25" s="10" t="s">
        <v>585</v>
      </c>
      <c r="I25" s="10" t="s">
        <v>585</v>
      </c>
      <c r="J25" s="10" t="s">
        <v>585</v>
      </c>
      <c r="K25" s="10" t="s">
        <v>585</v>
      </c>
      <c r="L25" s="10" t="s">
        <v>1079</v>
      </c>
      <c r="M25" s="10" t="s">
        <v>1226</v>
      </c>
      <c r="N25" s="11" t="s">
        <v>1227</v>
      </c>
    </row>
    <row r="26" spans="2:14">
      <c r="B26" s="9" t="s">
        <v>1228</v>
      </c>
      <c r="C26" s="10" t="s">
        <v>1229</v>
      </c>
      <c r="D26" s="10" t="s">
        <v>719</v>
      </c>
      <c r="E26" s="10" t="s">
        <v>982</v>
      </c>
      <c r="F26" s="10" t="s">
        <v>1230</v>
      </c>
      <c r="G26" s="10" t="s">
        <v>719</v>
      </c>
      <c r="H26" s="10" t="s">
        <v>719</v>
      </c>
      <c r="I26" s="10" t="s">
        <v>719</v>
      </c>
      <c r="J26" s="10" t="s">
        <v>719</v>
      </c>
      <c r="K26" s="10" t="s">
        <v>719</v>
      </c>
      <c r="L26" s="10" t="s">
        <v>1079</v>
      </c>
      <c r="M26" s="10" t="s">
        <v>1231</v>
      </c>
      <c r="N26" s="11" t="s">
        <v>1232</v>
      </c>
    </row>
    <row r="27" spans="2:14">
      <c r="B27" s="9" t="s">
        <v>1178</v>
      </c>
      <c r="C27" s="10" t="s">
        <v>7</v>
      </c>
      <c r="D27" s="10" t="s">
        <v>1233</v>
      </c>
      <c r="E27" s="10" t="s">
        <v>982</v>
      </c>
      <c r="F27" s="10" t="s">
        <v>1234</v>
      </c>
      <c r="G27" s="10" t="s">
        <v>1235</v>
      </c>
      <c r="H27" s="10" t="s">
        <v>1235</v>
      </c>
      <c r="I27" s="10" t="s">
        <v>1235</v>
      </c>
      <c r="J27" s="10" t="s">
        <v>1235</v>
      </c>
      <c r="K27" s="10" t="s">
        <v>1235</v>
      </c>
      <c r="L27" s="10" t="s">
        <v>1087</v>
      </c>
      <c r="M27" s="10" t="s">
        <v>1236</v>
      </c>
      <c r="N27" s="11" t="s">
        <v>1232</v>
      </c>
    </row>
    <row r="28" spans="2:14">
      <c r="B28" s="9" t="s">
        <v>1237</v>
      </c>
      <c r="C28" s="10" t="s">
        <v>1238</v>
      </c>
      <c r="D28" s="10" t="s">
        <v>1239</v>
      </c>
      <c r="E28" s="10" t="s">
        <v>1240</v>
      </c>
      <c r="F28" s="10" t="s">
        <v>1241</v>
      </c>
      <c r="G28" s="10" t="s">
        <v>1242</v>
      </c>
      <c r="H28" s="10" t="s">
        <v>1242</v>
      </c>
      <c r="I28" s="10" t="s">
        <v>1242</v>
      </c>
      <c r="J28" s="10" t="s">
        <v>1242</v>
      </c>
      <c r="K28" s="10" t="s">
        <v>1242</v>
      </c>
      <c r="L28" s="10" t="s">
        <v>1087</v>
      </c>
      <c r="M28" s="10" t="s">
        <v>1243</v>
      </c>
      <c r="N28" s="11" t="s">
        <v>1244</v>
      </c>
    </row>
    <row r="29" spans="2:14">
      <c r="B29" s="9" t="s">
        <v>1245</v>
      </c>
      <c r="C29" s="10" t="s">
        <v>1246</v>
      </c>
      <c r="D29" s="10" t="s">
        <v>735</v>
      </c>
      <c r="E29" s="10" t="s">
        <v>964</v>
      </c>
      <c r="F29" s="10" t="s">
        <v>1247</v>
      </c>
      <c r="G29" s="10" t="s">
        <v>735</v>
      </c>
      <c r="H29" s="10" t="s">
        <v>735</v>
      </c>
      <c r="I29" s="10" t="s">
        <v>735</v>
      </c>
      <c r="J29" s="10" t="s">
        <v>735</v>
      </c>
      <c r="K29" s="10" t="s">
        <v>735</v>
      </c>
      <c r="L29" s="10" t="s">
        <v>1079</v>
      </c>
      <c r="M29" s="10" t="s">
        <v>1248</v>
      </c>
      <c r="N29" s="11" t="s">
        <v>1249</v>
      </c>
    </row>
    <row r="30" spans="2:14">
      <c r="B30" s="9" t="s">
        <v>1250</v>
      </c>
      <c r="C30" s="10" t="s">
        <v>1251</v>
      </c>
      <c r="D30" s="10" t="s">
        <v>562</v>
      </c>
      <c r="E30" s="10" t="s">
        <v>929</v>
      </c>
      <c r="F30" s="10" t="s">
        <v>1252</v>
      </c>
      <c r="G30" s="10" t="s">
        <v>562</v>
      </c>
      <c r="H30" s="10" t="s">
        <v>562</v>
      </c>
      <c r="I30" s="10" t="s">
        <v>562</v>
      </c>
      <c r="J30" s="10" t="s">
        <v>562</v>
      </c>
      <c r="K30" s="10" t="s">
        <v>562</v>
      </c>
      <c r="L30" s="10" t="s">
        <v>1079</v>
      </c>
      <c r="M30" s="10" t="s">
        <v>1253</v>
      </c>
      <c r="N30" s="11" t="s">
        <v>1254</v>
      </c>
    </row>
    <row r="31" spans="2:14">
      <c r="B31" s="9" t="s">
        <v>1255</v>
      </c>
      <c r="C31" s="10" t="s">
        <v>473</v>
      </c>
      <c r="D31" s="10" t="s">
        <v>1256</v>
      </c>
      <c r="E31" s="10" t="s">
        <v>1240</v>
      </c>
      <c r="F31" s="10" t="s">
        <v>1257</v>
      </c>
      <c r="G31" s="10" t="s">
        <v>1258</v>
      </c>
      <c r="H31" s="10" t="s">
        <v>1258</v>
      </c>
      <c r="I31" s="10" t="s">
        <v>1258</v>
      </c>
      <c r="J31" s="10" t="s">
        <v>1258</v>
      </c>
      <c r="K31" s="10" t="s">
        <v>1258</v>
      </c>
      <c r="L31" s="10" t="s">
        <v>1079</v>
      </c>
      <c r="M31" s="10" t="s">
        <v>1259</v>
      </c>
      <c r="N31" s="11" t="s">
        <v>1244</v>
      </c>
    </row>
    <row r="32" spans="2:14">
      <c r="B32" s="9" t="s">
        <v>1260</v>
      </c>
      <c r="C32" s="10" t="s">
        <v>498</v>
      </c>
      <c r="D32" s="10" t="s">
        <v>1261</v>
      </c>
      <c r="E32" s="10" t="s">
        <v>1008</v>
      </c>
      <c r="F32" s="10" t="s">
        <v>1262</v>
      </c>
      <c r="G32" s="10" t="s">
        <v>839</v>
      </c>
      <c r="H32" s="10" t="s">
        <v>1263</v>
      </c>
      <c r="I32" s="10" t="s">
        <v>1264</v>
      </c>
      <c r="J32" s="10" t="s">
        <v>1265</v>
      </c>
      <c r="K32" s="10" t="s">
        <v>839</v>
      </c>
      <c r="L32" s="10" t="s">
        <v>1079</v>
      </c>
      <c r="M32" s="10" t="s">
        <v>1266</v>
      </c>
      <c r="N32" s="11" t="s">
        <v>1237</v>
      </c>
    </row>
    <row r="33" spans="2:14">
      <c r="B33" s="9" t="s">
        <v>1267</v>
      </c>
      <c r="C33" s="10" t="s">
        <v>122</v>
      </c>
      <c r="D33" s="10" t="s">
        <v>1268</v>
      </c>
      <c r="E33" s="10" t="s">
        <v>964</v>
      </c>
      <c r="F33" s="10" t="s">
        <v>1269</v>
      </c>
      <c r="G33" s="10" t="s">
        <v>658</v>
      </c>
      <c r="H33" s="10" t="s">
        <v>658</v>
      </c>
      <c r="I33" s="10" t="s">
        <v>658</v>
      </c>
      <c r="J33" s="10" t="s">
        <v>658</v>
      </c>
      <c r="K33" s="10" t="s">
        <v>658</v>
      </c>
      <c r="L33" s="10" t="s">
        <v>1087</v>
      </c>
      <c r="M33" s="10" t="s">
        <v>1270</v>
      </c>
      <c r="N33" s="11" t="s">
        <v>1249</v>
      </c>
    </row>
    <row r="34" spans="2:14">
      <c r="B34" s="9" t="s">
        <v>1271</v>
      </c>
      <c r="C34" s="10" t="s">
        <v>1272</v>
      </c>
      <c r="D34" s="10" t="s">
        <v>1273</v>
      </c>
      <c r="E34" s="10" t="s">
        <v>929</v>
      </c>
      <c r="F34" s="10" t="s">
        <v>1274</v>
      </c>
      <c r="G34" s="10" t="s">
        <v>807</v>
      </c>
      <c r="H34" s="10" t="s">
        <v>807</v>
      </c>
      <c r="I34" s="10" t="s">
        <v>807</v>
      </c>
      <c r="J34" s="10" t="s">
        <v>807</v>
      </c>
      <c r="K34" s="10" t="s">
        <v>807</v>
      </c>
      <c r="L34" s="10" t="s">
        <v>1087</v>
      </c>
      <c r="M34" s="10" t="s">
        <v>1275</v>
      </c>
      <c r="N34" s="11" t="s">
        <v>1254</v>
      </c>
    </row>
    <row r="35" spans="2:14">
      <c r="B35" s="9" t="s">
        <v>1161</v>
      </c>
      <c r="C35" s="10" t="s">
        <v>1276</v>
      </c>
      <c r="D35" s="10" t="s">
        <v>633</v>
      </c>
      <c r="E35" s="10" t="s">
        <v>959</v>
      </c>
      <c r="F35" s="10" t="s">
        <v>1277</v>
      </c>
      <c r="G35" s="10" t="s">
        <v>633</v>
      </c>
      <c r="H35" s="10" t="s">
        <v>633</v>
      </c>
      <c r="I35" s="10" t="s">
        <v>633</v>
      </c>
      <c r="J35" s="10" t="s">
        <v>1278</v>
      </c>
      <c r="K35" s="10" t="s">
        <v>633</v>
      </c>
      <c r="L35" s="10" t="s">
        <v>1079</v>
      </c>
      <c r="M35" s="10" t="s">
        <v>1279</v>
      </c>
      <c r="N35" s="11" t="s">
        <v>1150</v>
      </c>
    </row>
    <row r="36" spans="2:14">
      <c r="B36" s="9" t="s">
        <v>1232</v>
      </c>
      <c r="C36" s="10" t="s">
        <v>1280</v>
      </c>
      <c r="D36" s="10" t="s">
        <v>1281</v>
      </c>
      <c r="E36" s="10" t="s">
        <v>959</v>
      </c>
      <c r="F36" s="10" t="s">
        <v>1282</v>
      </c>
      <c r="G36" s="10" t="s">
        <v>1283</v>
      </c>
      <c r="H36" s="10" t="s">
        <v>1283</v>
      </c>
      <c r="I36" s="10" t="s">
        <v>1283</v>
      </c>
      <c r="J36" s="10" t="s">
        <v>1284</v>
      </c>
      <c r="K36" s="10" t="s">
        <v>1283</v>
      </c>
      <c r="L36" s="10" t="s">
        <v>1087</v>
      </c>
      <c r="M36" s="10" t="s">
        <v>1285</v>
      </c>
      <c r="N36" s="11" t="s">
        <v>1150</v>
      </c>
    </row>
    <row r="37" spans="2:14">
      <c r="B37" s="9" t="s">
        <v>1286</v>
      </c>
      <c r="C37" s="10" t="s">
        <v>1287</v>
      </c>
      <c r="D37" s="10" t="s">
        <v>1288</v>
      </c>
      <c r="E37" s="10" t="s">
        <v>1289</v>
      </c>
      <c r="F37" s="10" t="s">
        <v>1290</v>
      </c>
      <c r="G37" s="10" t="s">
        <v>1291</v>
      </c>
      <c r="H37" s="10" t="s">
        <v>1292</v>
      </c>
      <c r="I37" s="10" t="s">
        <v>1293</v>
      </c>
      <c r="J37" s="10" t="s">
        <v>1294</v>
      </c>
      <c r="K37" s="10" t="s">
        <v>1292</v>
      </c>
      <c r="L37" s="10" t="s">
        <v>1087</v>
      </c>
      <c r="M37" s="10" t="s">
        <v>1295</v>
      </c>
      <c r="N37" s="11" t="s">
        <v>1162</v>
      </c>
    </row>
    <row r="38" spans="2:14">
      <c r="B38" s="9" t="s">
        <v>1296</v>
      </c>
      <c r="C38" s="10" t="s">
        <v>1297</v>
      </c>
      <c r="D38" s="10" t="s">
        <v>1298</v>
      </c>
      <c r="E38" s="10" t="s">
        <v>1289</v>
      </c>
      <c r="F38" s="10" t="s">
        <v>1299</v>
      </c>
      <c r="G38" s="10" t="s">
        <v>1300</v>
      </c>
      <c r="H38" s="10" t="s">
        <v>1300</v>
      </c>
      <c r="I38" s="10" t="s">
        <v>1301</v>
      </c>
      <c r="J38" s="10" t="s">
        <v>1302</v>
      </c>
      <c r="K38" s="10" t="s">
        <v>1300</v>
      </c>
      <c r="L38" s="10" t="s">
        <v>1079</v>
      </c>
      <c r="M38" s="10" t="s">
        <v>1303</v>
      </c>
      <c r="N38" s="11" t="s">
        <v>1162</v>
      </c>
    </row>
    <row r="39" spans="2:14">
      <c r="B39" s="9" t="s">
        <v>1304</v>
      </c>
      <c r="C39" s="10" t="s">
        <v>1305</v>
      </c>
      <c r="D39" s="10" t="s">
        <v>1306</v>
      </c>
      <c r="E39" s="10" t="s">
        <v>939</v>
      </c>
      <c r="F39" s="10" t="s">
        <v>1307</v>
      </c>
      <c r="G39" s="10" t="s">
        <v>1308</v>
      </c>
      <c r="H39" s="10" t="s">
        <v>1308</v>
      </c>
      <c r="I39" s="10" t="s">
        <v>1308</v>
      </c>
      <c r="J39" s="10" t="s">
        <v>1308</v>
      </c>
      <c r="K39" s="10" t="s">
        <v>1308</v>
      </c>
      <c r="L39" s="10" t="s">
        <v>1087</v>
      </c>
      <c r="M39" s="10" t="s">
        <v>1309</v>
      </c>
      <c r="N39" s="11" t="s">
        <v>1227</v>
      </c>
    </row>
    <row r="40" spans="2:14">
      <c r="B40" s="9" t="s">
        <v>1310</v>
      </c>
      <c r="C40" s="10" t="s">
        <v>1311</v>
      </c>
      <c r="D40" s="10" t="s">
        <v>1312</v>
      </c>
      <c r="E40" s="10" t="s">
        <v>1313</v>
      </c>
      <c r="F40" s="10" t="s">
        <v>1314</v>
      </c>
      <c r="G40" s="10" t="s">
        <v>1315</v>
      </c>
      <c r="H40" s="10" t="s">
        <v>1316</v>
      </c>
      <c r="I40" s="10" t="s">
        <v>1317</v>
      </c>
      <c r="J40" s="10" t="s">
        <v>1318</v>
      </c>
      <c r="K40" s="10" t="s">
        <v>1316</v>
      </c>
      <c r="L40" s="10" t="s">
        <v>1087</v>
      </c>
      <c r="M40" s="10" t="s">
        <v>1319</v>
      </c>
      <c r="N40" s="11" t="s">
        <v>1320</v>
      </c>
    </row>
    <row r="41" spans="2:14">
      <c r="B41" s="9" t="s">
        <v>1244</v>
      </c>
      <c r="C41" s="10" t="s">
        <v>1321</v>
      </c>
      <c r="D41" s="10" t="s">
        <v>1322</v>
      </c>
      <c r="E41" s="10" t="s">
        <v>930</v>
      </c>
      <c r="F41" s="10" t="s">
        <v>1323</v>
      </c>
      <c r="G41" s="10" t="s">
        <v>565</v>
      </c>
      <c r="H41" s="10" t="s">
        <v>565</v>
      </c>
      <c r="I41" s="10" t="s">
        <v>1324</v>
      </c>
      <c r="J41" s="10" t="s">
        <v>565</v>
      </c>
      <c r="K41" s="10" t="s">
        <v>565</v>
      </c>
      <c r="L41" s="10" t="s">
        <v>1087</v>
      </c>
      <c r="M41" s="10" t="s">
        <v>1325</v>
      </c>
      <c r="N41" s="11" t="s">
        <v>1184</v>
      </c>
    </row>
    <row r="42" spans="2:14">
      <c r="B42" s="9" t="s">
        <v>1189</v>
      </c>
      <c r="C42" s="10" t="s">
        <v>1326</v>
      </c>
      <c r="D42" s="10" t="s">
        <v>581</v>
      </c>
      <c r="E42" s="10" t="s">
        <v>937</v>
      </c>
      <c r="F42" s="10" t="s">
        <v>1327</v>
      </c>
      <c r="G42" s="10" t="s">
        <v>581</v>
      </c>
      <c r="H42" s="10" t="s">
        <v>581</v>
      </c>
      <c r="I42" s="10" t="s">
        <v>581</v>
      </c>
      <c r="J42" s="10" t="s">
        <v>581</v>
      </c>
      <c r="K42" s="10" t="s">
        <v>581</v>
      </c>
      <c r="L42" s="10" t="s">
        <v>1079</v>
      </c>
      <c r="M42" s="10" t="s">
        <v>1328</v>
      </c>
      <c r="N42" s="11" t="s">
        <v>1250</v>
      </c>
    </row>
    <row r="43" spans="2:14">
      <c r="B43" s="9" t="s">
        <v>1329</v>
      </c>
      <c r="C43" s="10" t="s">
        <v>1330</v>
      </c>
      <c r="D43" s="10" t="s">
        <v>712</v>
      </c>
      <c r="E43" s="10" t="s">
        <v>941</v>
      </c>
      <c r="F43" s="10" t="s">
        <v>1331</v>
      </c>
      <c r="G43" s="10" t="s">
        <v>712</v>
      </c>
      <c r="H43" s="10" t="s">
        <v>712</v>
      </c>
      <c r="I43" s="10" t="s">
        <v>712</v>
      </c>
      <c r="J43" s="10" t="s">
        <v>712</v>
      </c>
      <c r="K43" s="10" t="s">
        <v>712</v>
      </c>
      <c r="L43" s="10" t="s">
        <v>1079</v>
      </c>
      <c r="M43" s="10" t="s">
        <v>1332</v>
      </c>
      <c r="N43" s="11" t="s">
        <v>1333</v>
      </c>
    </row>
    <row r="44" spans="2:14">
      <c r="B44" s="9" t="s">
        <v>1333</v>
      </c>
      <c r="C44" s="10" t="s">
        <v>1334</v>
      </c>
      <c r="D44" s="10" t="s">
        <v>1335</v>
      </c>
      <c r="E44" s="10" t="s">
        <v>930</v>
      </c>
      <c r="F44" s="10" t="s">
        <v>1336</v>
      </c>
      <c r="G44" s="10" t="s">
        <v>610</v>
      </c>
      <c r="H44" s="10" t="s">
        <v>610</v>
      </c>
      <c r="I44" s="10" t="s">
        <v>1337</v>
      </c>
      <c r="J44" s="10" t="s">
        <v>610</v>
      </c>
      <c r="K44" s="10" t="s">
        <v>610</v>
      </c>
      <c r="L44" s="10" t="s">
        <v>1079</v>
      </c>
      <c r="M44" s="10" t="s">
        <v>1338</v>
      </c>
      <c r="N44" s="11" t="s">
        <v>1184</v>
      </c>
    </row>
    <row r="45" spans="2:14">
      <c r="B45" s="9" t="s">
        <v>1339</v>
      </c>
      <c r="C45" s="10" t="s">
        <v>1340</v>
      </c>
      <c r="D45" s="10" t="s">
        <v>1341</v>
      </c>
      <c r="E45" s="10" t="s">
        <v>1313</v>
      </c>
      <c r="F45" s="10" t="s">
        <v>1342</v>
      </c>
      <c r="G45" s="10" t="s">
        <v>1343</v>
      </c>
      <c r="H45" s="10" t="s">
        <v>1343</v>
      </c>
      <c r="I45" s="10" t="s">
        <v>1344</v>
      </c>
      <c r="J45" s="10" t="s">
        <v>1345</v>
      </c>
      <c r="K45" s="10" t="s">
        <v>1343</v>
      </c>
      <c r="L45" s="10" t="s">
        <v>1079</v>
      </c>
      <c r="M45" s="10" t="s">
        <v>1346</v>
      </c>
      <c r="N45" s="11" t="s">
        <v>1320</v>
      </c>
    </row>
    <row r="46" spans="2:14">
      <c r="B46" s="9" t="s">
        <v>1347</v>
      </c>
      <c r="C46" s="10" t="s">
        <v>91</v>
      </c>
      <c r="D46" s="10" t="s">
        <v>1348</v>
      </c>
      <c r="E46" s="10" t="s">
        <v>1349</v>
      </c>
      <c r="F46" s="10" t="s">
        <v>1350</v>
      </c>
      <c r="G46" s="10" t="s">
        <v>1348</v>
      </c>
      <c r="H46" s="10" t="s">
        <v>1348</v>
      </c>
      <c r="I46" s="10" t="s">
        <v>1348</v>
      </c>
      <c r="J46" s="10" t="s">
        <v>1348</v>
      </c>
      <c r="K46" s="10" t="s">
        <v>1351</v>
      </c>
      <c r="L46" s="10" t="s">
        <v>1079</v>
      </c>
      <c r="M46" s="10" t="s">
        <v>1352</v>
      </c>
      <c r="N46" s="11" t="s">
        <v>1329</v>
      </c>
    </row>
    <row r="47" spans="2:14">
      <c r="B47" s="9" t="s">
        <v>1353</v>
      </c>
      <c r="C47" s="10" t="s">
        <v>1354</v>
      </c>
      <c r="D47" s="10" t="s">
        <v>1355</v>
      </c>
      <c r="E47" s="10" t="s">
        <v>1349</v>
      </c>
      <c r="F47" s="10" t="s">
        <v>1356</v>
      </c>
      <c r="G47" s="10" t="s">
        <v>1357</v>
      </c>
      <c r="H47" s="10" t="s">
        <v>1357</v>
      </c>
      <c r="I47" s="10" t="s">
        <v>1357</v>
      </c>
      <c r="J47" s="10" t="s">
        <v>1357</v>
      </c>
      <c r="K47" s="10" t="s">
        <v>1358</v>
      </c>
      <c r="L47" s="10" t="s">
        <v>1087</v>
      </c>
      <c r="M47" s="10" t="s">
        <v>1359</v>
      </c>
      <c r="N47" s="11" t="s">
        <v>1329</v>
      </c>
    </row>
    <row r="48" spans="2:14">
      <c r="B48" s="9" t="s">
        <v>1081</v>
      </c>
      <c r="C48" s="10" t="s">
        <v>1360</v>
      </c>
      <c r="D48" s="10" t="s">
        <v>1361</v>
      </c>
      <c r="E48" s="10" t="s">
        <v>945</v>
      </c>
      <c r="F48" s="10" t="s">
        <v>1362</v>
      </c>
      <c r="G48" s="10" t="s">
        <v>627</v>
      </c>
      <c r="H48" s="10" t="s">
        <v>627</v>
      </c>
      <c r="I48" s="10" t="s">
        <v>627</v>
      </c>
      <c r="J48" s="10" t="s">
        <v>627</v>
      </c>
      <c r="K48" s="10" t="s">
        <v>627</v>
      </c>
      <c r="L48" s="10" t="s">
        <v>1087</v>
      </c>
      <c r="M48" s="10" t="s">
        <v>1363</v>
      </c>
      <c r="N48" s="11" t="s">
        <v>1364</v>
      </c>
    </row>
    <row r="49" spans="2:14">
      <c r="B49" s="9" t="s">
        <v>1365</v>
      </c>
      <c r="C49" s="10" t="s">
        <v>554</v>
      </c>
      <c r="D49" s="10" t="s">
        <v>1366</v>
      </c>
      <c r="E49" s="10" t="s">
        <v>945</v>
      </c>
      <c r="F49" s="10" t="s">
        <v>1367</v>
      </c>
      <c r="G49" s="10" t="s">
        <v>612</v>
      </c>
      <c r="H49" s="10" t="s">
        <v>612</v>
      </c>
      <c r="I49" s="10" t="s">
        <v>612</v>
      </c>
      <c r="J49" s="10" t="s">
        <v>612</v>
      </c>
      <c r="K49" s="10" t="s">
        <v>612</v>
      </c>
      <c r="L49" s="10" t="s">
        <v>1079</v>
      </c>
      <c r="M49" s="10" t="s">
        <v>1368</v>
      </c>
      <c r="N49" s="11" t="s">
        <v>1364</v>
      </c>
    </row>
    <row r="50" spans="2:14">
      <c r="B50" s="9" t="s">
        <v>1369</v>
      </c>
      <c r="C50" s="10" t="s">
        <v>1370</v>
      </c>
      <c r="D50" s="10" t="s">
        <v>1371</v>
      </c>
      <c r="E50" s="10" t="s">
        <v>1372</v>
      </c>
      <c r="F50" s="10" t="s">
        <v>1373</v>
      </c>
      <c r="G50" s="10" t="s">
        <v>1374</v>
      </c>
      <c r="H50" s="10" t="s">
        <v>1374</v>
      </c>
      <c r="I50" s="10" t="s">
        <v>1375</v>
      </c>
      <c r="J50" s="10" t="s">
        <v>1376</v>
      </c>
      <c r="K50" s="10" t="s">
        <v>1377</v>
      </c>
      <c r="L50" s="10" t="s">
        <v>1079</v>
      </c>
      <c r="M50" s="10" t="s">
        <v>1378</v>
      </c>
      <c r="N50" s="11" t="s">
        <v>1255</v>
      </c>
    </row>
    <row r="51" spans="2:14">
      <c r="B51" s="9" t="s">
        <v>1130</v>
      </c>
      <c r="C51" s="10" t="s">
        <v>1379</v>
      </c>
      <c r="D51" s="10" t="s">
        <v>1380</v>
      </c>
      <c r="E51" s="10" t="s">
        <v>937</v>
      </c>
      <c r="F51" s="10" t="s">
        <v>1381</v>
      </c>
      <c r="G51" s="10" t="s">
        <v>683</v>
      </c>
      <c r="H51" s="10" t="s">
        <v>683</v>
      </c>
      <c r="I51" s="10" t="s">
        <v>683</v>
      </c>
      <c r="J51" s="10" t="s">
        <v>683</v>
      </c>
      <c r="K51" s="10" t="s">
        <v>683</v>
      </c>
      <c r="L51" s="10" t="s">
        <v>1087</v>
      </c>
      <c r="M51" s="10" t="s">
        <v>1382</v>
      </c>
      <c r="N51" s="11" t="s">
        <v>1250</v>
      </c>
    </row>
    <row r="52" spans="2:14">
      <c r="B52" s="9" t="s">
        <v>1320</v>
      </c>
      <c r="C52" s="10" t="s">
        <v>128</v>
      </c>
      <c r="D52" s="10" t="s">
        <v>1383</v>
      </c>
      <c r="E52" s="10" t="s">
        <v>941</v>
      </c>
      <c r="F52" s="10" t="s">
        <v>1384</v>
      </c>
      <c r="G52" s="10" t="s">
        <v>589</v>
      </c>
      <c r="H52" s="10" t="s">
        <v>589</v>
      </c>
      <c r="I52" s="10" t="s">
        <v>589</v>
      </c>
      <c r="J52" s="10" t="s">
        <v>589</v>
      </c>
      <c r="K52" s="10" t="s">
        <v>589</v>
      </c>
      <c r="L52" s="10" t="s">
        <v>1087</v>
      </c>
      <c r="M52" s="10" t="s">
        <v>1385</v>
      </c>
      <c r="N52" s="11" t="s">
        <v>1333</v>
      </c>
    </row>
    <row r="53" spans="2:14">
      <c r="B53" s="9" t="s">
        <v>1386</v>
      </c>
      <c r="C53" s="10" t="s">
        <v>1387</v>
      </c>
      <c r="D53" s="10" t="s">
        <v>587</v>
      </c>
      <c r="E53" s="10" t="s">
        <v>940</v>
      </c>
      <c r="F53" s="10" t="s">
        <v>1388</v>
      </c>
      <c r="G53" s="10" t="s">
        <v>587</v>
      </c>
      <c r="H53" s="10" t="s">
        <v>587</v>
      </c>
      <c r="I53" s="10" t="s">
        <v>587</v>
      </c>
      <c r="J53" s="10" t="s">
        <v>587</v>
      </c>
      <c r="K53" s="10" t="s">
        <v>587</v>
      </c>
      <c r="L53" s="10" t="s">
        <v>1079</v>
      </c>
      <c r="M53" s="10" t="s">
        <v>1389</v>
      </c>
      <c r="N53" s="11" t="s">
        <v>1390</v>
      </c>
    </row>
    <row r="54" spans="2:14">
      <c r="B54" s="9" t="s">
        <v>1391</v>
      </c>
      <c r="C54" s="10" t="s">
        <v>1392</v>
      </c>
      <c r="D54" s="10" t="s">
        <v>1393</v>
      </c>
      <c r="E54" s="10" t="s">
        <v>109</v>
      </c>
      <c r="F54" s="10" t="s">
        <v>1394</v>
      </c>
      <c r="G54" s="10" t="s">
        <v>650</v>
      </c>
      <c r="H54" s="10" t="s">
        <v>650</v>
      </c>
      <c r="I54" s="10" t="s">
        <v>1395</v>
      </c>
      <c r="J54" s="10" t="s">
        <v>1396</v>
      </c>
      <c r="K54" s="10" t="s">
        <v>650</v>
      </c>
      <c r="L54" s="10" t="s">
        <v>1079</v>
      </c>
      <c r="M54" s="10" t="s">
        <v>1397</v>
      </c>
      <c r="N54" s="11" t="s">
        <v>1398</v>
      </c>
    </row>
    <row r="55" spans="2:14">
      <c r="B55" s="9" t="s">
        <v>1399</v>
      </c>
      <c r="C55" s="10" t="s">
        <v>1400</v>
      </c>
      <c r="D55" s="10" t="s">
        <v>1401</v>
      </c>
      <c r="E55" s="10" t="s">
        <v>1400</v>
      </c>
      <c r="F55" s="10" t="s">
        <v>1402</v>
      </c>
      <c r="G55" s="10" t="s">
        <v>1023</v>
      </c>
      <c r="H55" s="10" t="s">
        <v>1023</v>
      </c>
      <c r="I55" s="10" t="s">
        <v>1023</v>
      </c>
      <c r="J55" s="10" t="s">
        <v>1023</v>
      </c>
      <c r="K55" s="10" t="s">
        <v>1023</v>
      </c>
      <c r="L55" s="10" t="s">
        <v>1079</v>
      </c>
      <c r="M55" s="10" t="s">
        <v>1403</v>
      </c>
      <c r="N55" s="11" t="s">
        <v>1115</v>
      </c>
    </row>
    <row r="56" spans="2:14">
      <c r="B56" s="9" t="s">
        <v>1404</v>
      </c>
      <c r="C56" s="10" t="s">
        <v>1405</v>
      </c>
      <c r="D56" s="10" t="s">
        <v>1406</v>
      </c>
      <c r="E56" s="10" t="s">
        <v>1407</v>
      </c>
      <c r="F56" s="10" t="s">
        <v>1408</v>
      </c>
      <c r="G56" s="10" t="s">
        <v>649</v>
      </c>
      <c r="H56" s="10" t="s">
        <v>649</v>
      </c>
      <c r="I56" s="10" t="s">
        <v>649</v>
      </c>
      <c r="J56" s="10" t="s">
        <v>649</v>
      </c>
      <c r="K56" s="10" t="s">
        <v>649</v>
      </c>
      <c r="L56" s="10" t="s">
        <v>1079</v>
      </c>
      <c r="M56" s="10" t="s">
        <v>1409</v>
      </c>
      <c r="N56" s="11" t="s">
        <v>1144</v>
      </c>
    </row>
    <row r="57" spans="2:14">
      <c r="B57" s="9" t="s">
        <v>1227</v>
      </c>
      <c r="C57" s="10" t="s">
        <v>1410</v>
      </c>
      <c r="D57" s="10" t="s">
        <v>621</v>
      </c>
      <c r="E57" s="10" t="s">
        <v>956</v>
      </c>
      <c r="F57" s="10" t="s">
        <v>1411</v>
      </c>
      <c r="G57" s="10" t="s">
        <v>621</v>
      </c>
      <c r="H57" s="10" t="s">
        <v>621</v>
      </c>
      <c r="I57" s="10" t="s">
        <v>621</v>
      </c>
      <c r="J57" s="10" t="s">
        <v>621</v>
      </c>
      <c r="K57" s="10" t="s">
        <v>1412</v>
      </c>
      <c r="L57" s="10" t="s">
        <v>1079</v>
      </c>
      <c r="M57" s="10" t="s">
        <v>1413</v>
      </c>
      <c r="N57" s="11" t="s">
        <v>1414</v>
      </c>
    </row>
    <row r="58" spans="2:14">
      <c r="B58" s="9" t="s">
        <v>1390</v>
      </c>
      <c r="C58" s="10" t="s">
        <v>1415</v>
      </c>
      <c r="D58" s="10" t="s">
        <v>1416</v>
      </c>
      <c r="E58" s="10" t="s">
        <v>956</v>
      </c>
      <c r="F58" s="10" t="s">
        <v>1417</v>
      </c>
      <c r="G58" s="10" t="s">
        <v>1418</v>
      </c>
      <c r="H58" s="10" t="s">
        <v>1418</v>
      </c>
      <c r="I58" s="10" t="s">
        <v>1418</v>
      </c>
      <c r="J58" s="10" t="s">
        <v>1418</v>
      </c>
      <c r="K58" s="10" t="s">
        <v>1419</v>
      </c>
      <c r="L58" s="10" t="s">
        <v>1087</v>
      </c>
      <c r="M58" s="10" t="s">
        <v>1420</v>
      </c>
      <c r="N58" s="11" t="s">
        <v>1414</v>
      </c>
    </row>
    <row r="59" spans="2:14">
      <c r="B59" s="9" t="s">
        <v>1421</v>
      </c>
      <c r="C59" s="10" t="s">
        <v>1287</v>
      </c>
      <c r="D59" s="10" t="s">
        <v>1422</v>
      </c>
      <c r="E59" s="10" t="s">
        <v>1006</v>
      </c>
      <c r="F59" s="10" t="s">
        <v>1423</v>
      </c>
      <c r="G59" s="10" t="s">
        <v>1424</v>
      </c>
      <c r="H59" s="10" t="s">
        <v>1425</v>
      </c>
      <c r="I59" s="10" t="s">
        <v>1426</v>
      </c>
      <c r="J59" s="10" t="s">
        <v>1427</v>
      </c>
      <c r="K59" s="10" t="s">
        <v>1428</v>
      </c>
      <c r="L59" s="10" t="s">
        <v>1087</v>
      </c>
      <c r="M59" s="10" t="s">
        <v>1429</v>
      </c>
      <c r="N59" s="11" t="s">
        <v>1430</v>
      </c>
    </row>
    <row r="60" spans="2:14">
      <c r="B60" s="9" t="s">
        <v>1364</v>
      </c>
      <c r="C60" s="10" t="s">
        <v>1431</v>
      </c>
      <c r="D60" s="10" t="s">
        <v>1432</v>
      </c>
      <c r="E60" s="10" t="s">
        <v>933</v>
      </c>
      <c r="F60" s="10" t="s">
        <v>1433</v>
      </c>
      <c r="G60" s="10" t="s">
        <v>572</v>
      </c>
      <c r="H60" s="10" t="s">
        <v>572</v>
      </c>
      <c r="I60" s="10" t="s">
        <v>572</v>
      </c>
      <c r="J60" s="10" t="s">
        <v>572</v>
      </c>
      <c r="K60" s="10" t="s">
        <v>572</v>
      </c>
      <c r="L60" s="10" t="s">
        <v>1087</v>
      </c>
      <c r="M60" s="10" t="s">
        <v>1434</v>
      </c>
      <c r="N60" s="11" t="s">
        <v>1435</v>
      </c>
    </row>
    <row r="61" spans="2:14">
      <c r="B61" s="9" t="s">
        <v>1436</v>
      </c>
      <c r="C61" s="10" t="s">
        <v>1437</v>
      </c>
      <c r="D61" s="10" t="s">
        <v>1438</v>
      </c>
      <c r="E61" s="10" t="s">
        <v>1439</v>
      </c>
      <c r="F61" s="10" t="s">
        <v>1440</v>
      </c>
      <c r="G61" s="10" t="s">
        <v>1441</v>
      </c>
      <c r="H61" s="10" t="s">
        <v>1441</v>
      </c>
      <c r="I61" s="10" t="s">
        <v>1441</v>
      </c>
      <c r="J61" s="10" t="s">
        <v>1441</v>
      </c>
      <c r="K61" s="10" t="s">
        <v>1442</v>
      </c>
      <c r="L61" s="10" t="s">
        <v>1079</v>
      </c>
      <c r="M61" s="10" t="s">
        <v>1443</v>
      </c>
      <c r="N61" s="11" t="s">
        <v>1228</v>
      </c>
    </row>
    <row r="62" spans="2:14">
      <c r="B62" s="9" t="s">
        <v>1214</v>
      </c>
      <c r="C62" s="10" t="s">
        <v>57</v>
      </c>
      <c r="D62" s="10" t="s">
        <v>1444</v>
      </c>
      <c r="E62" s="10" t="s">
        <v>933</v>
      </c>
      <c r="F62" s="10" t="s">
        <v>1445</v>
      </c>
      <c r="G62" s="10" t="s">
        <v>575</v>
      </c>
      <c r="H62" s="10" t="s">
        <v>575</v>
      </c>
      <c r="I62" s="10" t="s">
        <v>575</v>
      </c>
      <c r="J62" s="10" t="s">
        <v>575</v>
      </c>
      <c r="K62" s="10" t="s">
        <v>575</v>
      </c>
      <c r="L62" s="10" t="s">
        <v>1079</v>
      </c>
      <c r="M62" s="10" t="s">
        <v>1446</v>
      </c>
      <c r="N62" s="11" t="s">
        <v>1435</v>
      </c>
    </row>
    <row r="63" spans="2:14">
      <c r="B63" s="9" t="s">
        <v>1447</v>
      </c>
      <c r="C63" s="10" t="s">
        <v>1448</v>
      </c>
      <c r="D63" s="10" t="s">
        <v>1449</v>
      </c>
      <c r="E63" s="10" t="s">
        <v>1006</v>
      </c>
      <c r="F63" s="10" t="s">
        <v>1450</v>
      </c>
      <c r="G63" s="10" t="s">
        <v>834</v>
      </c>
      <c r="H63" s="10" t="s">
        <v>834</v>
      </c>
      <c r="I63" s="10" t="s">
        <v>1451</v>
      </c>
      <c r="J63" s="10" t="s">
        <v>1452</v>
      </c>
      <c r="K63" s="10" t="s">
        <v>1453</v>
      </c>
      <c r="L63" s="10" t="s">
        <v>1079</v>
      </c>
      <c r="M63" s="10" t="s">
        <v>1454</v>
      </c>
      <c r="N63" s="11" t="s">
        <v>1430</v>
      </c>
    </row>
    <row r="64" spans="2:14">
      <c r="B64" s="9" t="s">
        <v>1121</v>
      </c>
      <c r="C64" s="10" t="s">
        <v>1455</v>
      </c>
      <c r="D64" s="10" t="s">
        <v>1456</v>
      </c>
      <c r="E64" s="10" t="s">
        <v>935</v>
      </c>
      <c r="F64" s="10" t="s">
        <v>1457</v>
      </c>
      <c r="G64" s="10" t="s">
        <v>577</v>
      </c>
      <c r="H64" s="10" t="s">
        <v>577</v>
      </c>
      <c r="I64" s="10" t="s">
        <v>1458</v>
      </c>
      <c r="J64" s="10" t="s">
        <v>577</v>
      </c>
      <c r="K64" s="10" t="s">
        <v>577</v>
      </c>
      <c r="L64" s="10" t="s">
        <v>1079</v>
      </c>
      <c r="M64" s="10" t="s">
        <v>1459</v>
      </c>
      <c r="N64" s="11" t="s">
        <v>1127</v>
      </c>
    </row>
    <row r="65" spans="2:14">
      <c r="B65" s="9" t="s">
        <v>1460</v>
      </c>
      <c r="C65" s="10" t="s">
        <v>1461</v>
      </c>
      <c r="D65" s="10" t="s">
        <v>1462</v>
      </c>
      <c r="E65" s="10" t="s">
        <v>1463</v>
      </c>
      <c r="F65" s="10" t="s">
        <v>1450</v>
      </c>
      <c r="G65" s="10" t="s">
        <v>1464</v>
      </c>
      <c r="H65" s="10" t="s">
        <v>834</v>
      </c>
      <c r="I65" s="10" t="s">
        <v>1465</v>
      </c>
      <c r="J65" s="10" t="s">
        <v>1452</v>
      </c>
      <c r="K65" s="10" t="s">
        <v>1464</v>
      </c>
      <c r="L65" s="10" t="s">
        <v>1079</v>
      </c>
      <c r="M65" s="10" t="s">
        <v>1466</v>
      </c>
      <c r="N65" s="11" t="s">
        <v>1131</v>
      </c>
    </row>
    <row r="66" spans="2:14">
      <c r="B66" s="9" t="s">
        <v>1467</v>
      </c>
      <c r="C66" s="10" t="s">
        <v>1468</v>
      </c>
      <c r="D66" s="10" t="s">
        <v>1469</v>
      </c>
      <c r="E66" s="10" t="s">
        <v>1439</v>
      </c>
      <c r="F66" s="10" t="s">
        <v>1470</v>
      </c>
      <c r="G66" s="10" t="s">
        <v>1471</v>
      </c>
      <c r="H66" s="10" t="s">
        <v>1471</v>
      </c>
      <c r="I66" s="10" t="s">
        <v>1471</v>
      </c>
      <c r="J66" s="10" t="s">
        <v>1471</v>
      </c>
      <c r="K66" s="10" t="s">
        <v>1472</v>
      </c>
      <c r="L66" s="10" t="s">
        <v>1087</v>
      </c>
      <c r="M66" s="10" t="s">
        <v>1473</v>
      </c>
      <c r="N66" s="11" t="s">
        <v>1228</v>
      </c>
    </row>
    <row r="67" spans="2:14">
      <c r="B67" s="9" t="s">
        <v>1474</v>
      </c>
      <c r="C67" s="10" t="s">
        <v>452</v>
      </c>
      <c r="D67" s="10" t="s">
        <v>570</v>
      </c>
      <c r="E67" s="10" t="s">
        <v>932</v>
      </c>
      <c r="F67" s="10" t="s">
        <v>1475</v>
      </c>
      <c r="G67" s="10" t="s">
        <v>570</v>
      </c>
      <c r="H67" s="10" t="s">
        <v>570</v>
      </c>
      <c r="I67" s="10" t="s">
        <v>570</v>
      </c>
      <c r="J67" s="10" t="s">
        <v>570</v>
      </c>
      <c r="K67" s="10" t="s">
        <v>570</v>
      </c>
      <c r="L67" s="10" t="s">
        <v>1079</v>
      </c>
      <c r="M67" s="10" t="s">
        <v>1476</v>
      </c>
      <c r="N67" s="11" t="s">
        <v>1365</v>
      </c>
    </row>
    <row r="68" spans="2:14">
      <c r="B68" s="9" t="s">
        <v>1183</v>
      </c>
      <c r="C68" s="10" t="s">
        <v>1477</v>
      </c>
      <c r="D68" s="10" t="s">
        <v>685</v>
      </c>
      <c r="E68" s="10" t="s">
        <v>974</v>
      </c>
      <c r="F68" s="10" t="s">
        <v>1478</v>
      </c>
      <c r="G68" s="10" t="s">
        <v>685</v>
      </c>
      <c r="H68" s="10" t="s">
        <v>685</v>
      </c>
      <c r="I68" s="10" t="s">
        <v>1479</v>
      </c>
      <c r="J68" s="10" t="s">
        <v>685</v>
      </c>
      <c r="K68" s="10" t="s">
        <v>685</v>
      </c>
      <c r="L68" s="10" t="s">
        <v>1079</v>
      </c>
      <c r="M68" s="10" t="s">
        <v>1480</v>
      </c>
      <c r="N68" s="11" t="s">
        <v>1481</v>
      </c>
    </row>
    <row r="69" spans="2:14">
      <c r="B69" s="9" t="s">
        <v>1114</v>
      </c>
      <c r="C69" s="10" t="s">
        <v>1482</v>
      </c>
      <c r="D69" s="10" t="s">
        <v>1483</v>
      </c>
      <c r="E69" s="10" t="s">
        <v>974</v>
      </c>
      <c r="F69" s="10" t="s">
        <v>1484</v>
      </c>
      <c r="G69" s="10" t="s">
        <v>1485</v>
      </c>
      <c r="H69" s="10" t="s">
        <v>1485</v>
      </c>
      <c r="I69" s="10" t="s">
        <v>1486</v>
      </c>
      <c r="J69" s="10" t="s">
        <v>1485</v>
      </c>
      <c r="K69" s="10" t="s">
        <v>1485</v>
      </c>
      <c r="L69" s="10" t="s">
        <v>1087</v>
      </c>
      <c r="M69" s="10" t="s">
        <v>1487</v>
      </c>
      <c r="N69" s="11" t="s">
        <v>1481</v>
      </c>
    </row>
    <row r="70" spans="2:14">
      <c r="B70" s="9" t="s">
        <v>1414</v>
      </c>
      <c r="C70" s="10" t="s">
        <v>1488</v>
      </c>
      <c r="D70" s="10" t="s">
        <v>709</v>
      </c>
      <c r="E70" s="10" t="s">
        <v>980</v>
      </c>
      <c r="F70" s="10" t="s">
        <v>1489</v>
      </c>
      <c r="G70" s="10" t="s">
        <v>709</v>
      </c>
      <c r="H70" s="10" t="s">
        <v>709</v>
      </c>
      <c r="I70" s="10" t="s">
        <v>1490</v>
      </c>
      <c r="J70" s="10" t="s">
        <v>709</v>
      </c>
      <c r="K70" s="10" t="s">
        <v>709</v>
      </c>
      <c r="L70" s="10" t="s">
        <v>1079</v>
      </c>
      <c r="M70" s="10" t="s">
        <v>1491</v>
      </c>
      <c r="N70" s="11" t="s">
        <v>1492</v>
      </c>
    </row>
    <row r="71" spans="2:14">
      <c r="B71" s="9" t="s">
        <v>1104</v>
      </c>
      <c r="C71" s="10" t="s">
        <v>1287</v>
      </c>
      <c r="D71" s="10" t="s">
        <v>1493</v>
      </c>
      <c r="E71" s="10" t="s">
        <v>980</v>
      </c>
      <c r="F71" s="10" t="s">
        <v>1494</v>
      </c>
      <c r="G71" s="10" t="s">
        <v>1495</v>
      </c>
      <c r="H71" s="10" t="s">
        <v>1495</v>
      </c>
      <c r="I71" s="10" t="s">
        <v>1496</v>
      </c>
      <c r="J71" s="10" t="s">
        <v>1495</v>
      </c>
      <c r="K71" s="10" t="s">
        <v>1495</v>
      </c>
      <c r="L71" s="10" t="s">
        <v>1087</v>
      </c>
      <c r="M71" s="10" t="s">
        <v>1497</v>
      </c>
      <c r="N71" s="11" t="s">
        <v>1492</v>
      </c>
    </row>
    <row r="72" spans="2:14">
      <c r="B72" s="9" t="s">
        <v>1498</v>
      </c>
      <c r="C72" s="10" t="s">
        <v>1499</v>
      </c>
      <c r="D72" s="10" t="s">
        <v>1500</v>
      </c>
      <c r="E72" s="10" t="s">
        <v>1501</v>
      </c>
      <c r="F72" s="10" t="s">
        <v>1502</v>
      </c>
      <c r="G72" s="10" t="s">
        <v>1503</v>
      </c>
      <c r="H72" s="10" t="s">
        <v>1504</v>
      </c>
      <c r="I72" s="10" t="s">
        <v>1505</v>
      </c>
      <c r="J72" s="10" t="s">
        <v>1506</v>
      </c>
      <c r="K72" s="10" t="s">
        <v>1504</v>
      </c>
      <c r="L72" s="10" t="s">
        <v>1087</v>
      </c>
      <c r="M72" s="10" t="s">
        <v>1507</v>
      </c>
      <c r="N72" s="11" t="s">
        <v>1267</v>
      </c>
    </row>
    <row r="73" spans="2:14">
      <c r="B73" s="9" t="s">
        <v>1508</v>
      </c>
      <c r="C73" s="10" t="s">
        <v>1509</v>
      </c>
      <c r="D73" s="10" t="s">
        <v>1510</v>
      </c>
      <c r="E73" s="10" t="s">
        <v>1501</v>
      </c>
      <c r="F73" s="10" t="s">
        <v>1511</v>
      </c>
      <c r="G73" s="10" t="s">
        <v>1512</v>
      </c>
      <c r="H73" s="10" t="s">
        <v>1512</v>
      </c>
      <c r="I73" s="10" t="s">
        <v>1513</v>
      </c>
      <c r="J73" s="10" t="s">
        <v>1514</v>
      </c>
      <c r="K73" s="10" t="s">
        <v>1512</v>
      </c>
      <c r="L73" s="10" t="s">
        <v>1079</v>
      </c>
      <c r="M73" s="10" t="s">
        <v>1515</v>
      </c>
      <c r="N73" s="11" t="s">
        <v>1267</v>
      </c>
    </row>
    <row r="74" spans="2:14">
      <c r="B74" s="9" t="s">
        <v>1516</v>
      </c>
      <c r="C74" s="10" t="s">
        <v>1517</v>
      </c>
      <c r="D74" s="10" t="s">
        <v>1518</v>
      </c>
      <c r="E74" s="10" t="s">
        <v>120</v>
      </c>
      <c r="F74" s="10" t="s">
        <v>1519</v>
      </c>
      <c r="G74" s="10" t="s">
        <v>1520</v>
      </c>
      <c r="H74" s="10" t="s">
        <v>1520</v>
      </c>
      <c r="I74" s="10" t="s">
        <v>1521</v>
      </c>
      <c r="J74" s="10" t="s">
        <v>1520</v>
      </c>
      <c r="K74" s="10" t="s">
        <v>1520</v>
      </c>
      <c r="L74" s="10" t="s">
        <v>1087</v>
      </c>
      <c r="M74" s="10" t="s">
        <v>1522</v>
      </c>
      <c r="N74" s="11" t="s">
        <v>1245</v>
      </c>
    </row>
    <row r="75" spans="2:14">
      <c r="B75" s="9" t="s">
        <v>1126</v>
      </c>
      <c r="C75" s="10" t="s">
        <v>1523</v>
      </c>
      <c r="D75" s="10" t="s">
        <v>603</v>
      </c>
      <c r="E75" s="10" t="s">
        <v>478</v>
      </c>
      <c r="F75" s="10" t="s">
        <v>1524</v>
      </c>
      <c r="G75" s="10" t="s">
        <v>603</v>
      </c>
      <c r="H75" s="10" t="s">
        <v>603</v>
      </c>
      <c r="I75" s="10" t="s">
        <v>1525</v>
      </c>
      <c r="J75" s="10" t="s">
        <v>603</v>
      </c>
      <c r="K75" s="10" t="s">
        <v>603</v>
      </c>
      <c r="L75" s="10" t="s">
        <v>1079</v>
      </c>
      <c r="M75" s="10" t="s">
        <v>1526</v>
      </c>
      <c r="N75" s="11" t="s">
        <v>1190</v>
      </c>
    </row>
    <row r="76" spans="2:14">
      <c r="B76" s="9" t="s">
        <v>1527</v>
      </c>
      <c r="C76" s="10" t="s">
        <v>1528</v>
      </c>
      <c r="D76" s="10" t="s">
        <v>1529</v>
      </c>
      <c r="E76" s="10" t="s">
        <v>120</v>
      </c>
      <c r="F76" s="10" t="s">
        <v>1530</v>
      </c>
      <c r="G76" s="10" t="s">
        <v>1531</v>
      </c>
      <c r="H76" s="10" t="s">
        <v>1531</v>
      </c>
      <c r="I76" s="10" t="s">
        <v>1532</v>
      </c>
      <c r="J76" s="10" t="s">
        <v>1531</v>
      </c>
      <c r="K76" s="10" t="s">
        <v>1531</v>
      </c>
      <c r="L76" s="10" t="s">
        <v>1079</v>
      </c>
      <c r="M76" s="10" t="s">
        <v>1533</v>
      </c>
      <c r="N76" s="11" t="s">
        <v>1245</v>
      </c>
    </row>
    <row r="77" spans="2:14">
      <c r="B77" s="9" t="s">
        <v>1534</v>
      </c>
      <c r="C77" s="10" t="s">
        <v>1535</v>
      </c>
      <c r="D77" s="10" t="s">
        <v>1536</v>
      </c>
      <c r="E77" s="10" t="s">
        <v>1537</v>
      </c>
      <c r="F77" s="10" t="s">
        <v>1538</v>
      </c>
      <c r="G77" s="10" t="s">
        <v>1539</v>
      </c>
      <c r="H77" s="10" t="s">
        <v>1539</v>
      </c>
      <c r="I77" s="10" t="s">
        <v>1540</v>
      </c>
      <c r="J77" s="10" t="s">
        <v>1541</v>
      </c>
      <c r="K77" s="10" t="s">
        <v>1539</v>
      </c>
      <c r="L77" s="10" t="s">
        <v>1079</v>
      </c>
      <c r="M77" s="10" t="s">
        <v>1542</v>
      </c>
      <c r="N77" s="11" t="s">
        <v>1122</v>
      </c>
    </row>
    <row r="78" spans="2:14">
      <c r="B78" s="9" t="s">
        <v>1481</v>
      </c>
      <c r="C78" s="10" t="s">
        <v>1543</v>
      </c>
      <c r="D78" s="10" t="s">
        <v>1544</v>
      </c>
      <c r="E78" s="10" t="s">
        <v>478</v>
      </c>
      <c r="F78" s="10" t="s">
        <v>1545</v>
      </c>
      <c r="G78" s="10" t="s">
        <v>592</v>
      </c>
      <c r="H78" s="10" t="s">
        <v>592</v>
      </c>
      <c r="I78" s="10" t="s">
        <v>1546</v>
      </c>
      <c r="J78" s="10" t="s">
        <v>592</v>
      </c>
      <c r="K78" s="10" t="s">
        <v>592</v>
      </c>
      <c r="L78" s="10" t="s">
        <v>1087</v>
      </c>
      <c r="M78" s="10" t="s">
        <v>1547</v>
      </c>
      <c r="N78" s="11" t="s">
        <v>1190</v>
      </c>
    </row>
    <row r="79" spans="2:14">
      <c r="B79" s="9" t="s">
        <v>1430</v>
      </c>
      <c r="C79" s="10" t="s">
        <v>1548</v>
      </c>
      <c r="D79" s="10" t="s">
        <v>1549</v>
      </c>
      <c r="E79" s="10" t="s">
        <v>962</v>
      </c>
      <c r="F79" s="10" t="s">
        <v>1550</v>
      </c>
      <c r="G79" s="10" t="s">
        <v>646</v>
      </c>
      <c r="H79" s="10" t="s">
        <v>646</v>
      </c>
      <c r="I79" s="10" t="s">
        <v>1551</v>
      </c>
      <c r="J79" s="10" t="s">
        <v>646</v>
      </c>
      <c r="K79" s="10" t="s">
        <v>646</v>
      </c>
      <c r="L79" s="10" t="s">
        <v>1079</v>
      </c>
      <c r="M79" s="10" t="s">
        <v>1552</v>
      </c>
      <c r="N79" s="11" t="s">
        <v>1211</v>
      </c>
    </row>
    <row r="80" spans="2:14">
      <c r="B80" s="9" t="s">
        <v>1398</v>
      </c>
      <c r="C80" s="10" t="s">
        <v>1553</v>
      </c>
      <c r="D80" s="10" t="s">
        <v>1554</v>
      </c>
      <c r="E80" s="10" t="s">
        <v>962</v>
      </c>
      <c r="F80" s="10" t="s">
        <v>1555</v>
      </c>
      <c r="G80" s="10" t="s">
        <v>1556</v>
      </c>
      <c r="H80" s="10" t="s">
        <v>1556</v>
      </c>
      <c r="I80" s="10" t="s">
        <v>1557</v>
      </c>
      <c r="J80" s="10" t="s">
        <v>1556</v>
      </c>
      <c r="K80" s="10" t="s">
        <v>1556</v>
      </c>
      <c r="L80" s="10" t="s">
        <v>1087</v>
      </c>
      <c r="M80" s="10" t="s">
        <v>1558</v>
      </c>
      <c r="N80" s="11" t="s">
        <v>1211</v>
      </c>
    </row>
    <row r="81" spans="2:14">
      <c r="B81" s="9" t="s">
        <v>1559</v>
      </c>
      <c r="C81" s="10" t="s">
        <v>1287</v>
      </c>
      <c r="D81" s="10" t="s">
        <v>1560</v>
      </c>
      <c r="E81" s="10" t="s">
        <v>1561</v>
      </c>
      <c r="F81" s="10" t="s">
        <v>1562</v>
      </c>
      <c r="G81" s="10" t="s">
        <v>1428</v>
      </c>
      <c r="H81" s="10" t="s">
        <v>1428</v>
      </c>
      <c r="I81" s="10" t="s">
        <v>1563</v>
      </c>
      <c r="J81" s="10" t="s">
        <v>1564</v>
      </c>
      <c r="K81" s="10" t="s">
        <v>1428</v>
      </c>
      <c r="L81" s="10" t="s">
        <v>1079</v>
      </c>
      <c r="M81" s="10" t="s">
        <v>1565</v>
      </c>
      <c r="N81" s="11" t="s">
        <v>1156</v>
      </c>
    </row>
    <row r="82" spans="2:14">
      <c r="B82" s="9" t="s">
        <v>1566</v>
      </c>
      <c r="C82" s="10" t="s">
        <v>1567</v>
      </c>
      <c r="D82" s="10" t="s">
        <v>1568</v>
      </c>
      <c r="E82" s="10" t="s">
        <v>932</v>
      </c>
      <c r="F82" s="10" t="s">
        <v>1569</v>
      </c>
      <c r="G82" s="10" t="s">
        <v>1570</v>
      </c>
      <c r="H82" s="10" t="s">
        <v>1570</v>
      </c>
      <c r="I82" s="10" t="s">
        <v>1570</v>
      </c>
      <c r="J82" s="10" t="s">
        <v>1570</v>
      </c>
      <c r="K82" s="10" t="s">
        <v>1570</v>
      </c>
      <c r="L82" s="10" t="s">
        <v>1087</v>
      </c>
      <c r="M82" s="10" t="s">
        <v>1571</v>
      </c>
      <c r="N82" s="11" t="s">
        <v>1365</v>
      </c>
    </row>
    <row r="83" spans="2:14">
      <c r="B83" s="9" t="s">
        <v>1435</v>
      </c>
      <c r="C83" s="10" t="s">
        <v>1572</v>
      </c>
      <c r="D83" s="10" t="s">
        <v>618</v>
      </c>
      <c r="E83" s="10" t="s">
        <v>954</v>
      </c>
      <c r="F83" s="10" t="s">
        <v>1573</v>
      </c>
      <c r="G83" s="10" t="s">
        <v>618</v>
      </c>
      <c r="H83" s="10" t="s">
        <v>618</v>
      </c>
      <c r="I83" s="10" t="s">
        <v>618</v>
      </c>
      <c r="J83" s="10" t="s">
        <v>618</v>
      </c>
      <c r="K83" s="10" t="s">
        <v>618</v>
      </c>
      <c r="L83" s="10" t="s">
        <v>1079</v>
      </c>
      <c r="M83" s="10" t="s">
        <v>1574</v>
      </c>
      <c r="N83" s="11" t="s">
        <v>1271</v>
      </c>
    </row>
    <row r="84" spans="2:14">
      <c r="B84" s="9" t="s">
        <v>1575</v>
      </c>
      <c r="C84" s="10" t="s">
        <v>1576</v>
      </c>
      <c r="D84" s="10" t="s">
        <v>1577</v>
      </c>
      <c r="E84" s="10" t="s">
        <v>1578</v>
      </c>
      <c r="F84" s="10" t="s">
        <v>1579</v>
      </c>
      <c r="G84" s="10" t="s">
        <v>1580</v>
      </c>
      <c r="H84" s="10" t="s">
        <v>1580</v>
      </c>
      <c r="I84" s="10" t="s">
        <v>1581</v>
      </c>
      <c r="J84" s="10" t="s">
        <v>1582</v>
      </c>
      <c r="K84" s="10" t="s">
        <v>1580</v>
      </c>
      <c r="L84" s="10" t="s">
        <v>1079</v>
      </c>
      <c r="M84" s="10" t="s">
        <v>1583</v>
      </c>
      <c r="N84" s="11" t="s">
        <v>1584</v>
      </c>
    </row>
    <row r="85" spans="2:14">
      <c r="B85" s="9" t="s">
        <v>1585</v>
      </c>
      <c r="C85" s="10" t="s">
        <v>1586</v>
      </c>
      <c r="D85" s="10" t="s">
        <v>746</v>
      </c>
      <c r="E85" s="10" t="s">
        <v>938</v>
      </c>
      <c r="F85" s="10" t="s">
        <v>1587</v>
      </c>
      <c r="G85" s="10" t="s">
        <v>746</v>
      </c>
      <c r="H85" s="10" t="s">
        <v>746</v>
      </c>
      <c r="I85" s="10" t="s">
        <v>746</v>
      </c>
      <c r="J85" s="10" t="s">
        <v>746</v>
      </c>
      <c r="K85" s="10" t="s">
        <v>746</v>
      </c>
      <c r="L85" s="10" t="s">
        <v>1079</v>
      </c>
      <c r="M85" s="10" t="s">
        <v>1588</v>
      </c>
      <c r="N85" s="11" t="s">
        <v>1585</v>
      </c>
    </row>
    <row r="86" spans="2:14">
      <c r="B86" s="12" t="s">
        <v>1254</v>
      </c>
      <c r="C86" s="13" t="s">
        <v>67</v>
      </c>
      <c r="D86" s="13" t="s">
        <v>1589</v>
      </c>
      <c r="E86" s="13" t="s">
        <v>938</v>
      </c>
      <c r="F86" s="13" t="s">
        <v>1590</v>
      </c>
      <c r="G86" s="13" t="s">
        <v>583</v>
      </c>
      <c r="H86" s="13" t="s">
        <v>583</v>
      </c>
      <c r="I86" s="13" t="s">
        <v>583</v>
      </c>
      <c r="J86" s="13" t="s">
        <v>583</v>
      </c>
      <c r="K86" s="13" t="s">
        <v>583</v>
      </c>
      <c r="L86" s="13" t="s">
        <v>1087</v>
      </c>
      <c r="M86" s="13" t="s">
        <v>1591</v>
      </c>
      <c r="N86" s="14" t="s">
        <v>1585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02EDC-4560-40ED-AF45-29B5BCBA51B8}">
  <dimension ref="B1:AS103"/>
  <sheetViews>
    <sheetView showGridLines="0" zoomScale="90" zoomScaleNormal="90" workbookViewId="0">
      <pane ySplit="3" topLeftCell="A5" activePane="bottomLeft" state="frozen"/>
      <selection activeCell="C12" sqref="C12"/>
      <selection pane="bottomLeft" activeCell="H9" sqref="H9"/>
    </sheetView>
  </sheetViews>
  <sheetFormatPr defaultColWidth="6.6640625" defaultRowHeight="25.5" outlineLevelCol="1"/>
  <cols>
    <col min="1" max="1" width="2.5" style="18" customWidth="1"/>
    <col min="2" max="2" width="7.4140625" style="17" customWidth="1"/>
    <col min="3" max="5" width="9.9140625" style="49" customWidth="1"/>
    <col min="6" max="6" width="9.9140625" style="16" customWidth="1"/>
    <col min="7" max="7" width="9.9140625" style="50" customWidth="1"/>
    <col min="8" max="11" width="9.9140625" style="49" customWidth="1"/>
    <col min="12" max="14" width="10.25" style="49" customWidth="1"/>
    <col min="15" max="15" width="10.58203125" style="19" hidden="1" customWidth="1" outlineLevel="1"/>
    <col min="16" max="16" width="6.6640625" style="49" collapsed="1"/>
    <col min="17" max="18" width="0" style="49" hidden="1" customWidth="1" outlineLevel="1"/>
    <col min="19" max="19" width="8.5" style="49" hidden="1" customWidth="1" outlineLevel="1"/>
    <col min="20" max="20" width="6.58203125" style="50" hidden="1" customWidth="1" outlineLevel="1"/>
    <col min="21" max="21" width="8.5" style="50" hidden="1" customWidth="1" outlineLevel="1"/>
    <col min="22" max="23" width="8.5" style="49" hidden="1" customWidth="1" outlineLevel="1"/>
    <col min="24" max="24" width="6.58203125" style="49" hidden="1" customWidth="1" outlineLevel="1"/>
    <col min="25" max="25" width="8.5" style="49" hidden="1" customWidth="1" outlineLevel="1"/>
    <col min="26" max="26" width="8.5" style="18" hidden="1" customWidth="1" outlineLevel="1"/>
    <col min="27" max="27" width="15.9140625" style="49" hidden="1" customWidth="1" outlineLevel="1"/>
    <col min="28" max="28" width="12.5" style="50" hidden="1" customWidth="1" outlineLevel="1"/>
    <col min="29" max="29" width="12.5" style="49" hidden="1" customWidth="1" outlineLevel="1"/>
    <col min="30" max="30" width="10.08203125" style="19" hidden="1" customWidth="1" outlineLevel="1"/>
    <col min="31" max="31" width="5.5" style="50" customWidth="1" collapsed="1"/>
    <col min="32" max="32" width="17.6640625" style="49" bestFit="1" customWidth="1"/>
    <col min="33" max="33" width="6.6640625" style="49"/>
    <col min="34" max="34" width="21.9140625" style="49" customWidth="1"/>
    <col min="35" max="35" width="12.5" style="49" bestFit="1" customWidth="1"/>
    <col min="36" max="36" width="6.6640625" style="49"/>
    <col min="37" max="38" width="12.5" style="49" bestFit="1" customWidth="1"/>
    <col min="39" max="40" width="6.6640625" style="49"/>
    <col min="41" max="41" width="8.9140625" style="19" customWidth="1"/>
    <col min="42" max="42" width="8.9140625" style="19" hidden="1" customWidth="1" outlineLevel="1"/>
    <col min="43" max="43" width="9.1640625" style="20" hidden="1" customWidth="1" outlineLevel="1"/>
    <col min="44" max="44" width="9.1640625" style="20" customWidth="1" collapsed="1"/>
    <col min="45" max="45" width="12.75" style="20" customWidth="1"/>
    <col min="46" max="47" width="9.9140625" style="18" customWidth="1"/>
    <col min="48" max="48" width="14.1640625" style="18" customWidth="1"/>
    <col min="49" max="49" width="16.6640625" style="18" customWidth="1"/>
    <col min="50" max="16384" width="6.6640625" style="18"/>
  </cols>
  <sheetData>
    <row r="1" spans="2:45" s="16" customFormat="1" ht="26.25" customHeight="1">
      <c r="B1" s="15" cm="1">
        <f t="array" ref="B1" xml:space="preserve"> COLUMN() - COLUMN($A:$A)</f>
        <v>1</v>
      </c>
      <c r="C1" s="15" cm="1">
        <f t="array" ref="C1" xml:space="preserve"> COLUMN() - COLUMN($A:$A)</f>
        <v>2</v>
      </c>
      <c r="D1" s="15" cm="1">
        <f t="array" ref="D1" xml:space="preserve"> COLUMN() - COLUMN($A:$A)</f>
        <v>3</v>
      </c>
      <c r="E1" s="15" cm="1">
        <f t="array" ref="E1" xml:space="preserve"> COLUMN() - COLUMN($A:$A)</f>
        <v>4</v>
      </c>
      <c r="F1" s="15" cm="1">
        <f t="array" ref="F1" xml:space="preserve"> COLUMN() - COLUMN($A:$A)</f>
        <v>5</v>
      </c>
      <c r="G1" s="15" cm="1">
        <f t="array" ref="G1" xml:space="preserve"> COLUMN() - COLUMN($A:$A)</f>
        <v>6</v>
      </c>
      <c r="H1" s="15" cm="1">
        <f t="array" ref="H1" xml:space="preserve"> COLUMN() - COLUMN($A:$A)</f>
        <v>7</v>
      </c>
      <c r="I1" s="15" cm="1">
        <f t="array" ref="I1" xml:space="preserve"> COLUMN() - COLUMN($A:$A)</f>
        <v>8</v>
      </c>
      <c r="J1" s="15" cm="1">
        <f t="array" ref="J1" xml:space="preserve"> COLUMN() - COLUMN($A:$A)</f>
        <v>9</v>
      </c>
      <c r="K1" s="15" cm="1">
        <f t="array" ref="K1" xml:space="preserve"> COLUMN() - COLUMN($A:$A)</f>
        <v>10</v>
      </c>
      <c r="L1" s="15" cm="1">
        <f t="array" ref="L1" xml:space="preserve"> COLUMN() - COLUMN($A:$A)</f>
        <v>11</v>
      </c>
      <c r="M1" s="15" cm="1">
        <f t="array" ref="M1" xml:space="preserve"> COLUMN() - COLUMN($A:$A)</f>
        <v>12</v>
      </c>
      <c r="N1" s="15" cm="1">
        <f t="array" ref="N1" xml:space="preserve"> COLUMN() - COLUMN($A:$A)</f>
        <v>13</v>
      </c>
      <c r="O1" s="15" cm="1">
        <f t="array" ref="O1" xml:space="preserve"> COLUMN() - COLUMN($A:$A)</f>
        <v>14</v>
      </c>
    </row>
    <row r="2" spans="2:45" ht="26.25" customHeight="1">
      <c r="C2" s="18"/>
      <c r="D2" s="19"/>
      <c r="E2" s="18"/>
      <c r="F2" s="20"/>
      <c r="G2" s="19"/>
      <c r="H2" s="20"/>
      <c r="I2" s="20"/>
      <c r="J2" s="20"/>
      <c r="K2" s="20"/>
      <c r="L2" s="18"/>
      <c r="M2" s="18"/>
      <c r="N2" s="16"/>
      <c r="P2" s="18"/>
      <c r="Q2" s="18"/>
      <c r="R2" s="18"/>
      <c r="S2" s="18"/>
      <c r="T2" s="18"/>
      <c r="U2" s="18"/>
      <c r="V2" s="18"/>
      <c r="W2" s="18"/>
      <c r="X2" s="18"/>
      <c r="Y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</row>
    <row r="3" spans="2:45" ht="27" customHeight="1">
      <c r="B3" s="61" t="s">
        <v>1592</v>
      </c>
      <c r="C3" s="62" t="s">
        <v>1593</v>
      </c>
      <c r="D3" s="63" t="s">
        <v>1594</v>
      </c>
      <c r="E3" s="62" t="s">
        <v>1595</v>
      </c>
      <c r="F3" s="62" t="s">
        <v>1596</v>
      </c>
      <c r="G3" s="62" t="s">
        <v>1597</v>
      </c>
      <c r="H3" s="62" t="s">
        <v>1598</v>
      </c>
      <c r="I3" s="62" t="s">
        <v>1599</v>
      </c>
      <c r="J3" s="62" t="s">
        <v>1600</v>
      </c>
      <c r="K3" s="62" t="s">
        <v>1601</v>
      </c>
      <c r="L3" s="64" t="s">
        <v>1602</v>
      </c>
      <c r="M3" s="64" t="s">
        <v>1603</v>
      </c>
      <c r="N3" s="64" t="s">
        <v>1604</v>
      </c>
      <c r="O3" s="65" t="s">
        <v>1605</v>
      </c>
      <c r="P3" s="18"/>
      <c r="Q3" s="21" t="str" cm="1">
        <f t="array" ref="Q3:AC87">_xlfn._xlws.FILTER(B2:N103, G2:G103&lt;&gt;"") &amp; ""</f>
        <v>識別號</v>
      </c>
      <c r="R3" s="21" t="str">
        <v>漢字例</v>
      </c>
      <c r="S3" s="21" t="str">
        <v>國際音標</v>
      </c>
      <c r="T3" s="21" t="str">
        <v>十五音</v>
      </c>
      <c r="U3" s="21" t="str">
        <v>方音符號</v>
      </c>
      <c r="V3" s="21" t="str">
        <v>台語音標</v>
      </c>
      <c r="W3" s="21" t="str">
        <v>台羅拼音</v>
      </c>
      <c r="X3" s="21" t="str">
        <v>白話字</v>
      </c>
      <c r="Y3" s="21" t="str">
        <v>閩拼方案</v>
      </c>
      <c r="Z3" s="21" t="str">
        <v>注音二式</v>
      </c>
      <c r="AA3" s="21" t="str">
        <v>舒促聲</v>
      </c>
      <c r="AB3" s="21" t="str">
        <v>十五音識別碼</v>
      </c>
      <c r="AC3" s="21" t="str">
        <v>十五音韻母序</v>
      </c>
      <c r="AD3" s="18"/>
      <c r="AE3" s="18"/>
      <c r="AF3" s="18" t="s">
        <v>1606</v>
      </c>
      <c r="AG3" s="18"/>
      <c r="AH3" s="18" t="str" cm="1">
        <f t="array" ref="AH3:AH52" xml:space="preserve"> _xlfn._xlws.FILTER(AF4:AF103, AF4:AF103&lt;&gt;"")</f>
        <v>"君" : ["un", "ut"],</v>
      </c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</row>
    <row r="4" spans="2:45" ht="54" customHeight="1">
      <c r="B4" s="60">
        <v>1</v>
      </c>
      <c r="C4" s="23" t="s">
        <v>1586</v>
      </c>
      <c r="D4" s="24" t="s">
        <v>746</v>
      </c>
      <c r="E4" s="25" t="s">
        <v>938</v>
      </c>
      <c r="F4" s="26" t="s">
        <v>1587</v>
      </c>
      <c r="G4" s="27" t="s">
        <v>746</v>
      </c>
      <c r="H4" s="28" t="s">
        <v>746</v>
      </c>
      <c r="I4" s="28" t="s">
        <v>746</v>
      </c>
      <c r="J4" s="28" t="s">
        <v>746</v>
      </c>
      <c r="K4" s="28" t="s">
        <v>1607</v>
      </c>
      <c r="L4" s="29" t="s">
        <v>1608</v>
      </c>
      <c r="M4" s="30" t="str">
        <f>十五音韻母對照表!$E4&amp;LEFT(十五音韻母對照表!$L4,1)</f>
        <v>君舒</v>
      </c>
      <c r="N4" s="31">
        <v>1</v>
      </c>
      <c r="O4" s="32">
        <f>IF(十五音韻母對照表!$G4="", 0, LEN(十五音韻母對照表!$G4))</f>
        <v>2</v>
      </c>
      <c r="P4" s="18"/>
      <c r="Q4" s="22" t="str">
        <v>1</v>
      </c>
      <c r="R4" s="22" t="str">
        <v>汾</v>
      </c>
      <c r="S4" s="22" t="str">
        <v>un</v>
      </c>
      <c r="T4" s="22" t="str">
        <v>君</v>
      </c>
      <c r="U4" s="22" t="str">
        <v>ㄨㄣ</v>
      </c>
      <c r="V4" s="22" t="str">
        <v>un</v>
      </c>
      <c r="W4" s="22" t="str">
        <v>un</v>
      </c>
      <c r="X4" s="22" t="str">
        <v>un</v>
      </c>
      <c r="Y4" s="22" t="str">
        <v>un</v>
      </c>
      <c r="Z4" s="22" t="str">
        <v>un</v>
      </c>
      <c r="AA4" s="22" t="str">
        <v>舒聲
（平/上/去）</v>
      </c>
      <c r="AB4" s="22" t="str">
        <v>君舒</v>
      </c>
      <c r="AC4" s="22" t="str">
        <v>1</v>
      </c>
      <c r="AD4" s="18"/>
      <c r="AE4" s="18"/>
      <c r="AF4" s="18" t="str">
        <f xml:space="preserve"> IF(AND(MOD(B4,2)&lt;&gt;1, G4&lt;&gt;""), "", _xlfn.CONCAT("""", 十五音韻母對照表!$E4, """", " : [", """", 十五音韻母對照表!$G4, """", ", """, G5, """", "],"))</f>
        <v>"君" : ["un", "ut"],</v>
      </c>
      <c r="AG4" s="18"/>
      <c r="AH4" s="18" t="str">
        <v>"堅" : ["ian", "iat"],</v>
      </c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</row>
    <row r="5" spans="2:45" ht="54" customHeight="1">
      <c r="B5" s="60">
        <v>2</v>
      </c>
      <c r="C5" s="23" t="s">
        <v>1609</v>
      </c>
      <c r="D5" s="24" t="s">
        <v>1589</v>
      </c>
      <c r="E5" s="25" t="s">
        <v>938</v>
      </c>
      <c r="F5" s="26" t="s">
        <v>1590</v>
      </c>
      <c r="G5" s="27" t="s">
        <v>583</v>
      </c>
      <c r="H5" s="28" t="s">
        <v>583</v>
      </c>
      <c r="I5" s="28" t="s">
        <v>583</v>
      </c>
      <c r="J5" s="28" t="s">
        <v>583</v>
      </c>
      <c r="K5" s="28" t="s">
        <v>1610</v>
      </c>
      <c r="L5" s="29" t="s">
        <v>1611</v>
      </c>
      <c r="M5" s="30" t="str">
        <f>十五音韻母對照表!$E5&amp;LEFT(十五音韻母對照表!$L5,1)</f>
        <v>君促</v>
      </c>
      <c r="N5" s="31">
        <v>1</v>
      </c>
      <c r="O5" s="32">
        <f>IF(十五音韻母對照表!$G5="", 0, LEN(十五音韻母對照表!$G5))</f>
        <v>2</v>
      </c>
      <c r="P5" s="18"/>
      <c r="Q5" s="22" t="str">
        <v>2</v>
      </c>
      <c r="R5" s="22" t="str">
        <v>不</v>
      </c>
      <c r="S5" s="22" t="str">
        <v>ut̚</v>
      </c>
      <c r="T5" s="22" t="str">
        <v>君</v>
      </c>
      <c r="U5" s="22" t="str">
        <v>ㄨㆵ</v>
      </c>
      <c r="V5" s="22" t="str">
        <v>ut</v>
      </c>
      <c r="W5" s="22" t="str">
        <v>ut</v>
      </c>
      <c r="X5" s="22" t="str">
        <v>ut</v>
      </c>
      <c r="Y5" s="22" t="str">
        <v>ut</v>
      </c>
      <c r="Z5" s="22" t="str">
        <v>ut</v>
      </c>
      <c r="AA5" s="22" t="str">
        <v>促聲
（入）</v>
      </c>
      <c r="AB5" s="22" t="str">
        <v>君促</v>
      </c>
      <c r="AC5" s="22" t="str">
        <v>1</v>
      </c>
      <c r="AD5" s="18"/>
      <c r="AE5" s="18"/>
      <c r="AF5" s="18" t="str">
        <f xml:space="preserve"> IF(AND(MOD(B5,2)&lt;&gt;1, G5&lt;&gt;""), "", _xlfn.CONCAT("""", 十五音韻母對照表!$E5, """", " : [", """", 十五音韻母對照表!$G5, """", ", """, G6, """", "],"))</f>
        <v/>
      </c>
      <c r="AG5" s="18"/>
      <c r="AH5" s="18" t="str">
        <v>"金" : ["im", "ip"],</v>
      </c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</row>
    <row r="6" spans="2:45" ht="54" customHeight="1">
      <c r="B6" s="60">
        <v>3</v>
      </c>
      <c r="C6" s="23" t="s">
        <v>1612</v>
      </c>
      <c r="D6" s="24" t="s">
        <v>562</v>
      </c>
      <c r="E6" s="25" t="s">
        <v>929</v>
      </c>
      <c r="F6" s="26" t="s">
        <v>1252</v>
      </c>
      <c r="G6" s="33" t="s">
        <v>562</v>
      </c>
      <c r="H6" s="28" t="s">
        <v>562</v>
      </c>
      <c r="I6" s="28" t="s">
        <v>562</v>
      </c>
      <c r="J6" s="28" t="s">
        <v>562</v>
      </c>
      <c r="K6" s="28" t="s">
        <v>1613</v>
      </c>
      <c r="L6" s="29" t="s">
        <v>1608</v>
      </c>
      <c r="M6" s="30" t="str">
        <f>十五音韻母對照表!$E6&amp;LEFT(十五音韻母對照表!$L6,1)</f>
        <v>堅舒</v>
      </c>
      <c r="N6" s="31">
        <v>2</v>
      </c>
      <c r="O6" s="34">
        <f>IF(十五音韻母對照表!$G6="", 0, LEN(十五音韻母對照表!$G6))</f>
        <v>3</v>
      </c>
      <c r="P6" s="18"/>
      <c r="Q6" s="22" t="str">
        <v>3</v>
      </c>
      <c r="R6" s="22" t="str">
        <v>掀</v>
      </c>
      <c r="S6" s="22" t="str">
        <v>ian</v>
      </c>
      <c r="T6" s="22" t="str">
        <v>堅</v>
      </c>
      <c r="U6" s="22" t="str">
        <v>ㄧㄢ</v>
      </c>
      <c r="V6" s="22" t="str">
        <v>ian</v>
      </c>
      <c r="W6" s="22" t="str">
        <v>ian</v>
      </c>
      <c r="X6" s="22" t="str">
        <v>ian</v>
      </c>
      <c r="Y6" s="22" t="str">
        <v>ian</v>
      </c>
      <c r="Z6" s="22" t="str">
        <v>ian</v>
      </c>
      <c r="AA6" s="22" t="str">
        <v>舒聲
（平/上/去）</v>
      </c>
      <c r="AB6" s="22" t="str">
        <v>堅舒</v>
      </c>
      <c r="AC6" s="22" t="str">
        <v>2</v>
      </c>
      <c r="AD6" s="18"/>
      <c r="AE6" s="18"/>
      <c r="AF6" s="18" t="str">
        <f xml:space="preserve"> IF(AND(MOD(B6,2)&lt;&gt;1, G6&lt;&gt;""), "", _xlfn.CONCAT("""", 十五音韻母對照表!$E6, """", " : [", """", 十五音韻母對照表!$G6, """", ", """, G7, """", "],"))</f>
        <v>"堅" : ["ian", "iat"],</v>
      </c>
      <c r="AG6" s="18"/>
      <c r="AH6" s="18" t="str">
        <v>"規" : ["ui", ""],</v>
      </c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</row>
    <row r="7" spans="2:45" ht="54" customHeight="1">
      <c r="B7" s="60">
        <v>4</v>
      </c>
      <c r="C7" s="23" t="s">
        <v>1614</v>
      </c>
      <c r="D7" s="24" t="s">
        <v>1273</v>
      </c>
      <c r="E7" s="25" t="s">
        <v>929</v>
      </c>
      <c r="F7" s="26" t="s">
        <v>1274</v>
      </c>
      <c r="G7" s="33" t="s">
        <v>807</v>
      </c>
      <c r="H7" s="28" t="s">
        <v>807</v>
      </c>
      <c r="I7" s="28" t="s">
        <v>807</v>
      </c>
      <c r="J7" s="28" t="s">
        <v>807</v>
      </c>
      <c r="K7" s="28" t="s">
        <v>1615</v>
      </c>
      <c r="L7" s="29" t="s">
        <v>1611</v>
      </c>
      <c r="M7" s="30" t="str">
        <f>十五音韻母對照表!$E7&amp;LEFT(十五音韻母對照表!$L7,1)</f>
        <v>堅促</v>
      </c>
      <c r="N7" s="31">
        <v>2</v>
      </c>
      <c r="O7" s="34">
        <f>IF(十五音韻母對照表!$G7="", 0, LEN(十五音韻母對照表!$G7))</f>
        <v>3</v>
      </c>
      <c r="P7" s="18"/>
      <c r="Q7" s="22" t="str">
        <v>4</v>
      </c>
      <c r="R7" s="22" t="str">
        <v>別</v>
      </c>
      <c r="S7" s="22" t="str">
        <v>iat̚</v>
      </c>
      <c r="T7" s="22" t="str">
        <v>堅</v>
      </c>
      <c r="U7" s="22" t="str">
        <v>ㄧㄚㆵ</v>
      </c>
      <c r="V7" s="22" t="str">
        <v>iat</v>
      </c>
      <c r="W7" s="22" t="str">
        <v>iat</v>
      </c>
      <c r="X7" s="22" t="str">
        <v>iat</v>
      </c>
      <c r="Y7" s="22" t="str">
        <v>iat</v>
      </c>
      <c r="Z7" s="22" t="str">
        <v>iat</v>
      </c>
      <c r="AA7" s="22" t="str">
        <v>促聲
（入）</v>
      </c>
      <c r="AB7" s="22" t="str">
        <v>堅促</v>
      </c>
      <c r="AC7" s="22" t="str">
        <v>2</v>
      </c>
      <c r="AD7" s="18"/>
      <c r="AE7" s="18"/>
      <c r="AF7" s="18" t="str">
        <f xml:space="preserve"> IF(AND(MOD(B7,2)&lt;&gt;1, G7&lt;&gt;""), "", _xlfn.CONCAT("""", 十五音韻母對照表!$E7, """", " : [", """", 十五音韻母對照表!$G7, """", ", """, G8, """", "],"))</f>
        <v/>
      </c>
      <c r="AG7" s="18"/>
      <c r="AH7" s="18" t="str">
        <v>"嘉" : ["ee", "eeh"],</v>
      </c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</row>
    <row r="8" spans="2:45" ht="54" customHeight="1">
      <c r="B8" s="60">
        <v>5</v>
      </c>
      <c r="C8" s="23" t="s">
        <v>1326</v>
      </c>
      <c r="D8" s="24" t="s">
        <v>581</v>
      </c>
      <c r="E8" s="25" t="s">
        <v>937</v>
      </c>
      <c r="F8" s="26" t="s">
        <v>1327</v>
      </c>
      <c r="G8" s="27" t="s">
        <v>581</v>
      </c>
      <c r="H8" s="28" t="s">
        <v>581</v>
      </c>
      <c r="I8" s="28" t="s">
        <v>581</v>
      </c>
      <c r="J8" s="28" t="s">
        <v>581</v>
      </c>
      <c r="K8" s="28" t="s">
        <v>1616</v>
      </c>
      <c r="L8" s="29" t="s">
        <v>1608</v>
      </c>
      <c r="M8" s="30" t="str">
        <f>十五音韻母對照表!$E8&amp;LEFT(十五音韻母對照表!$L8,1)</f>
        <v>金舒</v>
      </c>
      <c r="N8" s="31">
        <v>3</v>
      </c>
      <c r="O8" s="32">
        <f>IF(十五音韻母對照表!$G8="", 0, LEN(十五音韻母對照表!$G8))</f>
        <v>2</v>
      </c>
      <c r="P8" s="18"/>
      <c r="Q8" s="22" t="str">
        <v>5</v>
      </c>
      <c r="R8" s="22" t="str">
        <v>深</v>
      </c>
      <c r="S8" s="22" t="str">
        <v>im</v>
      </c>
      <c r="T8" s="22" t="str">
        <v>金</v>
      </c>
      <c r="U8" s="22" t="str">
        <v>ㄧㆬ</v>
      </c>
      <c r="V8" s="22" t="str">
        <v>im</v>
      </c>
      <c r="W8" s="22" t="str">
        <v>im</v>
      </c>
      <c r="X8" s="22" t="str">
        <v>im</v>
      </c>
      <c r="Y8" s="22" t="str">
        <v>im</v>
      </c>
      <c r="Z8" s="22" t="str">
        <v>im</v>
      </c>
      <c r="AA8" s="22" t="str">
        <v>舒聲
（平/上/去）</v>
      </c>
      <c r="AB8" s="22" t="str">
        <v>金舒</v>
      </c>
      <c r="AC8" s="22" t="str">
        <v>3</v>
      </c>
      <c r="AD8" s="18"/>
      <c r="AE8" s="18"/>
      <c r="AF8" s="18" t="str">
        <f xml:space="preserve"> IF(AND(MOD(B8,2)&lt;&gt;1, G8&lt;&gt;""), "", _xlfn.CONCAT("""", 十五音韻母對照表!$E8, """", " : [", """", 十五音韻母對照表!$G8, """", ", """, G9, """", "],"))</f>
        <v>"金" : ["im", "ip"],</v>
      </c>
      <c r="AG8" s="18"/>
      <c r="AH8" s="18" t="str">
        <v>"干" : ["an", "at"],</v>
      </c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</row>
    <row r="9" spans="2:45" ht="54" customHeight="1">
      <c r="B9" s="60">
        <v>6</v>
      </c>
      <c r="C9" s="35" t="s">
        <v>1617</v>
      </c>
      <c r="D9" s="24" t="s">
        <v>1380</v>
      </c>
      <c r="E9" s="25" t="s">
        <v>937</v>
      </c>
      <c r="F9" s="26" t="s">
        <v>1381</v>
      </c>
      <c r="G9" s="27" t="s">
        <v>683</v>
      </c>
      <c r="H9" s="28" t="s">
        <v>683</v>
      </c>
      <c r="I9" s="28" t="s">
        <v>683</v>
      </c>
      <c r="J9" s="28" t="s">
        <v>683</v>
      </c>
      <c r="K9" s="28" t="s">
        <v>1618</v>
      </c>
      <c r="L9" s="29" t="s">
        <v>1611</v>
      </c>
      <c r="M9" s="30" t="str">
        <f>十五音韻母對照表!$E9&amp;LEFT(十五音韻母對照表!$L9,1)</f>
        <v>金促</v>
      </c>
      <c r="N9" s="31">
        <v>3</v>
      </c>
      <c r="O9" s="32">
        <f>IF(十五音韻母對照表!$G9="", 0, LEN(十五音韻母對照表!$G9))</f>
        <v>2</v>
      </c>
      <c r="P9" s="18"/>
      <c r="Q9" s="22" t="str">
        <v>6</v>
      </c>
      <c r="R9" s="22" t="str">
        <v>蟄</v>
      </c>
      <c r="S9" s="22" t="str">
        <v>ip̚</v>
      </c>
      <c r="T9" s="22" t="str">
        <v>金</v>
      </c>
      <c r="U9" s="22" t="str">
        <v>一ㆴ</v>
      </c>
      <c r="V9" s="22" t="str">
        <v>ip</v>
      </c>
      <c r="W9" s="22" t="str">
        <v>ip</v>
      </c>
      <c r="X9" s="22" t="str">
        <v>ip</v>
      </c>
      <c r="Y9" s="22" t="str">
        <v>ip</v>
      </c>
      <c r="Z9" s="22" t="str">
        <v>ip</v>
      </c>
      <c r="AA9" s="22" t="str">
        <v>促聲
（入）</v>
      </c>
      <c r="AB9" s="22" t="str">
        <v>金促</v>
      </c>
      <c r="AC9" s="22" t="str">
        <v>3</v>
      </c>
      <c r="AD9" s="18"/>
      <c r="AE9" s="18"/>
      <c r="AF9" s="18" t="str">
        <f xml:space="preserve"> IF(AND(MOD(B9,2)&lt;&gt;1, G9&lt;&gt;""), "", _xlfn.CONCAT("""", 十五音韻母對照表!$E9, """", " : [", """", 十五音韻母對照表!$G9, """", ", """, G10, """", "],"))</f>
        <v/>
      </c>
      <c r="AG9" s="18"/>
      <c r="AH9" s="18" t="str">
        <v>"公" : ["ong", "ok"],</v>
      </c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</row>
    <row r="10" spans="2:45" ht="54" customHeight="1">
      <c r="B10" s="60">
        <v>7</v>
      </c>
      <c r="C10" s="23" t="s">
        <v>1572</v>
      </c>
      <c r="D10" s="24" t="s">
        <v>618</v>
      </c>
      <c r="E10" s="25" t="s">
        <v>954</v>
      </c>
      <c r="F10" s="26" t="s">
        <v>1573</v>
      </c>
      <c r="G10" s="27" t="s">
        <v>618</v>
      </c>
      <c r="H10" s="28" t="s">
        <v>618</v>
      </c>
      <c r="I10" s="28" t="s">
        <v>618</v>
      </c>
      <c r="J10" s="28" t="s">
        <v>618</v>
      </c>
      <c r="K10" s="28" t="s">
        <v>1619</v>
      </c>
      <c r="L10" s="29" t="s">
        <v>1608</v>
      </c>
      <c r="M10" s="30" t="str">
        <f>十五音韻母對照表!$E10&amp;LEFT(十五音韻母對照表!$L10,1)</f>
        <v>規舒</v>
      </c>
      <c r="N10" s="31">
        <v>4</v>
      </c>
      <c r="O10" s="32">
        <f>IF(十五音韻母對照表!$G10="", 0, LEN(十五音韻母對照表!$G10))</f>
        <v>2</v>
      </c>
      <c r="P10" s="18"/>
      <c r="Q10" s="22" t="str">
        <v>7</v>
      </c>
      <c r="R10" s="22" t="str">
        <v>歸</v>
      </c>
      <c r="S10" s="22" t="str">
        <v>ui</v>
      </c>
      <c r="T10" s="22" t="str">
        <v>規</v>
      </c>
      <c r="U10" s="22" t="str">
        <v>ㄨㄧ</v>
      </c>
      <c r="V10" s="22" t="str">
        <v>ui</v>
      </c>
      <c r="W10" s="22" t="str">
        <v>ui</v>
      </c>
      <c r="X10" s="22" t="str">
        <v>ui</v>
      </c>
      <c r="Y10" s="22" t="str">
        <v>ui</v>
      </c>
      <c r="Z10" s="22" t="str">
        <v>ui</v>
      </c>
      <c r="AA10" s="22" t="str">
        <v>舒聲
（平/上/去）</v>
      </c>
      <c r="AB10" s="22" t="str">
        <v>規舒</v>
      </c>
      <c r="AC10" s="22" t="str">
        <v>4</v>
      </c>
      <c r="AD10" s="18"/>
      <c r="AE10" s="18"/>
      <c r="AF10" s="18" t="str">
        <f xml:space="preserve"> IF(AND(MOD(B10,2)&lt;&gt;1, G10&lt;&gt;""), "", _xlfn.CONCAT("""", 十五音韻母對照表!$E10, """", " : [", """", 十五音韻母對照表!$G10, """", ", """, G11, """", "],"))</f>
        <v>"規" : ["ui", ""],</v>
      </c>
      <c r="AG10" s="18"/>
      <c r="AH10" s="18" t="str">
        <v>"乖" : ["uai", "uaih"],</v>
      </c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</row>
    <row r="11" spans="2:45" ht="54" customHeight="1">
      <c r="B11" s="60">
        <v>8</v>
      </c>
      <c r="C11" s="36"/>
      <c r="D11" s="37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2">
        <f>IF(十五音韻母對照表!$G11="", 0, LEN(十五音韻母對照表!$G11))</f>
        <v>0</v>
      </c>
      <c r="P11" s="18"/>
      <c r="Q11" s="22" t="str">
        <v>9</v>
      </c>
      <c r="R11" s="22" t="str">
        <v>家</v>
      </c>
      <c r="S11" s="22" t="str">
        <v>ɛ</v>
      </c>
      <c r="T11" s="22" t="str">
        <v>嘉</v>
      </c>
      <c r="U11" s="22" t="str">
        <v>ㄝ</v>
      </c>
      <c r="V11" s="22" t="str">
        <v>ee</v>
      </c>
      <c r="W11" s="22" t="str">
        <v>ee</v>
      </c>
      <c r="X11" s="22" t="str">
        <v>e</v>
      </c>
      <c r="Y11" s="22" t="str">
        <v>ee</v>
      </c>
      <c r="Z11" s="22" t="str">
        <v>e</v>
      </c>
      <c r="AA11" s="22" t="str">
        <v>舒聲
（平/上/去）</v>
      </c>
      <c r="AB11" s="22" t="str">
        <v>嘉舒</v>
      </c>
      <c r="AC11" s="22" t="str">
        <v>5</v>
      </c>
      <c r="AD11" s="18"/>
      <c r="AE11" s="18"/>
      <c r="AF11" s="18"/>
      <c r="AG11" s="18"/>
      <c r="AH11" s="18" t="str">
        <v>"經" : ["ing", "ik"],</v>
      </c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</row>
    <row r="12" spans="2:45" ht="54" customHeight="1">
      <c r="B12" s="60">
        <v>9</v>
      </c>
      <c r="C12" s="38" t="s">
        <v>1620</v>
      </c>
      <c r="D12" s="24" t="s">
        <v>1621</v>
      </c>
      <c r="E12" s="25" t="s">
        <v>996</v>
      </c>
      <c r="F12" s="26" t="s">
        <v>1187</v>
      </c>
      <c r="G12" s="27" t="s">
        <v>608</v>
      </c>
      <c r="H12" s="28" t="s">
        <v>608</v>
      </c>
      <c r="I12" s="28" t="s">
        <v>1622</v>
      </c>
      <c r="J12" s="24" t="s">
        <v>1623</v>
      </c>
      <c r="K12" s="24" t="s">
        <v>1624</v>
      </c>
      <c r="L12" s="29" t="s">
        <v>1608</v>
      </c>
      <c r="M12" s="30" t="str">
        <f>十五音韻母對照表!$E12&amp;LEFT(十五音韻母對照表!$L12,1)</f>
        <v>嘉舒</v>
      </c>
      <c r="N12" s="31">
        <v>5</v>
      </c>
      <c r="O12" s="32">
        <f>IF(十五音韻母對照表!$G12="", 0, LEN(十五音韻母對照表!$G12))</f>
        <v>2</v>
      </c>
      <c r="P12" s="18"/>
      <c r="Q12" s="22" t="str">
        <v>10</v>
      </c>
      <c r="R12" s="22" t="str">
        <v>八</v>
      </c>
      <c r="S12" s="22" t="str">
        <v>ɛ?</v>
      </c>
      <c r="T12" s="22" t="str">
        <v>嘉</v>
      </c>
      <c r="U12" s="22" t="str">
        <v>ㄝㆷ</v>
      </c>
      <c r="V12" s="22" t="str">
        <v>eeh</v>
      </c>
      <c r="W12" s="22" t="str">
        <v>eeh</v>
      </c>
      <c r="X12" s="22" t="str">
        <v>eeh</v>
      </c>
      <c r="Y12" s="22" t="str">
        <v>0</v>
      </c>
      <c r="Z12" s="22" t="str">
        <v>eh</v>
      </c>
      <c r="AA12" s="22" t="str">
        <v>促聲
（入）</v>
      </c>
      <c r="AB12" s="22" t="str">
        <v>嘉促</v>
      </c>
      <c r="AC12" s="22" t="str">
        <v>5</v>
      </c>
      <c r="AD12" s="18"/>
      <c r="AE12" s="18"/>
      <c r="AF12" s="18" t="str">
        <f xml:space="preserve"> IF(AND(MOD(B12,2)&lt;&gt;1, G12&lt;&gt;""), "", _xlfn.CONCAT("""", 十五音韻母對照表!$E12, """", " : [", """", 十五音韻母對照表!$G12, """", ", """, G13, """", "],"))</f>
        <v>"嘉" : ["ee", "eeh"],</v>
      </c>
      <c r="AG12" s="18"/>
      <c r="AH12" s="18" t="str">
        <v>"觀" : ["uan", "uat"],</v>
      </c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</row>
    <row r="13" spans="2:45" ht="54" customHeight="1">
      <c r="B13" s="60">
        <v>10</v>
      </c>
      <c r="C13" s="23" t="s">
        <v>1625</v>
      </c>
      <c r="D13" s="24" t="s">
        <v>1626</v>
      </c>
      <c r="E13" s="25" t="s">
        <v>996</v>
      </c>
      <c r="F13" s="26" t="s">
        <v>1193</v>
      </c>
      <c r="G13" s="27" t="s">
        <v>1194</v>
      </c>
      <c r="H13" s="28" t="s">
        <v>1194</v>
      </c>
      <c r="I13" s="28" t="s">
        <v>1194</v>
      </c>
      <c r="J13" s="28">
        <v>0</v>
      </c>
      <c r="K13" s="28" t="s">
        <v>1627</v>
      </c>
      <c r="L13" s="29" t="s">
        <v>1611</v>
      </c>
      <c r="M13" s="30" t="str">
        <f>十五音韻母對照表!$E13&amp;LEFT(十五音韻母對照表!$L13,1)</f>
        <v>嘉促</v>
      </c>
      <c r="N13" s="31">
        <v>5</v>
      </c>
      <c r="O13" s="32">
        <f>IF(十五音韻母對照表!$G13="", 0, LEN(十五音韻母對照表!$G13))</f>
        <v>3</v>
      </c>
      <c r="P13" s="18"/>
      <c r="Q13" s="22" t="str">
        <v>11</v>
      </c>
      <c r="R13" s="22" t="str">
        <v>蘭</v>
      </c>
      <c r="S13" s="22" t="str">
        <v>an</v>
      </c>
      <c r="T13" s="22" t="str">
        <v>干</v>
      </c>
      <c r="U13" s="22" t="str">
        <v>ㄢ</v>
      </c>
      <c r="V13" s="22" t="str">
        <v>an</v>
      </c>
      <c r="W13" s="22" t="str">
        <v>an</v>
      </c>
      <c r="X13" s="22" t="str">
        <v>an</v>
      </c>
      <c r="Y13" s="22" t="str">
        <v>an</v>
      </c>
      <c r="Z13" s="22" t="str">
        <v>an</v>
      </c>
      <c r="AA13" s="22" t="str">
        <v>舒聲
（平/上/去）</v>
      </c>
      <c r="AB13" s="22" t="str">
        <v>干舒</v>
      </c>
      <c r="AC13" s="22" t="str">
        <v>6</v>
      </c>
      <c r="AD13" s="18"/>
      <c r="AE13" s="18"/>
      <c r="AF13" s="18" t="str">
        <f xml:space="preserve"> IF(AND(MOD(B13,2)&lt;&gt;1, G13&lt;&gt;""), "", _xlfn.CONCAT("""", 十五音韻母對照表!$E13, """", " : [", """", 十五音韻母對照表!$G13, """", ", """, G14, """", "],"))</f>
        <v/>
      </c>
      <c r="AG13" s="18"/>
      <c r="AH13" s="18" t="str">
        <v>"沽" : ["oo", ""],</v>
      </c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</row>
    <row r="14" spans="2:45" ht="54" customHeight="1">
      <c r="B14" s="60">
        <v>11</v>
      </c>
      <c r="C14" s="23" t="s">
        <v>203</v>
      </c>
      <c r="D14" s="24" t="s">
        <v>642</v>
      </c>
      <c r="E14" s="25" t="s">
        <v>961</v>
      </c>
      <c r="F14" s="26" t="s">
        <v>1128</v>
      </c>
      <c r="G14" s="27" t="s">
        <v>642</v>
      </c>
      <c r="H14" s="28" t="s">
        <v>642</v>
      </c>
      <c r="I14" s="28" t="s">
        <v>642</v>
      </c>
      <c r="J14" s="28" t="s">
        <v>642</v>
      </c>
      <c r="K14" s="28" t="s">
        <v>1628</v>
      </c>
      <c r="L14" s="29" t="s">
        <v>1608</v>
      </c>
      <c r="M14" s="30" t="str">
        <f>十五音韻母對照表!$E14&amp;LEFT(十五音韻母對照表!$L14,1)</f>
        <v>干舒</v>
      </c>
      <c r="N14" s="31">
        <v>6</v>
      </c>
      <c r="O14" s="32">
        <f>IF(十五音韻母對照表!$G14="", 0, LEN(十五音韻母對照表!$G14))</f>
        <v>2</v>
      </c>
      <c r="P14" s="18"/>
      <c r="Q14" s="22" t="str">
        <v>12</v>
      </c>
      <c r="R14" s="22" t="str">
        <v>識</v>
      </c>
      <c r="S14" s="22" t="str">
        <v>at̚</v>
      </c>
      <c r="T14" s="22" t="str">
        <v>干</v>
      </c>
      <c r="U14" s="22" t="str">
        <v>ㄚㆵ</v>
      </c>
      <c r="V14" s="22" t="str">
        <v>at</v>
      </c>
      <c r="W14" s="22" t="str">
        <v>at</v>
      </c>
      <c r="X14" s="22" t="str">
        <v>at</v>
      </c>
      <c r="Y14" s="22" t="str">
        <v>at</v>
      </c>
      <c r="Z14" s="22" t="str">
        <v>at</v>
      </c>
      <c r="AA14" s="22" t="str">
        <v>促聲
（入）</v>
      </c>
      <c r="AB14" s="22" t="str">
        <v>干促</v>
      </c>
      <c r="AC14" s="22" t="str">
        <v>6</v>
      </c>
      <c r="AD14" s="18"/>
      <c r="AE14" s="18"/>
      <c r="AF14" s="18" t="str">
        <f xml:space="preserve"> IF(AND(MOD(B14,2)&lt;&gt;1, G14&lt;&gt;""), "", _xlfn.CONCAT("""", 十五音韻母對照表!$E14, """", " : [", """", 十五音韻母對照表!$G14, """", ", """, G15, """", "],"))</f>
        <v>"干" : ["an", "at"],</v>
      </c>
      <c r="AG14" s="18"/>
      <c r="AH14" s="18" t="str">
        <v>"嬌" : ["iau", "iauh"],</v>
      </c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</row>
    <row r="15" spans="2:45" ht="54" customHeight="1">
      <c r="B15" s="60">
        <v>12</v>
      </c>
      <c r="C15" s="39" t="s">
        <v>1629</v>
      </c>
      <c r="D15" s="24" t="s">
        <v>1152</v>
      </c>
      <c r="E15" s="25" t="s">
        <v>961</v>
      </c>
      <c r="F15" s="26" t="s">
        <v>1153</v>
      </c>
      <c r="G15" s="27" t="s">
        <v>1154</v>
      </c>
      <c r="H15" s="28" t="s">
        <v>1154</v>
      </c>
      <c r="I15" s="28" t="s">
        <v>1154</v>
      </c>
      <c r="J15" s="28" t="s">
        <v>1154</v>
      </c>
      <c r="K15" s="28" t="s">
        <v>1630</v>
      </c>
      <c r="L15" s="29" t="s">
        <v>1611</v>
      </c>
      <c r="M15" s="30" t="str">
        <f>十五音韻母對照表!$E15&amp;LEFT(十五音韻母對照表!$L15,1)</f>
        <v>干促</v>
      </c>
      <c r="N15" s="31">
        <v>6</v>
      </c>
      <c r="O15" s="32">
        <f>IF(十五音韻母對照表!$G15="", 0, LEN(十五音韻母對照表!$G15))</f>
        <v>2</v>
      </c>
      <c r="P15" s="18"/>
      <c r="Q15" s="22" t="str">
        <v>13</v>
      </c>
      <c r="R15" s="22" t="str">
        <v>風</v>
      </c>
      <c r="S15" s="22" t="str">
        <v>ɔŋ</v>
      </c>
      <c r="T15" s="22" t="str">
        <v>公</v>
      </c>
      <c r="U15" s="22" t="str">
        <v>ㆲ</v>
      </c>
      <c r="V15" s="22" t="str">
        <v>ong</v>
      </c>
      <c r="W15" s="22" t="str">
        <v>ong</v>
      </c>
      <c r="X15" s="22" t="str">
        <v>ong</v>
      </c>
      <c r="Y15" s="22" t="str">
        <v>ong</v>
      </c>
      <c r="Z15" s="22" t="str">
        <v>ong</v>
      </c>
      <c r="AA15" s="22" t="str">
        <v>舒聲
（平/上/去）</v>
      </c>
      <c r="AB15" s="22" t="str">
        <v>公舒</v>
      </c>
      <c r="AC15" s="22" t="str">
        <v>7</v>
      </c>
      <c r="AD15" s="18"/>
      <c r="AE15" s="18"/>
      <c r="AF15" s="18" t="str">
        <f xml:space="preserve"> IF(AND(MOD(B15,2)&lt;&gt;1, G15&lt;&gt;""), "", _xlfn.CONCAT("""", 十五音韻母對照表!$E15, """", " : [", """", 十五音韻母對照表!$G15, """", ", """, G16, """", "],"))</f>
        <v/>
      </c>
      <c r="AG15" s="18"/>
      <c r="AH15" s="18" t="str">
        <v>"稽" : ["ei", ""],</v>
      </c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</row>
    <row r="16" spans="2:45" ht="54" customHeight="1">
      <c r="B16" s="60">
        <v>13</v>
      </c>
      <c r="C16" s="23" t="s">
        <v>1631</v>
      </c>
      <c r="D16" s="24" t="s">
        <v>1632</v>
      </c>
      <c r="E16" s="25" t="s">
        <v>933</v>
      </c>
      <c r="F16" s="26" t="s">
        <v>1445</v>
      </c>
      <c r="G16" s="27" t="s">
        <v>575</v>
      </c>
      <c r="H16" s="28" t="s">
        <v>575</v>
      </c>
      <c r="I16" s="28" t="s">
        <v>575</v>
      </c>
      <c r="J16" s="28" t="s">
        <v>575</v>
      </c>
      <c r="K16" s="28" t="s">
        <v>1633</v>
      </c>
      <c r="L16" s="29" t="s">
        <v>1608</v>
      </c>
      <c r="M16" s="30" t="str">
        <f>十五音韻母對照表!$E16&amp;LEFT(十五音韻母對照表!$L16,1)</f>
        <v>公舒</v>
      </c>
      <c r="N16" s="31">
        <v>7</v>
      </c>
      <c r="O16" s="32">
        <f>IF(十五音韻母對照表!$G16="", 0, LEN(十五音韻母對照表!$G16))</f>
        <v>3</v>
      </c>
      <c r="P16" s="18"/>
      <c r="Q16" s="22" t="str">
        <v>14</v>
      </c>
      <c r="R16" s="22" t="str">
        <v>福</v>
      </c>
      <c r="S16" s="22" t="str">
        <v>ɔk̚</v>
      </c>
      <c r="T16" s="22" t="str">
        <v>公</v>
      </c>
      <c r="U16" s="22" t="str">
        <v>ㆦㆻ</v>
      </c>
      <c r="V16" s="22" t="str">
        <v>ok</v>
      </c>
      <c r="W16" s="22" t="str">
        <v>ok</v>
      </c>
      <c r="X16" s="22" t="str">
        <v>ok</v>
      </c>
      <c r="Y16" s="22" t="str">
        <v>ok</v>
      </c>
      <c r="Z16" s="22" t="str">
        <v>ok</v>
      </c>
      <c r="AA16" s="22" t="str">
        <v>促聲
（入）</v>
      </c>
      <c r="AB16" s="22" t="str">
        <v>公促</v>
      </c>
      <c r="AC16" s="22" t="str">
        <v>7</v>
      </c>
      <c r="AD16" s="18"/>
      <c r="AE16" s="18"/>
      <c r="AF16" s="18" t="str">
        <f xml:space="preserve"> IF(AND(MOD(B16,2)&lt;&gt;1, G16&lt;&gt;""), "", _xlfn.CONCAT("""", 十五音韻母對照表!$E16, """", " : [", """", 十五音韻母對照表!$G16, """", ", """, G17, """", "],"))</f>
        <v>"公" : ["ong", "ok"],</v>
      </c>
      <c r="AG16" s="18"/>
      <c r="AH16" s="18" t="str">
        <v>"恭" : ["iong", "iok"],</v>
      </c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</row>
    <row r="17" spans="2:45" ht="54" customHeight="1">
      <c r="B17" s="60">
        <v>14</v>
      </c>
      <c r="C17" s="23" t="s">
        <v>1634</v>
      </c>
      <c r="D17" s="24" t="s">
        <v>1635</v>
      </c>
      <c r="E17" s="25" t="s">
        <v>933</v>
      </c>
      <c r="F17" s="26" t="s">
        <v>1433</v>
      </c>
      <c r="G17" s="27" t="s">
        <v>572</v>
      </c>
      <c r="H17" s="28" t="s">
        <v>572</v>
      </c>
      <c r="I17" s="28" t="s">
        <v>572</v>
      </c>
      <c r="J17" s="28" t="s">
        <v>572</v>
      </c>
      <c r="K17" s="28" t="s">
        <v>1636</v>
      </c>
      <c r="L17" s="29" t="s">
        <v>1611</v>
      </c>
      <c r="M17" s="30" t="str">
        <f>十五音韻母對照表!$E17&amp;LEFT(十五音韻母對照表!$L17,1)</f>
        <v>公促</v>
      </c>
      <c r="N17" s="31">
        <v>7</v>
      </c>
      <c r="O17" s="32">
        <f>IF(十五音韻母對照表!$G17="", 0, LEN(十五音韻母對照表!$G17))</f>
        <v>2</v>
      </c>
      <c r="P17" s="18"/>
      <c r="Q17" s="22" t="str">
        <v>15</v>
      </c>
      <c r="R17" s="22" t="str">
        <v>怪</v>
      </c>
      <c r="S17" s="22" t="str">
        <v>uai</v>
      </c>
      <c r="T17" s="22" t="str">
        <v>乖</v>
      </c>
      <c r="U17" s="22" t="str">
        <v>ㄨㄞ</v>
      </c>
      <c r="V17" s="22" t="str">
        <v>uai</v>
      </c>
      <c r="W17" s="22" t="str">
        <v>uai</v>
      </c>
      <c r="X17" s="22" t="str">
        <v>oai</v>
      </c>
      <c r="Y17" s="22" t="str">
        <v>uai</v>
      </c>
      <c r="Z17" s="22" t="str">
        <v>uai</v>
      </c>
      <c r="AA17" s="22" t="str">
        <v>舒聲
（平/上/去）</v>
      </c>
      <c r="AB17" s="22" t="str">
        <v>乖舒</v>
      </c>
      <c r="AC17" s="22" t="str">
        <v>8</v>
      </c>
      <c r="AD17" s="18"/>
      <c r="AE17" s="18"/>
      <c r="AF17" s="18" t="str">
        <f xml:space="preserve"> IF(AND(MOD(B17,2)&lt;&gt;1, G17&lt;&gt;""), "", _xlfn.CONCAT("""", 十五音韻母對照表!$E17, """", " : [", """", 十五音韻母對照表!$G17, """", ", """, G18, """", "],"))</f>
        <v/>
      </c>
      <c r="AG17" s="18"/>
      <c r="AH17" s="18" t="str">
        <v>"高" : ["o", "oh"],</v>
      </c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</row>
    <row r="18" spans="2:45" ht="54" customHeight="1">
      <c r="B18" s="60">
        <v>15</v>
      </c>
      <c r="C18" s="23" t="s">
        <v>1488</v>
      </c>
      <c r="D18" s="24" t="s">
        <v>709</v>
      </c>
      <c r="E18" s="25" t="s">
        <v>980</v>
      </c>
      <c r="F18" s="26" t="s">
        <v>1489</v>
      </c>
      <c r="G18" s="27" t="s">
        <v>709</v>
      </c>
      <c r="H18" s="28" t="s">
        <v>709</v>
      </c>
      <c r="I18" s="28" t="s">
        <v>1490</v>
      </c>
      <c r="J18" s="28" t="s">
        <v>709</v>
      </c>
      <c r="K18" s="28" t="s">
        <v>1637</v>
      </c>
      <c r="L18" s="29" t="s">
        <v>1608</v>
      </c>
      <c r="M18" s="30" t="str">
        <f>十五音韻母對照表!$E18&amp;LEFT(十五音韻母對照表!$L18,1)</f>
        <v>乖舒</v>
      </c>
      <c r="N18" s="31">
        <v>8</v>
      </c>
      <c r="O18" s="32">
        <f>IF(十五音韻母對照表!$G18="", 0, LEN(十五音韻母對照表!$G18))</f>
        <v>3</v>
      </c>
      <c r="P18" s="18"/>
      <c r="Q18" s="22" t="str">
        <v>16</v>
      </c>
      <c r="R18" s="22" t="str">
        <v>◯</v>
      </c>
      <c r="S18" s="22" t="str">
        <v>uai?</v>
      </c>
      <c r="T18" s="22" t="str">
        <v>乖</v>
      </c>
      <c r="U18" s="22" t="str">
        <v>ㄨㄞㆷ</v>
      </c>
      <c r="V18" s="22" t="str">
        <v>uaih</v>
      </c>
      <c r="W18" s="22" t="str">
        <v>uaih</v>
      </c>
      <c r="X18" s="22" t="str">
        <v>oaih</v>
      </c>
      <c r="Y18" s="22" t="str">
        <v>uaih</v>
      </c>
      <c r="Z18" s="22" t="str">
        <v>uaih</v>
      </c>
      <c r="AA18" s="22" t="str">
        <v>促聲
（入）</v>
      </c>
      <c r="AB18" s="22" t="str">
        <v>乖促</v>
      </c>
      <c r="AC18" s="22" t="str">
        <v>8</v>
      </c>
      <c r="AD18" s="18"/>
      <c r="AE18" s="18"/>
      <c r="AF18" s="18" t="str">
        <f xml:space="preserve"> IF(AND(MOD(B18,2)&lt;&gt;1, G18&lt;&gt;""), "", _xlfn.CONCAT("""", 十五音韻母對照表!$E18, """", " : [", """", 十五音韻母對照表!$G18, """", ", """, G19, """", "],"))</f>
        <v>"乖" : ["uai", "uaih"],</v>
      </c>
      <c r="AG18" s="18"/>
      <c r="AH18" s="18" t="str">
        <v>"皆" : ["ai", ""],</v>
      </c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</row>
    <row r="19" spans="2:45" ht="54" customHeight="1">
      <c r="B19" s="60">
        <v>16</v>
      </c>
      <c r="C19" s="23" t="s">
        <v>1287</v>
      </c>
      <c r="D19" s="24" t="s">
        <v>1493</v>
      </c>
      <c r="E19" s="25" t="s">
        <v>980</v>
      </c>
      <c r="F19" s="26" t="s">
        <v>1494</v>
      </c>
      <c r="G19" s="27" t="s">
        <v>1495</v>
      </c>
      <c r="H19" s="28" t="s">
        <v>1495</v>
      </c>
      <c r="I19" s="28" t="s">
        <v>1496</v>
      </c>
      <c r="J19" s="28" t="s">
        <v>1495</v>
      </c>
      <c r="K19" s="40" t="s">
        <v>1638</v>
      </c>
      <c r="L19" s="29" t="s">
        <v>1611</v>
      </c>
      <c r="M19" s="30" t="str">
        <f>十五音韻母對照表!$E19&amp;LEFT(十五音韻母對照表!$L19,1)</f>
        <v>乖促</v>
      </c>
      <c r="N19" s="31">
        <v>8</v>
      </c>
      <c r="O19" s="32">
        <f>IF(十五音韻母對照表!$G19="", 0, LEN(十五音韻母對照表!$G19))</f>
        <v>4</v>
      </c>
      <c r="P19" s="18"/>
      <c r="Q19" s="22" t="str">
        <v>17</v>
      </c>
      <c r="R19" s="22" t="str">
        <v>情</v>
      </c>
      <c r="S19" s="22" t="str">
        <v>iŋ</v>
      </c>
      <c r="T19" s="22" t="str">
        <v>經</v>
      </c>
      <c r="U19" s="22" t="str">
        <v>ㄧㄥ</v>
      </c>
      <c r="V19" s="22" t="str">
        <v>ing</v>
      </c>
      <c r="W19" s="22" t="str">
        <v>ing</v>
      </c>
      <c r="X19" s="22" t="str">
        <v>eng</v>
      </c>
      <c r="Y19" s="22" t="str">
        <v>ing</v>
      </c>
      <c r="Z19" s="22" t="str">
        <v>ing</v>
      </c>
      <c r="AA19" s="22" t="str">
        <v>舒聲
（平/上/去）</v>
      </c>
      <c r="AB19" s="22" t="str">
        <v>經舒</v>
      </c>
      <c r="AC19" s="22" t="str">
        <v>9</v>
      </c>
      <c r="AD19" s="18"/>
      <c r="AE19" s="18"/>
      <c r="AF19" s="18" t="str">
        <f xml:space="preserve"> IF(AND(MOD(B19,2)&lt;&gt;1, G19&lt;&gt;""), "", _xlfn.CONCAT("""", 十五音韻母對照表!$E19, """", " : [", """", 十五音韻母對照表!$G19, """", ", """, G20, """", "],"))</f>
        <v/>
      </c>
      <c r="AG19" s="18"/>
      <c r="AH19" s="18" t="str">
        <v>"巾" : ["in", "it"],</v>
      </c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</row>
    <row r="20" spans="2:45" ht="54" customHeight="1">
      <c r="B20" s="60">
        <v>17</v>
      </c>
      <c r="C20" s="23" t="s">
        <v>1334</v>
      </c>
      <c r="D20" s="24" t="s">
        <v>1639</v>
      </c>
      <c r="E20" s="25" t="s">
        <v>930</v>
      </c>
      <c r="F20" s="26" t="s">
        <v>1336</v>
      </c>
      <c r="G20" s="27" t="s">
        <v>610</v>
      </c>
      <c r="H20" s="28" t="s">
        <v>610</v>
      </c>
      <c r="I20" s="28" t="s">
        <v>1337</v>
      </c>
      <c r="J20" s="28" t="s">
        <v>610</v>
      </c>
      <c r="K20" s="28" t="s">
        <v>1640</v>
      </c>
      <c r="L20" s="29" t="s">
        <v>1608</v>
      </c>
      <c r="M20" s="30" t="str">
        <f>十五音韻母對照表!$E20&amp;LEFT(十五音韻母對照表!$L20,1)</f>
        <v>經舒</v>
      </c>
      <c r="N20" s="31">
        <v>9</v>
      </c>
      <c r="O20" s="32">
        <f>IF(十五音韻母對照表!$G20="", 0, LEN(十五音韻母對照表!$G20))</f>
        <v>3</v>
      </c>
      <c r="P20" s="18"/>
      <c r="Q20" s="22" t="str">
        <v>18</v>
      </c>
      <c r="R20" s="22" t="str">
        <v>益</v>
      </c>
      <c r="S20" s="22" t="str">
        <v>ik̚</v>
      </c>
      <c r="T20" s="22" t="str">
        <v>經</v>
      </c>
      <c r="U20" s="22" t="str">
        <v>ㄧㆻ</v>
      </c>
      <c r="V20" s="22" t="str">
        <v>ik</v>
      </c>
      <c r="W20" s="22" t="str">
        <v>ik</v>
      </c>
      <c r="X20" s="22" t="str">
        <v>ek</v>
      </c>
      <c r="Y20" s="22" t="str">
        <v>ik</v>
      </c>
      <c r="Z20" s="22" t="str">
        <v>ik</v>
      </c>
      <c r="AA20" s="22" t="str">
        <v>促聲
（入）</v>
      </c>
      <c r="AB20" s="22" t="str">
        <v>經促</v>
      </c>
      <c r="AC20" s="22" t="str">
        <v>9</v>
      </c>
      <c r="AD20" s="18"/>
      <c r="AE20" s="18"/>
      <c r="AF20" s="18" t="str">
        <f xml:space="preserve"> IF(AND(MOD(B20,2)&lt;&gt;1, G20&lt;&gt;""), "", _xlfn.CONCAT("""", 十五音韻母對照表!$E20, """", " : [", """", 十五音韻母對照表!$G20, """", ", """, G21, """", "],"))</f>
        <v>"經" : ["ing", "ik"],</v>
      </c>
      <c r="AG20" s="18"/>
      <c r="AH20" s="18" t="str">
        <v>"姜" : ["iang", "iak"],</v>
      </c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</row>
    <row r="21" spans="2:45" ht="54" customHeight="1">
      <c r="B21" s="60">
        <v>18</v>
      </c>
      <c r="C21" s="41" t="s">
        <v>1641</v>
      </c>
      <c r="D21" s="24" t="s">
        <v>1322</v>
      </c>
      <c r="E21" s="25" t="s">
        <v>930</v>
      </c>
      <c r="F21" s="26" t="s">
        <v>1323</v>
      </c>
      <c r="G21" s="27" t="s">
        <v>565</v>
      </c>
      <c r="H21" s="28" t="s">
        <v>565</v>
      </c>
      <c r="I21" s="28" t="s">
        <v>1324</v>
      </c>
      <c r="J21" s="28" t="s">
        <v>565</v>
      </c>
      <c r="K21" s="28" t="s">
        <v>1642</v>
      </c>
      <c r="L21" s="29" t="s">
        <v>1611</v>
      </c>
      <c r="M21" s="30" t="str">
        <f>十五音韻母對照表!$E21&amp;LEFT(十五音韻母對照表!$L21,1)</f>
        <v>經促</v>
      </c>
      <c r="N21" s="31">
        <v>9</v>
      </c>
      <c r="O21" s="32">
        <f>IF(十五音韻母對照表!$G21="", 0, LEN(十五音韻母對照表!$G21))</f>
        <v>2</v>
      </c>
      <c r="P21" s="18"/>
      <c r="Q21" s="22" t="str">
        <v>19</v>
      </c>
      <c r="R21" s="22" t="str">
        <v>猿</v>
      </c>
      <c r="S21" s="22" t="str">
        <v>uan</v>
      </c>
      <c r="T21" s="22" t="str">
        <v>觀</v>
      </c>
      <c r="U21" s="22" t="str">
        <v>ㄨㄢ</v>
      </c>
      <c r="V21" s="22" t="str">
        <v>uan</v>
      </c>
      <c r="W21" s="22" t="str">
        <v>uan</v>
      </c>
      <c r="X21" s="22" t="str">
        <v>oan</v>
      </c>
      <c r="Y21" s="22" t="str">
        <v>uan</v>
      </c>
      <c r="Z21" s="22" t="str">
        <v>uan</v>
      </c>
      <c r="AA21" s="22" t="str">
        <v>舒聲
（平/上/去）</v>
      </c>
      <c r="AB21" s="22" t="str">
        <v>觀舒</v>
      </c>
      <c r="AC21" s="22" t="str">
        <v>10</v>
      </c>
      <c r="AD21" s="18"/>
      <c r="AE21" s="18"/>
      <c r="AF21" s="18" t="str">
        <f xml:space="preserve"> IF(AND(MOD(B21,2)&lt;&gt;1, G21&lt;&gt;""), "", _xlfn.CONCAT("""", 十五音韻母對照表!$E21, """", " : [", """", 十五音韻母對照表!$G21, """", ", """, G22, """", "],"))</f>
        <v/>
      </c>
      <c r="AG21" s="18"/>
      <c r="AH21" s="18" t="str">
        <v>"甘" : ["am", "ap"],</v>
      </c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</row>
    <row r="22" spans="2:45" ht="54" customHeight="1">
      <c r="B22" s="60">
        <v>19</v>
      </c>
      <c r="C22" s="23" t="s">
        <v>1523</v>
      </c>
      <c r="D22" s="24" t="s">
        <v>603</v>
      </c>
      <c r="E22" s="25" t="s">
        <v>478</v>
      </c>
      <c r="F22" s="26" t="s">
        <v>1524</v>
      </c>
      <c r="G22" s="27" t="s">
        <v>603</v>
      </c>
      <c r="H22" s="28" t="s">
        <v>603</v>
      </c>
      <c r="I22" s="28" t="s">
        <v>1525</v>
      </c>
      <c r="J22" s="28" t="s">
        <v>603</v>
      </c>
      <c r="K22" s="28" t="s">
        <v>1643</v>
      </c>
      <c r="L22" s="29" t="s">
        <v>1608</v>
      </c>
      <c r="M22" s="30" t="str">
        <f>十五音韻母對照表!$E22&amp;LEFT(十五音韻母對照表!$L22,1)</f>
        <v>觀舒</v>
      </c>
      <c r="N22" s="31">
        <v>10</v>
      </c>
      <c r="O22" s="32">
        <f>IF(十五音韻母對照表!$G22="", 0, LEN(十五音韻母對照表!$G22))</f>
        <v>3</v>
      </c>
      <c r="P22" s="18"/>
      <c r="Q22" s="22" t="str">
        <v>20</v>
      </c>
      <c r="R22" s="22" t="str">
        <v>說</v>
      </c>
      <c r="S22" s="22" t="str">
        <v>uat̚</v>
      </c>
      <c r="T22" s="22" t="str">
        <v>觀</v>
      </c>
      <c r="U22" s="22" t="str">
        <v>ㄨㄚㆵ</v>
      </c>
      <c r="V22" s="22" t="str">
        <v>uat</v>
      </c>
      <c r="W22" s="22" t="str">
        <v>uat</v>
      </c>
      <c r="X22" s="22" t="str">
        <v>oat</v>
      </c>
      <c r="Y22" s="22" t="str">
        <v>uat</v>
      </c>
      <c r="Z22" s="22" t="str">
        <v>uat</v>
      </c>
      <c r="AA22" s="22" t="str">
        <v>促聲
（入）</v>
      </c>
      <c r="AB22" s="22" t="str">
        <v>觀促</v>
      </c>
      <c r="AC22" s="22" t="str">
        <v>10</v>
      </c>
      <c r="AD22" s="18"/>
      <c r="AE22" s="18"/>
      <c r="AF22" s="18" t="str">
        <f xml:space="preserve"> IF(AND(MOD(B22,2)&lt;&gt;1, G22&lt;&gt;""), "", _xlfn.CONCAT("""", 十五音韻母對照表!$E22, """", " : [", """", 十五音韻母對照表!$G22, """", ", """, G23, """", "],"))</f>
        <v>"觀" : ["uan", "uat"],</v>
      </c>
      <c r="AG22" s="18"/>
      <c r="AH22" s="18" t="str">
        <v>"瓜" : ["ua", "uah"],</v>
      </c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</row>
    <row r="23" spans="2:45" ht="54" customHeight="1">
      <c r="B23" s="60">
        <v>20</v>
      </c>
      <c r="C23" s="23" t="s">
        <v>1644</v>
      </c>
      <c r="D23" s="24" t="s">
        <v>1544</v>
      </c>
      <c r="E23" s="25" t="s">
        <v>478</v>
      </c>
      <c r="F23" s="26" t="s">
        <v>1545</v>
      </c>
      <c r="G23" s="27" t="s">
        <v>592</v>
      </c>
      <c r="H23" s="28" t="s">
        <v>592</v>
      </c>
      <c r="I23" s="28" t="s">
        <v>1546</v>
      </c>
      <c r="J23" s="28" t="s">
        <v>592</v>
      </c>
      <c r="K23" s="28" t="s">
        <v>1645</v>
      </c>
      <c r="L23" s="29" t="s">
        <v>1611</v>
      </c>
      <c r="M23" s="30" t="str">
        <f>十五音韻母對照表!$E23&amp;LEFT(十五音韻母對照表!$L23,1)</f>
        <v>觀促</v>
      </c>
      <c r="N23" s="31">
        <v>10</v>
      </c>
      <c r="O23" s="32">
        <f>IF(十五音韻母對照表!$G23="", 0, LEN(十五音韻母對照表!$G23))</f>
        <v>3</v>
      </c>
      <c r="P23" s="18"/>
      <c r="Q23" s="22" t="str">
        <v>21</v>
      </c>
      <c r="R23" s="22" t="str">
        <v>捕</v>
      </c>
      <c r="S23" s="22" t="str">
        <v>ou</v>
      </c>
      <c r="T23" s="22" t="str">
        <v>沽</v>
      </c>
      <c r="U23" s="22" t="str">
        <v>ㆦ</v>
      </c>
      <c r="V23" s="22" t="str">
        <v>oo</v>
      </c>
      <c r="W23" s="22" t="str">
        <v>oo</v>
      </c>
      <c r="X23" s="22" t="str">
        <v>o͘</v>
      </c>
      <c r="Y23" s="22" t="str">
        <v>oo</v>
      </c>
      <c r="Z23" s="22" t="str">
        <v>oo</v>
      </c>
      <c r="AA23" s="22" t="str">
        <v>舒聲
（平/上/去）</v>
      </c>
      <c r="AB23" s="22" t="str">
        <v>沽舒</v>
      </c>
      <c r="AC23" s="22" t="str">
        <v>11</v>
      </c>
      <c r="AD23" s="18"/>
      <c r="AE23" s="18"/>
      <c r="AF23" s="18" t="str">
        <f xml:space="preserve"> IF(AND(MOD(B23,2)&lt;&gt;1, G23&lt;&gt;""), "", _xlfn.CONCAT("""", 十五音韻母對照表!$E23, """", " : [", """", 十五音韻母對照表!$G23, """", ", """, G24, """", "],"))</f>
        <v/>
      </c>
      <c r="AG23" s="18"/>
      <c r="AH23" s="18" t="str">
        <v>"江" : ["ang", "ak"],</v>
      </c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</row>
    <row r="24" spans="2:45" ht="54" customHeight="1">
      <c r="B24" s="60">
        <v>21</v>
      </c>
      <c r="C24" s="23" t="s">
        <v>1646</v>
      </c>
      <c r="D24" s="24" t="s">
        <v>1647</v>
      </c>
      <c r="E24" s="25" t="s">
        <v>935</v>
      </c>
      <c r="F24" s="26" t="s">
        <v>1457</v>
      </c>
      <c r="G24" s="27" t="s">
        <v>577</v>
      </c>
      <c r="H24" s="28" t="s">
        <v>577</v>
      </c>
      <c r="I24" s="28" t="s">
        <v>1458</v>
      </c>
      <c r="J24" s="28" t="s">
        <v>577</v>
      </c>
      <c r="K24" s="28" t="s">
        <v>1648</v>
      </c>
      <c r="L24" s="29" t="s">
        <v>1608</v>
      </c>
      <c r="M24" s="30" t="str">
        <f>十五音韻母對照表!$E24&amp;LEFT(十五音韻母對照表!$L24,1)</f>
        <v>沽舒</v>
      </c>
      <c r="N24" s="31">
        <v>11</v>
      </c>
      <c r="O24" s="32">
        <f>IF(十五音韻母對照表!$G24="", 0, LEN(十五音韻母對照表!$G24))</f>
        <v>2</v>
      </c>
      <c r="P24" s="18"/>
      <c r="Q24" s="22" t="str">
        <v>23</v>
      </c>
      <c r="R24" s="22" t="str">
        <v>遙</v>
      </c>
      <c r="S24" s="22" t="str">
        <v>iau</v>
      </c>
      <c r="T24" s="22" t="str">
        <v>嬌</v>
      </c>
      <c r="U24" s="22" t="str">
        <v>ㄧㄠ</v>
      </c>
      <c r="V24" s="22" t="str">
        <v>iau</v>
      </c>
      <c r="W24" s="22" t="str">
        <v>iau</v>
      </c>
      <c r="X24" s="22" t="str">
        <v>iau</v>
      </c>
      <c r="Y24" s="22" t="str">
        <v>iao</v>
      </c>
      <c r="Z24" s="22" t="str">
        <v>iau</v>
      </c>
      <c r="AA24" s="22" t="str">
        <v>舒聲
（平/上/去）</v>
      </c>
      <c r="AB24" s="22" t="str">
        <v>嬌舒</v>
      </c>
      <c r="AC24" s="22" t="str">
        <v>12</v>
      </c>
      <c r="AD24" s="18"/>
      <c r="AE24" s="18"/>
      <c r="AF24" s="18" t="str">
        <f xml:space="preserve"> IF(AND(MOD(B24,2)&lt;&gt;1, G24&lt;&gt;""), "", _xlfn.CONCAT("""", 十五音韻母對照表!$E24, """", " : [", """", 十五音韻母對照表!$G24, """", ", """, G25, """", "],"))</f>
        <v>"沽" : ["oo", ""],</v>
      </c>
      <c r="AG24" s="18"/>
      <c r="AH24" s="18" t="str">
        <v>"兼" : ["iam", "iap"],</v>
      </c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</row>
    <row r="25" spans="2:45" ht="54" customHeight="1">
      <c r="B25" s="60">
        <v>22</v>
      </c>
      <c r="C25" s="36"/>
      <c r="D25" s="37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2">
        <f>IF(十五音韻母對照表!$G25="", 0, LEN(十五音韻母對照表!$G25))</f>
        <v>0</v>
      </c>
      <c r="P25" s="18"/>
      <c r="Q25" s="22" t="str">
        <v>24</v>
      </c>
      <c r="R25" s="22" t="str">
        <v>噭</v>
      </c>
      <c r="S25" s="22" t="str">
        <v>iau?</v>
      </c>
      <c r="T25" s="22" t="str">
        <v>嬌</v>
      </c>
      <c r="U25" s="22" t="str">
        <v>ㄧㄠㆷ</v>
      </c>
      <c r="V25" s="22" t="str">
        <v>iauh</v>
      </c>
      <c r="W25" s="22" t="str">
        <v>iauh</v>
      </c>
      <c r="X25" s="22" t="str">
        <v>iauh</v>
      </c>
      <c r="Y25" s="22" t="str">
        <v>iaoh</v>
      </c>
      <c r="Z25" s="22" t="str">
        <v>iauh</v>
      </c>
      <c r="AA25" s="22" t="str">
        <v>促聲
（入）</v>
      </c>
      <c r="AB25" s="22" t="str">
        <v>嬌促</v>
      </c>
      <c r="AC25" s="22" t="str">
        <v>12</v>
      </c>
      <c r="AD25" s="18"/>
      <c r="AE25" s="18"/>
      <c r="AF25" s="18"/>
      <c r="AG25" s="18"/>
      <c r="AH25" s="18" t="str">
        <v>"交" : ["au", "auh"],</v>
      </c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</row>
    <row r="26" spans="2:45" ht="54" customHeight="1">
      <c r="B26" s="60">
        <v>23</v>
      </c>
      <c r="C26" s="23" t="s">
        <v>1276</v>
      </c>
      <c r="D26" s="24" t="s">
        <v>633</v>
      </c>
      <c r="E26" s="25" t="s">
        <v>959</v>
      </c>
      <c r="F26" s="26" t="s">
        <v>1277</v>
      </c>
      <c r="G26" s="27" t="s">
        <v>633</v>
      </c>
      <c r="H26" s="28" t="s">
        <v>633</v>
      </c>
      <c r="I26" s="28" t="s">
        <v>633</v>
      </c>
      <c r="J26" s="28" t="s">
        <v>1278</v>
      </c>
      <c r="K26" s="28" t="s">
        <v>1649</v>
      </c>
      <c r="L26" s="29" t="s">
        <v>1608</v>
      </c>
      <c r="M26" s="30" t="str">
        <f>十五音韻母對照表!$E26&amp;LEFT(十五音韻母對照表!$L26,1)</f>
        <v>嬌舒</v>
      </c>
      <c r="N26" s="31">
        <v>12</v>
      </c>
      <c r="O26" s="32">
        <f>IF(十五音韻母對照表!$G26="", 0, LEN(十五音韻母對照表!$G26))</f>
        <v>3</v>
      </c>
      <c r="P26" s="18"/>
      <c r="Q26" s="22" t="str">
        <v>25</v>
      </c>
      <c r="R26" s="22" t="str">
        <v>遞</v>
      </c>
      <c r="S26" s="22" t="str">
        <v>ei</v>
      </c>
      <c r="T26" s="22" t="str">
        <v>稽</v>
      </c>
      <c r="U26" s="22" t="str">
        <v>ㆤ</v>
      </c>
      <c r="V26" s="22" t="str">
        <v>ei</v>
      </c>
      <c r="W26" s="22" t="str">
        <v>e</v>
      </c>
      <c r="X26" s="22" t="str">
        <v>e</v>
      </c>
      <c r="Y26" s="22" t="str">
        <v>e</v>
      </c>
      <c r="Z26" s="22" t="str">
        <v>e</v>
      </c>
      <c r="AA26" s="22" t="str">
        <v>舒聲
（平/上/去）</v>
      </c>
      <c r="AB26" s="22" t="str">
        <v>稽舒</v>
      </c>
      <c r="AC26" s="22" t="str">
        <v>13</v>
      </c>
      <c r="AD26" s="18"/>
      <c r="AE26" s="18"/>
      <c r="AF26" s="18" t="str">
        <f xml:space="preserve"> IF(AND(MOD(B26,2)&lt;&gt;1, G26&lt;&gt;""), "", _xlfn.CONCAT("""", 十五音韻母對照表!$E26, """", " : [", """", 十五音韻母對照表!$G26, """", ", """, G27, """", "],"))</f>
        <v>"嬌" : ["iau", "iauh"],</v>
      </c>
      <c r="AG26" s="18"/>
      <c r="AH26" s="18" t="str">
        <v>"迦" : ["ia", "iah"],</v>
      </c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</row>
    <row r="27" spans="2:45" ht="54" customHeight="1">
      <c r="B27" s="60">
        <v>24</v>
      </c>
      <c r="C27" s="35" t="s">
        <v>1650</v>
      </c>
      <c r="D27" s="24" t="s">
        <v>1281</v>
      </c>
      <c r="E27" s="25" t="s">
        <v>959</v>
      </c>
      <c r="F27" s="26" t="s">
        <v>1282</v>
      </c>
      <c r="G27" s="27" t="s">
        <v>1283</v>
      </c>
      <c r="H27" s="28" t="s">
        <v>1283</v>
      </c>
      <c r="I27" s="28" t="s">
        <v>1283</v>
      </c>
      <c r="J27" s="28" t="s">
        <v>1284</v>
      </c>
      <c r="K27" s="28" t="s">
        <v>1651</v>
      </c>
      <c r="L27" s="29" t="s">
        <v>1611</v>
      </c>
      <c r="M27" s="30" t="str">
        <f>十五音韻母對照表!$E27&amp;LEFT(十五音韻母對照表!$L27,1)</f>
        <v>嬌促</v>
      </c>
      <c r="N27" s="31">
        <v>12</v>
      </c>
      <c r="O27" s="32">
        <f>IF(十五音韻母對照表!$G27="", 0, LEN(十五音韻母對照表!$G27))</f>
        <v>4</v>
      </c>
      <c r="P27" s="18"/>
      <c r="Q27" s="22" t="str">
        <v>27</v>
      </c>
      <c r="R27" s="22" t="str">
        <v>中</v>
      </c>
      <c r="S27" s="22" t="str">
        <v>iɔŋ</v>
      </c>
      <c r="T27" s="22" t="str">
        <v>恭</v>
      </c>
      <c r="U27" s="22" t="str">
        <v>ㄧㆲ</v>
      </c>
      <c r="V27" s="22" t="str">
        <v>iong</v>
      </c>
      <c r="W27" s="22" t="str">
        <v>iong</v>
      </c>
      <c r="X27" s="22" t="str">
        <v>iong</v>
      </c>
      <c r="Y27" s="22" t="str">
        <v>iong</v>
      </c>
      <c r="Z27" s="22" t="str">
        <v>iong</v>
      </c>
      <c r="AA27" s="22" t="str">
        <v>舒聲
（平/上/去）</v>
      </c>
      <c r="AB27" s="22" t="str">
        <v>恭舒</v>
      </c>
      <c r="AC27" s="22" t="str">
        <v>14</v>
      </c>
      <c r="AD27" s="18"/>
      <c r="AE27" s="18"/>
      <c r="AF27" s="18" t="str">
        <f xml:space="preserve"> IF(AND(MOD(B27,2)&lt;&gt;1, G27&lt;&gt;""), "", _xlfn.CONCAT("""", 十五音韻母對照表!$E27, """", " : [", """", 十五音韻母對照表!$G27, """", ", """, G28, """", "],"))</f>
        <v/>
      </c>
      <c r="AG27" s="18"/>
      <c r="AH27" s="18" t="str">
        <v>"檜" : ["ue", "ueh"],</v>
      </c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</row>
    <row r="28" spans="2:45" ht="54" customHeight="1">
      <c r="B28" s="60">
        <v>25</v>
      </c>
      <c r="C28" s="23" t="s">
        <v>1212</v>
      </c>
      <c r="D28" s="24" t="s">
        <v>699</v>
      </c>
      <c r="E28" s="25" t="s">
        <v>1004</v>
      </c>
      <c r="F28" s="26" t="s">
        <v>1652</v>
      </c>
      <c r="G28" s="33" t="s">
        <v>699</v>
      </c>
      <c r="H28" s="28" t="s">
        <v>1622</v>
      </c>
      <c r="I28" s="28" t="s">
        <v>1622</v>
      </c>
      <c r="J28" s="28" t="s">
        <v>1622</v>
      </c>
      <c r="K28" s="28" t="s">
        <v>1624</v>
      </c>
      <c r="L28" s="29" t="s">
        <v>1608</v>
      </c>
      <c r="M28" s="30" t="str">
        <f>十五音韻母對照表!$E28&amp;LEFT(十五音韻母對照表!$L28,1)</f>
        <v>稽舒</v>
      </c>
      <c r="N28" s="31">
        <v>13</v>
      </c>
      <c r="O28" s="34">
        <f>IF(十五音韻母對照表!$G28="", 0, LEN(十五音韻母對照表!$G28))</f>
        <v>2</v>
      </c>
      <c r="P28" s="18"/>
      <c r="Q28" s="22" t="str">
        <v>28</v>
      </c>
      <c r="R28" s="22" t="str">
        <v>俗</v>
      </c>
      <c r="S28" s="22" t="str">
        <v>iɔk̚</v>
      </c>
      <c r="T28" s="22" t="str">
        <v>恭</v>
      </c>
      <c r="U28" s="22" t="str">
        <v>ㄧㆦㆻ</v>
      </c>
      <c r="V28" s="22" t="str">
        <v>iok</v>
      </c>
      <c r="W28" s="22" t="str">
        <v>iok</v>
      </c>
      <c r="X28" s="22" t="str">
        <v>iok</v>
      </c>
      <c r="Y28" s="22" t="str">
        <v>iok</v>
      </c>
      <c r="Z28" s="22" t="str">
        <v>iok</v>
      </c>
      <c r="AA28" s="22" t="str">
        <v>促聲
（入）</v>
      </c>
      <c r="AB28" s="22" t="str">
        <v>恭促</v>
      </c>
      <c r="AC28" s="22" t="str">
        <v>14</v>
      </c>
      <c r="AD28" s="18"/>
      <c r="AE28" s="18"/>
      <c r="AF28" s="18" t="str">
        <f xml:space="preserve"> IF(AND(MOD(B28,2)&lt;&gt;1, G28&lt;&gt;""), "", _xlfn.CONCAT("""", 十五音韻母對照表!$E28, """", " : [", """", 十五音韻母對照表!$G28, """", ", """, G29, """", "],"))</f>
        <v>"稽" : ["ei", ""],</v>
      </c>
      <c r="AG28" s="18"/>
      <c r="AH28" s="18" t="str">
        <v>"監" : ["ann", "ahnn"],</v>
      </c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</row>
    <row r="29" spans="2:45" ht="54" customHeight="1">
      <c r="B29" s="60">
        <v>26</v>
      </c>
      <c r="C29" s="36"/>
      <c r="D29" s="37"/>
      <c r="E29" s="36"/>
      <c r="F29" s="42"/>
      <c r="G29" s="36"/>
      <c r="H29" s="36"/>
      <c r="I29" s="36"/>
      <c r="J29" s="36"/>
      <c r="K29" s="36"/>
      <c r="L29" s="36"/>
      <c r="M29" s="36"/>
      <c r="N29" s="36"/>
      <c r="O29" s="32">
        <f>IF(十五音韻母對照表!$G29="", 0, LEN(十五音韻母對照表!$G29))</f>
        <v>0</v>
      </c>
      <c r="P29" s="18"/>
      <c r="Q29" s="22" t="str">
        <v>29</v>
      </c>
      <c r="R29" s="22" t="str">
        <v>果</v>
      </c>
      <c r="S29" s="22" t="str">
        <v>o</v>
      </c>
      <c r="T29" s="22" t="str">
        <v>高</v>
      </c>
      <c r="U29" s="22" t="str">
        <v>ㄜ</v>
      </c>
      <c r="V29" s="22" t="str">
        <v>o</v>
      </c>
      <c r="W29" s="22" t="str">
        <v>o</v>
      </c>
      <c r="X29" s="22" t="str">
        <v>o</v>
      </c>
      <c r="Y29" s="22" t="str">
        <v>o</v>
      </c>
      <c r="Z29" s="22" t="str">
        <v>or</v>
      </c>
      <c r="AA29" s="22" t="str">
        <v>舒聲
（平/上/去）</v>
      </c>
      <c r="AB29" s="22" t="str">
        <v>高舒</v>
      </c>
      <c r="AC29" s="22" t="str">
        <v>15</v>
      </c>
      <c r="AD29" s="18"/>
      <c r="AE29" s="18"/>
      <c r="AF29" s="18"/>
      <c r="AG29" s="18"/>
      <c r="AH29" s="18" t="str">
        <v>"艍" : ["u", "uh"],</v>
      </c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</row>
    <row r="30" spans="2:45" ht="54" customHeight="1">
      <c r="B30" s="60">
        <v>27</v>
      </c>
      <c r="C30" s="23" t="s">
        <v>1653</v>
      </c>
      <c r="D30" s="24" t="s">
        <v>1654</v>
      </c>
      <c r="E30" s="25" t="s">
        <v>945</v>
      </c>
      <c r="F30" s="26" t="s">
        <v>1367</v>
      </c>
      <c r="G30" s="27" t="s">
        <v>612</v>
      </c>
      <c r="H30" s="28" t="s">
        <v>612</v>
      </c>
      <c r="I30" s="28" t="s">
        <v>612</v>
      </c>
      <c r="J30" s="28" t="s">
        <v>612</v>
      </c>
      <c r="K30" s="28" t="s">
        <v>1655</v>
      </c>
      <c r="L30" s="29" t="s">
        <v>1608</v>
      </c>
      <c r="M30" s="30" t="str">
        <f>十五音韻母對照表!$E30&amp;LEFT(十五音韻母對照表!$L30,1)</f>
        <v>恭舒</v>
      </c>
      <c r="N30" s="31">
        <v>14</v>
      </c>
      <c r="O30" s="32">
        <f>IF(十五音韻母對照表!$G30="", 0, LEN(十五音韻母對照表!$G30))</f>
        <v>4</v>
      </c>
      <c r="P30" s="18"/>
      <c r="Q30" s="22" t="str">
        <v>30</v>
      </c>
      <c r="R30" s="22" t="str">
        <v>卜</v>
      </c>
      <c r="S30" s="22" t="str">
        <v>o?</v>
      </c>
      <c r="T30" s="22" t="str">
        <v>高</v>
      </c>
      <c r="U30" s="22" t="str">
        <v>ㄜㆷ</v>
      </c>
      <c r="V30" s="22" t="str">
        <v>oh</v>
      </c>
      <c r="W30" s="22" t="str">
        <v>oh</v>
      </c>
      <c r="X30" s="22" t="str">
        <v>oh</v>
      </c>
      <c r="Y30" s="22" t="str">
        <v>oh</v>
      </c>
      <c r="Z30" s="22" t="str">
        <v>orh</v>
      </c>
      <c r="AA30" s="22" t="str">
        <v>促聲
（入）</v>
      </c>
      <c r="AB30" s="22" t="str">
        <v>高促</v>
      </c>
      <c r="AC30" s="22" t="str">
        <v>15</v>
      </c>
      <c r="AD30" s="18"/>
      <c r="AE30" s="18"/>
      <c r="AF30" s="18" t="str">
        <f xml:space="preserve"> IF(AND(MOD(B30,2)&lt;&gt;1, G30&lt;&gt;""), "", _xlfn.CONCAT("""", 十五音韻母對照表!$E30, """", " : [", """", 十五音韻母對照表!$G30, """", ", """, G31, """", "],"))</f>
        <v>"恭" : ["iong", "iok"],</v>
      </c>
      <c r="AG30" s="18"/>
      <c r="AH30" s="18" t="str">
        <v>"膠" : ["a", "ah"],</v>
      </c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</row>
    <row r="31" spans="2:45" ht="54" customHeight="1">
      <c r="B31" s="60">
        <v>28</v>
      </c>
      <c r="C31" s="23" t="s">
        <v>1656</v>
      </c>
      <c r="D31" s="24" t="s">
        <v>1657</v>
      </c>
      <c r="E31" s="25" t="s">
        <v>945</v>
      </c>
      <c r="F31" s="26" t="s">
        <v>1362</v>
      </c>
      <c r="G31" s="27" t="s">
        <v>627</v>
      </c>
      <c r="H31" s="28" t="s">
        <v>627</v>
      </c>
      <c r="I31" s="28" t="s">
        <v>627</v>
      </c>
      <c r="J31" s="28" t="s">
        <v>627</v>
      </c>
      <c r="K31" s="28" t="s">
        <v>1658</v>
      </c>
      <c r="L31" s="29" t="s">
        <v>1611</v>
      </c>
      <c r="M31" s="30" t="str">
        <f>十五音韻母對照表!$E31&amp;LEFT(十五音韻母對照表!$L31,1)</f>
        <v>恭促</v>
      </c>
      <c r="N31" s="31">
        <v>14</v>
      </c>
      <c r="O31" s="32">
        <f>IF(十五音韻母對照表!$G31="", 0, LEN(十五音韻母對照表!$G31))</f>
        <v>3</v>
      </c>
      <c r="P31" s="18"/>
      <c r="Q31" s="22" t="str">
        <v>31</v>
      </c>
      <c r="R31" s="22" t="str">
        <v>埃</v>
      </c>
      <c r="S31" s="22" t="str">
        <v>ai</v>
      </c>
      <c r="T31" s="22" t="str">
        <v>皆</v>
      </c>
      <c r="U31" s="22" t="str">
        <v>ㄞ</v>
      </c>
      <c r="V31" s="22" t="str">
        <v>ai</v>
      </c>
      <c r="W31" s="22" t="str">
        <v>ai</v>
      </c>
      <c r="X31" s="22" t="str">
        <v>ai</v>
      </c>
      <c r="Y31" s="22" t="str">
        <v>ai</v>
      </c>
      <c r="Z31" s="22" t="str">
        <v>ai</v>
      </c>
      <c r="AA31" s="22" t="str">
        <v>舒聲
（平/上/去）</v>
      </c>
      <c r="AB31" s="22" t="str">
        <v>皆舒</v>
      </c>
      <c r="AC31" s="22" t="str">
        <v>16</v>
      </c>
      <c r="AD31" s="18"/>
      <c r="AE31" s="18"/>
      <c r="AF31" s="18" t="str">
        <f xml:space="preserve"> IF(AND(MOD(B31,2)&lt;&gt;1, G31&lt;&gt;""), "", _xlfn.CONCAT("""", 十五音韻母對照表!$E31, """", " : [", """", 十五音韻母對照表!$G31, """", ", """, G32, """", "],"))</f>
        <v/>
      </c>
      <c r="AG31" s="18"/>
      <c r="AH31" s="18" t="str">
        <v>"居" : ["i", "ih"],</v>
      </c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</row>
    <row r="32" spans="2:45" ht="54" customHeight="1">
      <c r="B32" s="60">
        <v>29</v>
      </c>
      <c r="C32" s="23" t="s">
        <v>1410</v>
      </c>
      <c r="D32" s="24" t="s">
        <v>1659</v>
      </c>
      <c r="E32" s="25" t="s">
        <v>956</v>
      </c>
      <c r="F32" s="26" t="s">
        <v>1411</v>
      </c>
      <c r="G32" s="27" t="s">
        <v>621</v>
      </c>
      <c r="H32" s="28" t="s">
        <v>621</v>
      </c>
      <c r="I32" s="28" t="s">
        <v>621</v>
      </c>
      <c r="J32" s="28" t="s">
        <v>621</v>
      </c>
      <c r="K32" s="28" t="s">
        <v>1660</v>
      </c>
      <c r="L32" s="29" t="s">
        <v>1608</v>
      </c>
      <c r="M32" s="30" t="str">
        <f>十五音韻母對照表!$E32&amp;LEFT(十五音韻母對照表!$L32,1)</f>
        <v>高舒</v>
      </c>
      <c r="N32" s="31">
        <v>15</v>
      </c>
      <c r="O32" s="32">
        <f>IF(十五音韻母對照表!$G32="", 0, LEN(十五音韻母對照表!$G32))</f>
        <v>1</v>
      </c>
      <c r="P32" s="18"/>
      <c r="Q32" s="22" t="str">
        <v>33</v>
      </c>
      <c r="R32" s="22" t="str">
        <v>恩</v>
      </c>
      <c r="S32" s="22" t="str">
        <v>in</v>
      </c>
      <c r="T32" s="22" t="str">
        <v>巾</v>
      </c>
      <c r="U32" s="22" t="str">
        <v>ㄧㄣ</v>
      </c>
      <c r="V32" s="22" t="str">
        <v>in</v>
      </c>
      <c r="W32" s="22" t="str">
        <v>in</v>
      </c>
      <c r="X32" s="22" t="str">
        <v>in</v>
      </c>
      <c r="Y32" s="22" t="str">
        <v>in</v>
      </c>
      <c r="Z32" s="22" t="str">
        <v>in</v>
      </c>
      <c r="AA32" s="22" t="str">
        <v>舒聲
（平/上/去）</v>
      </c>
      <c r="AB32" s="22" t="str">
        <v>巾舒</v>
      </c>
      <c r="AC32" s="22" t="str">
        <v>17</v>
      </c>
      <c r="AD32" s="18"/>
      <c r="AE32" s="18"/>
      <c r="AF32" s="18" t="str">
        <f xml:space="preserve"> IF(AND(MOD(B32,2)&lt;&gt;1, G32&lt;&gt;""), "", _xlfn.CONCAT("""", 十五音韻母對照表!$E32, """", " : [", """", 十五音韻母對照表!$G32, """", ", """, G33, """", "],"))</f>
        <v>"高" : ["o", "oh"],</v>
      </c>
      <c r="AG32" s="18"/>
      <c r="AH32" s="18" t="str">
        <v>"丩" : ["iu", ""],</v>
      </c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</row>
    <row r="33" spans="2:45" ht="54" customHeight="1">
      <c r="B33" s="60">
        <v>30</v>
      </c>
      <c r="C33" s="39" t="s">
        <v>1661</v>
      </c>
      <c r="D33" s="24" t="s">
        <v>1662</v>
      </c>
      <c r="E33" s="25" t="s">
        <v>956</v>
      </c>
      <c r="F33" s="26" t="s">
        <v>1417</v>
      </c>
      <c r="G33" s="27" t="s">
        <v>1418</v>
      </c>
      <c r="H33" s="28" t="s">
        <v>1418</v>
      </c>
      <c r="I33" s="28" t="s">
        <v>1418</v>
      </c>
      <c r="J33" s="28" t="s">
        <v>1418</v>
      </c>
      <c r="K33" s="28" t="s">
        <v>1663</v>
      </c>
      <c r="L33" s="29" t="s">
        <v>1611</v>
      </c>
      <c r="M33" s="30" t="str">
        <f>十五音韻母對照表!$E33&amp;LEFT(十五音韻母對照表!$L33,1)</f>
        <v>高促</v>
      </c>
      <c r="N33" s="31">
        <v>15</v>
      </c>
      <c r="O33" s="32">
        <f>IF(十五音韻母對照表!$G33="", 0, LEN(十五音韻母對照表!$G33))</f>
        <v>2</v>
      </c>
      <c r="P33" s="18"/>
      <c r="Q33" s="22" t="str">
        <v>34</v>
      </c>
      <c r="R33" s="22" t="str">
        <v>一</v>
      </c>
      <c r="S33" s="22" t="str">
        <v>it̚</v>
      </c>
      <c r="T33" s="22" t="str">
        <v>巾</v>
      </c>
      <c r="U33" s="22" t="str">
        <v>ㄧㆵ</v>
      </c>
      <c r="V33" s="22" t="str">
        <v>it</v>
      </c>
      <c r="W33" s="22" t="str">
        <v>it</v>
      </c>
      <c r="X33" s="22" t="str">
        <v>it</v>
      </c>
      <c r="Y33" s="22" t="str">
        <v>it</v>
      </c>
      <c r="Z33" s="22" t="str">
        <v>it</v>
      </c>
      <c r="AA33" s="22" t="str">
        <v>促聲
（入）</v>
      </c>
      <c r="AB33" s="22" t="str">
        <v>巾促</v>
      </c>
      <c r="AC33" s="22" t="str">
        <v>17</v>
      </c>
      <c r="AD33" s="18"/>
      <c r="AE33" s="18"/>
      <c r="AF33" s="18" t="str">
        <f xml:space="preserve"> IF(AND(MOD(B33,2)&lt;&gt;1, G33&lt;&gt;""), "", _xlfn.CONCAT("""", 十五音韻母對照表!$E33, """", " : [", """", 十五音韻母對照表!$G33, """", ", """, G34, """", "],"))</f>
        <v/>
      </c>
      <c r="AG33" s="18"/>
      <c r="AH33" s="18" t="str">
        <v>"更" : ["enn", "ehnn"],</v>
      </c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</row>
    <row r="34" spans="2:45" ht="54" customHeight="1">
      <c r="B34" s="60">
        <v>31</v>
      </c>
      <c r="C34" s="23" t="s">
        <v>1101</v>
      </c>
      <c r="D34" s="24" t="s">
        <v>616</v>
      </c>
      <c r="E34" s="25" t="s">
        <v>492</v>
      </c>
      <c r="F34" s="26" t="s">
        <v>1102</v>
      </c>
      <c r="G34" s="27" t="s">
        <v>616</v>
      </c>
      <c r="H34" s="28" t="s">
        <v>616</v>
      </c>
      <c r="I34" s="28" t="s">
        <v>616</v>
      </c>
      <c r="J34" s="28" t="s">
        <v>616</v>
      </c>
      <c r="K34" s="28" t="s">
        <v>1664</v>
      </c>
      <c r="L34" s="29" t="s">
        <v>1608</v>
      </c>
      <c r="M34" s="30" t="str">
        <f>十五音韻母對照表!$E34&amp;LEFT(十五音韻母對照表!$L34,1)</f>
        <v>皆舒</v>
      </c>
      <c r="N34" s="31">
        <v>16</v>
      </c>
      <c r="O34" s="32">
        <f>IF(十五音韻母對照表!$G34="", 0, LEN(十五音韻母對照表!$G34))</f>
        <v>2</v>
      </c>
      <c r="P34" s="18"/>
      <c r="Q34" s="22" t="str">
        <v>35</v>
      </c>
      <c r="R34" s="22" t="str">
        <v>將</v>
      </c>
      <c r="S34" s="22" t="str">
        <v>iaŋ</v>
      </c>
      <c r="T34" s="22" t="str">
        <v>姜</v>
      </c>
      <c r="U34" s="22" t="str">
        <v>ㄧㄤ</v>
      </c>
      <c r="V34" s="22" t="str">
        <v>iang</v>
      </c>
      <c r="W34" s="22" t="str">
        <v>iang</v>
      </c>
      <c r="X34" s="22" t="str">
        <v>iang</v>
      </c>
      <c r="Y34" s="22" t="str">
        <v>iang</v>
      </c>
      <c r="Z34" s="22" t="str">
        <v>iang</v>
      </c>
      <c r="AA34" s="22" t="str">
        <v>舒聲
（平/上/去）</v>
      </c>
      <c r="AB34" s="22" t="str">
        <v>姜舒</v>
      </c>
      <c r="AC34" s="22" t="str">
        <v>18</v>
      </c>
      <c r="AD34" s="18"/>
      <c r="AE34" s="18"/>
      <c r="AF34" s="18" t="str">
        <f xml:space="preserve"> IF(AND(MOD(B34,2)&lt;&gt;1, G34&lt;&gt;""), "", _xlfn.CONCAT("""", 十五音韻母對照表!$E34, """", " : [", """", 十五音韻母對照表!$G34, """", ", """, G35, """", "],"))</f>
        <v>"皆" : ["ai", ""],</v>
      </c>
      <c r="AG34" s="18"/>
      <c r="AH34" s="18" t="str">
        <v>"褌" : ["uinn", ""],</v>
      </c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</row>
    <row r="35" spans="2:45" ht="54" customHeight="1">
      <c r="B35" s="60">
        <v>32</v>
      </c>
      <c r="C35" s="36"/>
      <c r="D35" s="37"/>
      <c r="E35" s="36"/>
      <c r="F35" s="42"/>
      <c r="G35" s="36"/>
      <c r="H35" s="36"/>
      <c r="I35" s="36"/>
      <c r="J35" s="36"/>
      <c r="K35" s="36"/>
      <c r="L35" s="36"/>
      <c r="M35" s="36"/>
      <c r="N35" s="36"/>
      <c r="O35" s="32">
        <f>IF(十五音韻母對照表!$G35="", 0, LEN(十五音韻母對照表!$G35))</f>
        <v>0</v>
      </c>
      <c r="P35" s="18"/>
      <c r="Q35" s="22" t="str">
        <v>36</v>
      </c>
      <c r="R35" s="22" t="str">
        <v>爆</v>
      </c>
      <c r="S35" s="22" t="str">
        <v>iak̚</v>
      </c>
      <c r="T35" s="22" t="str">
        <v>姜</v>
      </c>
      <c r="U35" s="22" t="str">
        <v>ㄧㄚㆻ</v>
      </c>
      <c r="V35" s="22" t="str">
        <v>iak</v>
      </c>
      <c r="W35" s="22" t="str">
        <v>iak</v>
      </c>
      <c r="X35" s="22" t="str">
        <v>iak</v>
      </c>
      <c r="Y35" s="22" t="str">
        <v>iak</v>
      </c>
      <c r="Z35" s="22" t="str">
        <v>iak</v>
      </c>
      <c r="AA35" s="22" t="str">
        <v>促聲
（入）</v>
      </c>
      <c r="AB35" s="22" t="str">
        <v>姜促</v>
      </c>
      <c r="AC35" s="22" t="str">
        <v>18</v>
      </c>
      <c r="AD35" s="18"/>
      <c r="AE35" s="18"/>
      <c r="AF35" s="18"/>
      <c r="AG35" s="18"/>
      <c r="AH35" s="18" t="str">
        <v>"茄" : ["io", "ioh"],</v>
      </c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</row>
    <row r="36" spans="2:45" ht="54" customHeight="1">
      <c r="B36" s="60">
        <v>33</v>
      </c>
      <c r="C36" s="39" t="s">
        <v>1330</v>
      </c>
      <c r="D36" s="24" t="s">
        <v>712</v>
      </c>
      <c r="E36" s="25" t="s">
        <v>941</v>
      </c>
      <c r="F36" s="26" t="s">
        <v>1331</v>
      </c>
      <c r="G36" s="27" t="s">
        <v>712</v>
      </c>
      <c r="H36" s="28" t="s">
        <v>712</v>
      </c>
      <c r="I36" s="28" t="s">
        <v>712</v>
      </c>
      <c r="J36" s="28" t="s">
        <v>712</v>
      </c>
      <c r="K36" s="28" t="s">
        <v>1665</v>
      </c>
      <c r="L36" s="29" t="s">
        <v>1608</v>
      </c>
      <c r="M36" s="30" t="str">
        <f>十五音韻母對照表!$E36&amp;LEFT(十五音韻母對照表!$L36,1)</f>
        <v>巾舒</v>
      </c>
      <c r="N36" s="31">
        <v>17</v>
      </c>
      <c r="O36" s="32">
        <f>IF(十五音韻母對照表!$G36="", 0, LEN(十五音韻母對照表!$G36))</f>
        <v>2</v>
      </c>
      <c r="P36" s="18"/>
      <c r="Q36" s="22" t="str">
        <v>37</v>
      </c>
      <c r="R36" s="22" t="str">
        <v>堪</v>
      </c>
      <c r="S36" s="22" t="str">
        <v>am</v>
      </c>
      <c r="T36" s="22" t="str">
        <v>甘</v>
      </c>
      <c r="U36" s="22" t="str">
        <v>ㆰ</v>
      </c>
      <c r="V36" s="22" t="str">
        <v>am</v>
      </c>
      <c r="W36" s="22" t="str">
        <v>am</v>
      </c>
      <c r="X36" s="22" t="str">
        <v>am</v>
      </c>
      <c r="Y36" s="22" t="str">
        <v>am</v>
      </c>
      <c r="Z36" s="22" t="str">
        <v>am</v>
      </c>
      <c r="AA36" s="22" t="str">
        <v>舒聲
（平/上/去）</v>
      </c>
      <c r="AB36" s="22" t="str">
        <v>甘舒</v>
      </c>
      <c r="AC36" s="22" t="str">
        <v>19</v>
      </c>
      <c r="AD36" s="18"/>
      <c r="AE36" s="18"/>
      <c r="AF36" s="18" t="str">
        <f xml:space="preserve"> IF(AND(MOD(B36,2)&lt;&gt;1, G36&lt;&gt;""), "", _xlfn.CONCAT("""", 十五音韻母對照表!$E36, """", " : [", """", 十五音韻母對照表!$G36, """", ", """, G37, """", "],"))</f>
        <v>"巾" : ["in", "it"],</v>
      </c>
      <c r="AG36" s="18"/>
      <c r="AH36" s="18" t="str">
        <v>"梔" : ["inn", "ihnn"],</v>
      </c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</row>
    <row r="37" spans="2:45" ht="54" customHeight="1">
      <c r="B37" s="60">
        <v>34</v>
      </c>
      <c r="C37" s="23" t="s">
        <v>1666</v>
      </c>
      <c r="D37" s="24" t="s">
        <v>1383</v>
      </c>
      <c r="E37" s="25" t="s">
        <v>941</v>
      </c>
      <c r="F37" s="26" t="s">
        <v>1384</v>
      </c>
      <c r="G37" s="27" t="s">
        <v>589</v>
      </c>
      <c r="H37" s="28" t="s">
        <v>589</v>
      </c>
      <c r="I37" s="28" t="s">
        <v>589</v>
      </c>
      <c r="J37" s="28" t="s">
        <v>589</v>
      </c>
      <c r="K37" s="28" t="s">
        <v>1667</v>
      </c>
      <c r="L37" s="29" t="s">
        <v>1611</v>
      </c>
      <c r="M37" s="30" t="str">
        <f>十五音韻母對照表!$E37&amp;LEFT(十五音韻母對照表!$L37,1)</f>
        <v>巾促</v>
      </c>
      <c r="N37" s="31">
        <v>17</v>
      </c>
      <c r="O37" s="32">
        <f>IF(十五音韻母對照表!$G37="", 0, LEN(十五音韻母對照表!$G37))</f>
        <v>2</v>
      </c>
      <c r="P37" s="18"/>
      <c r="Q37" s="22" t="str">
        <v>38</v>
      </c>
      <c r="R37" s="22" t="str">
        <v>答</v>
      </c>
      <c r="S37" s="22" t="str">
        <v>ap̚</v>
      </c>
      <c r="T37" s="22" t="str">
        <v>甘</v>
      </c>
      <c r="U37" s="22" t="str">
        <v>ㄚㆴ</v>
      </c>
      <c r="V37" s="22" t="str">
        <v>ap</v>
      </c>
      <c r="W37" s="22" t="str">
        <v>ap</v>
      </c>
      <c r="X37" s="22" t="str">
        <v>ap</v>
      </c>
      <c r="Y37" s="22" t="str">
        <v>ap</v>
      </c>
      <c r="Z37" s="22" t="str">
        <v>ap</v>
      </c>
      <c r="AA37" s="22" t="str">
        <v>促聲
（入）</v>
      </c>
      <c r="AB37" s="22" t="str">
        <v>甘促</v>
      </c>
      <c r="AC37" s="22" t="str">
        <v>19</v>
      </c>
      <c r="AD37" s="18"/>
      <c r="AE37" s="18"/>
      <c r="AF37" s="18" t="str">
        <f xml:space="preserve"> IF(AND(MOD(B37,2)&lt;&gt;1, G37&lt;&gt;""), "", _xlfn.CONCAT("""", 十五音韻母對照表!$E37, """", " : [", """", 十五音韻母對照表!$G37, """", ", """, G38, """", "],"))</f>
        <v/>
      </c>
      <c r="AG37" s="18"/>
      <c r="AH37" s="18" t="str">
        <v>"薑" : ["ionn", ""],</v>
      </c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</row>
    <row r="38" spans="2:45" ht="54" customHeight="1">
      <c r="B38" s="60">
        <v>35</v>
      </c>
      <c r="C38" s="35" t="s">
        <v>1668</v>
      </c>
      <c r="D38" s="24" t="s">
        <v>1669</v>
      </c>
      <c r="E38" s="25" t="s">
        <v>1240</v>
      </c>
      <c r="F38" s="26" t="s">
        <v>1257</v>
      </c>
      <c r="G38" s="27" t="s">
        <v>1258</v>
      </c>
      <c r="H38" s="28" t="s">
        <v>1258</v>
      </c>
      <c r="I38" s="28" t="s">
        <v>1258</v>
      </c>
      <c r="J38" s="28" t="s">
        <v>1258</v>
      </c>
      <c r="K38" s="28" t="s">
        <v>1670</v>
      </c>
      <c r="L38" s="29" t="s">
        <v>1608</v>
      </c>
      <c r="M38" s="30" t="str">
        <f>十五音韻母對照表!$E38&amp;LEFT(十五音韻母對照表!$L38,1)</f>
        <v>姜舒</v>
      </c>
      <c r="N38" s="31">
        <v>18</v>
      </c>
      <c r="O38" s="32">
        <f>IF(十五音韻母對照表!$G38="", 0, LEN(十五音韻母對照表!$G38))</f>
        <v>4</v>
      </c>
      <c r="P38" s="18"/>
      <c r="Q38" s="22" t="str">
        <v>39</v>
      </c>
      <c r="R38" s="22" t="str">
        <v>花</v>
      </c>
      <c r="S38" s="22" t="str">
        <v>ua</v>
      </c>
      <c r="T38" s="22" t="str">
        <v>瓜</v>
      </c>
      <c r="U38" s="22" t="str">
        <v>ㄨㄚ</v>
      </c>
      <c r="V38" s="22" t="str">
        <v>ua</v>
      </c>
      <c r="W38" s="22" t="str">
        <v>ua</v>
      </c>
      <c r="X38" s="22" t="str">
        <v>oa</v>
      </c>
      <c r="Y38" s="22" t="str">
        <v>ua</v>
      </c>
      <c r="Z38" s="22" t="str">
        <v>ua</v>
      </c>
      <c r="AA38" s="22" t="str">
        <v>舒聲
（平/上/去）</v>
      </c>
      <c r="AB38" s="22" t="str">
        <v>瓜舒</v>
      </c>
      <c r="AC38" s="22" t="str">
        <v>20</v>
      </c>
      <c r="AD38" s="18"/>
      <c r="AE38" s="18"/>
      <c r="AF38" s="18" t="str">
        <f xml:space="preserve"> IF(AND(MOD(B38,2)&lt;&gt;1, G38&lt;&gt;""), "", _xlfn.CONCAT("""", 十五音韻母對照表!$E38, """", " : [", """", 十五音韻母對照表!$G38, """", ", """, G39, """", "],"))</f>
        <v>"姜" : ["iang", "iak"],</v>
      </c>
      <c r="AG38" s="18"/>
      <c r="AH38" s="18" t="str">
        <v>"驚" : ["iann", ""],</v>
      </c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</row>
    <row r="39" spans="2:45" ht="54" customHeight="1">
      <c r="B39" s="60">
        <v>36</v>
      </c>
      <c r="C39" s="35" t="s">
        <v>1671</v>
      </c>
      <c r="D39" s="24" t="s">
        <v>1239</v>
      </c>
      <c r="E39" s="25" t="s">
        <v>1240</v>
      </c>
      <c r="F39" s="26" t="s">
        <v>1241</v>
      </c>
      <c r="G39" s="27" t="s">
        <v>1242</v>
      </c>
      <c r="H39" s="28" t="s">
        <v>1242</v>
      </c>
      <c r="I39" s="28" t="s">
        <v>1242</v>
      </c>
      <c r="J39" s="28" t="s">
        <v>1242</v>
      </c>
      <c r="K39" s="28" t="s">
        <v>1672</v>
      </c>
      <c r="L39" s="29" t="s">
        <v>1611</v>
      </c>
      <c r="M39" s="30" t="str">
        <f>十五音韻母對照表!$E39&amp;LEFT(十五音韻母對照表!$L39,1)</f>
        <v>姜促</v>
      </c>
      <c r="N39" s="31">
        <v>18</v>
      </c>
      <c r="O39" s="32">
        <f>IF(十五音韻母對照表!$G39="", 0, LEN(十五音韻母對照表!$G39))</f>
        <v>3</v>
      </c>
      <c r="P39" s="18"/>
      <c r="Q39" s="22" t="str">
        <v>40</v>
      </c>
      <c r="R39" s="22" t="str">
        <v>缽</v>
      </c>
      <c r="S39" s="22" t="str">
        <v>ua?</v>
      </c>
      <c r="T39" s="22" t="str">
        <v>瓜</v>
      </c>
      <c r="U39" s="22" t="str">
        <v>ㄨㄚㆷ</v>
      </c>
      <c r="V39" s="22" t="str">
        <v>uah</v>
      </c>
      <c r="W39" s="22" t="str">
        <v>uah</v>
      </c>
      <c r="X39" s="22" t="str">
        <v>oah</v>
      </c>
      <c r="Y39" s="22" t="str">
        <v>uah</v>
      </c>
      <c r="Z39" s="22" t="str">
        <v>uah</v>
      </c>
      <c r="AA39" s="22" t="str">
        <v>促聲
（入）</v>
      </c>
      <c r="AB39" s="22" t="str">
        <v>瓜促</v>
      </c>
      <c r="AC39" s="22" t="str">
        <v>20</v>
      </c>
      <c r="AD39" s="18"/>
      <c r="AE39" s="18"/>
      <c r="AF39" s="18" t="str">
        <f xml:space="preserve"> IF(AND(MOD(B39,2)&lt;&gt;1, G39&lt;&gt;""), "", _xlfn.CONCAT("""", 十五音韻母對照表!$E39, """", " : [", """", 十五音韻母對照表!$G39, """", ", """, G40, """", "],"))</f>
        <v/>
      </c>
      <c r="AG39" s="18"/>
      <c r="AH39" s="18" t="str">
        <v>"官" : ["uann", ""],</v>
      </c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</row>
    <row r="40" spans="2:45" ht="54" customHeight="1">
      <c r="B40" s="60">
        <v>37</v>
      </c>
      <c r="C40" s="23" t="s">
        <v>1123</v>
      </c>
      <c r="D40" s="24" t="s">
        <v>752</v>
      </c>
      <c r="E40" s="25" t="s">
        <v>991</v>
      </c>
      <c r="F40" s="26" t="s">
        <v>1124</v>
      </c>
      <c r="G40" s="27" t="s">
        <v>752</v>
      </c>
      <c r="H40" s="28" t="s">
        <v>752</v>
      </c>
      <c r="I40" s="28" t="s">
        <v>752</v>
      </c>
      <c r="J40" s="28" t="s">
        <v>752</v>
      </c>
      <c r="K40" s="28" t="s">
        <v>1673</v>
      </c>
      <c r="L40" s="29" t="s">
        <v>1608</v>
      </c>
      <c r="M40" s="30" t="str">
        <f>十五音韻母對照表!$E40&amp;LEFT(十五音韻母對照表!$L40,1)</f>
        <v>甘舒</v>
      </c>
      <c r="N40" s="31">
        <v>19</v>
      </c>
      <c r="O40" s="32">
        <f>IF(十五音韻母對照表!$G40="", 0, LEN(十五音韻母對照表!$G40))</f>
        <v>2</v>
      </c>
      <c r="P40" s="18"/>
      <c r="Q40" s="22" t="str">
        <v>41</v>
      </c>
      <c r="R40" s="22" t="str">
        <v>邦</v>
      </c>
      <c r="S40" s="22" t="str">
        <v>aŋ</v>
      </c>
      <c r="T40" s="22" t="str">
        <v>江</v>
      </c>
      <c r="U40" s="22" t="str">
        <v>ㄤ</v>
      </c>
      <c r="V40" s="22" t="str">
        <v>ang</v>
      </c>
      <c r="W40" s="22" t="str">
        <v>ang</v>
      </c>
      <c r="X40" s="22" t="str">
        <v>ang</v>
      </c>
      <c r="Y40" s="22" t="str">
        <v>ang</v>
      </c>
      <c r="Z40" s="22" t="str">
        <v>ang</v>
      </c>
      <c r="AA40" s="22" t="str">
        <v>舒聲
（平/上/去）</v>
      </c>
      <c r="AB40" s="22" t="str">
        <v>江舒</v>
      </c>
      <c r="AC40" s="22" t="str">
        <v>21</v>
      </c>
      <c r="AD40" s="18"/>
      <c r="AE40" s="18"/>
      <c r="AF40" s="18" t="str">
        <f xml:space="preserve"> IF(AND(MOD(B40,2)&lt;&gt;1, G40&lt;&gt;""), "", _xlfn.CONCAT("""", 十五音韻母對照表!$E40, """", " : [", """", 十五音韻母對照表!$G40, """", ", """, G41, """", "],"))</f>
        <v>"甘" : ["am", "ap"],</v>
      </c>
      <c r="AG40" s="18"/>
      <c r="AH40" s="18" t="str">
        <v>"鋼" : ["ng", ""],</v>
      </c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</row>
    <row r="41" spans="2:45" ht="54" customHeight="1">
      <c r="B41" s="60">
        <v>38</v>
      </c>
      <c r="C41" s="23" t="s">
        <v>1674</v>
      </c>
      <c r="D41" s="24" t="s">
        <v>1146</v>
      </c>
      <c r="E41" s="25" t="s">
        <v>991</v>
      </c>
      <c r="F41" s="26" t="s">
        <v>1147</v>
      </c>
      <c r="G41" s="27" t="s">
        <v>1148</v>
      </c>
      <c r="H41" s="28" t="s">
        <v>1148</v>
      </c>
      <c r="I41" s="28" t="s">
        <v>1148</v>
      </c>
      <c r="J41" s="28" t="s">
        <v>1148</v>
      </c>
      <c r="K41" s="28" t="s">
        <v>1675</v>
      </c>
      <c r="L41" s="29" t="s">
        <v>1611</v>
      </c>
      <c r="M41" s="30" t="str">
        <f>十五音韻母對照表!$E41&amp;LEFT(十五音韻母對照表!$L41,1)</f>
        <v>甘促</v>
      </c>
      <c r="N41" s="31">
        <v>19</v>
      </c>
      <c r="O41" s="32">
        <f>IF(十五音韻母對照表!$G41="", 0, LEN(十五音韻母對照表!$G41))</f>
        <v>2</v>
      </c>
      <c r="P41" s="18"/>
      <c r="Q41" s="22" t="str">
        <v>42</v>
      </c>
      <c r="R41" s="22" t="str">
        <v>角</v>
      </c>
      <c r="S41" s="22" t="str">
        <v>ak̚</v>
      </c>
      <c r="T41" s="22" t="str">
        <v>江</v>
      </c>
      <c r="U41" s="22" t="str">
        <v>ㄚㆻ</v>
      </c>
      <c r="V41" s="22" t="str">
        <v>ak</v>
      </c>
      <c r="W41" s="22" t="str">
        <v>ak</v>
      </c>
      <c r="X41" s="22" t="str">
        <v>ak</v>
      </c>
      <c r="Y41" s="22" t="str">
        <v>ak</v>
      </c>
      <c r="Z41" s="22" t="str">
        <v>ak</v>
      </c>
      <c r="AA41" s="22" t="str">
        <v>促聲
（入）</v>
      </c>
      <c r="AB41" s="22" t="str">
        <v>江促</v>
      </c>
      <c r="AC41" s="22" t="str">
        <v>21</v>
      </c>
      <c r="AD41" s="18"/>
      <c r="AE41" s="18"/>
      <c r="AF41" s="18" t="str">
        <f xml:space="preserve"> IF(AND(MOD(B41,2)&lt;&gt;1, G41&lt;&gt;""), "", _xlfn.CONCAT("""", 十五音韻母對照表!$E41, """", " : [", """", 十五音韻母對照表!$G41, """", ", """, G42, """", "],"))</f>
        <v/>
      </c>
      <c r="AG41" s="18"/>
      <c r="AH41" s="18" t="str">
        <v>"伽" : ["e", "eh"],</v>
      </c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</row>
    <row r="42" spans="2:45" ht="54" customHeight="1">
      <c r="B42" s="60">
        <v>39</v>
      </c>
      <c r="C42" s="39" t="s">
        <v>1477</v>
      </c>
      <c r="D42" s="24" t="s">
        <v>685</v>
      </c>
      <c r="E42" s="25" t="s">
        <v>974</v>
      </c>
      <c r="F42" s="26" t="s">
        <v>1478</v>
      </c>
      <c r="G42" s="27" t="s">
        <v>685</v>
      </c>
      <c r="H42" s="28" t="s">
        <v>685</v>
      </c>
      <c r="I42" s="28" t="s">
        <v>1479</v>
      </c>
      <c r="J42" s="28" t="s">
        <v>685</v>
      </c>
      <c r="K42" s="28" t="s">
        <v>1676</v>
      </c>
      <c r="L42" s="29" t="s">
        <v>1608</v>
      </c>
      <c r="M42" s="30" t="str">
        <f>十五音韻母對照表!$E42&amp;LEFT(十五音韻母對照表!$L42,1)</f>
        <v>瓜舒</v>
      </c>
      <c r="N42" s="31">
        <v>20</v>
      </c>
      <c r="O42" s="32">
        <f>IF(十五音韻母對照表!$G42="", 0, LEN(十五音韻母對照表!$G42))</f>
        <v>2</v>
      </c>
      <c r="P42" s="18"/>
      <c r="Q42" s="22" t="str">
        <v>43</v>
      </c>
      <c r="R42" s="22" t="str">
        <v>尖</v>
      </c>
      <c r="S42" s="22" t="str">
        <v>iam</v>
      </c>
      <c r="T42" s="22" t="str">
        <v>兼</v>
      </c>
      <c r="U42" s="22" t="str">
        <v>ㄧㆰ</v>
      </c>
      <c r="V42" s="22" t="str">
        <v>iam</v>
      </c>
      <c r="W42" s="22" t="str">
        <v>iam</v>
      </c>
      <c r="X42" s="22" t="str">
        <v>iam</v>
      </c>
      <c r="Y42" s="22" t="str">
        <v>iam</v>
      </c>
      <c r="Z42" s="22" t="str">
        <v>iam</v>
      </c>
      <c r="AA42" s="22" t="str">
        <v>舒聲
（平/上/去）</v>
      </c>
      <c r="AB42" s="22" t="str">
        <v>兼舒</v>
      </c>
      <c r="AC42" s="22" t="str">
        <v>22</v>
      </c>
      <c r="AD42" s="18"/>
      <c r="AE42" s="18"/>
      <c r="AF42" s="18" t="str">
        <f xml:space="preserve"> IF(AND(MOD(B42,2)&lt;&gt;1, G42&lt;&gt;""), "", _xlfn.CONCAT("""", 十五音韻母對照表!$E42, """", " : [", """", 十五音韻母對照表!$G42, """", ", """, G43, """", "],"))</f>
        <v>"瓜" : ["ua", "uah"],</v>
      </c>
      <c r="AG42" s="18"/>
      <c r="AH42" s="18" t="str">
        <v>"閒" : ["ainn", ""],</v>
      </c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</row>
    <row r="43" spans="2:45" ht="54" customHeight="1">
      <c r="B43" s="60">
        <v>40</v>
      </c>
      <c r="C43" s="23" t="s">
        <v>1677</v>
      </c>
      <c r="D43" s="24" t="s">
        <v>1483</v>
      </c>
      <c r="E43" s="25" t="s">
        <v>974</v>
      </c>
      <c r="F43" s="26" t="s">
        <v>1484</v>
      </c>
      <c r="G43" s="27" t="s">
        <v>1485</v>
      </c>
      <c r="H43" s="28" t="s">
        <v>1485</v>
      </c>
      <c r="I43" s="28" t="s">
        <v>1486</v>
      </c>
      <c r="J43" s="28" t="s">
        <v>1485</v>
      </c>
      <c r="K43" s="28" t="s">
        <v>1678</v>
      </c>
      <c r="L43" s="29" t="s">
        <v>1611</v>
      </c>
      <c r="M43" s="30" t="str">
        <f>十五音韻母對照表!$E43&amp;LEFT(十五音韻母對照表!$L43,1)</f>
        <v>瓜促</v>
      </c>
      <c r="N43" s="31">
        <v>20</v>
      </c>
      <c r="O43" s="32">
        <f>IF(十五音韻母對照表!$G43="", 0, LEN(十五音韻母對照表!$G43))</f>
        <v>3</v>
      </c>
      <c r="P43" s="18"/>
      <c r="Q43" s="22" t="str">
        <v>44</v>
      </c>
      <c r="R43" s="22" t="str">
        <v>接</v>
      </c>
      <c r="S43" s="22" t="str">
        <v>iap̚</v>
      </c>
      <c r="T43" s="22" t="str">
        <v>兼</v>
      </c>
      <c r="U43" s="22" t="str">
        <v>ㄧㄚㆴ</v>
      </c>
      <c r="V43" s="22" t="str">
        <v>iap</v>
      </c>
      <c r="W43" s="22" t="str">
        <v>iap</v>
      </c>
      <c r="X43" s="22" t="str">
        <v>iap</v>
      </c>
      <c r="Y43" s="22" t="str">
        <v>iap</v>
      </c>
      <c r="Z43" s="22" t="str">
        <v>iap</v>
      </c>
      <c r="AA43" s="22" t="str">
        <v>促聲
（入）</v>
      </c>
      <c r="AB43" s="22" t="str">
        <v>兼促</v>
      </c>
      <c r="AC43" s="22" t="str">
        <v>22</v>
      </c>
      <c r="AD43" s="18"/>
      <c r="AE43" s="18"/>
      <c r="AF43" s="18" t="str">
        <f xml:space="preserve"> IF(AND(MOD(B43,2)&lt;&gt;1, G43&lt;&gt;""), "", _xlfn.CONCAT("""", 十五音韻母對照表!$E43, """", " : [", """", 十五音韻母對照表!$G43, """", ", """, G44, """", "],"))</f>
        <v/>
      </c>
      <c r="AG43" s="18"/>
      <c r="AH43" s="18" t="str">
        <v>"姑" : ["oonn", ""],</v>
      </c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</row>
    <row r="44" spans="2:45" ht="54" customHeight="1">
      <c r="B44" s="60">
        <v>41</v>
      </c>
      <c r="C44" s="23" t="s">
        <v>1679</v>
      </c>
      <c r="D44" s="24" t="s">
        <v>1680</v>
      </c>
      <c r="E44" s="25" t="s">
        <v>118</v>
      </c>
      <c r="F44" s="26" t="s">
        <v>1134</v>
      </c>
      <c r="G44" s="27" t="s">
        <v>655</v>
      </c>
      <c r="H44" s="28" t="s">
        <v>655</v>
      </c>
      <c r="I44" s="28" t="s">
        <v>655</v>
      </c>
      <c r="J44" s="28" t="s">
        <v>655</v>
      </c>
      <c r="K44" s="28" t="s">
        <v>1681</v>
      </c>
      <c r="L44" s="29" t="s">
        <v>1608</v>
      </c>
      <c r="M44" s="30" t="str">
        <f>十五音韻母對照表!$E44&amp;LEFT(十五音韻母對照表!$L44,1)</f>
        <v>江舒</v>
      </c>
      <c r="N44" s="31">
        <v>21</v>
      </c>
      <c r="O44" s="32">
        <f>IF(十五音韻母對照表!$G44="", 0, LEN(十五音韻母對照表!$G44))</f>
        <v>3</v>
      </c>
      <c r="P44" s="18"/>
      <c r="Q44" s="22" t="str">
        <v>45</v>
      </c>
      <c r="R44" s="22" t="str">
        <v>鬧</v>
      </c>
      <c r="S44" s="22" t="str">
        <v>au</v>
      </c>
      <c r="T44" s="22" t="str">
        <v>交</v>
      </c>
      <c r="U44" s="22" t="str">
        <v>ㄠ</v>
      </c>
      <c r="V44" s="22" t="str">
        <v>au</v>
      </c>
      <c r="W44" s="22" t="str">
        <v>au</v>
      </c>
      <c r="X44" s="22" t="str">
        <v>au</v>
      </c>
      <c r="Y44" s="22" t="str">
        <v>ao</v>
      </c>
      <c r="Z44" s="22" t="str">
        <v>au</v>
      </c>
      <c r="AA44" s="22" t="str">
        <v>舒聲
（平/上/去）</v>
      </c>
      <c r="AB44" s="22" t="str">
        <v>交舒</v>
      </c>
      <c r="AC44" s="22" t="str">
        <v>23</v>
      </c>
      <c r="AD44" s="18"/>
      <c r="AE44" s="18"/>
      <c r="AF44" s="18" t="str">
        <f xml:space="preserve"> IF(AND(MOD(B44,2)&lt;&gt;1, G44&lt;&gt;""), "", _xlfn.CONCAT("""", 十五音韻母對照表!$E44, """", " : [", """", 十五音韻母對照表!$G44, """", ", """, G45, """", "],"))</f>
        <v>"江" : ["ang", "ak"],</v>
      </c>
      <c r="AG44" s="18"/>
      <c r="AH44" s="18" t="str">
        <v>"姆" : ["m", ""],</v>
      </c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</row>
    <row r="45" spans="2:45" ht="54" customHeight="1">
      <c r="B45" s="60">
        <v>42</v>
      </c>
      <c r="C45" s="23" t="s">
        <v>1682</v>
      </c>
      <c r="D45" s="24" t="s">
        <v>1117</v>
      </c>
      <c r="E45" s="25" t="s">
        <v>118</v>
      </c>
      <c r="F45" s="26" t="s">
        <v>1118</v>
      </c>
      <c r="G45" s="27" t="s">
        <v>1119</v>
      </c>
      <c r="H45" s="28" t="s">
        <v>1119</v>
      </c>
      <c r="I45" s="28" t="s">
        <v>1119</v>
      </c>
      <c r="J45" s="28" t="s">
        <v>1119</v>
      </c>
      <c r="K45" s="28" t="s">
        <v>1683</v>
      </c>
      <c r="L45" s="29" t="s">
        <v>1611</v>
      </c>
      <c r="M45" s="30" t="str">
        <f>十五音韻母對照表!$E45&amp;LEFT(十五音韻母對照表!$L45,1)</f>
        <v>江促</v>
      </c>
      <c r="N45" s="31">
        <v>21</v>
      </c>
      <c r="O45" s="32">
        <f>IF(十五音韻母對照表!$G45="", 0, LEN(十五音韻母對照表!$G45))</f>
        <v>2</v>
      </c>
      <c r="P45" s="18"/>
      <c r="Q45" s="22" t="str">
        <v>46</v>
      </c>
      <c r="R45" s="22" t="str">
        <v>暴</v>
      </c>
      <c r="S45" s="22" t="str">
        <v>au?</v>
      </c>
      <c r="T45" s="22" t="str">
        <v>交</v>
      </c>
      <c r="U45" s="22" t="str">
        <v>ㄠㆷ</v>
      </c>
      <c r="V45" s="22" t="str">
        <v>auh</v>
      </c>
      <c r="W45" s="22" t="str">
        <v>auh</v>
      </c>
      <c r="X45" s="22" t="str">
        <v>auh</v>
      </c>
      <c r="Y45" s="22" t="str">
        <v>aoh</v>
      </c>
      <c r="Z45" s="22" t="str">
        <v>auh</v>
      </c>
      <c r="AA45" s="22" t="str">
        <v>促聲
（入）</v>
      </c>
      <c r="AB45" s="22" t="str">
        <v>交促</v>
      </c>
      <c r="AC45" s="22" t="str">
        <v>23</v>
      </c>
      <c r="AD45" s="18"/>
      <c r="AE45" s="18"/>
      <c r="AF45" s="18" t="str">
        <f xml:space="preserve"> IF(AND(MOD(B45,2)&lt;&gt;1, G45&lt;&gt;""), "", _xlfn.CONCAT("""", 十五音韻母對照表!$E45, """", " : [", """", 十五音韻母對照表!$G45, """", ", """, G46, """", "],"))</f>
        <v/>
      </c>
      <c r="AG45" s="18"/>
      <c r="AH45" s="18" t="str">
        <v>"光" : ["uang", "uak"],</v>
      </c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</row>
    <row r="46" spans="2:45" ht="54" customHeight="1">
      <c r="B46" s="60">
        <v>43</v>
      </c>
      <c r="C46" s="23" t="s">
        <v>1684</v>
      </c>
      <c r="D46" s="24" t="s">
        <v>735</v>
      </c>
      <c r="E46" s="25" t="s">
        <v>964</v>
      </c>
      <c r="F46" s="26" t="s">
        <v>1247</v>
      </c>
      <c r="G46" s="27" t="s">
        <v>735</v>
      </c>
      <c r="H46" s="28" t="s">
        <v>735</v>
      </c>
      <c r="I46" s="28" t="s">
        <v>735</v>
      </c>
      <c r="J46" s="28" t="s">
        <v>735</v>
      </c>
      <c r="K46" s="28" t="s">
        <v>1685</v>
      </c>
      <c r="L46" s="29" t="s">
        <v>1608</v>
      </c>
      <c r="M46" s="30" t="str">
        <f>十五音韻母對照表!$E46&amp;LEFT(十五音韻母對照表!$L46,1)</f>
        <v>兼舒</v>
      </c>
      <c r="N46" s="31">
        <v>22</v>
      </c>
      <c r="O46" s="32">
        <f>IF(十五音韻母對照表!$G46="", 0, LEN(十五音韻母對照表!$G46))</f>
        <v>3</v>
      </c>
      <c r="P46" s="18"/>
      <c r="Q46" s="22" t="str">
        <v>47</v>
      </c>
      <c r="R46" s="22" t="str">
        <v>名</v>
      </c>
      <c r="S46" s="22" t="str">
        <v>ia</v>
      </c>
      <c r="T46" s="22" t="str">
        <v>迦</v>
      </c>
      <c r="U46" s="22" t="str">
        <v>ㄧㄚ</v>
      </c>
      <c r="V46" s="22" t="str">
        <v>ia</v>
      </c>
      <c r="W46" s="22" t="str">
        <v>ia</v>
      </c>
      <c r="X46" s="22" t="str">
        <v>ia</v>
      </c>
      <c r="Y46" s="22" t="str">
        <v>ia</v>
      </c>
      <c r="Z46" s="22" t="str">
        <v>ia</v>
      </c>
      <c r="AA46" s="22" t="str">
        <v>舒聲
（平/上/去）</v>
      </c>
      <c r="AB46" s="22" t="str">
        <v>迦舒</v>
      </c>
      <c r="AC46" s="22" t="str">
        <v>24</v>
      </c>
      <c r="AD46" s="18"/>
      <c r="AE46" s="18"/>
      <c r="AF46" s="18" t="str">
        <f xml:space="preserve"> IF(AND(MOD(B46,2)&lt;&gt;1, G46&lt;&gt;""), "", _xlfn.CONCAT("""", 十五音韻母對照表!$E46, """", " : [", """", 十五音韻母對照表!$G46, """", ", """, G47, """", "],"))</f>
        <v>"兼" : ["iam", "iap"],</v>
      </c>
      <c r="AG46" s="18"/>
      <c r="AH46" s="18" t="str">
        <v>"閂" : ["uainn", "uaihnn"],</v>
      </c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</row>
    <row r="47" spans="2:45" ht="54" customHeight="1">
      <c r="B47" s="60">
        <v>44</v>
      </c>
      <c r="C47" s="23" t="s">
        <v>1686</v>
      </c>
      <c r="D47" s="24" t="s">
        <v>1268</v>
      </c>
      <c r="E47" s="25" t="s">
        <v>964</v>
      </c>
      <c r="F47" s="26" t="s">
        <v>1269</v>
      </c>
      <c r="G47" s="27" t="s">
        <v>658</v>
      </c>
      <c r="H47" s="28" t="s">
        <v>658</v>
      </c>
      <c r="I47" s="28" t="s">
        <v>658</v>
      </c>
      <c r="J47" s="28" t="s">
        <v>658</v>
      </c>
      <c r="K47" s="28" t="s">
        <v>1687</v>
      </c>
      <c r="L47" s="29" t="s">
        <v>1611</v>
      </c>
      <c r="M47" s="30" t="str">
        <f>十五音韻母對照表!$E47&amp;LEFT(十五音韻母對照表!$L47,1)</f>
        <v>兼促</v>
      </c>
      <c r="N47" s="31">
        <v>22</v>
      </c>
      <c r="O47" s="32">
        <f>IF(十五音韻母對照表!$G47="", 0, LEN(十五音韻母對照表!$G47))</f>
        <v>3</v>
      </c>
      <c r="P47" s="18"/>
      <c r="Q47" s="22" t="str">
        <v>48</v>
      </c>
      <c r="R47" s="22" t="str">
        <v>壁</v>
      </c>
      <c r="S47" s="22" t="str">
        <v>ia?</v>
      </c>
      <c r="T47" s="22" t="str">
        <v>迦</v>
      </c>
      <c r="U47" s="22" t="str">
        <v>ㄧㄚㆷ</v>
      </c>
      <c r="V47" s="22" t="str">
        <v>iah</v>
      </c>
      <c r="W47" s="22" t="str">
        <v>iah</v>
      </c>
      <c r="X47" s="22" t="str">
        <v>iah</v>
      </c>
      <c r="Y47" s="22" t="str">
        <v>iah</v>
      </c>
      <c r="Z47" s="22" t="str">
        <v>iah</v>
      </c>
      <c r="AA47" s="22" t="str">
        <v>促聲
（入）</v>
      </c>
      <c r="AB47" s="22" t="str">
        <v>迦促</v>
      </c>
      <c r="AC47" s="22" t="str">
        <v>24</v>
      </c>
      <c r="AD47" s="18"/>
      <c r="AE47" s="18"/>
      <c r="AF47" s="18" t="str">
        <f xml:space="preserve"> IF(AND(MOD(B47,2)&lt;&gt;1, G47&lt;&gt;""), "", _xlfn.CONCAT("""", 十五音韻母對照表!$E47, """", " : [", """", 十五音韻母對照表!$G47, """", ", """, G48, """", "],"))</f>
        <v/>
      </c>
      <c r="AG47" s="18"/>
      <c r="AH47" s="18" t="str">
        <v>"糜" : ["uenn", ""],</v>
      </c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</row>
    <row r="48" spans="2:45" ht="54" customHeight="1">
      <c r="B48" s="60">
        <v>45</v>
      </c>
      <c r="C48" s="23" t="s">
        <v>1157</v>
      </c>
      <c r="D48" s="24" t="s">
        <v>697</v>
      </c>
      <c r="E48" s="25" t="s">
        <v>977</v>
      </c>
      <c r="F48" s="26" t="s">
        <v>1158</v>
      </c>
      <c r="G48" s="27" t="s">
        <v>697</v>
      </c>
      <c r="H48" s="28" t="s">
        <v>697</v>
      </c>
      <c r="I48" s="28" t="s">
        <v>697</v>
      </c>
      <c r="J48" s="28" t="s">
        <v>1159</v>
      </c>
      <c r="K48" s="28" t="s">
        <v>1688</v>
      </c>
      <c r="L48" s="29" t="s">
        <v>1608</v>
      </c>
      <c r="M48" s="30" t="str">
        <f>十五音韻母對照表!$E48&amp;LEFT(十五音韻母對照表!$L48,1)</f>
        <v>交舒</v>
      </c>
      <c r="N48" s="31">
        <v>23</v>
      </c>
      <c r="O48" s="32">
        <f>IF(十五音韻母對照表!$G48="", 0, LEN(十五音韻母對照表!$G48))</f>
        <v>2</v>
      </c>
      <c r="P48" s="18"/>
      <c r="Q48" s="22" t="str">
        <v>49</v>
      </c>
      <c r="R48" s="22" t="str">
        <v>話</v>
      </c>
      <c r="S48" s="22" t="str">
        <v>uei</v>
      </c>
      <c r="T48" s="22" t="str">
        <v>檜</v>
      </c>
      <c r="U48" s="22" t="str">
        <v>ㄨㆤ</v>
      </c>
      <c r="V48" s="22" t="str">
        <v>ue</v>
      </c>
      <c r="W48" s="22" t="str">
        <v>ue</v>
      </c>
      <c r="X48" s="22" t="str">
        <v>oe</v>
      </c>
      <c r="Y48" s="22" t="str">
        <v>ue</v>
      </c>
      <c r="Z48" s="22" t="str">
        <v>ue</v>
      </c>
      <c r="AA48" s="22" t="str">
        <v>舒聲
（平/上/去）</v>
      </c>
      <c r="AB48" s="22" t="str">
        <v>檜舒</v>
      </c>
      <c r="AC48" s="22" t="str">
        <v>25</v>
      </c>
      <c r="AD48" s="18"/>
      <c r="AE48" s="18"/>
      <c r="AF48" s="18" t="str">
        <f xml:space="preserve"> IF(AND(MOD(B48,2)&lt;&gt;1, G48&lt;&gt;""), "", _xlfn.CONCAT("""", 十五音韻母對照表!$E48, """", " : [", """", 十五音韻母對照表!$G48, """", ", """, G49, """", "],"))</f>
        <v>"交" : ["au", "auh"],</v>
      </c>
      <c r="AG48" s="18"/>
      <c r="AH48" s="18" t="str">
        <v>"嘄" : ["iaunn", "iauhnn"],</v>
      </c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</row>
    <row r="49" spans="2:45" ht="54" customHeight="1">
      <c r="B49" s="60">
        <v>46</v>
      </c>
      <c r="C49" s="43" t="s">
        <v>1689</v>
      </c>
      <c r="D49" s="24" t="s">
        <v>1164</v>
      </c>
      <c r="E49" s="25" t="s">
        <v>977</v>
      </c>
      <c r="F49" s="26" t="s">
        <v>1165</v>
      </c>
      <c r="G49" s="27" t="s">
        <v>1166</v>
      </c>
      <c r="H49" s="28" t="s">
        <v>1166</v>
      </c>
      <c r="I49" s="28" t="s">
        <v>1166</v>
      </c>
      <c r="J49" s="28" t="s">
        <v>1167</v>
      </c>
      <c r="K49" s="28" t="s">
        <v>1690</v>
      </c>
      <c r="L49" s="29" t="s">
        <v>1611</v>
      </c>
      <c r="M49" s="30" t="str">
        <f>十五音韻母對照表!$E49&amp;LEFT(十五音韻母對照表!$L49,1)</f>
        <v>交促</v>
      </c>
      <c r="N49" s="31">
        <v>23</v>
      </c>
      <c r="O49" s="32">
        <f>IF(十五音韻母對照表!$G49="", 0, LEN(十五音韻母對照表!$G49))</f>
        <v>3</v>
      </c>
      <c r="P49" s="18"/>
      <c r="Q49" s="22" t="str">
        <v>50</v>
      </c>
      <c r="R49" s="22" t="str">
        <v>拔</v>
      </c>
      <c r="S49" s="22" t="str">
        <v>uei?</v>
      </c>
      <c r="T49" s="22" t="str">
        <v>檜</v>
      </c>
      <c r="U49" s="22" t="str">
        <v>ㄨㆤㆷ</v>
      </c>
      <c r="V49" s="22" t="str">
        <v>ueh</v>
      </c>
      <c r="W49" s="22" t="str">
        <v>ueh</v>
      </c>
      <c r="X49" s="22" t="str">
        <v>oeh</v>
      </c>
      <c r="Y49" s="22" t="str">
        <v>ueh</v>
      </c>
      <c r="Z49" s="22" t="str">
        <v>ueh</v>
      </c>
      <c r="AA49" s="22" t="str">
        <v>促聲
（入）</v>
      </c>
      <c r="AB49" s="22" t="str">
        <v>檜促</v>
      </c>
      <c r="AC49" s="22" t="str">
        <v>25</v>
      </c>
      <c r="AD49" s="18"/>
      <c r="AE49" s="18"/>
      <c r="AF49" s="18" t="str">
        <f xml:space="preserve"> IF(AND(MOD(B49,2)&lt;&gt;1, G49&lt;&gt;""), "", _xlfn.CONCAT("""", 十五音韻母對照表!$E49, """", " : [", """", 十五音韻母對照表!$G49, """", ", """, G50, """", "],"))</f>
        <v/>
      </c>
      <c r="AG49" s="18"/>
      <c r="AH49" s="18" t="str">
        <v>"箴" : ["om", "op"],</v>
      </c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</row>
    <row r="50" spans="2:45" ht="54" customHeight="1">
      <c r="B50" s="60">
        <v>47</v>
      </c>
      <c r="C50" s="23" t="s">
        <v>1691</v>
      </c>
      <c r="D50" s="24" t="s">
        <v>719</v>
      </c>
      <c r="E50" s="25" t="s">
        <v>982</v>
      </c>
      <c r="F50" s="26" t="s">
        <v>1230</v>
      </c>
      <c r="G50" s="27" t="s">
        <v>719</v>
      </c>
      <c r="H50" s="28" t="s">
        <v>719</v>
      </c>
      <c r="I50" s="28" t="s">
        <v>719</v>
      </c>
      <c r="J50" s="28" t="s">
        <v>719</v>
      </c>
      <c r="K50" s="28" t="s">
        <v>1692</v>
      </c>
      <c r="L50" s="29" t="s">
        <v>1608</v>
      </c>
      <c r="M50" s="30" t="str">
        <f>十五音韻母對照表!$E50&amp;LEFT(十五音韻母對照表!$L50,1)</f>
        <v>迦舒</v>
      </c>
      <c r="N50" s="31">
        <v>24</v>
      </c>
      <c r="O50" s="32">
        <f>IF(十五音韻母對照表!$G50="", 0, LEN(十五音韻母對照表!$G50))</f>
        <v>2</v>
      </c>
      <c r="P50" s="18"/>
      <c r="Q50" s="22" t="str">
        <v>51</v>
      </c>
      <c r="R50" s="22" t="str">
        <v>聽</v>
      </c>
      <c r="S50" s="22" t="str">
        <v>ã</v>
      </c>
      <c r="T50" s="22" t="str">
        <v>監</v>
      </c>
      <c r="U50" s="22" t="str">
        <v>ㆩ</v>
      </c>
      <c r="V50" s="22" t="str">
        <v>ann</v>
      </c>
      <c r="W50" s="22" t="str">
        <v>ann</v>
      </c>
      <c r="X50" s="22" t="str">
        <v>aⁿ</v>
      </c>
      <c r="Y50" s="22" t="str">
        <v>na</v>
      </c>
      <c r="Z50" s="22" t="str">
        <v>ann</v>
      </c>
      <c r="AA50" s="22" t="str">
        <v>舒聲
（平/上/去）</v>
      </c>
      <c r="AB50" s="22" t="str">
        <v>監舒</v>
      </c>
      <c r="AC50" s="22" t="str">
        <v>26</v>
      </c>
      <c r="AD50" s="18"/>
      <c r="AE50" s="18"/>
      <c r="AF50" s="18" t="str">
        <f xml:space="preserve"> IF(AND(MOD(B50,2)&lt;&gt;1, G50&lt;&gt;""), "", _xlfn.CONCAT("""", 十五音韻母對照表!$E50, """", " : [", """", 十五音韻母對照表!$G50, """", ", """, G51, """", "],"))</f>
        <v>"迦" : ["ia", "iah"],</v>
      </c>
      <c r="AG50" s="18"/>
      <c r="AH50" s="18" t="str">
        <v>"爻" : ["aunn", ""],</v>
      </c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</row>
    <row r="51" spans="2:45" ht="54" customHeight="1">
      <c r="B51" s="60">
        <v>48</v>
      </c>
      <c r="C51" s="23" t="s">
        <v>1693</v>
      </c>
      <c r="D51" s="24" t="s">
        <v>1233</v>
      </c>
      <c r="E51" s="25" t="s">
        <v>982</v>
      </c>
      <c r="F51" s="26" t="s">
        <v>1234</v>
      </c>
      <c r="G51" s="27" t="s">
        <v>1235</v>
      </c>
      <c r="H51" s="28" t="s">
        <v>1235</v>
      </c>
      <c r="I51" s="28" t="s">
        <v>1235</v>
      </c>
      <c r="J51" s="28" t="s">
        <v>1235</v>
      </c>
      <c r="K51" s="28" t="s">
        <v>1694</v>
      </c>
      <c r="L51" s="29" t="s">
        <v>1611</v>
      </c>
      <c r="M51" s="30" t="str">
        <f>十五音韻母對照表!$E51&amp;LEFT(十五音韻母對照表!$L51,1)</f>
        <v>迦促</v>
      </c>
      <c r="N51" s="31">
        <v>24</v>
      </c>
      <c r="O51" s="32">
        <f>IF(十五音韻母對照表!$G51="", 0, LEN(十五音韻母對照表!$G51))</f>
        <v>3</v>
      </c>
      <c r="P51" s="18"/>
      <c r="Q51" s="22" t="str">
        <v>52</v>
      </c>
      <c r="R51" s="22" t="str">
        <v>含</v>
      </c>
      <c r="S51" s="22" t="str">
        <v>ã?</v>
      </c>
      <c r="T51" s="22" t="str">
        <v>監</v>
      </c>
      <c r="U51" s="22" t="str">
        <v>ㆩㆷ</v>
      </c>
      <c r="V51" s="22" t="str">
        <v>ahnn</v>
      </c>
      <c r="W51" s="22" t="str">
        <v>annh</v>
      </c>
      <c r="X51" s="22" t="str">
        <v>aⁿh</v>
      </c>
      <c r="Y51" s="22" t="str">
        <v>nah</v>
      </c>
      <c r="Z51" s="22" t="str">
        <v>annh</v>
      </c>
      <c r="AA51" s="22" t="str">
        <v>促聲
（入）</v>
      </c>
      <c r="AB51" s="22" t="str">
        <v>監促</v>
      </c>
      <c r="AC51" s="22" t="str">
        <v>26</v>
      </c>
      <c r="AD51" s="18"/>
      <c r="AE51" s="18"/>
      <c r="AF51" s="18" t="str">
        <f xml:space="preserve"> IF(AND(MOD(B51,2)&lt;&gt;1, G51&lt;&gt;""), "", _xlfn.CONCAT("""", 十五音韻母對照表!$E51, """", " : [", """", 十五音韻母對照表!$G51, """", ", """, G52, """", "],"))</f>
        <v/>
      </c>
      <c r="AG51" s="18"/>
      <c r="AH51" s="18" t="str">
        <v>"扛" : ["onn", "ohnn"],</v>
      </c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</row>
    <row r="52" spans="2:45" ht="54" customHeight="1">
      <c r="B52" s="60">
        <v>49</v>
      </c>
      <c r="C52" s="23" t="s">
        <v>1695</v>
      </c>
      <c r="D52" s="24" t="s">
        <v>1696</v>
      </c>
      <c r="E52" s="25" t="s">
        <v>962</v>
      </c>
      <c r="F52" s="26" t="s">
        <v>1550</v>
      </c>
      <c r="G52" s="27" t="s">
        <v>646</v>
      </c>
      <c r="H52" s="28" t="s">
        <v>646</v>
      </c>
      <c r="I52" s="28" t="s">
        <v>1551</v>
      </c>
      <c r="J52" s="28" t="s">
        <v>646</v>
      </c>
      <c r="K52" s="28" t="s">
        <v>1697</v>
      </c>
      <c r="L52" s="29" t="s">
        <v>1608</v>
      </c>
      <c r="M52" s="30" t="str">
        <f>十五音韻母對照表!$E52&amp;LEFT(十五音韻母對照表!$L52,1)</f>
        <v>檜舒</v>
      </c>
      <c r="N52" s="31">
        <v>25</v>
      </c>
      <c r="O52" s="32">
        <f>IF(十五音韻母對照表!$G52="", 0, LEN(十五音韻母對照表!$G52))</f>
        <v>2</v>
      </c>
      <c r="P52" s="18"/>
      <c r="Q52" s="22" t="str">
        <v>53</v>
      </c>
      <c r="R52" s="22" t="str">
        <v>夫</v>
      </c>
      <c r="S52" s="22" t="str">
        <v>u</v>
      </c>
      <c r="T52" s="22" t="str">
        <v>艍</v>
      </c>
      <c r="U52" s="22" t="str">
        <v>ㄨ</v>
      </c>
      <c r="V52" s="22" t="str">
        <v>u</v>
      </c>
      <c r="W52" s="22" t="str">
        <v>u</v>
      </c>
      <c r="X52" s="22" t="str">
        <v>u</v>
      </c>
      <c r="Y52" s="22" t="str">
        <v>u</v>
      </c>
      <c r="Z52" s="22" t="str">
        <v>u</v>
      </c>
      <c r="AA52" s="22" t="str">
        <v>舒聲
（平/上/去）</v>
      </c>
      <c r="AB52" s="22" t="str">
        <v>艍舒</v>
      </c>
      <c r="AC52" s="22" t="str">
        <v>27</v>
      </c>
      <c r="AD52" s="18"/>
      <c r="AE52" s="18"/>
      <c r="AF52" s="18" t="str">
        <f xml:space="preserve"> IF(AND(MOD(B52,2)&lt;&gt;1, G52&lt;&gt;""), "", _xlfn.CONCAT("""", 十五音韻母對照表!$E52, """", " : [", """", 十五音韻母對照表!$G52, """", ", """, G53, """", "],"))</f>
        <v>"檜" : ["ue", "ueh"],</v>
      </c>
      <c r="AG52" s="18"/>
      <c r="AH52" s="18" t="str">
        <v>"牛" : ["iunn", ""],</v>
      </c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</row>
    <row r="53" spans="2:45" ht="54" customHeight="1">
      <c r="B53" s="60">
        <v>50</v>
      </c>
      <c r="C53" s="35" t="s">
        <v>1698</v>
      </c>
      <c r="D53" s="24" t="s">
        <v>1699</v>
      </c>
      <c r="E53" s="25" t="s">
        <v>962</v>
      </c>
      <c r="F53" s="26" t="s">
        <v>1555</v>
      </c>
      <c r="G53" s="27" t="s">
        <v>1556</v>
      </c>
      <c r="H53" s="28" t="s">
        <v>1556</v>
      </c>
      <c r="I53" s="28" t="s">
        <v>1557</v>
      </c>
      <c r="J53" s="28" t="s">
        <v>1556</v>
      </c>
      <c r="K53" s="28" t="s">
        <v>1700</v>
      </c>
      <c r="L53" s="29" t="s">
        <v>1611</v>
      </c>
      <c r="M53" s="30" t="str">
        <f>十五音韻母對照表!$E53&amp;LEFT(十五音韻母對照表!$L53,1)</f>
        <v>檜促</v>
      </c>
      <c r="N53" s="31">
        <v>25</v>
      </c>
      <c r="O53" s="32">
        <f>IF(十五音韻母對照表!$G53="", 0, LEN(十五音韻母對照表!$G53))</f>
        <v>3</v>
      </c>
      <c r="P53" s="18"/>
      <c r="Q53" s="22" t="str">
        <v>54</v>
      </c>
      <c r="R53" s="22" t="str">
        <v>勃</v>
      </c>
      <c r="S53" s="22" t="str">
        <v>u?</v>
      </c>
      <c r="T53" s="22" t="str">
        <v>艍</v>
      </c>
      <c r="U53" s="22" t="str">
        <v>ㄨㆷ</v>
      </c>
      <c r="V53" s="22" t="str">
        <v>uh</v>
      </c>
      <c r="W53" s="22" t="str">
        <v>uh</v>
      </c>
      <c r="X53" s="22" t="str">
        <v>uh</v>
      </c>
      <c r="Y53" s="22" t="str">
        <v>uh</v>
      </c>
      <c r="Z53" s="22" t="str">
        <v>uh</v>
      </c>
      <c r="AA53" s="22" t="str">
        <v>促聲
（入）</v>
      </c>
      <c r="AB53" s="22" t="str">
        <v>艍促</v>
      </c>
      <c r="AC53" s="22" t="str">
        <v>27</v>
      </c>
      <c r="AD53" s="18"/>
      <c r="AE53" s="18"/>
      <c r="AF53" s="18" t="str">
        <f xml:space="preserve"> IF(AND(MOD(B53,2)&lt;&gt;1, G53&lt;&gt;""), "", _xlfn.CONCAT("""", 十五音韻母對照表!$E53, """", " : [", """", 十五音韻母對照表!$G53, """", ", """, G54, """", "],"))</f>
        <v/>
      </c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</row>
    <row r="54" spans="2:45" ht="54" customHeight="1">
      <c r="B54" s="60">
        <v>51</v>
      </c>
      <c r="C54" s="35" t="s">
        <v>1701</v>
      </c>
      <c r="D54" s="24" t="s">
        <v>1138</v>
      </c>
      <c r="E54" s="25" t="s">
        <v>1092</v>
      </c>
      <c r="F54" s="26" t="s">
        <v>1139</v>
      </c>
      <c r="G54" s="27" t="s">
        <v>1140</v>
      </c>
      <c r="H54" s="28" t="s">
        <v>1140</v>
      </c>
      <c r="I54" s="28" t="s">
        <v>1702</v>
      </c>
      <c r="J54" s="28" t="s">
        <v>1142</v>
      </c>
      <c r="K54" s="28" t="s">
        <v>1703</v>
      </c>
      <c r="L54" s="29" t="s">
        <v>1608</v>
      </c>
      <c r="M54" s="30" t="str">
        <f>十五音韻母對照表!$E54&amp;LEFT(十五音韻母對照表!$L54,1)</f>
        <v>監舒</v>
      </c>
      <c r="N54" s="31">
        <v>26</v>
      </c>
      <c r="O54" s="32">
        <f>IF(十五音韻母對照表!$G54="", 0, LEN(十五音韻母對照表!$G54))</f>
        <v>3</v>
      </c>
      <c r="P54" s="18"/>
      <c r="Q54" s="22" t="str">
        <v>55</v>
      </c>
      <c r="R54" s="22" t="str">
        <v>些</v>
      </c>
      <c r="S54" s="22" t="str">
        <v>a</v>
      </c>
      <c r="T54" s="22" t="str">
        <v>膠</v>
      </c>
      <c r="U54" s="22" t="str">
        <v>ㄚ</v>
      </c>
      <c r="V54" s="22" t="str">
        <v>a</v>
      </c>
      <c r="W54" s="22" t="str">
        <v>a</v>
      </c>
      <c r="X54" s="22" t="str">
        <v>a</v>
      </c>
      <c r="Y54" s="22" t="str">
        <v>a</v>
      </c>
      <c r="Z54" s="22" t="str">
        <v>a</v>
      </c>
      <c r="AA54" s="22" t="str">
        <v>舒聲
（平/上/去）</v>
      </c>
      <c r="AB54" s="22" t="str">
        <v>膠舒</v>
      </c>
      <c r="AC54" s="22" t="str">
        <v>28</v>
      </c>
      <c r="AD54" s="18"/>
      <c r="AE54" s="18"/>
      <c r="AF54" s="18" t="str">
        <f xml:space="preserve"> IF(AND(MOD(B54,2)&lt;&gt;1, G54&lt;&gt;""), "", _xlfn.CONCAT("""", 十五音韻母對照表!$E54, """", " : [", """", 十五音韻母對照表!$G54, """", ", """, G55, """", "],"))</f>
        <v>"監" : ["ann", "ahnn"],</v>
      </c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</row>
    <row r="55" spans="2:45" ht="54" customHeight="1">
      <c r="B55" s="60">
        <v>52</v>
      </c>
      <c r="C55" s="44" t="s">
        <v>1704</v>
      </c>
      <c r="D55" s="24" t="s">
        <v>1091</v>
      </c>
      <c r="E55" s="25" t="s">
        <v>1092</v>
      </c>
      <c r="F55" s="26" t="s">
        <v>1093</v>
      </c>
      <c r="G55" s="27" t="s">
        <v>1094</v>
      </c>
      <c r="H55" s="28" t="s">
        <v>1095</v>
      </c>
      <c r="I55" s="28" t="s">
        <v>1705</v>
      </c>
      <c r="J55" s="28" t="s">
        <v>1097</v>
      </c>
      <c r="K55" s="28" t="s">
        <v>1706</v>
      </c>
      <c r="L55" s="29" t="s">
        <v>1611</v>
      </c>
      <c r="M55" s="30" t="str">
        <f>十五音韻母對照表!$E55&amp;LEFT(十五音韻母對照表!$L55,1)</f>
        <v>監促</v>
      </c>
      <c r="N55" s="31">
        <v>26</v>
      </c>
      <c r="O55" s="32">
        <f>IF(十五音韻母對照表!$G55="", 0, LEN(十五音韻母對照表!$G55))</f>
        <v>4</v>
      </c>
      <c r="P55" s="18"/>
      <c r="Q55" s="22" t="str">
        <v>56</v>
      </c>
      <c r="R55" s="22" t="str">
        <v>百</v>
      </c>
      <c r="S55" s="22" t="str">
        <v>a?</v>
      </c>
      <c r="T55" s="22" t="str">
        <v>膠</v>
      </c>
      <c r="U55" s="22" t="str">
        <v>ㄚㆷ</v>
      </c>
      <c r="V55" s="22" t="str">
        <v>ah</v>
      </c>
      <c r="W55" s="22" t="str">
        <v>ah</v>
      </c>
      <c r="X55" s="22" t="str">
        <v>ah</v>
      </c>
      <c r="Y55" s="22" t="str">
        <v>ah</v>
      </c>
      <c r="Z55" s="22" t="str">
        <v>ah</v>
      </c>
      <c r="AA55" s="22" t="str">
        <v>促聲
（入）</v>
      </c>
      <c r="AB55" s="22" t="str">
        <v>膠促</v>
      </c>
      <c r="AC55" s="22" t="str">
        <v>28</v>
      </c>
      <c r="AD55" s="18"/>
      <c r="AE55" s="18"/>
      <c r="AF55" s="18" t="str">
        <f xml:space="preserve"> IF(AND(MOD(B55,2)&lt;&gt;1, G55&lt;&gt;""), "", _xlfn.CONCAT("""", 十五音韻母對照表!$E55, """", " : [", """", 十五音韻母對照表!$G55, """", ", """, G56, """", "],"))</f>
        <v/>
      </c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</row>
    <row r="56" spans="2:45" ht="54" customHeight="1">
      <c r="B56" s="60">
        <v>53</v>
      </c>
      <c r="C56" s="23" t="s">
        <v>452</v>
      </c>
      <c r="D56" s="24" t="s">
        <v>570</v>
      </c>
      <c r="E56" s="25" t="s">
        <v>932</v>
      </c>
      <c r="F56" s="26" t="s">
        <v>1475</v>
      </c>
      <c r="G56" s="27" t="s">
        <v>570</v>
      </c>
      <c r="H56" s="28" t="s">
        <v>570</v>
      </c>
      <c r="I56" s="28" t="s">
        <v>570</v>
      </c>
      <c r="J56" s="28" t="s">
        <v>570</v>
      </c>
      <c r="K56" s="28" t="s">
        <v>1707</v>
      </c>
      <c r="L56" s="29" t="s">
        <v>1608</v>
      </c>
      <c r="M56" s="30" t="str">
        <f>十五音韻母對照表!$E56&amp;LEFT(十五音韻母對照表!$L56,1)</f>
        <v>艍舒</v>
      </c>
      <c r="N56" s="31">
        <v>27</v>
      </c>
      <c r="O56" s="32">
        <f>IF(十五音韻母對照表!$G56="", 0, LEN(十五音韻母對照表!$G56))</f>
        <v>1</v>
      </c>
      <c r="P56" s="18"/>
      <c r="Q56" s="22" t="str">
        <v>57</v>
      </c>
      <c r="R56" s="22" t="str">
        <v>爾</v>
      </c>
      <c r="S56" s="22" t="str">
        <v>i</v>
      </c>
      <c r="T56" s="22" t="str">
        <v>居</v>
      </c>
      <c r="U56" s="22" t="str">
        <v>ㄧ</v>
      </c>
      <c r="V56" s="22" t="str">
        <v>i</v>
      </c>
      <c r="W56" s="22" t="str">
        <v>i</v>
      </c>
      <c r="X56" s="22" t="str">
        <v>i</v>
      </c>
      <c r="Y56" s="22" t="str">
        <v>i</v>
      </c>
      <c r="Z56" s="22" t="str">
        <v>i</v>
      </c>
      <c r="AA56" s="22" t="str">
        <v>舒聲
（平/上/去）</v>
      </c>
      <c r="AB56" s="22" t="str">
        <v>居舒</v>
      </c>
      <c r="AC56" s="22" t="str">
        <v>29</v>
      </c>
      <c r="AD56" s="18"/>
      <c r="AE56" s="18"/>
      <c r="AF56" s="18" t="str">
        <f xml:space="preserve"> IF(AND(MOD(B56,2)&lt;&gt;1, G56&lt;&gt;""), "", _xlfn.CONCAT("""", 十五音韻母對照表!$E56, """", " : [", """", 十五音韻母對照表!$G56, """", ", """, G57, """", "],"))</f>
        <v>"艍" : ["u", "uh"],</v>
      </c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</row>
    <row r="57" spans="2:45" ht="54" customHeight="1">
      <c r="B57" s="60">
        <v>54</v>
      </c>
      <c r="C57" s="39" t="s">
        <v>1708</v>
      </c>
      <c r="D57" s="24" t="s">
        <v>1568</v>
      </c>
      <c r="E57" s="25" t="s">
        <v>932</v>
      </c>
      <c r="F57" s="26" t="s">
        <v>1569</v>
      </c>
      <c r="G57" s="27" t="s">
        <v>1570</v>
      </c>
      <c r="H57" s="28" t="s">
        <v>1570</v>
      </c>
      <c r="I57" s="28" t="s">
        <v>1570</v>
      </c>
      <c r="J57" s="28" t="s">
        <v>1570</v>
      </c>
      <c r="K57" s="28" t="s">
        <v>1709</v>
      </c>
      <c r="L57" s="29" t="s">
        <v>1611</v>
      </c>
      <c r="M57" s="30" t="str">
        <f>十五音韻母對照表!$E57&amp;LEFT(十五音韻母對照表!$L57,1)</f>
        <v>艍促</v>
      </c>
      <c r="N57" s="31">
        <v>27</v>
      </c>
      <c r="O57" s="32">
        <f>IF(十五音韻母對照表!$G57="", 0, LEN(十五音韻母對照表!$G57))</f>
        <v>2</v>
      </c>
      <c r="P57" s="18"/>
      <c r="Q57" s="22" t="str">
        <v>58</v>
      </c>
      <c r="R57" s="22" t="str">
        <v>逼</v>
      </c>
      <c r="S57" s="22" t="str">
        <v>i?</v>
      </c>
      <c r="T57" s="22" t="str">
        <v>居</v>
      </c>
      <c r="U57" s="22" t="str">
        <v>ㄧㆷ</v>
      </c>
      <c r="V57" s="22" t="str">
        <v>ih</v>
      </c>
      <c r="W57" s="22" t="str">
        <v>ih</v>
      </c>
      <c r="X57" s="22" t="str">
        <v>ih</v>
      </c>
      <c r="Y57" s="22" t="str">
        <v>ih</v>
      </c>
      <c r="Z57" s="22" t="str">
        <v>ih</v>
      </c>
      <c r="AA57" s="22" t="str">
        <v>促聲
（入）</v>
      </c>
      <c r="AB57" s="22" t="str">
        <v>居促</v>
      </c>
      <c r="AC57" s="22" t="str">
        <v>29</v>
      </c>
      <c r="AD57" s="18"/>
      <c r="AE57" s="18"/>
      <c r="AF57" s="18" t="str">
        <f xml:space="preserve"> IF(AND(MOD(B57,2)&lt;&gt;1, G57&lt;&gt;""), "", _xlfn.CONCAT("""", 十五音韻母對照表!$E57, """", " : [", """", 十五音韻母對照表!$G57, """", ", """, G58, """", "],"))</f>
        <v/>
      </c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</row>
    <row r="58" spans="2:45" ht="54" customHeight="1">
      <c r="B58" s="60">
        <v>55</v>
      </c>
      <c r="C58" s="23" t="s">
        <v>1076</v>
      </c>
      <c r="D58" s="24" t="s">
        <v>1077</v>
      </c>
      <c r="E58" s="25" t="s">
        <v>952</v>
      </c>
      <c r="F58" s="26" t="s">
        <v>1078</v>
      </c>
      <c r="G58" s="27" t="s">
        <v>1077</v>
      </c>
      <c r="H58" s="28" t="s">
        <v>1077</v>
      </c>
      <c r="I58" s="28" t="s">
        <v>1077</v>
      </c>
      <c r="J58" s="28" t="s">
        <v>1077</v>
      </c>
      <c r="K58" s="28" t="s">
        <v>1710</v>
      </c>
      <c r="L58" s="29" t="s">
        <v>1608</v>
      </c>
      <c r="M58" s="30" t="str">
        <f>十五音韻母對照表!$E58&amp;LEFT(十五音韻母對照表!$L58,1)</f>
        <v>膠舒</v>
      </c>
      <c r="N58" s="31">
        <v>28</v>
      </c>
      <c r="O58" s="32">
        <f>IF(十五音韻母對照表!$G58="", 0, LEN(十五音韻母對照表!$G58))</f>
        <v>1</v>
      </c>
      <c r="P58" s="18"/>
      <c r="Q58" s="22" t="str">
        <v>59</v>
      </c>
      <c r="R58" s="22" t="str">
        <v>油</v>
      </c>
      <c r="S58" s="22" t="str">
        <v>iu</v>
      </c>
      <c r="T58" s="22" t="str">
        <v>丩</v>
      </c>
      <c r="U58" s="22" t="str">
        <v>ㄧㄨ</v>
      </c>
      <c r="V58" s="22" t="str">
        <v>iu</v>
      </c>
      <c r="W58" s="22" t="str">
        <v>iu</v>
      </c>
      <c r="X58" s="22" t="str">
        <v>iu</v>
      </c>
      <c r="Y58" s="22" t="str">
        <v>iu</v>
      </c>
      <c r="Z58" s="22" t="str">
        <v>iu</v>
      </c>
      <c r="AA58" s="22" t="str">
        <v>舒聲
（平/上/去）</v>
      </c>
      <c r="AB58" s="22" t="str">
        <v>丩舒</v>
      </c>
      <c r="AC58" s="22" t="str">
        <v>30</v>
      </c>
      <c r="AD58" s="18"/>
      <c r="AE58" s="18"/>
      <c r="AF58" s="18" t="str">
        <f xml:space="preserve"> IF(AND(MOD(B58,2)&lt;&gt;1, G58&lt;&gt;""), "", _xlfn.CONCAT("""", 十五音韻母對照表!$E58, """", " : [", """", 十五音韻母對照表!$G58, """", ", """, G59, """", "],"))</f>
        <v>"膠" : ["a", "ah"],</v>
      </c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</row>
    <row r="59" spans="2:45" ht="54" customHeight="1">
      <c r="B59" s="60">
        <v>56</v>
      </c>
      <c r="C59" s="23" t="s">
        <v>1711</v>
      </c>
      <c r="D59" s="24" t="s">
        <v>1084</v>
      </c>
      <c r="E59" s="25" t="s">
        <v>952</v>
      </c>
      <c r="F59" s="26" t="s">
        <v>1085</v>
      </c>
      <c r="G59" s="27" t="s">
        <v>1086</v>
      </c>
      <c r="H59" s="28" t="s">
        <v>1086</v>
      </c>
      <c r="I59" s="28" t="s">
        <v>1086</v>
      </c>
      <c r="J59" s="28" t="s">
        <v>1086</v>
      </c>
      <c r="K59" s="28" t="s">
        <v>1712</v>
      </c>
      <c r="L59" s="29" t="s">
        <v>1611</v>
      </c>
      <c r="M59" s="30" t="str">
        <f>十五音韻母對照表!$E59&amp;LEFT(十五音韻母對照表!$L59,1)</f>
        <v>膠促</v>
      </c>
      <c r="N59" s="31">
        <v>28</v>
      </c>
      <c r="O59" s="32">
        <f>IF(十五音韻母對照表!$G59="", 0, LEN(十五音韻母對照表!$G59))</f>
        <v>2</v>
      </c>
      <c r="P59" s="18"/>
      <c r="Q59" s="22" t="str">
        <v>61</v>
      </c>
      <c r="R59" s="22" t="str">
        <v>爭</v>
      </c>
      <c r="S59" s="22" t="str">
        <v>ɛ̃</v>
      </c>
      <c r="T59" s="22" t="str">
        <v>更</v>
      </c>
      <c r="U59" s="22" t="str">
        <v>ㆥ</v>
      </c>
      <c r="V59" s="22" t="str">
        <v>enn</v>
      </c>
      <c r="W59" s="22" t="str">
        <v>enn</v>
      </c>
      <c r="X59" s="22" t="str">
        <v>eⁿ</v>
      </c>
      <c r="Y59" s="22" t="str">
        <v>ne</v>
      </c>
      <c r="Z59" s="22" t="str">
        <v>enn</v>
      </c>
      <c r="AA59" s="22" t="str">
        <v>舒聲
（平/上/去）</v>
      </c>
      <c r="AB59" s="22" t="str">
        <v>更舒</v>
      </c>
      <c r="AC59" s="22" t="str">
        <v>31</v>
      </c>
      <c r="AD59" s="18"/>
      <c r="AE59" s="18"/>
      <c r="AF59" s="18" t="str">
        <f xml:space="preserve"> IF(AND(MOD(B59,2)&lt;&gt;1, G59&lt;&gt;""), "", _xlfn.CONCAT("""", 十五音韻母對照表!$E59, """", " : [", """", 十五音韻母對照表!$G59, """", ", """, G60, """", "],"))</f>
        <v/>
      </c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</row>
    <row r="60" spans="2:45" ht="54" customHeight="1">
      <c r="B60" s="60">
        <v>57</v>
      </c>
      <c r="C60" s="23" t="s">
        <v>1713</v>
      </c>
      <c r="D60" s="24" t="s">
        <v>585</v>
      </c>
      <c r="E60" s="25" t="s">
        <v>939</v>
      </c>
      <c r="F60" s="26" t="s">
        <v>1225</v>
      </c>
      <c r="G60" s="27" t="s">
        <v>585</v>
      </c>
      <c r="H60" s="28" t="s">
        <v>585</v>
      </c>
      <c r="I60" s="28" t="s">
        <v>585</v>
      </c>
      <c r="J60" s="28" t="s">
        <v>585</v>
      </c>
      <c r="K60" s="28" t="s">
        <v>1714</v>
      </c>
      <c r="L60" s="29" t="s">
        <v>1608</v>
      </c>
      <c r="M60" s="30" t="str">
        <f>十五音韻母對照表!$E60&amp;LEFT(十五音韻母對照表!$L60,1)</f>
        <v>居舒</v>
      </c>
      <c r="N60" s="31">
        <v>29</v>
      </c>
      <c r="O60" s="32">
        <f>IF(十五音韻母對照表!$G60="", 0, LEN(十五音韻母對照表!$G60))</f>
        <v>1</v>
      </c>
      <c r="P60" s="18"/>
      <c r="Q60" s="22" t="str">
        <v>62</v>
      </c>
      <c r="R60" s="22" t="str">
        <v>挾</v>
      </c>
      <c r="S60" s="22" t="str">
        <v>ɛ̃?</v>
      </c>
      <c r="T60" s="22" t="str">
        <v>更</v>
      </c>
      <c r="U60" s="22" t="str">
        <v>ㆥㆷ</v>
      </c>
      <c r="V60" s="22" t="str">
        <v>ehnn</v>
      </c>
      <c r="W60" s="22" t="str">
        <v>ennh</v>
      </c>
      <c r="X60" s="22" t="str">
        <v>eⁿh</v>
      </c>
      <c r="Y60" s="22" t="str">
        <v>neh</v>
      </c>
      <c r="Z60" s="22" t="str">
        <v>ennh</v>
      </c>
      <c r="AA60" s="22" t="str">
        <v>促聲
（入）</v>
      </c>
      <c r="AB60" s="22" t="str">
        <v>更促</v>
      </c>
      <c r="AC60" s="22" t="str">
        <v>31</v>
      </c>
      <c r="AD60" s="18"/>
      <c r="AE60" s="18"/>
      <c r="AF60" s="18" t="str">
        <f xml:space="preserve"> IF(AND(MOD(B60,2)&lt;&gt;1, G60&lt;&gt;""), "", _xlfn.CONCAT("""", 十五音韻母對照表!$E60, """", " : [", """", 十五音韻母對照表!$G60, """", ", """, G61, """", "],"))</f>
        <v>"居" : ["i", "ih"],</v>
      </c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</row>
    <row r="61" spans="2:45" ht="54" customHeight="1">
      <c r="B61" s="60">
        <v>58</v>
      </c>
      <c r="C61" s="35" t="s">
        <v>1305</v>
      </c>
      <c r="D61" s="24" t="s">
        <v>1306</v>
      </c>
      <c r="E61" s="25" t="s">
        <v>939</v>
      </c>
      <c r="F61" s="26" t="s">
        <v>1307</v>
      </c>
      <c r="G61" s="27" t="s">
        <v>1308</v>
      </c>
      <c r="H61" s="28" t="s">
        <v>1308</v>
      </c>
      <c r="I61" s="28" t="s">
        <v>1308</v>
      </c>
      <c r="J61" s="28" t="s">
        <v>1308</v>
      </c>
      <c r="K61" s="28" t="s">
        <v>1715</v>
      </c>
      <c r="L61" s="29" t="s">
        <v>1611</v>
      </c>
      <c r="M61" s="30" t="str">
        <f>十五音韻母對照表!$E61&amp;LEFT(十五音韻母對照表!$L61,1)</f>
        <v>居促</v>
      </c>
      <c r="N61" s="31">
        <v>29</v>
      </c>
      <c r="O61" s="32">
        <f>IF(十五音韻母對照表!$G61="", 0, LEN(十五音韻母對照表!$G61))</f>
        <v>2</v>
      </c>
      <c r="P61" s="18"/>
      <c r="Q61" s="22" t="str">
        <v>63</v>
      </c>
      <c r="R61" s="22" t="str">
        <v>荒</v>
      </c>
      <c r="S61" s="22" t="str">
        <v>uĩ</v>
      </c>
      <c r="T61" s="22" t="str">
        <v>褌</v>
      </c>
      <c r="U61" s="22" t="str">
        <v>ㄨㆪ</v>
      </c>
      <c r="V61" s="22" t="str">
        <v>uinn</v>
      </c>
      <c r="W61" s="22" t="str">
        <v>uinn</v>
      </c>
      <c r="X61" s="22" t="str">
        <v>uiⁿ</v>
      </c>
      <c r="Y61" s="22" t="str">
        <v>nui</v>
      </c>
      <c r="Z61" s="22" t="str">
        <v>uinn</v>
      </c>
      <c r="AA61" s="22" t="str">
        <v>舒聲
（平/上/去）</v>
      </c>
      <c r="AB61" s="22" t="str">
        <v>褌舒</v>
      </c>
      <c r="AC61" s="22" t="str">
        <v>32</v>
      </c>
      <c r="AD61" s="18"/>
      <c r="AE61" s="18"/>
      <c r="AF61" s="18" t="str">
        <f xml:space="preserve"> IF(AND(MOD(B61,2)&lt;&gt;1, G61&lt;&gt;""), "", _xlfn.CONCAT("""", 十五音韻母對照表!$E61, """", " : [", """", 十五音韻母對照表!$G61, """", ", """, G62, """", "],"))</f>
        <v/>
      </c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</row>
    <row r="62" spans="2:45" ht="54" customHeight="1">
      <c r="B62" s="60">
        <v>59</v>
      </c>
      <c r="C62" s="23" t="s">
        <v>1716</v>
      </c>
      <c r="D62" s="24" t="s">
        <v>587</v>
      </c>
      <c r="E62" s="25" t="s">
        <v>940</v>
      </c>
      <c r="F62" s="26" t="s">
        <v>1388</v>
      </c>
      <c r="G62" s="27" t="s">
        <v>1717</v>
      </c>
      <c r="H62" s="28" t="s">
        <v>587</v>
      </c>
      <c r="I62" s="28" t="s">
        <v>587</v>
      </c>
      <c r="J62" s="28" t="s">
        <v>587</v>
      </c>
      <c r="K62" s="28" t="s">
        <v>1717</v>
      </c>
      <c r="L62" s="29" t="s">
        <v>1608</v>
      </c>
      <c r="M62" s="30" t="str">
        <f>十五音韻母對照表!$E62&amp;LEFT(十五音韻母對照表!$L62,1)</f>
        <v>丩舒</v>
      </c>
      <c r="N62" s="31">
        <v>30</v>
      </c>
      <c r="O62" s="32">
        <f>IF(十五音韻母對照表!$G62="", 0, LEN(十五音韻母對照表!$G62))</f>
        <v>2</v>
      </c>
      <c r="P62" s="18"/>
      <c r="Q62" s="22" t="str">
        <v>65</v>
      </c>
      <c r="R62" s="22" t="str">
        <v>少</v>
      </c>
      <c r="S62" s="22" t="str">
        <v>io</v>
      </c>
      <c r="T62" s="22" t="str">
        <v>茄</v>
      </c>
      <c r="U62" s="22" t="str">
        <v>ㄧㄜ</v>
      </c>
      <c r="V62" s="22" t="str">
        <v>io</v>
      </c>
      <c r="W62" s="22" t="str">
        <v>io</v>
      </c>
      <c r="X62" s="22" t="str">
        <v>io</v>
      </c>
      <c r="Y62" s="22" t="str">
        <v>io</v>
      </c>
      <c r="Z62" s="22" t="str">
        <v>ior</v>
      </c>
      <c r="AA62" s="22" t="str">
        <v>舒聲
（平/上/去）</v>
      </c>
      <c r="AB62" s="22" t="str">
        <v>茄舒</v>
      </c>
      <c r="AC62" s="22" t="str">
        <v>33</v>
      </c>
      <c r="AD62" s="18"/>
      <c r="AE62" s="18"/>
      <c r="AF62" s="18" t="str">
        <f xml:space="preserve"> IF(AND(MOD(B62,2)&lt;&gt;1, G62&lt;&gt;""), "", _xlfn.CONCAT("""", 十五音韻母對照表!$E62, """", " : [", """", 十五音韻母對照表!$G62, """", ", """, G63, """", "],"))</f>
        <v>"丩" : ["iu", ""],</v>
      </c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</row>
    <row r="63" spans="2:45" ht="54" customHeight="1">
      <c r="B63" s="60">
        <v>60</v>
      </c>
      <c r="C63" s="36"/>
      <c r="D63" s="37"/>
      <c r="E63" s="36"/>
      <c r="F63" s="42"/>
      <c r="G63" s="36"/>
      <c r="H63" s="36"/>
      <c r="I63" s="36"/>
      <c r="J63" s="36"/>
      <c r="K63" s="36"/>
      <c r="L63" s="36"/>
      <c r="M63" s="36"/>
      <c r="N63" s="36"/>
      <c r="O63" s="32">
        <f>IF(十五音韻母對照表!$G63="", 0, LEN(十五音韻母對照表!$G63))</f>
        <v>0</v>
      </c>
      <c r="P63" s="18"/>
      <c r="Q63" s="22" t="str">
        <v>66</v>
      </c>
      <c r="R63" s="22" t="str">
        <v>著</v>
      </c>
      <c r="S63" s="22" t="str">
        <v>io?</v>
      </c>
      <c r="T63" s="22" t="str">
        <v>茄</v>
      </c>
      <c r="U63" s="22" t="str">
        <v>ㄧㄜㆷ</v>
      </c>
      <c r="V63" s="22" t="str">
        <v>ioh</v>
      </c>
      <c r="W63" s="22" t="str">
        <v>ioh</v>
      </c>
      <c r="X63" s="22" t="str">
        <v>ioh</v>
      </c>
      <c r="Y63" s="22" t="str">
        <v>ioh</v>
      </c>
      <c r="Z63" s="22" t="str">
        <v>iorh</v>
      </c>
      <c r="AA63" s="22" t="str">
        <v>促聲
（入）</v>
      </c>
      <c r="AB63" s="22" t="str">
        <v>茄促</v>
      </c>
      <c r="AC63" s="22" t="str">
        <v>33</v>
      </c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</row>
    <row r="64" spans="2:45" ht="54" customHeight="1">
      <c r="B64" s="60">
        <v>61</v>
      </c>
      <c r="C64" s="23" t="s">
        <v>1718</v>
      </c>
      <c r="D64" s="24" t="s">
        <v>1719</v>
      </c>
      <c r="E64" s="25" t="s">
        <v>537</v>
      </c>
      <c r="F64" s="26" t="s">
        <v>1218</v>
      </c>
      <c r="G64" s="27" t="s">
        <v>1219</v>
      </c>
      <c r="H64" s="28" t="s">
        <v>1219</v>
      </c>
      <c r="I64" s="28" t="s">
        <v>1720</v>
      </c>
      <c r="J64" s="28" t="s">
        <v>1221</v>
      </c>
      <c r="K64" s="28" t="s">
        <v>1721</v>
      </c>
      <c r="L64" s="29" t="s">
        <v>1608</v>
      </c>
      <c r="M64" s="30" t="str">
        <f>十五音韻母對照表!$E64&amp;LEFT(十五音韻母對照表!$L64,1)</f>
        <v>更舒</v>
      </c>
      <c r="N64" s="31">
        <v>31</v>
      </c>
      <c r="O64" s="32">
        <f>IF(十五音韻母對照表!$G64="", 0, LEN(十五音韻母對照表!$G64))</f>
        <v>3</v>
      </c>
      <c r="P64" s="18"/>
      <c r="Q64" s="22" t="str">
        <v>67</v>
      </c>
      <c r="R64" s="22" t="str">
        <v>庚</v>
      </c>
      <c r="S64" s="22" t="str">
        <v>ĩ</v>
      </c>
      <c r="T64" s="22" t="str">
        <v>梔</v>
      </c>
      <c r="U64" s="22" t="str">
        <v>ㆪ</v>
      </c>
      <c r="V64" s="22" t="str">
        <v>inn</v>
      </c>
      <c r="W64" s="22" t="str">
        <v>inn</v>
      </c>
      <c r="X64" s="22" t="str">
        <v>iⁿ</v>
      </c>
      <c r="Y64" s="22" t="str">
        <v>ni</v>
      </c>
      <c r="Z64" s="22" t="str">
        <v>inn</v>
      </c>
      <c r="AA64" s="22" t="str">
        <v>舒聲
（平/上/去）</v>
      </c>
      <c r="AB64" s="22" t="str">
        <v>梔舒</v>
      </c>
      <c r="AC64" s="22" t="str">
        <v>34</v>
      </c>
      <c r="AD64" s="18"/>
      <c r="AE64" s="18"/>
      <c r="AF64" s="18" t="str">
        <f xml:space="preserve"> IF(AND(MOD(B64,2)&lt;&gt;1, G64&lt;&gt;""), "", _xlfn.CONCAT("""", 十五音韻母對照表!$E64, """", " : [", """", 十五音韻母對照表!$G64, """", ", """, G65, """", "],"))</f>
        <v>"更" : ["enn", "ehnn"],</v>
      </c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</row>
    <row r="65" spans="2:45" ht="54" customHeight="1">
      <c r="B65" s="60">
        <v>62</v>
      </c>
      <c r="C65" s="35" t="s">
        <v>1722</v>
      </c>
      <c r="D65" s="24" t="s">
        <v>1723</v>
      </c>
      <c r="E65" s="25" t="s">
        <v>537</v>
      </c>
      <c r="F65" s="26" t="s">
        <v>1205</v>
      </c>
      <c r="G65" s="27" t="s">
        <v>1206</v>
      </c>
      <c r="H65" s="28" t="s">
        <v>1207</v>
      </c>
      <c r="I65" s="28" t="s">
        <v>1724</v>
      </c>
      <c r="J65" s="28" t="s">
        <v>1209</v>
      </c>
      <c r="K65" s="28" t="s">
        <v>1725</v>
      </c>
      <c r="L65" s="29" t="s">
        <v>1611</v>
      </c>
      <c r="M65" s="30" t="str">
        <f>十五音韻母對照表!$E65&amp;LEFT(十五音韻母對照表!$L65,1)</f>
        <v>更促</v>
      </c>
      <c r="N65" s="31">
        <v>31</v>
      </c>
      <c r="O65" s="32">
        <f>IF(十五音韻母對照表!$G65="", 0, LEN(十五音韻母對照表!$G65))</f>
        <v>4</v>
      </c>
      <c r="P65" s="18"/>
      <c r="Q65" s="22" t="str">
        <v>68</v>
      </c>
      <c r="R65" s="22" t="str">
        <v>欷</v>
      </c>
      <c r="S65" s="22" t="str">
        <v>ĩ?</v>
      </c>
      <c r="T65" s="22" t="str">
        <v>梔</v>
      </c>
      <c r="U65" s="22" t="str">
        <v>ㆪㆷ</v>
      </c>
      <c r="V65" s="22" t="str">
        <v>ihnn</v>
      </c>
      <c r="W65" s="22" t="str">
        <v>innh</v>
      </c>
      <c r="X65" s="22" t="str">
        <v>iⁿh</v>
      </c>
      <c r="Y65" s="22" t="str">
        <v>nih</v>
      </c>
      <c r="Z65" s="22" t="str">
        <v>innh</v>
      </c>
      <c r="AA65" s="22" t="str">
        <v>促聲
（入）</v>
      </c>
      <c r="AB65" s="22" t="str">
        <v>梔促</v>
      </c>
      <c r="AC65" s="22" t="str">
        <v>34</v>
      </c>
      <c r="AD65" s="18"/>
      <c r="AE65" s="18"/>
      <c r="AF65" s="18" t="str">
        <f xml:space="preserve"> IF(AND(MOD(B65,2)&lt;&gt;1, G65&lt;&gt;""), "", _xlfn.CONCAT("""", 十五音韻母對照表!$E65, """", " : [", """", 十五音韻母對照表!$G65, """", ", """, G66, """", "],"))</f>
        <v/>
      </c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</row>
    <row r="66" spans="2:45" ht="54" customHeight="1">
      <c r="B66" s="60">
        <v>63</v>
      </c>
      <c r="C66" s="35" t="s">
        <v>1576</v>
      </c>
      <c r="D66" s="24" t="s">
        <v>1577</v>
      </c>
      <c r="E66" s="25" t="s">
        <v>1578</v>
      </c>
      <c r="F66" s="26" t="s">
        <v>1579</v>
      </c>
      <c r="G66" s="27" t="s">
        <v>1580</v>
      </c>
      <c r="H66" s="28" t="s">
        <v>1580</v>
      </c>
      <c r="I66" s="28" t="s">
        <v>1726</v>
      </c>
      <c r="J66" s="28" t="s">
        <v>1582</v>
      </c>
      <c r="K66" s="28" t="s">
        <v>1727</v>
      </c>
      <c r="L66" s="29" t="s">
        <v>1608</v>
      </c>
      <c r="M66" s="30" t="str">
        <f>十五音韻母對照表!$E66&amp;LEFT(十五音韻母對照表!$L66,1)</f>
        <v>褌舒</v>
      </c>
      <c r="N66" s="31">
        <v>32</v>
      </c>
      <c r="O66" s="32">
        <f>IF(十五音韻母對照表!$G66="", 0, LEN(十五音韻母對照表!$G66))</f>
        <v>4</v>
      </c>
      <c r="P66" s="18"/>
      <c r="Q66" s="22" t="str">
        <v>69</v>
      </c>
      <c r="R66" s="22" t="str">
        <v>腔</v>
      </c>
      <c r="S66" s="22" t="str">
        <v>iɔ̃</v>
      </c>
      <c r="T66" s="22" t="str">
        <v>薑</v>
      </c>
      <c r="U66" s="22" t="str">
        <v>ㄧㆧ</v>
      </c>
      <c r="V66" s="22" t="str">
        <v>ionn</v>
      </c>
      <c r="W66" s="22" t="str">
        <v>ionn</v>
      </c>
      <c r="X66" s="22" t="str">
        <v>ioⁿ</v>
      </c>
      <c r="Y66" s="22" t="str">
        <v>nioo</v>
      </c>
      <c r="Z66" s="22" t="str">
        <v>ioonn</v>
      </c>
      <c r="AA66" s="22" t="str">
        <v>舒聲
（平/上/去）</v>
      </c>
      <c r="AB66" s="22" t="str">
        <v>薑舒</v>
      </c>
      <c r="AC66" s="22" t="str">
        <v>35</v>
      </c>
      <c r="AD66" s="18"/>
      <c r="AE66" s="18"/>
      <c r="AF66" s="18" t="str">
        <f xml:space="preserve"> IF(AND(MOD(B66,2)&lt;&gt;1, G66&lt;&gt;""), "", _xlfn.CONCAT("""", 十五音韻母對照表!$E66, """", " : [", """", 十五音韻母對照表!$G66, """", ", """, G67, """", "],"))</f>
        <v>"褌" : ["uinn", ""],</v>
      </c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</row>
    <row r="67" spans="2:45" ht="54" customHeight="1">
      <c r="B67" s="60">
        <v>64</v>
      </c>
      <c r="C67" s="36"/>
      <c r="D67" s="37"/>
      <c r="E67" s="36"/>
      <c r="F67" s="42"/>
      <c r="G67" s="36"/>
      <c r="H67" s="36"/>
      <c r="I67" s="36"/>
      <c r="J67" s="36"/>
      <c r="K67" s="36"/>
      <c r="L67" s="36"/>
      <c r="M67" s="36"/>
      <c r="N67" s="36"/>
      <c r="O67" s="32">
        <f>IF(十五音韻母對照表!$G67="", 0, LEN(十五音韻母對照表!$G67))</f>
        <v>0</v>
      </c>
      <c r="P67" s="18"/>
      <c r="Q67" s="22" t="str">
        <v>71</v>
      </c>
      <c r="R67" s="22" t="str">
        <v>且</v>
      </c>
      <c r="S67" s="22" t="str">
        <v>iã</v>
      </c>
      <c r="T67" s="22" t="str">
        <v>驚</v>
      </c>
      <c r="U67" s="22" t="str">
        <v>ㄧㆩ</v>
      </c>
      <c r="V67" s="22" t="str">
        <v>iann</v>
      </c>
      <c r="W67" s="22" t="str">
        <v>iannh</v>
      </c>
      <c r="X67" s="22" t="str">
        <v>iaⁿ</v>
      </c>
      <c r="Y67" s="22" t="str">
        <v>nia</v>
      </c>
      <c r="Z67" s="22" t="str">
        <v>iann</v>
      </c>
      <c r="AA67" s="22" t="str">
        <v>舒聲
（平/上/去）</v>
      </c>
      <c r="AB67" s="22" t="str">
        <v>驚舒</v>
      </c>
      <c r="AC67" s="22" t="str">
        <v>36</v>
      </c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</row>
    <row r="68" spans="2:45" ht="54" customHeight="1">
      <c r="B68" s="60">
        <v>65</v>
      </c>
      <c r="C68" s="23" t="s">
        <v>91</v>
      </c>
      <c r="D68" s="24" t="s">
        <v>1728</v>
      </c>
      <c r="E68" s="25" t="s">
        <v>1349</v>
      </c>
      <c r="F68" s="26" t="s">
        <v>1350</v>
      </c>
      <c r="G68" s="27" t="s">
        <v>1348</v>
      </c>
      <c r="H68" s="28" t="s">
        <v>1348</v>
      </c>
      <c r="I68" s="28" t="s">
        <v>1348</v>
      </c>
      <c r="J68" s="28" t="s">
        <v>1348</v>
      </c>
      <c r="K68" s="28" t="s">
        <v>1729</v>
      </c>
      <c r="L68" s="29" t="s">
        <v>1608</v>
      </c>
      <c r="M68" s="30" t="str">
        <f>十五音韻母對照表!$E68&amp;LEFT(十五音韻母對照表!$L68,1)</f>
        <v>茄舒</v>
      </c>
      <c r="N68" s="31">
        <v>33</v>
      </c>
      <c r="O68" s="32">
        <f>IF(十五音韻母對照表!$G68="", 0, LEN(十五音韻母對照表!$G68))</f>
        <v>2</v>
      </c>
      <c r="P68" s="18"/>
      <c r="Q68" s="22" t="str">
        <v>73</v>
      </c>
      <c r="R68" s="22" t="str">
        <v>肝</v>
      </c>
      <c r="S68" s="22" t="str">
        <v>uã</v>
      </c>
      <c r="T68" s="22" t="str">
        <v>官</v>
      </c>
      <c r="U68" s="22" t="str">
        <v>ㄨㆩ</v>
      </c>
      <c r="V68" s="22" t="str">
        <v>uann</v>
      </c>
      <c r="W68" s="22" t="str">
        <v>uann</v>
      </c>
      <c r="X68" s="22" t="str">
        <v>oaⁿ</v>
      </c>
      <c r="Y68" s="22" t="str">
        <v>nua</v>
      </c>
      <c r="Z68" s="22" t="str">
        <v>uann</v>
      </c>
      <c r="AA68" s="22" t="str">
        <v>舒聲
（平/上/去）</v>
      </c>
      <c r="AB68" s="22" t="str">
        <v>官舒</v>
      </c>
      <c r="AC68" s="22" t="str">
        <v>37</v>
      </c>
      <c r="AD68" s="18"/>
      <c r="AE68" s="18"/>
      <c r="AF68" s="18" t="str">
        <f xml:space="preserve"> IF(AND(MOD(B68,2)&lt;&gt;1, G68&lt;&gt;""), "", _xlfn.CONCAT("""", 十五音韻母對照表!$E68, """", " : [", """", 十五音韻母對照表!$G68, """", ", """, G69, """", "],"))</f>
        <v>"茄" : ["io", "ioh"],</v>
      </c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</row>
    <row r="69" spans="2:45" ht="54" customHeight="1">
      <c r="B69" s="60">
        <v>66</v>
      </c>
      <c r="C69" s="39" t="s">
        <v>1730</v>
      </c>
      <c r="D69" s="24" t="s">
        <v>1731</v>
      </c>
      <c r="E69" s="25" t="s">
        <v>1349</v>
      </c>
      <c r="F69" s="26" t="s">
        <v>1356</v>
      </c>
      <c r="G69" s="27" t="s">
        <v>1357</v>
      </c>
      <c r="H69" s="28" t="s">
        <v>1357</v>
      </c>
      <c r="I69" s="28" t="s">
        <v>1357</v>
      </c>
      <c r="J69" s="28" t="s">
        <v>1357</v>
      </c>
      <c r="K69" s="28" t="s">
        <v>1732</v>
      </c>
      <c r="L69" s="29" t="s">
        <v>1611</v>
      </c>
      <c r="M69" s="30" t="str">
        <f>十五音韻母對照表!$E69&amp;LEFT(十五音韻母對照表!$L69,1)</f>
        <v>茄促</v>
      </c>
      <c r="N69" s="31">
        <v>33</v>
      </c>
      <c r="O69" s="32">
        <f>IF(十五音韻母對照表!$G69="", 0, LEN(十五音韻母對照表!$G69))</f>
        <v>3</v>
      </c>
      <c r="P69" s="18"/>
      <c r="Q69" s="22" t="str">
        <v>75</v>
      </c>
      <c r="R69" s="22" t="str">
        <v>床</v>
      </c>
      <c r="S69" s="22" t="str">
        <v>ŋ̍</v>
      </c>
      <c r="T69" s="22" t="str">
        <v>鋼</v>
      </c>
      <c r="U69" s="22" t="str">
        <v>ㆭ</v>
      </c>
      <c r="V69" s="22" t="str">
        <v>ng</v>
      </c>
      <c r="W69" s="22" t="str">
        <v>ng</v>
      </c>
      <c r="X69" s="22" t="str">
        <v>ng</v>
      </c>
      <c r="Y69" s="22" t="str">
        <v>ng</v>
      </c>
      <c r="Z69" s="22" t="str">
        <v>ng</v>
      </c>
      <c r="AA69" s="22" t="str">
        <v>舒聲
（平/上/去）</v>
      </c>
      <c r="AB69" s="22" t="str">
        <v>鋼舒</v>
      </c>
      <c r="AC69" s="22" t="str">
        <v>38</v>
      </c>
      <c r="AD69" s="18"/>
      <c r="AE69" s="18"/>
      <c r="AF69" s="18" t="str">
        <f xml:space="preserve"> IF(AND(MOD(B69,2)&lt;&gt;1, G69&lt;&gt;""), "", _xlfn.CONCAT("""", 十五音韻母對照表!$E69, """", " : [", """", 十五音韻母對照表!$G69, """", ", """, G70, """", "],"))</f>
        <v/>
      </c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</row>
    <row r="70" spans="2:45" ht="54" customHeight="1">
      <c r="B70" s="60">
        <v>67</v>
      </c>
      <c r="C70" s="23" t="s">
        <v>1733</v>
      </c>
      <c r="D70" s="24" t="s">
        <v>1341</v>
      </c>
      <c r="E70" s="25" t="s">
        <v>1313</v>
      </c>
      <c r="F70" s="26" t="s">
        <v>1342</v>
      </c>
      <c r="G70" s="27" t="s">
        <v>1343</v>
      </c>
      <c r="H70" s="28" t="s">
        <v>1343</v>
      </c>
      <c r="I70" s="28" t="s">
        <v>1734</v>
      </c>
      <c r="J70" s="28" t="s">
        <v>1345</v>
      </c>
      <c r="K70" s="28" t="s">
        <v>1735</v>
      </c>
      <c r="L70" s="29" t="s">
        <v>1608</v>
      </c>
      <c r="M70" s="30" t="str">
        <f>十五音韻母對照表!$E70&amp;LEFT(十五音韻母對照表!$L70,1)</f>
        <v>梔舒</v>
      </c>
      <c r="N70" s="31">
        <v>34</v>
      </c>
      <c r="O70" s="32">
        <f>IF(十五音韻母對照表!$G70="", 0, LEN(十五音韻母對照表!$G70))</f>
        <v>3</v>
      </c>
      <c r="P70" s="18"/>
      <c r="Q70" s="22" t="str">
        <v>77</v>
      </c>
      <c r="R70" s="22" t="str">
        <v>會</v>
      </c>
      <c r="S70" s="22" t="str">
        <v>e</v>
      </c>
      <c r="T70" s="22" t="str">
        <v>伽</v>
      </c>
      <c r="U70" s="22" t="str">
        <v>ㆤ</v>
      </c>
      <c r="V70" s="22" t="str">
        <v>e</v>
      </c>
      <c r="W70" s="22" t="str">
        <v>e</v>
      </c>
      <c r="X70" s="22" t="str">
        <v>e</v>
      </c>
      <c r="Y70" s="22" t="str">
        <v>e</v>
      </c>
      <c r="Z70" s="22" t="str">
        <v>e</v>
      </c>
      <c r="AA70" s="22" t="str">
        <v>舒聲
（平/上/去）</v>
      </c>
      <c r="AB70" s="22" t="str">
        <v>伽舒</v>
      </c>
      <c r="AC70" s="22" t="str">
        <v>39</v>
      </c>
      <c r="AD70" s="18"/>
      <c r="AE70" s="18"/>
      <c r="AF70" s="18" t="str">
        <f xml:space="preserve"> IF(AND(MOD(B70,2)&lt;&gt;1, G70&lt;&gt;""), "", _xlfn.CONCAT("""", 十五音韻母對照表!$E70, """", " : [", """", 十五音韻母對照表!$G70, """", ", """, G71, """", "],"))</f>
        <v>"梔" : ["inn", "ihnn"],</v>
      </c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</row>
    <row r="71" spans="2:45" ht="54" customHeight="1">
      <c r="B71" s="60">
        <v>68</v>
      </c>
      <c r="C71" s="39" t="s">
        <v>1311</v>
      </c>
      <c r="D71" s="24" t="s">
        <v>1312</v>
      </c>
      <c r="E71" s="25" t="s">
        <v>1313</v>
      </c>
      <c r="F71" s="26" t="s">
        <v>1314</v>
      </c>
      <c r="G71" s="27" t="s">
        <v>1315</v>
      </c>
      <c r="H71" s="28" t="s">
        <v>1316</v>
      </c>
      <c r="I71" s="28" t="s">
        <v>1736</v>
      </c>
      <c r="J71" s="28" t="s">
        <v>1318</v>
      </c>
      <c r="K71" s="28" t="s">
        <v>1737</v>
      </c>
      <c r="L71" s="29" t="s">
        <v>1611</v>
      </c>
      <c r="M71" s="30" t="str">
        <f>十五音韻母對照表!$E71&amp;LEFT(十五音韻母對照表!$L71,1)</f>
        <v>梔促</v>
      </c>
      <c r="N71" s="31">
        <v>34</v>
      </c>
      <c r="O71" s="32">
        <f>IF(十五音韻母對照表!$G71="", 0, LEN(十五音韻母對照表!$G71))</f>
        <v>4</v>
      </c>
      <c r="P71" s="18"/>
      <c r="Q71" s="22" t="str">
        <v>78</v>
      </c>
      <c r="R71" s="22" t="str">
        <v>伯</v>
      </c>
      <c r="S71" s="22" t="str">
        <v>e?</v>
      </c>
      <c r="T71" s="22" t="str">
        <v>伽</v>
      </c>
      <c r="U71" s="22" t="str">
        <v>ㆤㆷ</v>
      </c>
      <c r="V71" s="22" t="str">
        <v>eh</v>
      </c>
      <c r="W71" s="22" t="str">
        <v>eh</v>
      </c>
      <c r="X71" s="22" t="str">
        <v>eh</v>
      </c>
      <c r="Y71" s="22" t="str">
        <v>eh</v>
      </c>
      <c r="Z71" s="22" t="str">
        <v>eh</v>
      </c>
      <c r="AA71" s="22" t="str">
        <v>促聲
（入）</v>
      </c>
      <c r="AB71" s="22" t="str">
        <v>伽促</v>
      </c>
      <c r="AC71" s="22" t="str">
        <v>39</v>
      </c>
      <c r="AD71" s="18"/>
      <c r="AE71" s="18"/>
      <c r="AF71" s="18" t="str">
        <f xml:space="preserve"> IF(AND(MOD(B71,2)&lt;&gt;1, G71&lt;&gt;""), "", _xlfn.CONCAT("""", 十五音韻母對照表!$E71, """", " : [", """", 十五音韻母對照表!$G71, """", ", """, G72, """", "],"))</f>
        <v/>
      </c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</row>
    <row r="72" spans="2:45" ht="54" customHeight="1">
      <c r="B72" s="60">
        <v>69</v>
      </c>
      <c r="C72" s="45" t="s">
        <v>1738</v>
      </c>
      <c r="D72" s="24" t="s">
        <v>1739</v>
      </c>
      <c r="E72" s="25" t="s">
        <v>1372</v>
      </c>
      <c r="F72" s="26" t="s">
        <v>1373</v>
      </c>
      <c r="G72" s="27" t="s">
        <v>1374</v>
      </c>
      <c r="H72" s="28" t="s">
        <v>1374</v>
      </c>
      <c r="I72" s="28" t="s">
        <v>1740</v>
      </c>
      <c r="J72" s="28" t="s">
        <v>1376</v>
      </c>
      <c r="K72" s="28" t="s">
        <v>1741</v>
      </c>
      <c r="L72" s="29" t="s">
        <v>1608</v>
      </c>
      <c r="M72" s="30" t="str">
        <f>十五音韻母對照表!$E72&amp;LEFT(十五音韻母對照表!$L72,1)</f>
        <v>薑舒</v>
      </c>
      <c r="N72" s="31">
        <v>35</v>
      </c>
      <c r="O72" s="32">
        <f>IF(十五音韻母對照表!$G72="", 0, LEN(十五音韻母對照表!$G72))</f>
        <v>4</v>
      </c>
      <c r="P72" s="18"/>
      <c r="Q72" s="22" t="str">
        <v>79</v>
      </c>
      <c r="R72" s="22" t="str">
        <v>挨</v>
      </c>
      <c r="S72" s="22" t="str">
        <v>ãi</v>
      </c>
      <c r="T72" s="22" t="str">
        <v>閒</v>
      </c>
      <c r="U72" s="22" t="str">
        <v>ㆮ</v>
      </c>
      <c r="V72" s="22" t="str">
        <v>ainn</v>
      </c>
      <c r="W72" s="22" t="str">
        <v>ainn</v>
      </c>
      <c r="X72" s="22" t="str">
        <v>aiⁿ</v>
      </c>
      <c r="Y72" s="22" t="str">
        <v>nai</v>
      </c>
      <c r="Z72" s="22" t="str">
        <v>ainn</v>
      </c>
      <c r="AA72" s="22" t="str">
        <v>舒聲
（平/上/去）</v>
      </c>
      <c r="AB72" s="22" t="str">
        <v>閒舒</v>
      </c>
      <c r="AC72" s="22" t="str">
        <v>40</v>
      </c>
      <c r="AD72" s="18"/>
      <c r="AE72" s="18"/>
      <c r="AF72" s="18" t="str">
        <f xml:space="preserve"> IF(AND(MOD(B72,2)&lt;&gt;1, G72&lt;&gt;""), "", _xlfn.CONCAT("""", 十五音韻母對照表!$E72, """", " : [", """", 十五音韻母對照表!$G72, """", ", """, G73, """", "],"))</f>
        <v>"薑" : ["ionn", ""],</v>
      </c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</row>
    <row r="73" spans="2:45" ht="54" customHeight="1">
      <c r="B73" s="60">
        <v>70</v>
      </c>
      <c r="C73" s="36">
        <v>0</v>
      </c>
      <c r="D73" s="37">
        <v>0</v>
      </c>
      <c r="E73" s="36">
        <v>0</v>
      </c>
      <c r="F73" s="42">
        <v>0</v>
      </c>
      <c r="G73" s="36"/>
      <c r="H73" s="36">
        <v>0</v>
      </c>
      <c r="I73" s="36">
        <v>0</v>
      </c>
      <c r="J73" s="36">
        <v>0</v>
      </c>
      <c r="K73" s="36"/>
      <c r="L73" s="36">
        <v>0</v>
      </c>
      <c r="M73" s="36">
        <v>0</v>
      </c>
      <c r="N73" s="36">
        <v>0</v>
      </c>
      <c r="O73" s="32">
        <f>IF(十五音韻母對照表!$G73="", 0, LEN(十五音韻母對照表!$G73))</f>
        <v>0</v>
      </c>
      <c r="P73" s="18"/>
      <c r="Q73" s="22" t="str">
        <v>81</v>
      </c>
      <c r="R73" s="22" t="str">
        <v>張</v>
      </c>
      <c r="S73" s="22" t="str">
        <v>õu</v>
      </c>
      <c r="T73" s="22" t="str">
        <v>姑</v>
      </c>
      <c r="U73" s="22" t="str">
        <v>ㆧ</v>
      </c>
      <c r="V73" s="22" t="str">
        <v>oonn</v>
      </c>
      <c r="W73" s="22" t="str">
        <v>onn</v>
      </c>
      <c r="X73" s="22" t="str">
        <v>oⁿ</v>
      </c>
      <c r="Y73" s="22" t="str">
        <v>noo</v>
      </c>
      <c r="Z73" s="22" t="str">
        <v>oonn</v>
      </c>
      <c r="AA73" s="22" t="str">
        <v>舒聲
（平/上/去）</v>
      </c>
      <c r="AB73" s="22" t="str">
        <v>姑舒</v>
      </c>
      <c r="AC73" s="22" t="str">
        <v>41</v>
      </c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</row>
    <row r="74" spans="2:45" ht="54" customHeight="1">
      <c r="B74" s="60">
        <v>71</v>
      </c>
      <c r="C74" s="23" t="s">
        <v>498</v>
      </c>
      <c r="D74" s="24" t="s">
        <v>1261</v>
      </c>
      <c r="E74" s="25" t="s">
        <v>1008</v>
      </c>
      <c r="F74" s="26" t="s">
        <v>1262</v>
      </c>
      <c r="G74" s="27" t="s">
        <v>839</v>
      </c>
      <c r="H74" s="28" t="s">
        <v>1263</v>
      </c>
      <c r="I74" s="28" t="s">
        <v>1742</v>
      </c>
      <c r="J74" s="28" t="s">
        <v>1265</v>
      </c>
      <c r="K74" s="28" t="s">
        <v>1743</v>
      </c>
      <c r="L74" s="29" t="s">
        <v>1608</v>
      </c>
      <c r="M74" s="30" t="str">
        <f>十五音韻母對照表!$E74&amp;LEFT(十五音韻母對照表!$L74,1)</f>
        <v>驚舒</v>
      </c>
      <c r="N74" s="31">
        <v>36</v>
      </c>
      <c r="O74" s="32">
        <f>IF(十五音韻母對照表!$G74="", 0, LEN(十五音韻母對照表!$G74))</f>
        <v>4</v>
      </c>
      <c r="P74" s="18"/>
      <c r="Q74" s="22" t="str">
        <v>83</v>
      </c>
      <c r="R74" s="22" t="str">
        <v>姆</v>
      </c>
      <c r="S74" s="22" t="str">
        <v>m̩</v>
      </c>
      <c r="T74" s="22" t="str">
        <v>姆</v>
      </c>
      <c r="U74" s="22" t="str">
        <v>ㆬ</v>
      </c>
      <c r="V74" s="22" t="str">
        <v>m</v>
      </c>
      <c r="W74" s="22" t="str">
        <v>m</v>
      </c>
      <c r="X74" s="22" t="str">
        <v>m</v>
      </c>
      <c r="Y74" s="22" t="str">
        <v>m</v>
      </c>
      <c r="Z74" s="22" t="str">
        <v>m</v>
      </c>
      <c r="AA74" s="22" t="str">
        <v>舒聲
（平/上/去）</v>
      </c>
      <c r="AB74" s="22" t="str">
        <v>姆舒</v>
      </c>
      <c r="AC74" s="22" t="str">
        <v>42</v>
      </c>
      <c r="AD74" s="18"/>
      <c r="AE74" s="18"/>
      <c r="AF74" s="18" t="str">
        <f xml:space="preserve"> IF(AND(MOD(B74,2)&lt;&gt;1, G74&lt;&gt;""), "", _xlfn.CONCAT("""", 十五音韻母對照表!$E74, """", " : [", """", 十五音韻母對照表!$G74, """", ", """, G75, """", "],"))</f>
        <v>"驚" : ["iann", ""],</v>
      </c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</row>
    <row r="75" spans="2:45" ht="54" customHeight="1">
      <c r="B75" s="60">
        <v>72</v>
      </c>
      <c r="C75" s="36">
        <v>0</v>
      </c>
      <c r="D75" s="37">
        <v>0</v>
      </c>
      <c r="E75" s="36">
        <v>0</v>
      </c>
      <c r="F75" s="42">
        <v>0</v>
      </c>
      <c r="G75" s="36"/>
      <c r="H75" s="36">
        <v>0</v>
      </c>
      <c r="I75" s="36">
        <v>0</v>
      </c>
      <c r="J75" s="36">
        <v>0</v>
      </c>
      <c r="K75" s="36"/>
      <c r="L75" s="36">
        <v>0</v>
      </c>
      <c r="M75" s="36">
        <v>0</v>
      </c>
      <c r="N75" s="36">
        <v>0</v>
      </c>
      <c r="O75" s="32">
        <f>IF(十五音韻母對照表!$G75="", 0, LEN(十五音韻母對照表!$G75))</f>
        <v>0</v>
      </c>
      <c r="P75" s="18"/>
      <c r="Q75" s="22" t="str">
        <v>85</v>
      </c>
      <c r="R75" s="22" t="str">
        <v>闖</v>
      </c>
      <c r="S75" s="22" t="str">
        <v>uaŋ</v>
      </c>
      <c r="T75" s="22" t="str">
        <v>光</v>
      </c>
      <c r="U75" s="22" t="str">
        <v>ㄨㄤ</v>
      </c>
      <c r="V75" s="22" t="str">
        <v>uang</v>
      </c>
      <c r="W75" s="22" t="str">
        <v>uang</v>
      </c>
      <c r="X75" s="22" t="str">
        <v>oang</v>
      </c>
      <c r="Y75" s="22" t="str">
        <v>uang</v>
      </c>
      <c r="Z75" s="22" t="str">
        <v>uang</v>
      </c>
      <c r="AA75" s="22" t="str">
        <v>舒聲
（平/上/去）</v>
      </c>
      <c r="AB75" s="22" t="str">
        <v>光舒</v>
      </c>
      <c r="AC75" s="22" t="str">
        <v>43</v>
      </c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</row>
    <row r="76" spans="2:45" ht="54" customHeight="1">
      <c r="B76" s="60">
        <v>73</v>
      </c>
      <c r="C76" s="23" t="s">
        <v>1744</v>
      </c>
      <c r="D76" s="24" t="s">
        <v>1745</v>
      </c>
      <c r="E76" s="25" t="s">
        <v>1537</v>
      </c>
      <c r="F76" s="26" t="s">
        <v>1538</v>
      </c>
      <c r="G76" s="27" t="s">
        <v>1539</v>
      </c>
      <c r="H76" s="28" t="s">
        <v>1539</v>
      </c>
      <c r="I76" s="28" t="s">
        <v>1746</v>
      </c>
      <c r="J76" s="28" t="s">
        <v>1541</v>
      </c>
      <c r="K76" s="28" t="s">
        <v>1747</v>
      </c>
      <c r="L76" s="29" t="s">
        <v>1608</v>
      </c>
      <c r="M76" s="30" t="str">
        <f>十五音韻母對照表!$E76&amp;LEFT(十五音韻母對照表!$L76,1)</f>
        <v>官舒</v>
      </c>
      <c r="N76" s="31">
        <v>37</v>
      </c>
      <c r="O76" s="32">
        <f>IF(十五音韻母對照表!$G76="", 0, LEN(十五音韻母對照表!$G76))</f>
        <v>4</v>
      </c>
      <c r="P76" s="18"/>
      <c r="Q76" s="22" t="str">
        <v>86</v>
      </c>
      <c r="R76" s="22" t="str">
        <v>伏</v>
      </c>
      <c r="S76" s="22" t="str">
        <v>uak̚</v>
      </c>
      <c r="T76" s="22" t="str">
        <v>光</v>
      </c>
      <c r="U76" s="22" t="str">
        <v>ㄨㄚㆻ</v>
      </c>
      <c r="V76" s="22" t="str">
        <v>uak</v>
      </c>
      <c r="W76" s="22" t="str">
        <v>uak</v>
      </c>
      <c r="X76" s="22" t="str">
        <v>oak</v>
      </c>
      <c r="Y76" s="22" t="str">
        <v>uak</v>
      </c>
      <c r="Z76" s="22" t="str">
        <v>uak</v>
      </c>
      <c r="AA76" s="22" t="str">
        <v>促聲
（入）</v>
      </c>
      <c r="AB76" s="22" t="str">
        <v>光促</v>
      </c>
      <c r="AC76" s="22" t="str">
        <v>43</v>
      </c>
      <c r="AD76" s="18"/>
      <c r="AE76" s="18"/>
      <c r="AF76" s="18" t="str">
        <f xml:space="preserve"> IF(AND(MOD(B76,2)&lt;&gt;1, G76&lt;&gt;""), "", _xlfn.CONCAT("""", 十五音韻母對照表!$E76, """", " : [", """", 十五音韻母對照表!$G76, """", ", """, G77, """", "],"))</f>
        <v>"官" : ["uann", ""],</v>
      </c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</row>
    <row r="77" spans="2:45" ht="54" customHeight="1">
      <c r="B77" s="60">
        <v>74</v>
      </c>
      <c r="C77" s="36">
        <v>0</v>
      </c>
      <c r="D77" s="37">
        <v>0</v>
      </c>
      <c r="E77" s="36">
        <v>0</v>
      </c>
      <c r="F77" s="42">
        <v>0</v>
      </c>
      <c r="G77" s="36"/>
      <c r="H77" s="36">
        <v>0</v>
      </c>
      <c r="I77" s="36">
        <v>0</v>
      </c>
      <c r="J77" s="36">
        <v>0</v>
      </c>
      <c r="K77" s="36"/>
      <c r="L77" s="36">
        <v>0</v>
      </c>
      <c r="M77" s="36">
        <v>0</v>
      </c>
      <c r="N77" s="36">
        <v>0</v>
      </c>
      <c r="O77" s="32">
        <f>IF(十五音韻母對照表!$G77="", 0, LEN(十五音韻母對照表!$G77))</f>
        <v>0</v>
      </c>
      <c r="P77" s="18"/>
      <c r="Q77" s="22" t="str">
        <v>87</v>
      </c>
      <c r="R77" s="22" t="str">
        <v>檨</v>
      </c>
      <c r="S77" s="22" t="str">
        <v>uãi</v>
      </c>
      <c r="T77" s="22" t="str">
        <v>閂</v>
      </c>
      <c r="U77" s="22" t="str">
        <v>ㄨㆮ</v>
      </c>
      <c r="V77" s="22" t="str">
        <v>uainn</v>
      </c>
      <c r="W77" s="22" t="str">
        <v>uainn</v>
      </c>
      <c r="X77" s="22" t="str">
        <v>oaiⁿ</v>
      </c>
      <c r="Y77" s="22" t="str">
        <v>nuai</v>
      </c>
      <c r="Z77" s="22" t="str">
        <v>uainn</v>
      </c>
      <c r="AA77" s="22" t="str">
        <v>舒聲
（平/上/去）</v>
      </c>
      <c r="AB77" s="22" t="str">
        <v>閂舒</v>
      </c>
      <c r="AC77" s="22" t="str">
        <v>44</v>
      </c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</row>
    <row r="78" spans="2:45" ht="54" customHeight="1">
      <c r="B78" s="60">
        <v>75</v>
      </c>
      <c r="C78" s="23" t="s">
        <v>1405</v>
      </c>
      <c r="D78" s="24" t="s">
        <v>1748</v>
      </c>
      <c r="E78" s="25" t="s">
        <v>1407</v>
      </c>
      <c r="F78" s="26" t="s">
        <v>1408</v>
      </c>
      <c r="G78" s="27" t="s">
        <v>649</v>
      </c>
      <c r="H78" s="28" t="s">
        <v>649</v>
      </c>
      <c r="I78" s="28" t="s">
        <v>649</v>
      </c>
      <c r="J78" s="28" t="s">
        <v>649</v>
      </c>
      <c r="K78" s="28" t="s">
        <v>1749</v>
      </c>
      <c r="L78" s="29" t="s">
        <v>1608</v>
      </c>
      <c r="M78" s="30" t="str">
        <f>十五音韻母對照表!$E78&amp;LEFT(十五音韻母對照表!$L78,1)</f>
        <v>鋼舒</v>
      </c>
      <c r="N78" s="31">
        <v>38</v>
      </c>
      <c r="O78" s="32">
        <f>IF(十五音韻母對照表!$G78="", 0, LEN(十五音韻母對照表!$G78))</f>
        <v>2</v>
      </c>
      <c r="P78" s="18"/>
      <c r="Q78" s="22" t="str">
        <v>88</v>
      </c>
      <c r="R78" s="22" t="str">
        <v>蹶</v>
      </c>
      <c r="S78" s="22" t="str">
        <v>uãi?</v>
      </c>
      <c r="T78" s="22" t="str">
        <v>閂</v>
      </c>
      <c r="U78" s="22" t="str">
        <v>ㄨㆮㆷ</v>
      </c>
      <c r="V78" s="22" t="str">
        <v>uaihnn</v>
      </c>
      <c r="W78" s="22" t="str">
        <v>uainnh</v>
      </c>
      <c r="X78" s="22" t="str">
        <v>oaiⁿh</v>
      </c>
      <c r="Y78" s="22" t="str">
        <v>nuaih</v>
      </c>
      <c r="Z78" s="22" t="str">
        <v>uainnh</v>
      </c>
      <c r="AA78" s="22" t="str">
        <v>促聲
（入）</v>
      </c>
      <c r="AB78" s="22" t="str">
        <v>閂促</v>
      </c>
      <c r="AC78" s="22" t="str">
        <v>44</v>
      </c>
      <c r="AD78" s="18"/>
      <c r="AE78" s="18"/>
      <c r="AF78" s="18" t="str">
        <f xml:space="preserve"> IF(AND(MOD(B78,2)&lt;&gt;1, G78&lt;&gt;""), "", _xlfn.CONCAT("""", 十五音韻母對照表!$E78, """", " : [", """", 十五音韻母對照表!$G78, """", ", """, G79, """", "],"))</f>
        <v>"鋼" : ["ng", ""],</v>
      </c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</row>
    <row r="79" spans="2:45" ht="54" customHeight="1">
      <c r="B79" s="60">
        <v>76</v>
      </c>
      <c r="C79" s="36">
        <v>0</v>
      </c>
      <c r="D79" s="37">
        <v>0</v>
      </c>
      <c r="E79" s="36">
        <v>0</v>
      </c>
      <c r="F79" s="42">
        <v>0</v>
      </c>
      <c r="G79" s="36"/>
      <c r="H79" s="36">
        <v>0</v>
      </c>
      <c r="I79" s="36">
        <v>0</v>
      </c>
      <c r="J79" s="36">
        <v>0</v>
      </c>
      <c r="K79" s="36"/>
      <c r="L79" s="36">
        <v>0</v>
      </c>
      <c r="M79" s="36">
        <v>0</v>
      </c>
      <c r="N79" s="36">
        <v>0</v>
      </c>
      <c r="O79" s="32">
        <f>IF(十五音韻母對照表!$G79="", 0, LEN(十五音韻母對照表!$G79))</f>
        <v>0</v>
      </c>
      <c r="P79" s="18"/>
      <c r="Q79" s="22" t="str">
        <v>89</v>
      </c>
      <c r="R79" s="22" t="str">
        <v>◯</v>
      </c>
      <c r="S79" s="22" t="str">
        <v>uẽi</v>
      </c>
      <c r="T79" s="22" t="str">
        <v>糜</v>
      </c>
      <c r="U79" s="22" t="str">
        <v>ㄨㆥ</v>
      </c>
      <c r="V79" s="22" t="str">
        <v>uenn</v>
      </c>
      <c r="W79" s="22" t="str">
        <v>uenn</v>
      </c>
      <c r="X79" s="22" t="str">
        <v>oeⁿ</v>
      </c>
      <c r="Y79" s="22" t="str">
        <v>nue</v>
      </c>
      <c r="Z79" s="22" t="str">
        <v>uenn</v>
      </c>
      <c r="AA79" s="22" t="str">
        <v>舒聲
（平/上/去）</v>
      </c>
      <c r="AB79" s="22" t="str">
        <v>糜舒</v>
      </c>
      <c r="AC79" s="22" t="str">
        <v>45</v>
      </c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</row>
    <row r="80" spans="2:45" ht="54" customHeight="1">
      <c r="B80" s="60">
        <v>77</v>
      </c>
      <c r="C80" s="23" t="s">
        <v>1750</v>
      </c>
      <c r="D80" s="24" t="s">
        <v>759</v>
      </c>
      <c r="E80" s="25" t="s">
        <v>973</v>
      </c>
      <c r="F80" s="26" t="s">
        <v>1181</v>
      </c>
      <c r="G80" s="27" t="s">
        <v>759</v>
      </c>
      <c r="H80" s="28" t="s">
        <v>759</v>
      </c>
      <c r="I80" s="28" t="s">
        <v>759</v>
      </c>
      <c r="J80" s="28" t="s">
        <v>759</v>
      </c>
      <c r="K80" s="28" t="s">
        <v>1624</v>
      </c>
      <c r="L80" s="29" t="s">
        <v>1608</v>
      </c>
      <c r="M80" s="30" t="str">
        <f>十五音韻母對照表!$E80&amp;LEFT(十五音韻母對照表!$L80,1)</f>
        <v>伽舒</v>
      </c>
      <c r="N80" s="31">
        <v>39</v>
      </c>
      <c r="O80" s="32">
        <f>IF(十五音韻母對照表!$G80="", 0, LEN(十五音韻母對照表!$G80))</f>
        <v>1</v>
      </c>
      <c r="P80" s="18"/>
      <c r="Q80" s="22" t="str">
        <v>91</v>
      </c>
      <c r="R80" s="22" t="str">
        <v>鳥</v>
      </c>
      <c r="S80" s="22" t="str">
        <v>iãu</v>
      </c>
      <c r="T80" s="22" t="str">
        <v>嘄</v>
      </c>
      <c r="U80" s="22" t="str">
        <v>ㄧㆯ</v>
      </c>
      <c r="V80" s="22" t="str">
        <v>iaunn</v>
      </c>
      <c r="W80" s="22" t="str">
        <v>iaunn</v>
      </c>
      <c r="X80" s="22" t="str">
        <v>iauⁿ</v>
      </c>
      <c r="Y80" s="22" t="str">
        <v>niao</v>
      </c>
      <c r="Z80" s="22" t="str">
        <v>iaunn</v>
      </c>
      <c r="AA80" s="22" t="str">
        <v>舒聲
（平/上/去）</v>
      </c>
      <c r="AB80" s="22" t="str">
        <v>嘄舒</v>
      </c>
      <c r="AC80" s="22" t="str">
        <v>46</v>
      </c>
      <c r="AD80" s="18"/>
      <c r="AE80" s="18"/>
      <c r="AF80" s="18" t="str">
        <f xml:space="preserve"> IF(AND(MOD(B80,2)&lt;&gt;1, G80&lt;&gt;""), "", _xlfn.CONCAT("""", 十五音韻母對照表!$E80, """", " : [", """", 十五音韻母對照表!$G80, """", ", """, G81, """", "],"))</f>
        <v>"伽" : ["e", "eh"],</v>
      </c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</row>
    <row r="81" spans="2:45" ht="54" customHeight="1">
      <c r="B81" s="60">
        <v>78</v>
      </c>
      <c r="C81" s="23" t="s">
        <v>1751</v>
      </c>
      <c r="D81" s="24" t="s">
        <v>1200</v>
      </c>
      <c r="E81" s="25" t="s">
        <v>973</v>
      </c>
      <c r="F81" s="26" t="s">
        <v>1201</v>
      </c>
      <c r="G81" s="27" t="s">
        <v>1196</v>
      </c>
      <c r="H81" s="28" t="s">
        <v>1196</v>
      </c>
      <c r="I81" s="28" t="s">
        <v>1196</v>
      </c>
      <c r="J81" s="28" t="s">
        <v>1196</v>
      </c>
      <c r="K81" s="28" t="s">
        <v>1627</v>
      </c>
      <c r="L81" s="29" t="s">
        <v>1611</v>
      </c>
      <c r="M81" s="30" t="str">
        <f>十五音韻母對照表!$E81&amp;LEFT(十五音韻母對照表!$L81,1)</f>
        <v>伽促</v>
      </c>
      <c r="N81" s="31">
        <v>39</v>
      </c>
      <c r="O81" s="32">
        <f>IF(十五音韻母對照表!$G81="", 0, LEN(十五音韻母對照表!$G81))</f>
        <v>2</v>
      </c>
      <c r="P81" s="18"/>
      <c r="Q81" s="22" t="str">
        <v>92</v>
      </c>
      <c r="R81" s="22" t="str">
        <v>◯</v>
      </c>
      <c r="S81" s="22" t="str">
        <v>iãu?</v>
      </c>
      <c r="T81" s="22" t="str">
        <v>嘄</v>
      </c>
      <c r="U81" s="22" t="str">
        <v>ㄧㆯㆷ</v>
      </c>
      <c r="V81" s="22" t="str">
        <v>iauhnn</v>
      </c>
      <c r="W81" s="22" t="str">
        <v>iaunnh</v>
      </c>
      <c r="X81" s="22" t="str">
        <v>iauⁿh</v>
      </c>
      <c r="Y81" s="22" t="str">
        <v>niaoh</v>
      </c>
      <c r="Z81" s="22" t="str">
        <v>iaunnh</v>
      </c>
      <c r="AA81" s="22" t="str">
        <v>促聲
（入）</v>
      </c>
      <c r="AB81" s="22" t="str">
        <v>嘄促</v>
      </c>
      <c r="AC81" s="22" t="str">
        <v>46</v>
      </c>
      <c r="AD81" s="18"/>
      <c r="AE81" s="18"/>
      <c r="AF81" s="18" t="str">
        <f xml:space="preserve"> IF(AND(MOD(B81,2)&lt;&gt;1, G81&lt;&gt;""), "", _xlfn.CONCAT("""", 十五音韻母對照表!$E81, """", " : [", """", 十五音韻母對照表!$G81, """", ", """, G82, """", "],"))</f>
        <v/>
      </c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</row>
    <row r="82" spans="2:45" ht="54" customHeight="1">
      <c r="B82" s="60">
        <v>79</v>
      </c>
      <c r="C82" s="43" t="s">
        <v>1752</v>
      </c>
      <c r="D82" s="24" t="s">
        <v>1753</v>
      </c>
      <c r="E82" s="25" t="s">
        <v>1108</v>
      </c>
      <c r="F82" s="26" t="s">
        <v>1109</v>
      </c>
      <c r="G82" s="27" t="s">
        <v>1110</v>
      </c>
      <c r="H82" s="28" t="s">
        <v>1110</v>
      </c>
      <c r="I82" s="28" t="s">
        <v>1754</v>
      </c>
      <c r="J82" s="28" t="s">
        <v>1112</v>
      </c>
      <c r="K82" s="28" t="s">
        <v>1755</v>
      </c>
      <c r="L82" s="29" t="s">
        <v>1608</v>
      </c>
      <c r="M82" s="30" t="str">
        <f>十五音韻母對照表!$E82&amp;LEFT(十五音韻母對照表!$L82,1)</f>
        <v>閒舒</v>
      </c>
      <c r="N82" s="31">
        <v>40</v>
      </c>
      <c r="O82" s="32">
        <f>IF(十五音韻母對照表!$G82="", 0, LEN(十五音韻母對照表!$G82))</f>
        <v>4</v>
      </c>
      <c r="P82" s="18"/>
      <c r="Q82" s="22" t="str">
        <v>93</v>
      </c>
      <c r="R82" s="22" t="str">
        <v>丼</v>
      </c>
      <c r="S82" s="22" t="str">
        <v>ɔm</v>
      </c>
      <c r="T82" s="22" t="str">
        <v>箴</v>
      </c>
      <c r="U82" s="22" t="str">
        <v>ㆱ</v>
      </c>
      <c r="V82" s="22" t="str">
        <v>om</v>
      </c>
      <c r="W82" s="22" t="str">
        <v>om</v>
      </c>
      <c r="X82" s="22" t="str">
        <v>om</v>
      </c>
      <c r="Y82" s="22" t="str">
        <v>om</v>
      </c>
      <c r="Z82" s="22" t="str">
        <v>oom</v>
      </c>
      <c r="AA82" s="22" t="str">
        <v>舒聲
（平/上/去）</v>
      </c>
      <c r="AB82" s="22" t="str">
        <v>箴舒</v>
      </c>
      <c r="AC82" s="22" t="str">
        <v>47</v>
      </c>
      <c r="AD82" s="18"/>
      <c r="AE82" s="18"/>
      <c r="AF82" s="18" t="str">
        <f xml:space="preserve"> IF(AND(MOD(B82,2)&lt;&gt;1, G82&lt;&gt;""), "", _xlfn.CONCAT("""", 十五音韻母對照表!$E82, """", " : [", """", 十五音韻母對照表!$G82, """", ", """, G83, """", "],"))</f>
        <v>"閒" : ["ainn", ""],</v>
      </c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</row>
    <row r="83" spans="2:45" ht="54" customHeight="1">
      <c r="B83" s="60">
        <v>80</v>
      </c>
      <c r="C83" s="36">
        <v>0</v>
      </c>
      <c r="D83" s="37">
        <v>0</v>
      </c>
      <c r="E83" s="36">
        <v>0</v>
      </c>
      <c r="F83" s="36">
        <v>0</v>
      </c>
      <c r="G83" s="36"/>
      <c r="H83" s="36">
        <v>0</v>
      </c>
      <c r="I83" s="36">
        <v>0</v>
      </c>
      <c r="J83" s="36">
        <v>0</v>
      </c>
      <c r="K83" s="36"/>
      <c r="L83" s="36">
        <v>0</v>
      </c>
      <c r="M83" s="36">
        <v>0</v>
      </c>
      <c r="N83" s="36">
        <v>0</v>
      </c>
      <c r="O83" s="32">
        <f>IF(十五音韻母對照表!$G83="", 0, LEN(十五音韻母對照表!$G83))</f>
        <v>0</v>
      </c>
      <c r="P83" s="18"/>
      <c r="Q83" s="22" t="str">
        <v>94</v>
      </c>
      <c r="R83" s="22" t="str">
        <v>吷</v>
      </c>
      <c r="S83" s="22" t="str">
        <v>ɔp̚</v>
      </c>
      <c r="T83" s="22" t="str">
        <v>箴</v>
      </c>
      <c r="U83" s="22" t="str">
        <v>ㆦㆴ</v>
      </c>
      <c r="V83" s="22" t="str">
        <v>op</v>
      </c>
      <c r="W83" s="22" t="str">
        <v>op</v>
      </c>
      <c r="X83" s="22" t="str">
        <v>op</v>
      </c>
      <c r="Y83" s="22" t="str">
        <v>op</v>
      </c>
      <c r="Z83" s="22" t="str">
        <v>oop</v>
      </c>
      <c r="AA83" s="22" t="str">
        <v>促聲
（入）</v>
      </c>
      <c r="AB83" s="22" t="str">
        <v>箴促</v>
      </c>
      <c r="AC83" s="22" t="str">
        <v>47</v>
      </c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</row>
    <row r="84" spans="2:45" ht="54" customHeight="1">
      <c r="B84" s="60">
        <v>81</v>
      </c>
      <c r="C84" s="43" t="s">
        <v>1756</v>
      </c>
      <c r="D84" s="24" t="s">
        <v>1757</v>
      </c>
      <c r="E84" s="25" t="s">
        <v>1463</v>
      </c>
      <c r="F84" s="26" t="s">
        <v>1450</v>
      </c>
      <c r="G84" s="27" t="s">
        <v>1464</v>
      </c>
      <c r="H84" s="28" t="s">
        <v>1758</v>
      </c>
      <c r="I84" s="28" t="s">
        <v>1759</v>
      </c>
      <c r="J84" s="28" t="s">
        <v>1452</v>
      </c>
      <c r="K84" s="28" t="s">
        <v>1760</v>
      </c>
      <c r="L84" s="29" t="s">
        <v>1608</v>
      </c>
      <c r="M84" s="30" t="str">
        <f>十五音韻母對照表!$E84&amp;LEFT(十五音韻母對照表!$L84,1)</f>
        <v>姑舒</v>
      </c>
      <c r="N84" s="31">
        <v>41</v>
      </c>
      <c r="O84" s="32">
        <f>IF(十五音韻母對照表!$G84="", 0, LEN(十五音韻母對照表!$G84))</f>
        <v>4</v>
      </c>
      <c r="P84" s="18"/>
      <c r="Q84" s="22" t="str">
        <v>95</v>
      </c>
      <c r="R84" s="22" t="str">
        <v>懸</v>
      </c>
      <c r="S84" s="22" t="str">
        <v>ãu</v>
      </c>
      <c r="T84" s="22" t="str">
        <v>爻</v>
      </c>
      <c r="U84" s="22" t="str">
        <v>ㆯ</v>
      </c>
      <c r="V84" s="22" t="str">
        <v>aunn</v>
      </c>
      <c r="W84" s="22" t="str">
        <v>aunn</v>
      </c>
      <c r="X84" s="22" t="str">
        <v>auⁿ</v>
      </c>
      <c r="Y84" s="22" t="str">
        <v>nao</v>
      </c>
      <c r="Z84" s="22" t="str">
        <v>aunn</v>
      </c>
      <c r="AA84" s="22" t="str">
        <v>舒聲
（平/上/去）</v>
      </c>
      <c r="AB84" s="22" t="str">
        <v>爻舒</v>
      </c>
      <c r="AC84" s="22" t="str">
        <v>48</v>
      </c>
      <c r="AD84" s="18"/>
      <c r="AE84" s="18"/>
      <c r="AF84" s="18" t="str">
        <f xml:space="preserve"> IF(AND(MOD(B84,2)&lt;&gt;1, G84&lt;&gt;""), "", _xlfn.CONCAT("""", 十五音韻母對照表!$E84, """", " : [", """", 十五音韻母對照表!$G84, """", ", """, G85, """", "],"))</f>
        <v>"姑" : ["oonn", ""],</v>
      </c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</row>
    <row r="85" spans="2:45" ht="54" customHeight="1">
      <c r="B85" s="60">
        <v>82</v>
      </c>
      <c r="C85" s="36">
        <v>0</v>
      </c>
      <c r="D85" s="37">
        <v>0</v>
      </c>
      <c r="E85" s="36">
        <v>0</v>
      </c>
      <c r="F85" s="42">
        <v>0</v>
      </c>
      <c r="G85" s="36"/>
      <c r="H85" s="36">
        <v>0</v>
      </c>
      <c r="I85" s="36">
        <v>0</v>
      </c>
      <c r="J85" s="36">
        <v>0</v>
      </c>
      <c r="K85" s="36"/>
      <c r="L85" s="36">
        <v>0</v>
      </c>
      <c r="M85" s="36">
        <v>0</v>
      </c>
      <c r="N85" s="36">
        <v>0</v>
      </c>
      <c r="O85" s="32">
        <f>IF(十五音韻母對照表!$G85="", 0, LEN(十五音韻母對照表!$G85))</f>
        <v>0</v>
      </c>
      <c r="P85" s="18"/>
      <c r="Q85" s="22" t="str">
        <v>97</v>
      </c>
      <c r="R85" s="22" t="str">
        <v>呼</v>
      </c>
      <c r="S85" s="22" t="str">
        <v>õ</v>
      </c>
      <c r="T85" s="22" t="str">
        <v>扛</v>
      </c>
      <c r="U85" s="22" t="str">
        <v>ㆧ</v>
      </c>
      <c r="V85" s="22" t="str">
        <v>onn</v>
      </c>
      <c r="W85" s="22" t="str">
        <v>onn</v>
      </c>
      <c r="X85" s="22" t="str">
        <v>on</v>
      </c>
      <c r="Y85" s="22" t="str">
        <v>noo</v>
      </c>
      <c r="Z85" s="22" t="str">
        <v>ornn</v>
      </c>
      <c r="AA85" s="22" t="str">
        <v>舒聲
（平/上/去）</v>
      </c>
      <c r="AB85" s="22" t="str">
        <v>扛舒</v>
      </c>
      <c r="AC85" s="22" t="str">
        <v>49</v>
      </c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</row>
    <row r="86" spans="2:45" ht="54" customHeight="1">
      <c r="B86" s="60">
        <v>83</v>
      </c>
      <c r="C86" s="23" t="s">
        <v>1400</v>
      </c>
      <c r="D86" s="24" t="s">
        <v>1401</v>
      </c>
      <c r="E86" s="25" t="s">
        <v>1400</v>
      </c>
      <c r="F86" s="26" t="s">
        <v>1402</v>
      </c>
      <c r="G86" s="27" t="s">
        <v>1023</v>
      </c>
      <c r="H86" s="28" t="s">
        <v>1023</v>
      </c>
      <c r="I86" s="28" t="s">
        <v>1023</v>
      </c>
      <c r="J86" s="28" t="s">
        <v>1023</v>
      </c>
      <c r="K86" s="28" t="s">
        <v>1761</v>
      </c>
      <c r="L86" s="29" t="s">
        <v>1608</v>
      </c>
      <c r="M86" s="30" t="str">
        <f>十五音韻母對照表!$E86&amp;LEFT(十五音韻母對照表!$L86,1)</f>
        <v>姆舒</v>
      </c>
      <c r="N86" s="31">
        <v>42</v>
      </c>
      <c r="O86" s="32">
        <f>IF(十五音韻母對照表!$G86="", 0, LEN(十五音韻母對照表!$G86))</f>
        <v>1</v>
      </c>
      <c r="P86" s="18"/>
      <c r="Q86" s="22" t="str">
        <v>98</v>
      </c>
      <c r="R86" s="22" t="str">
        <v>◯</v>
      </c>
      <c r="S86" s="22" t="str">
        <v>õʔ</v>
      </c>
      <c r="T86" s="22" t="str">
        <v>扛</v>
      </c>
      <c r="U86" s="22" t="str">
        <v>ㆧㆷ</v>
      </c>
      <c r="V86" s="22" t="str">
        <v>ohnn</v>
      </c>
      <c r="W86" s="22" t="str">
        <v>onnh</v>
      </c>
      <c r="X86" s="22" t="str">
        <v>onh</v>
      </c>
      <c r="Y86" s="22" t="str">
        <v>nooh</v>
      </c>
      <c r="Z86" s="22" t="str">
        <v>uenn</v>
      </c>
      <c r="AA86" s="22" t="str">
        <v>促聲
（入）</v>
      </c>
      <c r="AB86" s="22" t="str">
        <v>扛促</v>
      </c>
      <c r="AC86" s="22" t="str">
        <v>49</v>
      </c>
      <c r="AD86" s="18"/>
      <c r="AE86" s="18"/>
      <c r="AF86" s="18" t="str">
        <f xml:space="preserve"> IF(AND(MOD(B86,2)&lt;&gt;1, G86&lt;&gt;""), "", _xlfn.CONCAT("""", 十五音韻母對照表!$E86, """", " : [", """", 十五音韻母對照表!$G86, """", ", """, G87, """", "],"))</f>
        <v>"姆" : ["m", ""],</v>
      </c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</row>
    <row r="87" spans="2:45" ht="54" customHeight="1">
      <c r="B87" s="60">
        <v>84</v>
      </c>
      <c r="C87" s="36">
        <v>0</v>
      </c>
      <c r="D87" s="37">
        <v>0</v>
      </c>
      <c r="E87" s="36">
        <v>0</v>
      </c>
      <c r="F87" s="36">
        <v>0</v>
      </c>
      <c r="G87" s="36"/>
      <c r="H87" s="36">
        <v>0</v>
      </c>
      <c r="I87" s="36">
        <v>0</v>
      </c>
      <c r="J87" s="36">
        <v>0</v>
      </c>
      <c r="K87" s="36"/>
      <c r="L87" s="36">
        <v>0</v>
      </c>
      <c r="M87" s="36">
        <v>0</v>
      </c>
      <c r="N87" s="36">
        <v>0</v>
      </c>
      <c r="O87" s="32">
        <f>IF(十五音韻母對照表!$G87="", 0, LEN(十五音韻母對照表!$G87))</f>
        <v>0</v>
      </c>
      <c r="P87" s="18"/>
      <c r="Q87" s="22" t="str">
        <v>99</v>
      </c>
      <c r="R87" s="22" t="str">
        <v>香</v>
      </c>
      <c r="S87" s="22" t="str">
        <v>ĩu</v>
      </c>
      <c r="T87" s="22" t="str">
        <v>牛</v>
      </c>
      <c r="U87" s="22" t="str">
        <v>ㄧㆫ</v>
      </c>
      <c r="V87" s="22" t="str">
        <v>iunn</v>
      </c>
      <c r="W87" s="22" t="str">
        <v>iunn</v>
      </c>
      <c r="X87" s="22" t="str">
        <v>iuⁿ</v>
      </c>
      <c r="Y87" s="22" t="str">
        <v>niu</v>
      </c>
      <c r="Z87" s="22" t="str">
        <v>iunn</v>
      </c>
      <c r="AA87" s="22" t="str">
        <v>舒聲
（平/上/去）</v>
      </c>
      <c r="AB87" s="22" t="str">
        <v>牛舒</v>
      </c>
      <c r="AC87" s="22" t="str">
        <v>50</v>
      </c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</row>
    <row r="88" spans="2:45" ht="54" customHeight="1">
      <c r="B88" s="60">
        <v>85</v>
      </c>
      <c r="C88" s="23" t="s">
        <v>1528</v>
      </c>
      <c r="D88" s="24" t="s">
        <v>1762</v>
      </c>
      <c r="E88" s="25" t="s">
        <v>120</v>
      </c>
      <c r="F88" s="26" t="s">
        <v>1530</v>
      </c>
      <c r="G88" s="27" t="s">
        <v>1531</v>
      </c>
      <c r="H88" s="28" t="s">
        <v>1531</v>
      </c>
      <c r="I88" s="28" t="s">
        <v>1532</v>
      </c>
      <c r="J88" s="28" t="s">
        <v>1531</v>
      </c>
      <c r="K88" s="28" t="s">
        <v>1763</v>
      </c>
      <c r="L88" s="29" t="s">
        <v>1608</v>
      </c>
      <c r="M88" s="30" t="str">
        <f>十五音韻母對照表!$E88&amp;LEFT(十五音韻母對照表!$L88,1)</f>
        <v>光舒</v>
      </c>
      <c r="N88" s="31">
        <v>43</v>
      </c>
      <c r="O88" s="32">
        <f>IF(十五音韻母對照表!$G88="", 0, LEN(十五音韻母對照表!$G88))</f>
        <v>4</v>
      </c>
      <c r="P88" s="18"/>
      <c r="Q88" s="18"/>
      <c r="R88" s="18"/>
      <c r="S88" s="18"/>
      <c r="T88" s="18"/>
      <c r="U88" s="18"/>
      <c r="V88" s="18"/>
      <c r="W88" s="18"/>
      <c r="X88" s="18"/>
      <c r="Y88" s="18"/>
      <c r="AA88" s="18"/>
      <c r="AB88" s="18"/>
      <c r="AC88" s="18"/>
      <c r="AD88" s="18"/>
      <c r="AE88" s="18"/>
      <c r="AF88" s="18" t="str">
        <f xml:space="preserve"> IF(AND(MOD(B88,2)&lt;&gt;1, G88&lt;&gt;""), "", _xlfn.CONCAT("""", 十五音韻母對照表!$E88, """", " : [", """", 十五音韻母對照表!$G88, """", ", """, G89, """", "],"))</f>
        <v>"光" : ["uang", "uak"],</v>
      </c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</row>
    <row r="89" spans="2:45" ht="54" customHeight="1">
      <c r="B89" s="60">
        <v>86</v>
      </c>
      <c r="C89" s="43" t="s">
        <v>1764</v>
      </c>
      <c r="D89" s="24" t="s">
        <v>1518</v>
      </c>
      <c r="E89" s="25" t="s">
        <v>120</v>
      </c>
      <c r="F89" s="26" t="s">
        <v>1519</v>
      </c>
      <c r="G89" s="27" t="s">
        <v>1520</v>
      </c>
      <c r="H89" s="28" t="s">
        <v>1520</v>
      </c>
      <c r="I89" s="28" t="s">
        <v>1521</v>
      </c>
      <c r="J89" s="28" t="s">
        <v>1520</v>
      </c>
      <c r="K89" s="28" t="s">
        <v>1765</v>
      </c>
      <c r="L89" s="29" t="s">
        <v>1611</v>
      </c>
      <c r="M89" s="30" t="str">
        <f>十五音韻母對照表!$E89&amp;LEFT(十五音韻母對照表!$L89,1)</f>
        <v>光促</v>
      </c>
      <c r="N89" s="31">
        <v>43</v>
      </c>
      <c r="O89" s="32">
        <f>IF(十五音韻母對照表!$G89="", 0, LEN(十五音韻母對照表!$G89))</f>
        <v>3</v>
      </c>
      <c r="P89" s="18"/>
      <c r="Q89" s="18"/>
      <c r="R89" s="18"/>
      <c r="S89" s="18"/>
      <c r="T89" s="18"/>
      <c r="U89" s="18"/>
      <c r="V89" s="18"/>
      <c r="W89" s="18"/>
      <c r="X89" s="18"/>
      <c r="Y89" s="18"/>
      <c r="AA89" s="18"/>
      <c r="AB89" s="18"/>
      <c r="AC89" s="18"/>
      <c r="AD89" s="18"/>
      <c r="AE89" s="18"/>
      <c r="AF89" s="18" t="str">
        <f xml:space="preserve"> IF(AND(MOD(B89,2)&lt;&gt;1, G89&lt;&gt;""), "", _xlfn.CONCAT("""", 十五音韻母對照表!$E89, """", " : [", """", 十五音韻母對照表!$G89, """", ", """, G90, """", "],"))</f>
        <v/>
      </c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</row>
    <row r="90" spans="2:45" ht="54" customHeight="1">
      <c r="B90" s="60">
        <v>87</v>
      </c>
      <c r="C90" s="23" t="s">
        <v>1509</v>
      </c>
      <c r="D90" s="24" t="s">
        <v>1766</v>
      </c>
      <c r="E90" s="25" t="s">
        <v>1501</v>
      </c>
      <c r="F90" s="26" t="s">
        <v>1511</v>
      </c>
      <c r="G90" s="27" t="s">
        <v>1512</v>
      </c>
      <c r="H90" s="28" t="s">
        <v>1512</v>
      </c>
      <c r="I90" s="28" t="s">
        <v>1767</v>
      </c>
      <c r="J90" s="28" t="s">
        <v>1514</v>
      </c>
      <c r="K90" s="28" t="s">
        <v>1768</v>
      </c>
      <c r="L90" s="29" t="s">
        <v>1608</v>
      </c>
      <c r="M90" s="30" t="str">
        <f>十五音韻母對照表!$E90&amp;LEFT(十五音韻母對照表!$L90,1)</f>
        <v>閂舒</v>
      </c>
      <c r="N90" s="31">
        <v>44</v>
      </c>
      <c r="O90" s="32">
        <f>IF(十五音韻母對照表!$G90="", 0, LEN(十五音韻母對照表!$G90))</f>
        <v>5</v>
      </c>
      <c r="P90" s="18"/>
      <c r="Q90" s="18"/>
      <c r="R90" s="18"/>
      <c r="S90" s="18"/>
      <c r="T90" s="18"/>
      <c r="U90" s="18"/>
      <c r="V90" s="18"/>
      <c r="W90" s="18"/>
      <c r="X90" s="18"/>
      <c r="Y90" s="18"/>
      <c r="AA90" s="18"/>
      <c r="AB90" s="18"/>
      <c r="AC90" s="18"/>
      <c r="AD90" s="18"/>
      <c r="AE90" s="18"/>
      <c r="AF90" s="18" t="str">
        <f xml:space="preserve"> IF(AND(MOD(B90,2)&lt;&gt;1, G90&lt;&gt;""), "", _xlfn.CONCAT("""", 十五音韻母對照表!$E90, """", " : [", """", 十五音韻母對照表!$G90, """", ", """, G91, """", "],"))</f>
        <v>"閂" : ["uainn", "uaihnn"],</v>
      </c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</row>
    <row r="91" spans="2:45" ht="54" customHeight="1">
      <c r="B91" s="60">
        <v>88</v>
      </c>
      <c r="C91" s="44" t="s">
        <v>1769</v>
      </c>
      <c r="D91" s="24" t="s">
        <v>1770</v>
      </c>
      <c r="E91" s="25" t="s">
        <v>1501</v>
      </c>
      <c r="F91" s="26" t="s">
        <v>1502</v>
      </c>
      <c r="G91" s="27" t="s">
        <v>1503</v>
      </c>
      <c r="H91" s="28" t="s">
        <v>1504</v>
      </c>
      <c r="I91" s="28" t="s">
        <v>1771</v>
      </c>
      <c r="J91" s="28" t="s">
        <v>1506</v>
      </c>
      <c r="K91" s="28" t="s">
        <v>1772</v>
      </c>
      <c r="L91" s="29" t="s">
        <v>1611</v>
      </c>
      <c r="M91" s="30" t="str">
        <f>十五音韻母對照表!$E91&amp;LEFT(十五音韻母對照表!$L91,1)</f>
        <v>閂促</v>
      </c>
      <c r="N91" s="31">
        <v>44</v>
      </c>
      <c r="O91" s="32">
        <f>IF(十五音韻母對照表!$G91="", 0, LEN(十五音韻母對照表!$G91))</f>
        <v>6</v>
      </c>
      <c r="P91" s="18"/>
      <c r="Q91" s="18"/>
      <c r="R91" s="18"/>
      <c r="S91" s="18"/>
      <c r="T91" s="18"/>
      <c r="U91" s="18"/>
      <c r="V91" s="18"/>
      <c r="W91" s="18"/>
      <c r="X91" s="18"/>
      <c r="Y91" s="18"/>
      <c r="AA91" s="18"/>
      <c r="AB91" s="18"/>
      <c r="AC91" s="18"/>
      <c r="AD91" s="18"/>
      <c r="AE91" s="18"/>
      <c r="AF91" s="18" t="str">
        <f xml:space="preserve"> IF(AND(MOD(B91,2)&lt;&gt;1, G91&lt;&gt;""), "", _xlfn.CONCAT("""", 十五音韻母對照表!$E91, """", " : [", """", 十五音韻母對照表!$G91, """", ", """, G92, """", "],"))</f>
        <v/>
      </c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</row>
    <row r="92" spans="2:45" ht="54" customHeight="1">
      <c r="B92" s="60">
        <v>89</v>
      </c>
      <c r="C92" s="43" t="s">
        <v>1287</v>
      </c>
      <c r="D92" s="24" t="s">
        <v>1773</v>
      </c>
      <c r="E92" s="25" t="s">
        <v>1561</v>
      </c>
      <c r="F92" s="26" t="s">
        <v>1562</v>
      </c>
      <c r="G92" s="27" t="s">
        <v>1428</v>
      </c>
      <c r="H92" s="28" t="s">
        <v>1428</v>
      </c>
      <c r="I92" s="28" t="s">
        <v>1774</v>
      </c>
      <c r="J92" s="28" t="s">
        <v>1564</v>
      </c>
      <c r="K92" s="46" t="s">
        <v>1775</v>
      </c>
      <c r="L92" s="29" t="s">
        <v>1608</v>
      </c>
      <c r="M92" s="30" t="str">
        <f>十五音韻母對照表!$E92&amp;LEFT(十五音韻母對照表!$L92,1)</f>
        <v>糜舒</v>
      </c>
      <c r="N92" s="31">
        <v>45</v>
      </c>
      <c r="O92" s="32">
        <f>IF(十五音韻母對照表!$G92="", 0, LEN(十五音韻母對照表!$G92))</f>
        <v>4</v>
      </c>
      <c r="P92" s="18"/>
      <c r="Q92" s="18"/>
      <c r="R92" s="18"/>
      <c r="S92" s="18"/>
      <c r="T92" s="18"/>
      <c r="U92" s="18"/>
      <c r="V92" s="18"/>
      <c r="W92" s="18"/>
      <c r="X92" s="18"/>
      <c r="Y92" s="18"/>
      <c r="AA92" s="18"/>
      <c r="AB92" s="18"/>
      <c r="AC92" s="18"/>
      <c r="AD92" s="18"/>
      <c r="AE92" s="18"/>
      <c r="AF92" s="18" t="str">
        <f xml:space="preserve"> IF(AND(MOD(B92,2)&lt;&gt;1, G92&lt;&gt;""), "", _xlfn.CONCAT("""", 十五音韻母對照表!$E92, """", " : [", """", 十五音韻母對照表!$G92, """", ", """, G93, """", "],"))</f>
        <v>"糜" : ["uenn", ""],</v>
      </c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</row>
    <row r="93" spans="2:45" ht="54" customHeight="1">
      <c r="B93" s="60">
        <v>90</v>
      </c>
      <c r="C93" s="36">
        <v>0</v>
      </c>
      <c r="D93" s="24" t="s">
        <v>1776</v>
      </c>
      <c r="E93" s="36">
        <v>0</v>
      </c>
      <c r="F93" s="42">
        <v>0</v>
      </c>
      <c r="G93" s="36"/>
      <c r="H93" s="36">
        <v>0</v>
      </c>
      <c r="I93" s="36">
        <v>0</v>
      </c>
      <c r="J93" s="36">
        <v>0</v>
      </c>
      <c r="K93" s="36"/>
      <c r="L93" s="36">
        <v>0</v>
      </c>
      <c r="M93" s="36">
        <v>0</v>
      </c>
      <c r="N93" s="36">
        <v>0</v>
      </c>
      <c r="O93" s="32">
        <f>IF(十五音韻母對照表!$G93="", 0, LEN(十五音韻母對照表!$G93))</f>
        <v>0</v>
      </c>
      <c r="P93" s="18"/>
      <c r="Q93" s="18"/>
      <c r="R93" s="18"/>
      <c r="S93" s="18"/>
      <c r="T93" s="18"/>
      <c r="U93" s="18"/>
      <c r="V93" s="18"/>
      <c r="W93" s="18"/>
      <c r="X93" s="18"/>
      <c r="Y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</row>
    <row r="94" spans="2:45" ht="54" customHeight="1">
      <c r="B94" s="60">
        <v>91</v>
      </c>
      <c r="C94" s="35" t="s">
        <v>1297</v>
      </c>
      <c r="D94" s="24" t="s">
        <v>1777</v>
      </c>
      <c r="E94" s="25" t="s">
        <v>1289</v>
      </c>
      <c r="F94" s="26" t="s">
        <v>1299</v>
      </c>
      <c r="G94" s="27" t="s">
        <v>1300</v>
      </c>
      <c r="H94" s="28" t="s">
        <v>1300</v>
      </c>
      <c r="I94" s="28" t="s">
        <v>1778</v>
      </c>
      <c r="J94" s="28" t="s">
        <v>1302</v>
      </c>
      <c r="K94" s="28" t="s">
        <v>1779</v>
      </c>
      <c r="L94" s="29" t="s">
        <v>1608</v>
      </c>
      <c r="M94" s="30" t="str">
        <f>十五音韻母對照表!$E94&amp;LEFT(十五音韻母對照表!$L94,1)</f>
        <v>嘄舒</v>
      </c>
      <c r="N94" s="31">
        <v>46</v>
      </c>
      <c r="O94" s="32">
        <f>IF(十五音韻母對照表!$G94="", 0, LEN(十五音韻母對照表!$G94))</f>
        <v>5</v>
      </c>
      <c r="P94" s="18"/>
      <c r="Q94" s="18"/>
      <c r="R94" s="18"/>
      <c r="S94" s="18"/>
      <c r="T94" s="18"/>
      <c r="U94" s="18"/>
      <c r="V94" s="18"/>
      <c r="W94" s="18"/>
      <c r="X94" s="18"/>
      <c r="Y94" s="18"/>
      <c r="AA94" s="18"/>
      <c r="AB94" s="18"/>
      <c r="AC94" s="18"/>
      <c r="AD94" s="18"/>
      <c r="AE94" s="18"/>
      <c r="AF94" s="18" t="str">
        <f xml:space="preserve"> IF(AND(MOD(B94,2)&lt;&gt;1, G94&lt;&gt;""), "", _xlfn.CONCAT("""", 十五音韻母對照表!$E94, """", " : [", """", 十五音韻母對照表!$G94, """", ", """, G95, """", "],"))</f>
        <v>"嘄" : ["iaunn", "iauhnn"],</v>
      </c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</row>
    <row r="95" spans="2:45" ht="54" customHeight="1">
      <c r="B95" s="60">
        <v>92</v>
      </c>
      <c r="C95" s="23" t="s">
        <v>1287</v>
      </c>
      <c r="D95" s="24" t="s">
        <v>1780</v>
      </c>
      <c r="E95" s="25" t="s">
        <v>1289</v>
      </c>
      <c r="F95" s="26" t="s">
        <v>1290</v>
      </c>
      <c r="G95" s="27" t="s">
        <v>1291</v>
      </c>
      <c r="H95" s="28" t="s">
        <v>1292</v>
      </c>
      <c r="I95" s="28" t="s">
        <v>1781</v>
      </c>
      <c r="J95" s="28" t="s">
        <v>1294</v>
      </c>
      <c r="K95" s="28" t="s">
        <v>1782</v>
      </c>
      <c r="L95" s="29" t="s">
        <v>1611</v>
      </c>
      <c r="M95" s="30" t="str">
        <f>十五音韻母對照表!$E95&amp;LEFT(十五音韻母對照表!$L95,1)</f>
        <v>嘄促</v>
      </c>
      <c r="N95" s="31">
        <v>46</v>
      </c>
      <c r="O95" s="32">
        <f>IF(十五音韻母對照表!$G95="", 0, LEN(十五音韻母對照表!$G95))</f>
        <v>6</v>
      </c>
      <c r="P95" s="18"/>
      <c r="Q95" s="18"/>
      <c r="R95" s="18"/>
      <c r="S95" s="18"/>
      <c r="T95" s="18"/>
      <c r="U95" s="18"/>
      <c r="V95" s="18"/>
      <c r="W95" s="18"/>
      <c r="X95" s="18"/>
      <c r="Y95" s="18"/>
      <c r="AA95" s="18"/>
      <c r="AB95" s="18"/>
      <c r="AC95" s="18"/>
      <c r="AD95" s="18"/>
      <c r="AE95" s="18"/>
      <c r="AF95" s="18" t="str">
        <f xml:space="preserve"> IF(AND(MOD(B95,2)&lt;&gt;1, G95&lt;&gt;""), "", _xlfn.CONCAT("""", 十五音韻母對照表!$E95, """", " : [", """", 十五音韻母對照表!$G95, """", ", """, G96, """", "],"))</f>
        <v/>
      </c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</row>
    <row r="96" spans="2:45" ht="54" customHeight="1">
      <c r="B96" s="60">
        <v>93</v>
      </c>
      <c r="C96" s="35" t="s">
        <v>1783</v>
      </c>
      <c r="D96" s="24" t="s">
        <v>1784</v>
      </c>
      <c r="E96" s="25" t="s">
        <v>1439</v>
      </c>
      <c r="F96" s="26" t="s">
        <v>1440</v>
      </c>
      <c r="G96" s="27" t="s">
        <v>1441</v>
      </c>
      <c r="H96" s="28" t="s">
        <v>1441</v>
      </c>
      <c r="I96" s="28" t="s">
        <v>1441</v>
      </c>
      <c r="J96" s="28" t="s">
        <v>1441</v>
      </c>
      <c r="K96" s="28" t="s">
        <v>1785</v>
      </c>
      <c r="L96" s="29" t="s">
        <v>1608</v>
      </c>
      <c r="M96" s="30" t="str">
        <f>十五音韻母對照表!$E96&amp;LEFT(十五音韻母對照表!$L96,1)</f>
        <v>箴舒</v>
      </c>
      <c r="N96" s="31">
        <v>47</v>
      </c>
      <c r="O96" s="32">
        <f>IF(十五音韻母對照表!$G96="", 0, LEN(十五音韻母對照表!$G96))</f>
        <v>2</v>
      </c>
      <c r="P96" s="18"/>
      <c r="Q96" s="18"/>
      <c r="R96" s="18"/>
      <c r="S96" s="18"/>
      <c r="T96" s="18"/>
      <c r="U96" s="18"/>
      <c r="V96" s="18"/>
      <c r="W96" s="18"/>
      <c r="X96" s="18"/>
      <c r="Y96" s="18"/>
      <c r="AA96" s="18"/>
      <c r="AB96" s="18"/>
      <c r="AC96" s="18"/>
      <c r="AD96" s="18"/>
      <c r="AE96" s="18"/>
      <c r="AF96" s="18" t="str">
        <f xml:space="preserve"> IF(AND(MOD(B96,2)&lt;&gt;1, G96&lt;&gt;""), "", _xlfn.CONCAT("""", 十五音韻母對照表!$E96, """", " : [", """", 十五音韻母對照表!$G96, """", ", """, G97, """", "],"))</f>
        <v>"箴" : ["om", "op"],</v>
      </c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</row>
    <row r="97" spans="2:45" ht="54" customHeight="1">
      <c r="B97" s="60">
        <v>94</v>
      </c>
      <c r="C97" s="23" t="s">
        <v>1786</v>
      </c>
      <c r="D97" s="24" t="s">
        <v>1787</v>
      </c>
      <c r="E97" s="25" t="s">
        <v>1439</v>
      </c>
      <c r="F97" s="26" t="s">
        <v>1470</v>
      </c>
      <c r="G97" s="27" t="s">
        <v>1471</v>
      </c>
      <c r="H97" s="28" t="s">
        <v>1471</v>
      </c>
      <c r="I97" s="28" t="s">
        <v>1471</v>
      </c>
      <c r="J97" s="28" t="s">
        <v>1471</v>
      </c>
      <c r="K97" s="28" t="s">
        <v>1788</v>
      </c>
      <c r="L97" s="29" t="s">
        <v>1611</v>
      </c>
      <c r="M97" s="30" t="str">
        <f>十五音韻母對照表!$E97&amp;LEFT(十五音韻母對照表!$L97,1)</f>
        <v>箴促</v>
      </c>
      <c r="N97" s="31">
        <v>47</v>
      </c>
      <c r="O97" s="32">
        <f>IF(十五音韻母對照表!$G97="", 0, LEN(十五音韻母對照表!$G97))</f>
        <v>2</v>
      </c>
      <c r="P97" s="18"/>
      <c r="Q97" s="18"/>
      <c r="R97" s="18"/>
      <c r="S97" s="18"/>
      <c r="T97" s="18"/>
      <c r="U97" s="18"/>
      <c r="V97" s="18"/>
      <c r="W97" s="18"/>
      <c r="X97" s="18"/>
      <c r="Y97" s="18"/>
      <c r="AA97" s="18"/>
      <c r="AB97" s="18"/>
      <c r="AC97" s="18"/>
      <c r="AD97" s="18"/>
      <c r="AE97" s="18"/>
      <c r="AF97" s="18" t="str">
        <f xml:space="preserve"> IF(AND(MOD(B97,2)&lt;&gt;1, G97&lt;&gt;""), "", _xlfn.CONCAT("""", 十五音韻母對照表!$E97, """", " : [", """", 十五音韻母對照表!$G97, """", ", """, G98, """", "],"))</f>
        <v/>
      </c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</row>
    <row r="98" spans="2:45" ht="54" customHeight="1">
      <c r="B98" s="60">
        <v>95</v>
      </c>
      <c r="C98" s="44" t="s">
        <v>1789</v>
      </c>
      <c r="D98" s="24" t="s">
        <v>1790</v>
      </c>
      <c r="E98" s="25" t="s">
        <v>1172</v>
      </c>
      <c r="F98" s="26" t="s">
        <v>1173</v>
      </c>
      <c r="G98" s="27" t="s">
        <v>1174</v>
      </c>
      <c r="H98" s="28" t="s">
        <v>1174</v>
      </c>
      <c r="I98" s="28" t="s">
        <v>1791</v>
      </c>
      <c r="J98" s="28" t="s">
        <v>1176</v>
      </c>
      <c r="K98" s="47" t="s">
        <v>1792</v>
      </c>
      <c r="L98" s="29" t="s">
        <v>1608</v>
      </c>
      <c r="M98" s="30" t="str">
        <f>十五音韻母對照表!$E98&amp;LEFT(十五音韻母對照表!$L98,1)</f>
        <v>爻舒</v>
      </c>
      <c r="N98" s="31">
        <v>48</v>
      </c>
      <c r="O98" s="32">
        <f>IF(十五音韻母對照表!$G98="", 0, LEN(十五音韻母對照表!$G98))</f>
        <v>4</v>
      </c>
      <c r="P98" s="18"/>
      <c r="Q98" s="18"/>
      <c r="R98" s="18"/>
      <c r="S98" s="18"/>
      <c r="T98" s="18"/>
      <c r="U98" s="18"/>
      <c r="V98" s="18"/>
      <c r="W98" s="18"/>
      <c r="X98" s="18"/>
      <c r="Y98" s="18"/>
      <c r="AA98" s="18"/>
      <c r="AB98" s="18"/>
      <c r="AC98" s="18"/>
      <c r="AD98" s="18"/>
      <c r="AE98" s="18"/>
      <c r="AF98" s="18" t="str">
        <f xml:space="preserve"> IF(AND(MOD(B98,2)&lt;&gt;1, G98&lt;&gt;""), "", _xlfn.CONCAT("""", 十五音韻母對照表!$E98, """", " : [", """", 十五音韻母對照表!$G98, """", ", """, G99, """", "],"))</f>
        <v>"爻" : ["aunn", ""],</v>
      </c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</row>
    <row r="99" spans="2:45" ht="54" customHeight="1">
      <c r="B99" s="60">
        <v>96</v>
      </c>
      <c r="C99" s="36"/>
      <c r="D99" s="37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2">
        <f>IF(十五音韻母對照表!$G99="", 0, LEN(十五音韻母對照表!$G99))</f>
        <v>0</v>
      </c>
      <c r="P99" s="18"/>
      <c r="Q99" s="18"/>
      <c r="R99" s="18"/>
      <c r="S99" s="18"/>
      <c r="T99" s="18"/>
      <c r="U99" s="18"/>
      <c r="V99" s="18"/>
      <c r="W99" s="18"/>
      <c r="X99" s="18"/>
      <c r="Y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</row>
    <row r="100" spans="2:45" ht="54" customHeight="1">
      <c r="B100" s="60">
        <v>97</v>
      </c>
      <c r="C100" s="35" t="s">
        <v>1793</v>
      </c>
      <c r="D100" s="48" t="s">
        <v>1449</v>
      </c>
      <c r="E100" s="25" t="s">
        <v>1006</v>
      </c>
      <c r="F100" s="46" t="s">
        <v>1794</v>
      </c>
      <c r="G100" s="46" t="s">
        <v>1795</v>
      </c>
      <c r="H100" s="46" t="s">
        <v>1795</v>
      </c>
      <c r="I100" s="40" t="s">
        <v>1796</v>
      </c>
      <c r="J100" s="46" t="s">
        <v>1797</v>
      </c>
      <c r="K100" s="46" t="s">
        <v>1798</v>
      </c>
      <c r="L100" s="29" t="s">
        <v>1608</v>
      </c>
      <c r="M100" s="30" t="str">
        <f>十五音韻母對照表!$E100&amp;LEFT(十五音韻母對照表!$L100,1)</f>
        <v>扛舒</v>
      </c>
      <c r="N100" s="31">
        <v>49</v>
      </c>
      <c r="O100" s="32">
        <f>IF(十五音韻母對照表!$G100="", 0, LEN(十五音韻母對照表!$G100))</f>
        <v>3</v>
      </c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AA100" s="18"/>
      <c r="AB100" s="18"/>
      <c r="AC100" s="18"/>
      <c r="AD100" s="18"/>
      <c r="AE100" s="18"/>
      <c r="AF100" s="18" t="str">
        <f xml:space="preserve"> IF(AND(MOD(B100,2)&lt;&gt;1, G100&lt;&gt;""), "", _xlfn.CONCAT("""", 十五音韻母對照表!$E100, """", " : [", """", 十五音韻母對照表!$G100, """", ", """, G101, """", "],"))</f>
        <v>"扛" : ["onn", "ohnn"],</v>
      </c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</row>
    <row r="101" spans="2:45" ht="54" customHeight="1">
      <c r="B101" s="60">
        <v>98</v>
      </c>
      <c r="C101" s="23" t="s">
        <v>1287</v>
      </c>
      <c r="D101" s="48" t="s">
        <v>1422</v>
      </c>
      <c r="E101" s="25" t="s">
        <v>1006</v>
      </c>
      <c r="F101" s="40" t="s">
        <v>1799</v>
      </c>
      <c r="G101" s="40" t="s">
        <v>1800</v>
      </c>
      <c r="H101" s="40" t="s">
        <v>1801</v>
      </c>
      <c r="I101" s="40" t="s">
        <v>1802</v>
      </c>
      <c r="J101" s="40" t="s">
        <v>1803</v>
      </c>
      <c r="K101" s="40" t="s">
        <v>1775</v>
      </c>
      <c r="L101" s="29" t="s">
        <v>1611</v>
      </c>
      <c r="M101" s="30" t="str">
        <f>十五音韻母對照表!$E101&amp;LEFT(十五音韻母對照表!$L101,1)</f>
        <v>扛促</v>
      </c>
      <c r="N101" s="31">
        <v>49</v>
      </c>
      <c r="O101" s="32">
        <f>IF(十五音韻母對照表!$G101="", 0, LEN(十五音韻母對照表!$G101))</f>
        <v>4</v>
      </c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AA101" s="18"/>
      <c r="AB101" s="18"/>
      <c r="AC101" s="18"/>
      <c r="AD101" s="18"/>
      <c r="AE101" s="18"/>
      <c r="AF101" s="18" t="str">
        <f xml:space="preserve"> IF(AND(MOD(B101,2)&lt;&gt;1, G101&lt;&gt;""), "", _xlfn.CONCAT("""", 十五音韻母對照表!$E101, """", " : [", """", 十五音韻母對照表!$G101, """", ", """, G102, """", "],"))</f>
        <v/>
      </c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</row>
    <row r="102" spans="2:45" ht="54" customHeight="1">
      <c r="B102" s="60">
        <v>99</v>
      </c>
      <c r="C102" s="23" t="s">
        <v>1804</v>
      </c>
      <c r="D102" s="24" t="s">
        <v>1805</v>
      </c>
      <c r="E102" s="25" t="s">
        <v>109</v>
      </c>
      <c r="F102" s="26" t="s">
        <v>1394</v>
      </c>
      <c r="G102" s="27" t="s">
        <v>650</v>
      </c>
      <c r="H102" s="28" t="s">
        <v>650</v>
      </c>
      <c r="I102" s="28" t="s">
        <v>1806</v>
      </c>
      <c r="J102" s="28" t="s">
        <v>1396</v>
      </c>
      <c r="K102" s="28" t="s">
        <v>1807</v>
      </c>
      <c r="L102" s="29" t="s">
        <v>1608</v>
      </c>
      <c r="M102" s="30" t="str">
        <f>十五音韻母對照表!$E102&amp;LEFT(十五音韻母對照表!$L102,1)</f>
        <v>牛舒</v>
      </c>
      <c r="N102" s="31">
        <v>50</v>
      </c>
      <c r="O102" s="32">
        <f>IF(十五音韻母對照表!$G102="", 0, LEN(十五音韻母對照表!$G102))</f>
        <v>4</v>
      </c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AA102" s="18"/>
      <c r="AB102" s="18"/>
      <c r="AC102" s="18"/>
      <c r="AD102" s="18"/>
      <c r="AE102" s="18"/>
      <c r="AF102" s="18" t="str">
        <f xml:space="preserve"> IF(AND(MOD(B102,2)&lt;&gt;1, G102&lt;&gt;""), "", _xlfn.CONCAT("""", 十五音韻母對照表!$E102, """", " : [", """", 十五音韻母對照表!$G102, """", ", """, G103, """", "],"))</f>
        <v>"牛" : ["iunn", ""],</v>
      </c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</row>
    <row r="103" spans="2:45" ht="54" customHeight="1">
      <c r="B103" s="66">
        <v>100</v>
      </c>
      <c r="C103" s="67"/>
      <c r="D103" s="68"/>
      <c r="E103" s="67"/>
      <c r="F103" s="69"/>
      <c r="G103" s="67"/>
      <c r="H103" s="67"/>
      <c r="I103" s="67"/>
      <c r="J103" s="67"/>
      <c r="K103" s="67"/>
      <c r="L103" s="67"/>
      <c r="M103" s="67"/>
      <c r="N103" s="67"/>
      <c r="O103" s="32">
        <f>IF(十五音韻母對照表!$G103="", 0, LEN(十五音韻母對照表!$G103))</f>
        <v>0</v>
      </c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</row>
  </sheetData>
  <phoneticPr fontId="1" type="noConversion"/>
  <conditionalFormatting sqref="B4:N103">
    <cfRule type="expression" dxfId="0" priority="1">
      <formula>LEFT($L4,2)="舒聲"</formula>
    </cfRule>
    <cfRule type="expression" priority="2">
      <formula>LEFT($L4,2)="促聲"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7C172-8582-48B6-B00F-91668840B7FA}">
  <dimension ref="B2:J10"/>
  <sheetViews>
    <sheetView workbookViewId="0">
      <selection activeCell="G15" sqref="G15"/>
    </sheetView>
  </sheetViews>
  <sheetFormatPr defaultRowHeight="25.5"/>
  <cols>
    <col min="2" max="2" width="11" customWidth="1"/>
    <col min="3" max="3" width="11.4140625" customWidth="1"/>
    <col min="4" max="8" width="13.33203125" customWidth="1"/>
    <col min="9" max="9" width="14.08203125" customWidth="1"/>
    <col min="10" max="10" width="13.33203125" customWidth="1"/>
  </cols>
  <sheetData>
    <row r="2" spans="2:10">
      <c r="B2" s="70" t="s">
        <v>1834</v>
      </c>
      <c r="C2" s="70" t="s">
        <v>1833</v>
      </c>
      <c r="D2" s="71" t="s">
        <v>1832</v>
      </c>
      <c r="E2" s="71" t="s">
        <v>1835</v>
      </c>
      <c r="F2" s="71" t="s">
        <v>1836</v>
      </c>
      <c r="G2" s="71" t="s">
        <v>1837</v>
      </c>
      <c r="H2" s="71" t="s">
        <v>1846</v>
      </c>
      <c r="I2" s="71" t="s">
        <v>1847</v>
      </c>
      <c r="J2" s="71" t="s">
        <v>1848</v>
      </c>
    </row>
    <row r="3" spans="2:10" ht="33.75">
      <c r="B3" s="70" t="str">
        <f xml:space="preserve"> TEXT(C3, "[DBNum1][$-zh-TW]G/通用格式")</f>
        <v>一</v>
      </c>
      <c r="C3" s="70">
        <v>1</v>
      </c>
      <c r="D3" s="72">
        <v>1</v>
      </c>
      <c r="E3" s="73" t="str">
        <f xml:space="preserve"> _xlfn.CONCAT( LEFT(G3), RIGHT(G3))</f>
        <v>上平</v>
      </c>
      <c r="F3" s="73" t="str">
        <f xml:space="preserve"> _xlfn.CONCAT( MID(G3,3,1), RIGHT(G3))</f>
        <v>陰平</v>
      </c>
      <c r="G3" s="72" t="s">
        <v>1838</v>
      </c>
      <c r="H3" s="72" t="str">
        <f>_xlfn.UNICHAR(HEX2DEC("02C9"))</f>
        <v>ˉ</v>
      </c>
      <c r="I3" s="74"/>
      <c r="J3" s="74" t="str">
        <f xml:space="preserve"> _xlfn.CONCAT("◌", [2]!聲調表[[#This Row],[白話字調符編碼]])</f>
        <v>◌</v>
      </c>
    </row>
    <row r="4" spans="2:10" ht="33.75">
      <c r="B4" s="70" t="str">
        <f xml:space="preserve"> TEXT(C4, "[DBNum1][$-zh-TW]G/通用格式")</f>
        <v>二</v>
      </c>
      <c r="C4" s="70">
        <v>2</v>
      </c>
      <c r="D4" s="75">
        <v>3</v>
      </c>
      <c r="E4" s="76" t="str">
        <f t="shared" ref="E4:E10" si="0" xml:space="preserve"> _xlfn.CONCAT( LEFT(G4), RIGHT(G4))</f>
        <v>上上</v>
      </c>
      <c r="F4" s="76" t="str">
        <f t="shared" ref="F4:F10" si="1" xml:space="preserve"> _xlfn.CONCAT( MID(G4,3,1), RIGHT(G4))</f>
        <v>陰上</v>
      </c>
      <c r="G4" s="75" t="s">
        <v>1839</v>
      </c>
      <c r="H4" s="75" t="str">
        <f>_xlfn.UNICHAR(HEX2DEC("02CB"))</f>
        <v>ˋ</v>
      </c>
      <c r="I4" s="77" t="str">
        <f>_xlfn.UNICHAR(HEX2DEC("0301"))</f>
        <v>́</v>
      </c>
      <c r="J4" s="77" t="str">
        <f xml:space="preserve"> _xlfn.CONCAT("◌", [2]!聲調表[[#This Row],[白話字調符編碼]])</f>
        <v>◌́</v>
      </c>
    </row>
    <row r="5" spans="2:10" ht="33.75">
      <c r="B5" s="70" t="str">
        <f xml:space="preserve"> TEXT(C5, "[DBNum1][$-zh-TW]G/通用格式")</f>
        <v>三</v>
      </c>
      <c r="C5" s="70">
        <v>3</v>
      </c>
      <c r="D5" s="72">
        <v>5</v>
      </c>
      <c r="E5" s="73" t="str">
        <f t="shared" si="0"/>
        <v>上去</v>
      </c>
      <c r="F5" s="73" t="str">
        <f t="shared" si="1"/>
        <v>陰去</v>
      </c>
      <c r="G5" s="72" t="s">
        <v>1840</v>
      </c>
      <c r="H5" s="72" t="str">
        <f>_xlfn.UNICHAR(HEX2DEC("02EA"))</f>
        <v>˪</v>
      </c>
      <c r="I5" s="74" t="str">
        <f>_xlfn.UNICHAR(HEX2DEC("0300"))</f>
        <v>̀</v>
      </c>
      <c r="J5" s="74" t="str">
        <f xml:space="preserve"> _xlfn.CONCAT("◌", [2]!聲調表[[#This Row],[白話字調符編碼]])</f>
        <v>◌̀</v>
      </c>
    </row>
    <row r="6" spans="2:10" ht="33.75">
      <c r="B6" s="70" t="str">
        <f xml:space="preserve"> TEXT(C6, "[DBNum1][$-zh-TW]G/通用格式")</f>
        <v>四</v>
      </c>
      <c r="C6" s="70">
        <v>4</v>
      </c>
      <c r="D6" s="75">
        <v>7</v>
      </c>
      <c r="E6" s="76" t="str">
        <f t="shared" si="0"/>
        <v>上入</v>
      </c>
      <c r="F6" s="76" t="str">
        <f t="shared" si="1"/>
        <v>陰入</v>
      </c>
      <c r="G6" s="75" t="s">
        <v>1841</v>
      </c>
      <c r="H6" s="75" t="str">
        <f>_xlfn.UNICHAR(HEX2DEC("02C9"))</f>
        <v>ˉ</v>
      </c>
      <c r="I6" s="77"/>
      <c r="J6" s="77" t="str">
        <f xml:space="preserve"> _xlfn.CONCAT("◌", [2]!聲調表[[#This Row],[白話字調符編碼]])</f>
        <v>◌</v>
      </c>
    </row>
    <row r="7" spans="2:10" ht="33.75">
      <c r="B7" s="70" t="str">
        <f xml:space="preserve"> TEXT(C7, "[DBNum1][$-zh-TW]G/通用格式")</f>
        <v>五</v>
      </c>
      <c r="C7" s="70">
        <v>5</v>
      </c>
      <c r="D7" s="72">
        <v>2</v>
      </c>
      <c r="E7" s="73" t="str">
        <f t="shared" si="0"/>
        <v>下平</v>
      </c>
      <c r="F7" s="73" t="str">
        <f t="shared" si="1"/>
        <v>陽平</v>
      </c>
      <c r="G7" s="72" t="s">
        <v>1842</v>
      </c>
      <c r="H7" s="72" t="str">
        <f>_xlfn.UNICHAR(HEX2DEC("02CA"))</f>
        <v>ˊ</v>
      </c>
      <c r="I7" s="74" t="str">
        <f>_xlfn.UNICHAR(HEX2DEC("0302"))</f>
        <v>̂</v>
      </c>
      <c r="J7" s="74" t="str">
        <f xml:space="preserve"> _xlfn.CONCAT("◌", [2]!聲調表[[#This Row],[白話字調符編碼]])</f>
        <v>◌̂</v>
      </c>
    </row>
    <row r="8" spans="2:10" ht="33.75">
      <c r="B8" s="70" t="str">
        <f xml:space="preserve"> TEXT(C8, "[DBNum1][$-zh-TW]G/通用格式")</f>
        <v>六</v>
      </c>
      <c r="C8" s="70">
        <v>6</v>
      </c>
      <c r="D8" s="78">
        <v>4</v>
      </c>
      <c r="E8" s="76" t="str">
        <f t="shared" si="0"/>
        <v>下上</v>
      </c>
      <c r="F8" s="76" t="str">
        <f t="shared" si="1"/>
        <v>陽上</v>
      </c>
      <c r="G8" s="75" t="s">
        <v>1843</v>
      </c>
      <c r="H8" s="78" t="str">
        <f>_xlfn.UNICHAR(HEX2DEC("02CB"))</f>
        <v>ˋ</v>
      </c>
      <c r="I8" s="79" t="str">
        <f>_xlfn.UNICHAR(HEX2DEC("030C"))</f>
        <v>̌</v>
      </c>
      <c r="J8" s="79" t="str">
        <f xml:space="preserve"> _xlfn.CONCAT("◌", [2]!聲調表[[#This Row],[白話字調符編碼]])</f>
        <v>◌̌</v>
      </c>
    </row>
    <row r="9" spans="2:10" ht="33.75">
      <c r="B9" s="70" t="str">
        <f xml:space="preserve"> TEXT(C9, "[DBNum1][$-zh-TW]G/通用格式")</f>
        <v>七</v>
      </c>
      <c r="C9" s="70">
        <v>7</v>
      </c>
      <c r="D9" s="72">
        <v>6</v>
      </c>
      <c r="E9" s="73" t="str">
        <f t="shared" si="0"/>
        <v>下去</v>
      </c>
      <c r="F9" s="73" t="str">
        <f t="shared" si="1"/>
        <v>陽去</v>
      </c>
      <c r="G9" s="72" t="s">
        <v>1844</v>
      </c>
      <c r="H9" s="72" t="str">
        <f>_xlfn.UNICHAR(HEX2DEC("02EB"))</f>
        <v>˫</v>
      </c>
      <c r="I9" s="74" t="str">
        <f>_xlfn.UNICHAR(HEX2DEC("0304"))</f>
        <v>̄</v>
      </c>
      <c r="J9" s="74" t="str">
        <f xml:space="preserve"> _xlfn.CONCAT("◌", [2]!聲調表[[#This Row],[白話字調符編碼]])</f>
        <v>◌̄</v>
      </c>
    </row>
    <row r="10" spans="2:10" ht="33.75">
      <c r="B10" s="70" t="str">
        <f xml:space="preserve"> TEXT(C10, "[DBNum1][$-zh-TW]G/通用格式")</f>
        <v>八</v>
      </c>
      <c r="C10" s="70">
        <v>8</v>
      </c>
      <c r="D10" s="75">
        <v>8</v>
      </c>
      <c r="E10" s="76" t="str">
        <f t="shared" si="0"/>
        <v>下入</v>
      </c>
      <c r="F10" s="76" t="str">
        <f t="shared" si="1"/>
        <v>陽入</v>
      </c>
      <c r="G10" s="75" t="s">
        <v>1845</v>
      </c>
      <c r="H10" s="75" t="str">
        <f>_xlfn.UNICHAR(HEX2DEC("02D9"))</f>
        <v>˙</v>
      </c>
      <c r="I10" s="77" t="str">
        <f>_xlfn.UNICHAR(HEX2DEC("030D"))</f>
        <v>̍</v>
      </c>
      <c r="J10" s="77" t="str">
        <f xml:space="preserve"> _xlfn.CONCAT("◌", [2]!聲調表[[#This Row],[白話字調符編碼]])</f>
        <v>◌̍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具名範圍</vt:lpstr>
      </vt:variant>
      <vt:variant>
        <vt:i4>19</vt:i4>
      </vt:variant>
    </vt:vector>
  </HeadingPairs>
  <TitlesOfParts>
    <vt:vector size="29" baseType="lpstr">
      <vt:lpstr>env</vt:lpstr>
      <vt:lpstr>網頁匯入</vt:lpstr>
      <vt:lpstr>網頁匯入 (有Bug)</vt:lpstr>
      <vt:lpstr>網頁匯入 (2)</vt:lpstr>
      <vt:lpstr>網頁匯入(v0.0.3)</vt:lpstr>
      <vt:lpstr>十五音轉台語音標字典</vt:lpstr>
      <vt:lpstr>聲母對照表</vt:lpstr>
      <vt:lpstr>韻母對照表</vt:lpstr>
      <vt:lpstr>十五音韻母對照表</vt:lpstr>
      <vt:lpstr>聲調對照表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2026-02-21T12:42:03Z</dcterms:created>
  <dcterms:modified xsi:type="dcterms:W3CDTF">2026-02-22T15:12:05Z</dcterms:modified>
</cp:coreProperties>
</file>