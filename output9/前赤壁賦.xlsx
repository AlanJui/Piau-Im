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9\"/>
    </mc:Choice>
  </mc:AlternateContent>
  <xr:revisionPtr revIDLastSave="0" documentId="13_ncr:1_{05DCD83E-283A-4D81-86DD-564454662A59}" xr6:coauthVersionLast="47" xr6:coauthVersionMax="47" xr10:uidLastSave="{00000000-0000-0000-0000-000000000000}"/>
  <bookViews>
    <workbookView xWindow="-120" yWindow="-120" windowWidth="29040" windowHeight="15720" activeTab="5" xr2:uid="{4EA0A38C-B750-42E9-B691-0F234429BA61}"/>
  </bookViews>
  <sheets>
    <sheet name="網頁匯入 (有Bug)" sheetId="3" r:id="rId1"/>
    <sheet name="十五音轉台語音標字典" sheetId="4" r:id="rId2"/>
    <sheet name="網頁匯入" sheetId="2" r:id="rId3"/>
    <sheet name="聲母對照表" sheetId="5" r:id="rId4"/>
    <sheet name="韻母對照表" sheetId="1" r:id="rId5"/>
    <sheet name="十五音韻母對照表" sheetId="6" r:id="rId6"/>
  </sheets>
  <externalReferences>
    <externalReference r:id="rId7"/>
  </externalReferences>
  <definedNames>
    <definedName name="_xlnm._FilterDatabase" localSheetId="5" hidden="1">十五音韻母對照表!$B$3:$O$103</definedName>
    <definedName name="十五音韻母">#REF!</definedName>
    <definedName name="十五音韻母對照表">#REF!</definedName>
    <definedName name="台羅韻母八音反切">#REF!</definedName>
    <definedName name="白話字韻母八音反切">#REF!</definedName>
    <definedName name="閩拼韻母八音反切">#REF!</definedName>
    <definedName name="聲母碼">[1]十五音聲母對照表!$F$4:$F$25</definedName>
    <definedName name="聲母碼表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3" i="6" l="1"/>
  <c r="AF102" i="6"/>
  <c r="O102" i="6"/>
  <c r="M102" i="6"/>
  <c r="AF101" i="6"/>
  <c r="O101" i="6"/>
  <c r="M101" i="6"/>
  <c r="AF100" i="6"/>
  <c r="O100" i="6"/>
  <c r="M100" i="6"/>
  <c r="O99" i="6"/>
  <c r="AF98" i="6"/>
  <c r="O98" i="6"/>
  <c r="M98" i="6"/>
  <c r="AF97" i="6"/>
  <c r="O97" i="6"/>
  <c r="M97" i="6"/>
  <c r="AF96" i="6"/>
  <c r="O96" i="6"/>
  <c r="M96" i="6"/>
  <c r="AF95" i="6"/>
  <c r="O95" i="6"/>
  <c r="M95" i="6"/>
  <c r="AF94" i="6"/>
  <c r="O94" i="6"/>
  <c r="M94" i="6"/>
  <c r="O93" i="6"/>
  <c r="AF92" i="6"/>
  <c r="O92" i="6"/>
  <c r="M92" i="6"/>
  <c r="AF91" i="6"/>
  <c r="O91" i="6"/>
  <c r="M91" i="6"/>
  <c r="AF90" i="6"/>
  <c r="O90" i="6"/>
  <c r="M90" i="6"/>
  <c r="AF89" i="6"/>
  <c r="O89" i="6"/>
  <c r="M89" i="6"/>
  <c r="AF88" i="6"/>
  <c r="O88" i="6"/>
  <c r="M88" i="6"/>
  <c r="O87" i="6"/>
  <c r="AF86" i="6"/>
  <c r="O86" i="6"/>
  <c r="M86" i="6"/>
  <c r="O85" i="6"/>
  <c r="AF84" i="6"/>
  <c r="O84" i="6"/>
  <c r="M84" i="6"/>
  <c r="O83" i="6"/>
  <c r="AF82" i="6"/>
  <c r="O82" i="6"/>
  <c r="M82" i="6"/>
  <c r="AF81" i="6"/>
  <c r="O81" i="6"/>
  <c r="M81" i="6"/>
  <c r="AF80" i="6"/>
  <c r="O80" i="6"/>
  <c r="M80" i="6"/>
  <c r="O79" i="6"/>
  <c r="AF78" i="6"/>
  <c r="O78" i="6"/>
  <c r="M78" i="6"/>
  <c r="O77" i="6"/>
  <c r="AF76" i="6"/>
  <c r="O76" i="6"/>
  <c r="M76" i="6"/>
  <c r="O75" i="6"/>
  <c r="AF74" i="6"/>
  <c r="O74" i="6"/>
  <c r="M74" i="6"/>
  <c r="O73" i="6"/>
  <c r="AF72" i="6"/>
  <c r="O72" i="6"/>
  <c r="M72" i="6"/>
  <c r="AF71" i="6"/>
  <c r="O71" i="6"/>
  <c r="M71" i="6"/>
  <c r="AF70" i="6"/>
  <c r="O70" i="6"/>
  <c r="M70" i="6"/>
  <c r="AF69" i="6"/>
  <c r="O69" i="6"/>
  <c r="M69" i="6"/>
  <c r="AF68" i="6"/>
  <c r="O68" i="6"/>
  <c r="M68" i="6"/>
  <c r="O67" i="6"/>
  <c r="AF66" i="6"/>
  <c r="O66" i="6"/>
  <c r="M66" i="6"/>
  <c r="AF65" i="6"/>
  <c r="O65" i="6"/>
  <c r="M65" i="6"/>
  <c r="AF64" i="6"/>
  <c r="O64" i="6"/>
  <c r="M64" i="6"/>
  <c r="O63" i="6"/>
  <c r="AF62" i="6"/>
  <c r="O62" i="6"/>
  <c r="M62" i="6"/>
  <c r="AF61" i="6"/>
  <c r="O61" i="6"/>
  <c r="M61" i="6"/>
  <c r="AF60" i="6"/>
  <c r="O60" i="6"/>
  <c r="M60" i="6"/>
  <c r="AF59" i="6"/>
  <c r="O59" i="6"/>
  <c r="M59" i="6"/>
  <c r="AF58" i="6"/>
  <c r="O58" i="6"/>
  <c r="M58" i="6"/>
  <c r="AF57" i="6"/>
  <c r="O57" i="6"/>
  <c r="M57" i="6"/>
  <c r="AF56" i="6"/>
  <c r="O56" i="6"/>
  <c r="M56" i="6"/>
  <c r="AF55" i="6"/>
  <c r="O55" i="6"/>
  <c r="M55" i="6"/>
  <c r="AF54" i="6"/>
  <c r="O54" i="6"/>
  <c r="M54" i="6"/>
  <c r="AF53" i="6"/>
  <c r="O53" i="6"/>
  <c r="M53" i="6"/>
  <c r="AF52" i="6"/>
  <c r="O52" i="6"/>
  <c r="M52" i="6"/>
  <c r="AF51" i="6"/>
  <c r="O51" i="6"/>
  <c r="M51" i="6"/>
  <c r="AF50" i="6"/>
  <c r="O50" i="6"/>
  <c r="M50" i="6"/>
  <c r="AF49" i="6"/>
  <c r="O49" i="6"/>
  <c r="M49" i="6"/>
  <c r="AF48" i="6"/>
  <c r="O48" i="6"/>
  <c r="M48" i="6"/>
  <c r="AF47" i="6"/>
  <c r="O47" i="6"/>
  <c r="M47" i="6"/>
  <c r="AF46" i="6"/>
  <c r="O46" i="6"/>
  <c r="M46" i="6"/>
  <c r="AF45" i="6"/>
  <c r="O45" i="6"/>
  <c r="M45" i="6"/>
  <c r="AF44" i="6"/>
  <c r="O44" i="6"/>
  <c r="M44" i="6"/>
  <c r="AF43" i="6"/>
  <c r="O43" i="6"/>
  <c r="M43" i="6"/>
  <c r="AF42" i="6"/>
  <c r="O42" i="6"/>
  <c r="M42" i="6"/>
  <c r="AF41" i="6"/>
  <c r="O41" i="6"/>
  <c r="M41" i="6"/>
  <c r="AF40" i="6"/>
  <c r="O40" i="6"/>
  <c r="M40" i="6"/>
  <c r="AF39" i="6"/>
  <c r="O39" i="6"/>
  <c r="M39" i="6"/>
  <c r="AF38" i="6"/>
  <c r="O38" i="6"/>
  <c r="M38" i="6"/>
  <c r="AF37" i="6"/>
  <c r="O37" i="6"/>
  <c r="M37" i="6"/>
  <c r="AF36" i="6"/>
  <c r="O36" i="6"/>
  <c r="M36" i="6"/>
  <c r="O35" i="6"/>
  <c r="AF34" i="6"/>
  <c r="O34" i="6"/>
  <c r="M34" i="6"/>
  <c r="AF33" i="6"/>
  <c r="O33" i="6"/>
  <c r="M33" i="6"/>
  <c r="AF32" i="6"/>
  <c r="O32" i="6"/>
  <c r="M32" i="6"/>
  <c r="AF31" i="6"/>
  <c r="O31" i="6"/>
  <c r="M31" i="6"/>
  <c r="AF30" i="6"/>
  <c r="O30" i="6"/>
  <c r="M30" i="6"/>
  <c r="O29" i="6"/>
  <c r="AF28" i="6"/>
  <c r="O28" i="6"/>
  <c r="M28" i="6"/>
  <c r="AF27" i="6"/>
  <c r="O27" i="6"/>
  <c r="M27" i="6"/>
  <c r="AF26" i="6"/>
  <c r="O26" i="6"/>
  <c r="M26" i="6"/>
  <c r="O25" i="6"/>
  <c r="AF24" i="6"/>
  <c r="O24" i="6"/>
  <c r="M24" i="6"/>
  <c r="AF23" i="6"/>
  <c r="O23" i="6"/>
  <c r="M23" i="6"/>
  <c r="AF22" i="6"/>
  <c r="O22" i="6"/>
  <c r="M22" i="6"/>
  <c r="AF21" i="6"/>
  <c r="O21" i="6"/>
  <c r="M21" i="6"/>
  <c r="AF20" i="6"/>
  <c r="O20" i="6"/>
  <c r="M20" i="6"/>
  <c r="AF19" i="6"/>
  <c r="O19" i="6"/>
  <c r="M19" i="6"/>
  <c r="AF18" i="6"/>
  <c r="O18" i="6"/>
  <c r="M18" i="6"/>
  <c r="AF17" i="6"/>
  <c r="O17" i="6"/>
  <c r="M17" i="6"/>
  <c r="AF16" i="6"/>
  <c r="O16" i="6"/>
  <c r="M16" i="6"/>
  <c r="AF15" i="6"/>
  <c r="O15" i="6"/>
  <c r="M15" i="6"/>
  <c r="AF14" i="6"/>
  <c r="O14" i="6"/>
  <c r="M14" i="6"/>
  <c r="Q3" i="6" s="1" a="1"/>
  <c r="Q3" i="6" s="1"/>
  <c r="AF13" i="6"/>
  <c r="O13" i="6"/>
  <c r="M13" i="6"/>
  <c r="AF12" i="6"/>
  <c r="O12" i="6"/>
  <c r="M12" i="6"/>
  <c r="O11" i="6"/>
  <c r="AF10" i="6"/>
  <c r="O10" i="6"/>
  <c r="M10" i="6"/>
  <c r="AF9" i="6"/>
  <c r="O9" i="6"/>
  <c r="M9" i="6"/>
  <c r="AF8" i="6"/>
  <c r="O8" i="6"/>
  <c r="M8" i="6"/>
  <c r="AF7" i="6"/>
  <c r="O7" i="6"/>
  <c r="M7" i="6"/>
  <c r="AF6" i="6"/>
  <c r="O6" i="6"/>
  <c r="M6" i="6"/>
  <c r="AF5" i="6"/>
  <c r="AH3" i="6" s="1" a="1"/>
  <c r="AH3" i="6" s="1"/>
  <c r="O5" i="6"/>
  <c r="M5" i="6"/>
  <c r="AF4" i="6"/>
  <c r="O4" i="6"/>
  <c r="M4" i="6"/>
  <c r="O1" i="6" a="1"/>
  <c r="O1" i="6" s="1"/>
  <c r="N1" i="6" a="1"/>
  <c r="N1" i="6" s="1"/>
  <c r="M1" i="6" a="1"/>
  <c r="M1" i="6" s="1"/>
  <c r="L1" i="6" a="1"/>
  <c r="L1" i="6" s="1"/>
  <c r="K1" i="6" a="1"/>
  <c r="K1" i="6" s="1"/>
  <c r="J1" i="6" a="1"/>
  <c r="J1" i="6" s="1"/>
  <c r="I1" i="6" a="1"/>
  <c r="I1" i="6" s="1"/>
  <c r="H1" i="6" a="1"/>
  <c r="H1" i="6" s="1"/>
  <c r="G1" i="6" a="1"/>
  <c r="G1" i="6" s="1"/>
  <c r="F1" i="6" a="1"/>
  <c r="F1" i="6" s="1"/>
  <c r="E1" i="6" a="1"/>
  <c r="E1" i="6" s="1"/>
  <c r="D1" i="6" a="1"/>
  <c r="D1" i="6" s="1"/>
  <c r="C1" i="6" a="1"/>
  <c r="C1" i="6" s="1"/>
  <c r="B1" i="6" a="1"/>
  <c r="B1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<sst xmlns="http://schemas.openxmlformats.org/spreadsheetml/2006/main" count="7851" uniqueCount="1821">
  <si>
    <t>漢字</t>
  </si>
  <si>
    <t>漢字標音</t>
  </si>
  <si>
    <t>《</t>
  </si>
  <si>
    <t>前</t>
  </si>
  <si>
    <t>堅五曾</t>
  </si>
  <si>
    <t>赤</t>
  </si>
  <si>
    <t>經四出</t>
  </si>
  <si>
    <t>壁</t>
  </si>
  <si>
    <t>經四邊</t>
  </si>
  <si>
    <t>賦</t>
  </si>
  <si>
    <t>艍三喜</t>
  </si>
  <si>
    <t>》</t>
  </si>
  <si>
    <t>北</t>
  </si>
  <si>
    <t>公四邊</t>
  </si>
  <si>
    <t>宋</t>
  </si>
  <si>
    <t>公三時</t>
  </si>
  <si>
    <t>：</t>
  </si>
  <si>
    <t>蘇</t>
  </si>
  <si>
    <t>沽一時</t>
  </si>
  <si>
    <t>軾</t>
  </si>
  <si>
    <t>經四時</t>
  </si>
  <si>
    <t>壬</t>
  </si>
  <si>
    <t>金五入</t>
  </si>
  <si>
    <t>戌</t>
  </si>
  <si>
    <t>君四時</t>
  </si>
  <si>
    <t>之</t>
  </si>
  <si>
    <t>居一曾</t>
  </si>
  <si>
    <t>秋</t>
  </si>
  <si>
    <t>丩一出</t>
  </si>
  <si>
    <t>，</t>
  </si>
  <si>
    <t>七</t>
  </si>
  <si>
    <t>巾四出</t>
  </si>
  <si>
    <t>月</t>
  </si>
  <si>
    <t>觀八語</t>
  </si>
  <si>
    <t>既</t>
  </si>
  <si>
    <t>居三求</t>
  </si>
  <si>
    <t>望</t>
  </si>
  <si>
    <t>恭七門</t>
  </si>
  <si>
    <t>子</t>
  </si>
  <si>
    <t>艍二曾</t>
  </si>
  <si>
    <t>與</t>
  </si>
  <si>
    <t>艍二英</t>
  </si>
  <si>
    <t>客</t>
  </si>
  <si>
    <t>經四去</t>
  </si>
  <si>
    <t>泛</t>
  </si>
  <si>
    <t>觀三喜</t>
  </si>
  <si>
    <t>舟</t>
  </si>
  <si>
    <t>丩一曾</t>
  </si>
  <si>
    <t>遊</t>
  </si>
  <si>
    <t>丩五英</t>
  </si>
  <si>
    <t>於</t>
  </si>
  <si>
    <t>艍一英</t>
  </si>
  <si>
    <t>下</t>
  </si>
  <si>
    <t>膠二喜</t>
  </si>
  <si>
    <t>。</t>
  </si>
  <si>
    <t>清</t>
  </si>
  <si>
    <t>經一出</t>
  </si>
  <si>
    <t>風</t>
  </si>
  <si>
    <t>恭一喜</t>
  </si>
  <si>
    <t>徐</t>
  </si>
  <si>
    <t>艍五時</t>
  </si>
  <si>
    <t>來</t>
  </si>
  <si>
    <t>皆五柳</t>
  </si>
  <si>
    <t>水</t>
  </si>
  <si>
    <t>規二時</t>
  </si>
  <si>
    <t>波</t>
  </si>
  <si>
    <t>高一頗</t>
  </si>
  <si>
    <t>不</t>
  </si>
  <si>
    <t>君四邊</t>
  </si>
  <si>
    <t>興</t>
  </si>
  <si>
    <t>經一喜</t>
  </si>
  <si>
    <t>舉</t>
  </si>
  <si>
    <t>艍二求</t>
  </si>
  <si>
    <t>酒</t>
  </si>
  <si>
    <t>丩二曾</t>
  </si>
  <si>
    <t>屬</t>
  </si>
  <si>
    <t>恭四曾</t>
  </si>
  <si>
    <t>誦</t>
  </si>
  <si>
    <t>恭七時</t>
  </si>
  <si>
    <t>明</t>
  </si>
  <si>
    <t>經五門</t>
  </si>
  <si>
    <t>詩</t>
  </si>
  <si>
    <t>居一時</t>
  </si>
  <si>
    <t>歌</t>
  </si>
  <si>
    <t>高一求</t>
  </si>
  <si>
    <t>窈</t>
  </si>
  <si>
    <t>嬌二英</t>
  </si>
  <si>
    <t>窕</t>
  </si>
  <si>
    <t>嬌二地</t>
  </si>
  <si>
    <t>章</t>
  </si>
  <si>
    <t>恭一曾</t>
  </si>
  <si>
    <t>少</t>
  </si>
  <si>
    <t>嬌二時</t>
  </si>
  <si>
    <t>焉</t>
  </si>
  <si>
    <t>堅一英</t>
  </si>
  <si>
    <t>出</t>
  </si>
  <si>
    <t>規三出</t>
  </si>
  <si>
    <t>東</t>
  </si>
  <si>
    <t>公一地</t>
  </si>
  <si>
    <t>山</t>
  </si>
  <si>
    <t>干一時</t>
  </si>
  <si>
    <t>上</t>
  </si>
  <si>
    <t>恭二時</t>
  </si>
  <si>
    <t>徘</t>
  </si>
  <si>
    <t>皆五邊</t>
  </si>
  <si>
    <t>徊</t>
  </si>
  <si>
    <t>檜五喜</t>
  </si>
  <si>
    <t>斗</t>
  </si>
  <si>
    <t>沽二地</t>
  </si>
  <si>
    <t>牛</t>
  </si>
  <si>
    <t>艍五語</t>
  </si>
  <si>
    <t>間</t>
  </si>
  <si>
    <t>干一求</t>
  </si>
  <si>
    <t>白</t>
  </si>
  <si>
    <t>經八邊</t>
  </si>
  <si>
    <t>露</t>
  </si>
  <si>
    <t>沽七柳</t>
  </si>
  <si>
    <t>橫</t>
  </si>
  <si>
    <t>江</t>
  </si>
  <si>
    <t>江一求</t>
  </si>
  <si>
    <t>光</t>
  </si>
  <si>
    <t>公一求</t>
  </si>
  <si>
    <t>接</t>
  </si>
  <si>
    <t>兼四曾</t>
  </si>
  <si>
    <t>天</t>
  </si>
  <si>
    <t>堅一他</t>
  </si>
  <si>
    <t>；</t>
  </si>
  <si>
    <t>縱</t>
  </si>
  <si>
    <t>一</t>
  </si>
  <si>
    <t>巾四英</t>
  </si>
  <si>
    <t>葦</t>
  </si>
  <si>
    <t>規二英</t>
  </si>
  <si>
    <t>所</t>
  </si>
  <si>
    <t>沽二時</t>
  </si>
  <si>
    <t>如</t>
  </si>
  <si>
    <t>艍五入</t>
  </si>
  <si>
    <t>凌</t>
  </si>
  <si>
    <t>經五柳</t>
  </si>
  <si>
    <t>萬</t>
  </si>
  <si>
    <t>觀七門</t>
  </si>
  <si>
    <t>頃</t>
  </si>
  <si>
    <t>經一去</t>
  </si>
  <si>
    <t>茫</t>
  </si>
  <si>
    <t>公五門</t>
  </si>
  <si>
    <t>然</t>
  </si>
  <si>
    <t>堅五入</t>
  </si>
  <si>
    <t>浩</t>
  </si>
  <si>
    <t>高二喜</t>
  </si>
  <si>
    <t>乎</t>
  </si>
  <si>
    <t>沽五喜</t>
  </si>
  <si>
    <t>居五入</t>
  </si>
  <si>
    <t>馮</t>
  </si>
  <si>
    <t>經五邊</t>
  </si>
  <si>
    <t>虛</t>
  </si>
  <si>
    <t>艍一喜</t>
  </si>
  <si>
    <t>御</t>
  </si>
  <si>
    <t>艍七語</t>
  </si>
  <si>
    <t>而</t>
  </si>
  <si>
    <t>知</t>
  </si>
  <si>
    <t>居一地</t>
  </si>
  <si>
    <t>其</t>
  </si>
  <si>
    <t>居五求</t>
  </si>
  <si>
    <t>止</t>
  </si>
  <si>
    <t>居二曾</t>
  </si>
  <si>
    <t>飄</t>
  </si>
  <si>
    <t>嬌一頗</t>
  </si>
  <si>
    <t>遺</t>
  </si>
  <si>
    <t>規五英</t>
  </si>
  <si>
    <t>世</t>
  </si>
  <si>
    <t>伽三時</t>
  </si>
  <si>
    <t>獨</t>
  </si>
  <si>
    <t>公八地</t>
  </si>
  <si>
    <t>立</t>
  </si>
  <si>
    <t>金八柳</t>
  </si>
  <si>
    <t>羽</t>
  </si>
  <si>
    <t>化</t>
  </si>
  <si>
    <t>瓜三喜</t>
  </si>
  <si>
    <t>登</t>
  </si>
  <si>
    <t>經一地</t>
  </si>
  <si>
    <t>仙</t>
  </si>
  <si>
    <t>堅一時</t>
  </si>
  <si>
    <t>是</t>
  </si>
  <si>
    <t>居二時</t>
  </si>
  <si>
    <t>飲</t>
  </si>
  <si>
    <t>金二英</t>
  </si>
  <si>
    <t>樂</t>
  </si>
  <si>
    <t>公八柳</t>
  </si>
  <si>
    <t>甚</t>
  </si>
  <si>
    <t>金二時</t>
  </si>
  <si>
    <t>扣</t>
  </si>
  <si>
    <t>沽三去</t>
  </si>
  <si>
    <t>舷</t>
  </si>
  <si>
    <t>堅五喜</t>
  </si>
  <si>
    <t>曰</t>
  </si>
  <si>
    <t>觀八英</t>
  </si>
  <si>
    <t xml:space="preserve"> </t>
  </si>
  <si>
    <t>「</t>
  </si>
  <si>
    <t>桂</t>
  </si>
  <si>
    <t>檜三求</t>
  </si>
  <si>
    <t>棹</t>
  </si>
  <si>
    <t>交七曾</t>
  </si>
  <si>
    <t>兮</t>
  </si>
  <si>
    <t>伽五喜</t>
  </si>
  <si>
    <t>蘭</t>
  </si>
  <si>
    <t>干五柳</t>
  </si>
  <si>
    <t>槳</t>
  </si>
  <si>
    <t>恭二曾</t>
  </si>
  <si>
    <t>擊</t>
  </si>
  <si>
    <t>經四求</t>
  </si>
  <si>
    <t>空</t>
  </si>
  <si>
    <t>公一去</t>
  </si>
  <si>
    <t>泝</t>
  </si>
  <si>
    <t>沽三時</t>
  </si>
  <si>
    <t>流</t>
  </si>
  <si>
    <t>丩五柳</t>
  </si>
  <si>
    <t>渺</t>
  </si>
  <si>
    <t>嬌二門</t>
  </si>
  <si>
    <t>予</t>
  </si>
  <si>
    <t>艍五英</t>
  </si>
  <si>
    <t>懷</t>
  </si>
  <si>
    <t>乖五喜</t>
  </si>
  <si>
    <t>恭五門</t>
  </si>
  <si>
    <t>美</t>
  </si>
  <si>
    <t>居二門</t>
  </si>
  <si>
    <t>人</t>
  </si>
  <si>
    <t>巾五入</t>
  </si>
  <si>
    <t>方</t>
  </si>
  <si>
    <t>恭五喜</t>
  </si>
  <si>
    <t>」</t>
  </si>
  <si>
    <t>有</t>
  </si>
  <si>
    <t>丩二英</t>
  </si>
  <si>
    <t>吹</t>
  </si>
  <si>
    <t>規一出</t>
  </si>
  <si>
    <t>洞</t>
  </si>
  <si>
    <t>公五地</t>
  </si>
  <si>
    <t>簫</t>
  </si>
  <si>
    <t>嬌一時</t>
  </si>
  <si>
    <t>者</t>
  </si>
  <si>
    <t>迦二曾</t>
  </si>
  <si>
    <t>倚</t>
  </si>
  <si>
    <t>居二英</t>
  </si>
  <si>
    <t>和</t>
  </si>
  <si>
    <t>高五喜</t>
  </si>
  <si>
    <t>聲</t>
  </si>
  <si>
    <t>經一時</t>
  </si>
  <si>
    <t>嗚</t>
  </si>
  <si>
    <t>沽一英</t>
  </si>
  <si>
    <t>怨</t>
  </si>
  <si>
    <t>觀一英</t>
  </si>
  <si>
    <t>慕</t>
  </si>
  <si>
    <t>沽七門</t>
  </si>
  <si>
    <t>泣</t>
  </si>
  <si>
    <t>金四去</t>
  </si>
  <si>
    <t>訴</t>
  </si>
  <si>
    <t>餘</t>
  </si>
  <si>
    <t>音</t>
  </si>
  <si>
    <t>金一英</t>
  </si>
  <si>
    <t>嫋</t>
  </si>
  <si>
    <t>嬌二柳</t>
  </si>
  <si>
    <t>絕</t>
  </si>
  <si>
    <t>觀八曾</t>
  </si>
  <si>
    <t>縷</t>
  </si>
  <si>
    <t>艍二柳</t>
  </si>
  <si>
    <t>舞</t>
  </si>
  <si>
    <t>艍二門</t>
  </si>
  <si>
    <t>幽</t>
  </si>
  <si>
    <t>丩一英</t>
  </si>
  <si>
    <t>壑</t>
  </si>
  <si>
    <t>公四喜</t>
  </si>
  <si>
    <t>潛</t>
  </si>
  <si>
    <t>兼五曾</t>
  </si>
  <si>
    <t>蛟</t>
  </si>
  <si>
    <t>交一求</t>
  </si>
  <si>
    <t>孤</t>
  </si>
  <si>
    <t>沽一求</t>
  </si>
  <si>
    <t>嫠</t>
  </si>
  <si>
    <t>居五柳</t>
  </si>
  <si>
    <t>婦</t>
  </si>
  <si>
    <t>艍七喜</t>
  </si>
  <si>
    <t>愀</t>
  </si>
  <si>
    <t>嬌二出</t>
  </si>
  <si>
    <t>正</t>
  </si>
  <si>
    <t>經三曾</t>
  </si>
  <si>
    <t>襟</t>
  </si>
  <si>
    <t>金一求</t>
  </si>
  <si>
    <t>危</t>
  </si>
  <si>
    <t>規五語</t>
  </si>
  <si>
    <t>坐</t>
  </si>
  <si>
    <t>高二曾</t>
  </si>
  <si>
    <t>問</t>
  </si>
  <si>
    <t>君七門</t>
  </si>
  <si>
    <t>何</t>
  </si>
  <si>
    <t>為</t>
  </si>
  <si>
    <t>規七英</t>
  </si>
  <si>
    <t>也</t>
  </si>
  <si>
    <t>迦二英</t>
  </si>
  <si>
    <t>？</t>
  </si>
  <si>
    <t>『</t>
  </si>
  <si>
    <t>星</t>
  </si>
  <si>
    <t>稀</t>
  </si>
  <si>
    <t>居一喜</t>
  </si>
  <si>
    <t>烏</t>
  </si>
  <si>
    <t>鵲</t>
  </si>
  <si>
    <t>恭四出</t>
  </si>
  <si>
    <t>南</t>
  </si>
  <si>
    <t>甘五柳</t>
  </si>
  <si>
    <t>飛</t>
  </si>
  <si>
    <t>規一喜</t>
  </si>
  <si>
    <t>』</t>
  </si>
  <si>
    <t>此</t>
  </si>
  <si>
    <t>艍二出</t>
  </si>
  <si>
    <t>非</t>
  </si>
  <si>
    <t>曹</t>
  </si>
  <si>
    <t>高五曾</t>
  </si>
  <si>
    <t>孟</t>
  </si>
  <si>
    <t>經七門</t>
  </si>
  <si>
    <t>德</t>
  </si>
  <si>
    <t>經四地</t>
  </si>
  <si>
    <t>西</t>
  </si>
  <si>
    <t>伽一時</t>
  </si>
  <si>
    <t>夏</t>
  </si>
  <si>
    <t>口</t>
  </si>
  <si>
    <t>沽二去</t>
  </si>
  <si>
    <t>武</t>
  </si>
  <si>
    <t>昌</t>
  </si>
  <si>
    <t>恭一出</t>
  </si>
  <si>
    <t>川</t>
  </si>
  <si>
    <t>觀一出</t>
  </si>
  <si>
    <t>相</t>
  </si>
  <si>
    <t>恭一時</t>
  </si>
  <si>
    <t>繆</t>
  </si>
  <si>
    <t>丩五門</t>
  </si>
  <si>
    <t>鬱</t>
  </si>
  <si>
    <t>君四英</t>
  </si>
  <si>
    <t>蒼</t>
  </si>
  <si>
    <t>公一出</t>
  </si>
  <si>
    <t>困</t>
  </si>
  <si>
    <t>君三去</t>
  </si>
  <si>
    <t>周</t>
  </si>
  <si>
    <t>郎</t>
  </si>
  <si>
    <t>公五柳</t>
  </si>
  <si>
    <t>破</t>
  </si>
  <si>
    <t>高三頗</t>
  </si>
  <si>
    <t>荊</t>
  </si>
  <si>
    <t>經一求</t>
  </si>
  <si>
    <t>州</t>
  </si>
  <si>
    <t>陵</t>
  </si>
  <si>
    <t>順</t>
  </si>
  <si>
    <t>君七時</t>
  </si>
  <si>
    <t>舳</t>
  </si>
  <si>
    <t>恭八地</t>
  </si>
  <si>
    <t>艫</t>
  </si>
  <si>
    <t>沽五柳</t>
  </si>
  <si>
    <t>千</t>
  </si>
  <si>
    <t>堅一出</t>
  </si>
  <si>
    <t>里</t>
  </si>
  <si>
    <t>居二柳</t>
  </si>
  <si>
    <t>旌</t>
  </si>
  <si>
    <t>經一曾</t>
  </si>
  <si>
    <t>旗</t>
  </si>
  <si>
    <t>蔽</t>
  </si>
  <si>
    <t>伽三邊</t>
  </si>
  <si>
    <t>釃</t>
  </si>
  <si>
    <t>艍一時</t>
  </si>
  <si>
    <t>臨</t>
  </si>
  <si>
    <t>金五柳</t>
  </si>
  <si>
    <t>經五喜</t>
  </si>
  <si>
    <t>槊</t>
  </si>
  <si>
    <t>公四時</t>
  </si>
  <si>
    <t>固</t>
  </si>
  <si>
    <t>沽三求</t>
  </si>
  <si>
    <t>雄</t>
  </si>
  <si>
    <t>今</t>
  </si>
  <si>
    <t>安</t>
  </si>
  <si>
    <t>干一英</t>
  </si>
  <si>
    <t>在</t>
  </si>
  <si>
    <t>皆二曾</t>
  </si>
  <si>
    <t>哉</t>
  </si>
  <si>
    <t>皆一曾</t>
  </si>
  <si>
    <t>況</t>
  </si>
  <si>
    <t>公三喜</t>
  </si>
  <si>
    <t>吾</t>
  </si>
  <si>
    <t>沽五語</t>
  </si>
  <si>
    <t>漁</t>
  </si>
  <si>
    <t>樵</t>
  </si>
  <si>
    <t>嬌五曾</t>
  </si>
  <si>
    <t>渚</t>
  </si>
  <si>
    <t>侶</t>
  </si>
  <si>
    <t>艍七柳</t>
  </si>
  <si>
    <t>魚</t>
  </si>
  <si>
    <t>蝦</t>
  </si>
  <si>
    <t>嘉五喜</t>
  </si>
  <si>
    <t>友</t>
  </si>
  <si>
    <t>麋</t>
  </si>
  <si>
    <t>居五門</t>
  </si>
  <si>
    <t>鹿</t>
  </si>
  <si>
    <t>駕</t>
  </si>
  <si>
    <t>膠三求</t>
  </si>
  <si>
    <t>葉</t>
  </si>
  <si>
    <t>兼八英</t>
  </si>
  <si>
    <t>扁</t>
  </si>
  <si>
    <t>堅一頗</t>
  </si>
  <si>
    <t>擧</t>
  </si>
  <si>
    <t>匏</t>
  </si>
  <si>
    <t>交五邊</t>
  </si>
  <si>
    <t>樽</t>
  </si>
  <si>
    <t>君一曾</t>
  </si>
  <si>
    <t>以</t>
  </si>
  <si>
    <t>寄</t>
  </si>
  <si>
    <t>蜉</t>
  </si>
  <si>
    <t>艍五喜</t>
  </si>
  <si>
    <t>蝣</t>
  </si>
  <si>
    <t>地</t>
  </si>
  <si>
    <t>居七地</t>
  </si>
  <si>
    <t>滄</t>
  </si>
  <si>
    <t>海</t>
  </si>
  <si>
    <t>皆二喜</t>
  </si>
  <si>
    <t>粟</t>
  </si>
  <si>
    <t>恭四時</t>
  </si>
  <si>
    <t>哀</t>
  </si>
  <si>
    <t>皆一英</t>
  </si>
  <si>
    <t>生</t>
  </si>
  <si>
    <t>須</t>
  </si>
  <si>
    <t>臾</t>
  </si>
  <si>
    <t>羨</t>
  </si>
  <si>
    <t>堅七時</t>
  </si>
  <si>
    <t>長</t>
  </si>
  <si>
    <t>恭五地</t>
  </si>
  <si>
    <t>無</t>
  </si>
  <si>
    <t>艍五門</t>
  </si>
  <si>
    <t>窮</t>
  </si>
  <si>
    <t>恭五求</t>
  </si>
  <si>
    <t>挾</t>
  </si>
  <si>
    <t>堅八喜</t>
  </si>
  <si>
    <t>遨</t>
  </si>
  <si>
    <t>高五語</t>
  </si>
  <si>
    <t>抱</t>
  </si>
  <si>
    <t>高二邊</t>
  </si>
  <si>
    <t>終</t>
  </si>
  <si>
    <t>可</t>
  </si>
  <si>
    <t>高二去</t>
  </si>
  <si>
    <t>驟</t>
  </si>
  <si>
    <t>沽七曾</t>
  </si>
  <si>
    <t>得</t>
  </si>
  <si>
    <t>託</t>
  </si>
  <si>
    <t>公四他</t>
  </si>
  <si>
    <t>響</t>
  </si>
  <si>
    <t>恭二喜</t>
  </si>
  <si>
    <t>悲</t>
  </si>
  <si>
    <t>居一邊</t>
  </si>
  <si>
    <t>亦</t>
  </si>
  <si>
    <t>經八英</t>
  </si>
  <si>
    <t>夫</t>
  </si>
  <si>
    <t>逝</t>
  </si>
  <si>
    <t>伽七時</t>
  </si>
  <si>
    <t>斯</t>
  </si>
  <si>
    <t>未</t>
  </si>
  <si>
    <t>規七門</t>
  </si>
  <si>
    <t>嘗</t>
  </si>
  <si>
    <t>恭五時</t>
  </si>
  <si>
    <t>往</t>
  </si>
  <si>
    <t>恭二英</t>
  </si>
  <si>
    <t>盈</t>
  </si>
  <si>
    <t>經五英</t>
  </si>
  <si>
    <t>彼</t>
  </si>
  <si>
    <t>居二邊</t>
  </si>
  <si>
    <t>卒</t>
  </si>
  <si>
    <t>君四曾</t>
  </si>
  <si>
    <t>莫</t>
  </si>
  <si>
    <t>公八門</t>
  </si>
  <si>
    <t>消</t>
  </si>
  <si>
    <t>蓋</t>
  </si>
  <si>
    <t>皆三求</t>
  </si>
  <si>
    <t>將</t>
  </si>
  <si>
    <t>自</t>
  </si>
  <si>
    <t>艍七曾</t>
  </si>
  <si>
    <t>變</t>
  </si>
  <si>
    <t>堅三邊</t>
  </si>
  <si>
    <t>觀</t>
  </si>
  <si>
    <t>觀一求</t>
  </si>
  <si>
    <t>則</t>
  </si>
  <si>
    <t>經四曾</t>
  </si>
  <si>
    <t>稽七地</t>
  </si>
  <si>
    <t>曾</t>
  </si>
  <si>
    <t>能</t>
  </si>
  <si>
    <t>瞬</t>
  </si>
  <si>
    <t>君三時</t>
  </si>
  <si>
    <t>觀三邊</t>
  </si>
  <si>
    <t>物</t>
  </si>
  <si>
    <t>君八門</t>
  </si>
  <si>
    <t>我</t>
  </si>
  <si>
    <t>扛二語</t>
  </si>
  <si>
    <t>皆</t>
  </si>
  <si>
    <t>皆一求</t>
  </si>
  <si>
    <t>盡</t>
  </si>
  <si>
    <t>巾二曾</t>
  </si>
  <si>
    <t>又</t>
  </si>
  <si>
    <t>丩七英</t>
  </si>
  <si>
    <t>且</t>
  </si>
  <si>
    <t>驚二出</t>
  </si>
  <si>
    <t>各</t>
  </si>
  <si>
    <t>公四求</t>
  </si>
  <si>
    <t>主</t>
  </si>
  <si>
    <t>苟</t>
  </si>
  <si>
    <t>沽二求</t>
  </si>
  <si>
    <t>雖</t>
  </si>
  <si>
    <t>規一時</t>
  </si>
  <si>
    <t>毫</t>
  </si>
  <si>
    <t>取</t>
  </si>
  <si>
    <t>惟</t>
  </si>
  <si>
    <t>耳</t>
  </si>
  <si>
    <t>目</t>
  </si>
  <si>
    <t>恭八門</t>
  </si>
  <si>
    <t>遇</t>
  </si>
  <si>
    <t>成</t>
  </si>
  <si>
    <t>經五時</t>
  </si>
  <si>
    <t>色</t>
  </si>
  <si>
    <t>禁</t>
  </si>
  <si>
    <t>用</t>
  </si>
  <si>
    <t>恭七英</t>
  </si>
  <si>
    <t>竭</t>
  </si>
  <si>
    <t>堅八求</t>
  </si>
  <si>
    <t>造</t>
  </si>
  <si>
    <t>藏</t>
  </si>
  <si>
    <t>公五曾</t>
  </si>
  <si>
    <t>扛五語</t>
  </si>
  <si>
    <t>共</t>
  </si>
  <si>
    <t>恭一求</t>
  </si>
  <si>
    <t>適</t>
  </si>
  <si>
    <t>喜</t>
  </si>
  <si>
    <t>居二喜</t>
  </si>
  <si>
    <t>笑</t>
  </si>
  <si>
    <t>嬌三時</t>
  </si>
  <si>
    <t>洗</t>
  </si>
  <si>
    <t>伽二時</t>
  </si>
  <si>
    <t>盞</t>
  </si>
  <si>
    <t>干二曾</t>
  </si>
  <si>
    <t>更</t>
  </si>
  <si>
    <t>酌</t>
  </si>
  <si>
    <t>肴</t>
  </si>
  <si>
    <t>交五喜</t>
  </si>
  <si>
    <t>核</t>
  </si>
  <si>
    <t>君八喜</t>
  </si>
  <si>
    <t>杯</t>
  </si>
  <si>
    <t>檜一邊</t>
  </si>
  <si>
    <t>盤</t>
  </si>
  <si>
    <t>觀五邊</t>
  </si>
  <si>
    <t>狼</t>
  </si>
  <si>
    <t>籍</t>
  </si>
  <si>
    <t>經八曾</t>
  </si>
  <si>
    <t>枕</t>
  </si>
  <si>
    <t>金二曾</t>
  </si>
  <si>
    <t>藉</t>
  </si>
  <si>
    <t>迦七曾</t>
  </si>
  <si>
    <t>中</t>
  </si>
  <si>
    <t>恭一地</t>
  </si>
  <si>
    <t>台語音標</t>
  </si>
  <si>
    <t>台語音標之聲</t>
  </si>
  <si>
    <t>台語音標之韻</t>
  </si>
  <si>
    <t>台語音標之調</t>
  </si>
  <si>
    <t>zian5</t>
  </si>
  <si>
    <t>z</t>
  </si>
  <si>
    <t>ian</t>
  </si>
  <si>
    <t>cik4</t>
  </si>
  <si>
    <t>c</t>
  </si>
  <si>
    <t>ik</t>
  </si>
  <si>
    <t>pik4</t>
  </si>
  <si>
    <t>p</t>
  </si>
  <si>
    <t>hu3</t>
  </si>
  <si>
    <t>h</t>
  </si>
  <si>
    <t>u</t>
  </si>
  <si>
    <t>pok4</t>
  </si>
  <si>
    <t>ok</t>
  </si>
  <si>
    <t>song3</t>
  </si>
  <si>
    <t>s</t>
  </si>
  <si>
    <t>ong</t>
  </si>
  <si>
    <t>soo1</t>
  </si>
  <si>
    <t>oo</t>
  </si>
  <si>
    <t>sik4</t>
  </si>
  <si>
    <t>jim5</t>
  </si>
  <si>
    <t>j</t>
  </si>
  <si>
    <t>im</t>
  </si>
  <si>
    <t>sut4</t>
  </si>
  <si>
    <t>ut</t>
  </si>
  <si>
    <t>zi1</t>
  </si>
  <si>
    <t>i</t>
  </si>
  <si>
    <t>ciu1</t>
  </si>
  <si>
    <t>iu</t>
  </si>
  <si>
    <t>cit4</t>
  </si>
  <si>
    <t>it</t>
  </si>
  <si>
    <t>guat8</t>
  </si>
  <si>
    <t>g</t>
  </si>
  <si>
    <t>uat</t>
  </si>
  <si>
    <t>ki3</t>
  </si>
  <si>
    <t>k</t>
  </si>
  <si>
    <t>bong7</t>
  </si>
  <si>
    <t>b</t>
  </si>
  <si>
    <t>zu2</t>
  </si>
  <si>
    <t>qu2</t>
  </si>
  <si>
    <t>q</t>
  </si>
  <si>
    <t>khik4</t>
  </si>
  <si>
    <t>kh</t>
  </si>
  <si>
    <t>huan3</t>
  </si>
  <si>
    <t>uan</t>
  </si>
  <si>
    <t>ziu1</t>
  </si>
  <si>
    <t>qiu5</t>
  </si>
  <si>
    <t>qu1</t>
  </si>
  <si>
    <t>hee7</t>
  </si>
  <si>
    <t>ee</t>
  </si>
  <si>
    <t>cing1</t>
  </si>
  <si>
    <t>ing</t>
  </si>
  <si>
    <t>hiong1</t>
  </si>
  <si>
    <t>iong</t>
  </si>
  <si>
    <t>su5</t>
  </si>
  <si>
    <t>lai5</t>
  </si>
  <si>
    <t>l</t>
  </si>
  <si>
    <t>ai</t>
  </si>
  <si>
    <t>sui2</t>
  </si>
  <si>
    <t>ui</t>
  </si>
  <si>
    <t>pho1</t>
  </si>
  <si>
    <t>ph</t>
  </si>
  <si>
    <t>o</t>
  </si>
  <si>
    <t>put4</t>
  </si>
  <si>
    <t>hing1</t>
  </si>
  <si>
    <t>ki2</t>
  </si>
  <si>
    <t>ziu2</t>
  </si>
  <si>
    <t>ziok4</t>
  </si>
  <si>
    <t>iok</t>
  </si>
  <si>
    <t>siong7</t>
  </si>
  <si>
    <t>bing5</t>
  </si>
  <si>
    <t>si1</t>
  </si>
  <si>
    <t>ko1</t>
  </si>
  <si>
    <t>qiau2</t>
  </si>
  <si>
    <t>iau</t>
  </si>
  <si>
    <t>tiau2</t>
  </si>
  <si>
    <t>t</t>
  </si>
  <si>
    <t>ziong1</t>
  </si>
  <si>
    <t>siau2</t>
  </si>
  <si>
    <t>qian1</t>
  </si>
  <si>
    <t>cui3</t>
  </si>
  <si>
    <t>tong1</t>
  </si>
  <si>
    <t>san1</t>
  </si>
  <si>
    <t>an</t>
  </si>
  <si>
    <t>siong2</t>
  </si>
  <si>
    <t>pai5</t>
  </si>
  <si>
    <t>hue5</t>
  </si>
  <si>
    <t>ue</t>
  </si>
  <si>
    <t>too2</t>
  </si>
  <si>
    <t>ngiunn5</t>
  </si>
  <si>
    <t>ng</t>
  </si>
  <si>
    <t>iunn</t>
  </si>
  <si>
    <t>kan1</t>
  </si>
  <si>
    <t>pik8</t>
  </si>
  <si>
    <t>loo7</t>
  </si>
  <si>
    <t>kang1</t>
  </si>
  <si>
    <t>ang</t>
  </si>
  <si>
    <t>kong1</t>
  </si>
  <si>
    <t>ziap4</t>
  </si>
  <si>
    <t>iap</t>
  </si>
  <si>
    <t>thian1</t>
  </si>
  <si>
    <t>th</t>
  </si>
  <si>
    <t>qit4</t>
  </si>
  <si>
    <t>qui2</t>
  </si>
  <si>
    <t>soo2</t>
  </si>
  <si>
    <t>ji5</t>
  </si>
  <si>
    <t>ling5</t>
  </si>
  <si>
    <t>ban7</t>
  </si>
  <si>
    <t>khing1</t>
  </si>
  <si>
    <t>bong5</t>
  </si>
  <si>
    <t>jian5</t>
  </si>
  <si>
    <t>ho2</t>
  </si>
  <si>
    <t>hoo5</t>
  </si>
  <si>
    <t>ping5</t>
  </si>
  <si>
    <t>hu1</t>
  </si>
  <si>
    <t>gee7</t>
  </si>
  <si>
    <t>ti1</t>
  </si>
  <si>
    <t>ki5</t>
  </si>
  <si>
    <t>zi2</t>
  </si>
  <si>
    <t>phiau1</t>
  </si>
  <si>
    <t>qui5</t>
  </si>
  <si>
    <t>si3</t>
  </si>
  <si>
    <t>tok8</t>
  </si>
  <si>
    <t>lip8</t>
  </si>
  <si>
    <t>ip</t>
  </si>
  <si>
    <t>hua3</t>
  </si>
  <si>
    <t>ua</t>
  </si>
  <si>
    <t>ting1</t>
  </si>
  <si>
    <t>sian1</t>
  </si>
  <si>
    <t>si2</t>
  </si>
  <si>
    <t>qim2</t>
  </si>
  <si>
    <t>lok8</t>
  </si>
  <si>
    <t>sim2</t>
  </si>
  <si>
    <t>khoo3</t>
  </si>
  <si>
    <t>hian5</t>
  </si>
  <si>
    <t>quat8</t>
  </si>
  <si>
    <t>kue3</t>
  </si>
  <si>
    <t>zau7</t>
  </si>
  <si>
    <t>au</t>
  </si>
  <si>
    <t>hei5</t>
  </si>
  <si>
    <t>ei</t>
  </si>
  <si>
    <t>lan5</t>
  </si>
  <si>
    <t>ziong2</t>
  </si>
  <si>
    <t>kik4</t>
  </si>
  <si>
    <t>khong1</t>
  </si>
  <si>
    <t>soo3</t>
  </si>
  <si>
    <t>liu5</t>
  </si>
  <si>
    <t>biau2</t>
  </si>
  <si>
    <t>qu5</t>
  </si>
  <si>
    <t>huai5</t>
  </si>
  <si>
    <t>uai</t>
  </si>
  <si>
    <t>bi2</t>
  </si>
  <si>
    <t>jin5</t>
  </si>
  <si>
    <t>in</t>
  </si>
  <si>
    <t>hiong5</t>
  </si>
  <si>
    <t>qiu2</t>
  </si>
  <si>
    <t>cui1</t>
  </si>
  <si>
    <t>tong5</t>
  </si>
  <si>
    <t>siau1</t>
  </si>
  <si>
    <t>zia2</t>
  </si>
  <si>
    <t>ia</t>
  </si>
  <si>
    <t>qi2</t>
  </si>
  <si>
    <t>ho5</t>
  </si>
  <si>
    <t>sing1</t>
  </si>
  <si>
    <t>qoo1</t>
  </si>
  <si>
    <t>quan1</t>
  </si>
  <si>
    <t>boo7</t>
  </si>
  <si>
    <t>khip4</t>
  </si>
  <si>
    <t>qim1</t>
  </si>
  <si>
    <t>liau2</t>
  </si>
  <si>
    <t>zuat8</t>
  </si>
  <si>
    <t>li2</t>
  </si>
  <si>
    <t>bu2</t>
  </si>
  <si>
    <t>qiu1</t>
  </si>
  <si>
    <t>hok4</t>
  </si>
  <si>
    <t>ziam5</t>
  </si>
  <si>
    <t>iam</t>
  </si>
  <si>
    <t>kau1</t>
  </si>
  <si>
    <t>koo1</t>
  </si>
  <si>
    <t>li5</t>
  </si>
  <si>
    <t>hu7</t>
  </si>
  <si>
    <t>ciau2</t>
  </si>
  <si>
    <t>zing3</t>
  </si>
  <si>
    <t>kim1</t>
  </si>
  <si>
    <t>gui5</t>
  </si>
  <si>
    <t>zo2</t>
  </si>
  <si>
    <t>bun7</t>
  </si>
  <si>
    <t>un</t>
  </si>
  <si>
    <t>qui7</t>
  </si>
  <si>
    <t>qia2</t>
  </si>
  <si>
    <t>hi1</t>
  </si>
  <si>
    <t>ciok4</t>
  </si>
  <si>
    <t>lam5</t>
  </si>
  <si>
    <t>am</t>
  </si>
  <si>
    <t>hui1</t>
  </si>
  <si>
    <t>cu2</t>
  </si>
  <si>
    <t>zo5</t>
  </si>
  <si>
    <t>bing7</t>
  </si>
  <si>
    <t>tik4</t>
  </si>
  <si>
    <t>se1</t>
  </si>
  <si>
    <t>e</t>
  </si>
  <si>
    <t>khoo2</t>
  </si>
  <si>
    <t>ciong1</t>
  </si>
  <si>
    <t>cuan1</t>
  </si>
  <si>
    <t>siong1</t>
  </si>
  <si>
    <t>biu5</t>
  </si>
  <si>
    <t>qut4</t>
  </si>
  <si>
    <t>cong1</t>
  </si>
  <si>
    <t>khun3</t>
  </si>
  <si>
    <t>long5</t>
  </si>
  <si>
    <t>pho3</t>
  </si>
  <si>
    <t>king1</t>
  </si>
  <si>
    <t>sun7</t>
  </si>
  <si>
    <t>tiok8</t>
  </si>
  <si>
    <t>loo5</t>
  </si>
  <si>
    <t>cian1</t>
  </si>
  <si>
    <t>zing1</t>
  </si>
  <si>
    <t>pei3</t>
  </si>
  <si>
    <t>su1</t>
  </si>
  <si>
    <t>lim5</t>
  </si>
  <si>
    <t>hing5</t>
  </si>
  <si>
    <t>sok4</t>
  </si>
  <si>
    <t>koo3</t>
  </si>
  <si>
    <t>qan1</t>
  </si>
  <si>
    <t>zai2</t>
  </si>
  <si>
    <t>zai1</t>
  </si>
  <si>
    <t>hong3</t>
  </si>
  <si>
    <t>goo5</t>
  </si>
  <si>
    <t>gi5</t>
  </si>
  <si>
    <t>ziau5</t>
  </si>
  <si>
    <t>li7</t>
  </si>
  <si>
    <t>hee5</t>
  </si>
  <si>
    <t>bi5</t>
  </si>
  <si>
    <t>kee3</t>
  </si>
  <si>
    <t>qiap8</t>
  </si>
  <si>
    <t>phian1</t>
  </si>
  <si>
    <t>pau5</t>
  </si>
  <si>
    <t>zun1</t>
  </si>
  <si>
    <t>hu5</t>
  </si>
  <si>
    <t>ti7</t>
  </si>
  <si>
    <t>hai2</t>
  </si>
  <si>
    <t>siok4</t>
  </si>
  <si>
    <t>qai1</t>
  </si>
  <si>
    <t>sian7</t>
  </si>
  <si>
    <t>tiong5</t>
  </si>
  <si>
    <t>bu5</t>
  </si>
  <si>
    <t>kiong5</t>
  </si>
  <si>
    <t>hiat8</t>
  </si>
  <si>
    <t>iat</t>
  </si>
  <si>
    <t>go5</t>
  </si>
  <si>
    <t>po2</t>
  </si>
  <si>
    <t>kho2</t>
  </si>
  <si>
    <t>zoo7</t>
  </si>
  <si>
    <t>thok4</t>
  </si>
  <si>
    <t>hiong2</t>
  </si>
  <si>
    <t>pi1</t>
  </si>
  <si>
    <t>qik8</t>
  </si>
  <si>
    <t>si7</t>
  </si>
  <si>
    <t>bi7</t>
  </si>
  <si>
    <t>siong5</t>
  </si>
  <si>
    <t>qiong2</t>
  </si>
  <si>
    <t>qing5</t>
  </si>
  <si>
    <t>pi2</t>
  </si>
  <si>
    <t>zut4</t>
  </si>
  <si>
    <t>bok8</t>
  </si>
  <si>
    <t>kai3</t>
  </si>
  <si>
    <t>zu7</t>
  </si>
  <si>
    <t>pian3</t>
  </si>
  <si>
    <t>kuan1</t>
  </si>
  <si>
    <t>zik4</t>
  </si>
  <si>
    <t>tei7</t>
  </si>
  <si>
    <t>sun3</t>
  </si>
  <si>
    <t>puan3</t>
  </si>
  <si>
    <t>but8</t>
  </si>
  <si>
    <t>ngonn2</t>
  </si>
  <si>
    <t>onn</t>
  </si>
  <si>
    <t>kai1</t>
  </si>
  <si>
    <t>zin2</t>
  </si>
  <si>
    <t>qiu7</t>
  </si>
  <si>
    <t>ciann2</t>
  </si>
  <si>
    <t>iann</t>
  </si>
  <si>
    <t>kok4</t>
  </si>
  <si>
    <t>koo2</t>
  </si>
  <si>
    <t>sui1</t>
  </si>
  <si>
    <t>gi7</t>
  </si>
  <si>
    <t>sing5</t>
  </si>
  <si>
    <t>qiong7</t>
  </si>
  <si>
    <t>kiat8</t>
  </si>
  <si>
    <t>zong5</t>
  </si>
  <si>
    <t>kiong1</t>
  </si>
  <si>
    <t>hi2</t>
  </si>
  <si>
    <t>siau3</t>
  </si>
  <si>
    <t>sian2</t>
  </si>
  <si>
    <t>zan2</t>
  </si>
  <si>
    <t>hau5</t>
  </si>
  <si>
    <t>hut8</t>
  </si>
  <si>
    <t>pue1</t>
  </si>
  <si>
    <t>puan5</t>
  </si>
  <si>
    <t>zik8</t>
  </si>
  <si>
    <t>zim2</t>
  </si>
  <si>
    <t>zia7</t>
  </si>
  <si>
    <t>tiong1</t>
  </si>
  <si>
    <t>"君" : ["un", "ut"],</t>
  </si>
  <si>
    <t>"堅" : ["ian", "iat"],</t>
  </si>
  <si>
    <t>"金" : ["im", "ip"],</t>
  </si>
  <si>
    <t>"規" : ["ui", ""],</t>
  </si>
  <si>
    <t>"嘉" : ["ee", "eeh"],</t>
  </si>
  <si>
    <t>"干" : ["an", "at"],</t>
  </si>
  <si>
    <t>"公" : ["ong", "ok"],</t>
  </si>
  <si>
    <t>"乖" : ["uai", "uaih"],</t>
  </si>
  <si>
    <t>"經" : ["ing", "ik"],</t>
  </si>
  <si>
    <t>"觀" : ["uan", "uat"],</t>
  </si>
  <si>
    <t>"沽" : ["oo", ""],</t>
  </si>
  <si>
    <t>"嬌" : ["iau", "iauh"],</t>
  </si>
  <si>
    <t>"稽" : ["ei", ""],</t>
  </si>
  <si>
    <t>"恭" : ["iong", "iok"],</t>
  </si>
  <si>
    <t>"高" : ["o", "oh"],</t>
  </si>
  <si>
    <t>"皆" : ["ai", ""],</t>
  </si>
  <si>
    <t>"巾" : ["in", "it"],</t>
  </si>
  <si>
    <t>"姜" : ["iang", "iak"],</t>
  </si>
  <si>
    <t>"甘" : ["am", "ap"],</t>
  </si>
  <si>
    <t>"瓜" : ["ua", "uah"],</t>
  </si>
  <si>
    <t>"江" : ["ang", "ak"],</t>
  </si>
  <si>
    <t>"兼" : ["iam", "iap"],</t>
  </si>
  <si>
    <t>"交" : ["au", "auh"],</t>
  </si>
  <si>
    <t>"迦" : ["ia", "iah"],</t>
  </si>
  <si>
    <t>"檜" : ["ue", "ueh"],</t>
  </si>
  <si>
    <t>"監" : ["ann", "ahnn"],</t>
  </si>
  <si>
    <t>"艍" : ["u", "uh"],</t>
  </si>
  <si>
    <t>"膠" : ["a", "ah"],</t>
  </si>
  <si>
    <t>"居" : ["i", "ih"],</t>
  </si>
  <si>
    <t>"丩" : ["iu", ""],</t>
  </si>
  <si>
    <t>"更" : ["enn", "ehnn"],</t>
  </si>
  <si>
    <t>"褌" : ["uinn", ""],</t>
  </si>
  <si>
    <t>"茄" : ["io", "ioh"],</t>
  </si>
  <si>
    <t>"梔" : ["inn", "ihnn"],</t>
  </si>
  <si>
    <t>"薑" : ["ionn", ""],</t>
  </si>
  <si>
    <t>"驚" : ["iann", ""],</t>
  </si>
  <si>
    <t>"官" : ["uann", ""],</t>
  </si>
  <si>
    <t>"鋼" : ["ng", ""],</t>
  </si>
  <si>
    <t>"伽" : ["e", "eh"],</t>
  </si>
  <si>
    <t>"閒" : ["ainn", ""],</t>
  </si>
  <si>
    <t>"姑" : ["oonn", ""],</t>
  </si>
  <si>
    <t>"姆" : ["m", ""],</t>
  </si>
  <si>
    <t>"光" : ["uang", "uak"],</t>
  </si>
  <si>
    <t>"閂" : ["uainn", "uaihnn"],</t>
  </si>
  <si>
    <t>"糜" : ["uenn", ""],</t>
  </si>
  <si>
    <t>"嘄" : ["iaunn", "iauhnn"],</t>
  </si>
  <si>
    <t>"箴" : ["om", "op"],</t>
  </si>
  <si>
    <t>"爻" : ["aunn", ""],</t>
  </si>
  <si>
    <t>"扛" : ["onn", "ohnn"],</t>
  </si>
  <si>
    <t>"牛" : ["iunn", ""],</t>
  </si>
  <si>
    <t xml:space="preserve">"邊" : "p", </t>
  </si>
  <si>
    <t xml:space="preserve">"頗" : "ph", </t>
  </si>
  <si>
    <t xml:space="preserve">"門" : "b", </t>
  </si>
  <si>
    <t xml:space="preserve">"毛" : "m", </t>
  </si>
  <si>
    <t xml:space="preserve">"地" : "t", </t>
  </si>
  <si>
    <t xml:space="preserve">"他" : "th", </t>
  </si>
  <si>
    <t xml:space="preserve">"耐" : "n", </t>
  </si>
  <si>
    <t xml:space="preserve">"柳" : "l", </t>
  </si>
  <si>
    <t xml:space="preserve">"曾" : "z", </t>
  </si>
  <si>
    <t xml:space="preserve">"出" : "c", </t>
  </si>
  <si>
    <t xml:space="preserve">"時" : "s", </t>
  </si>
  <si>
    <t xml:space="preserve">"入" : "j", </t>
  </si>
  <si>
    <t xml:space="preserve">"求" : "k", </t>
  </si>
  <si>
    <t xml:space="preserve">"去" : "kh", </t>
  </si>
  <si>
    <t xml:space="preserve">"語" : "g", </t>
  </si>
  <si>
    <t xml:space="preserve">"雅" : "ng", </t>
  </si>
  <si>
    <t xml:space="preserve">"喜" : "h", </t>
  </si>
  <si>
    <t xml:space="preserve">"英" : "Ø", </t>
  </si>
  <si>
    <t>堅</t>
  </si>
  <si>
    <t>經</t>
  </si>
  <si>
    <t>邊</t>
  </si>
  <si>
    <t>艍</t>
  </si>
  <si>
    <t>公</t>
  </si>
  <si>
    <t>時</t>
  </si>
  <si>
    <t>沽</t>
  </si>
  <si>
    <t>入</t>
  </si>
  <si>
    <t>金</t>
  </si>
  <si>
    <t>君</t>
  </si>
  <si>
    <t>居</t>
  </si>
  <si>
    <t>丩</t>
  </si>
  <si>
    <t>巾</t>
  </si>
  <si>
    <t>語</t>
  </si>
  <si>
    <t>求</t>
  </si>
  <si>
    <t>biong7</t>
  </si>
  <si>
    <t>門</t>
  </si>
  <si>
    <t>恭</t>
  </si>
  <si>
    <t>u2</t>
  </si>
  <si>
    <t>英</t>
  </si>
  <si>
    <t>去</t>
  </si>
  <si>
    <t>iu5</t>
  </si>
  <si>
    <t>u1</t>
  </si>
  <si>
    <t>ha2</t>
  </si>
  <si>
    <t>膠</t>
  </si>
  <si>
    <t>柳</t>
  </si>
  <si>
    <t>規</t>
  </si>
  <si>
    <t>頗</t>
  </si>
  <si>
    <t>高</t>
  </si>
  <si>
    <t>ku2</t>
  </si>
  <si>
    <t>iau2</t>
  </si>
  <si>
    <t>嬌</t>
  </si>
  <si>
    <t>ian1</t>
  </si>
  <si>
    <t>干</t>
  </si>
  <si>
    <t>檜</t>
  </si>
  <si>
    <t>gu5</t>
  </si>
  <si>
    <t>兼</t>
  </si>
  <si>
    <t>他</t>
  </si>
  <si>
    <t>it4</t>
  </si>
  <si>
    <t>ui2</t>
  </si>
  <si>
    <t>ju5</t>
  </si>
  <si>
    <t>buan7</t>
  </si>
  <si>
    <t>gu7</t>
  </si>
  <si>
    <t>ui5</t>
  </si>
  <si>
    <t>se3</t>
  </si>
  <si>
    <t>伽</t>
  </si>
  <si>
    <t>瓜</t>
  </si>
  <si>
    <t>im2</t>
  </si>
  <si>
    <t>uat8</t>
  </si>
  <si>
    <t>交</t>
  </si>
  <si>
    <t>he5</t>
  </si>
  <si>
    <t>u5</t>
  </si>
  <si>
    <t>乖</t>
  </si>
  <si>
    <t>biong5</t>
  </si>
  <si>
    <t>iu2</t>
  </si>
  <si>
    <t>迦</t>
  </si>
  <si>
    <t>i2</t>
  </si>
  <si>
    <t>oo1</t>
  </si>
  <si>
    <t>uan1</t>
  </si>
  <si>
    <t>im1</t>
  </si>
  <si>
    <t>lu2</t>
  </si>
  <si>
    <t>iu1</t>
  </si>
  <si>
    <t>ui7</t>
  </si>
  <si>
    <t>ia2</t>
  </si>
  <si>
    <t>甘</t>
  </si>
  <si>
    <t>ut4</t>
  </si>
  <si>
    <t>pe3</t>
  </si>
  <si>
    <t>an1</t>
  </si>
  <si>
    <t>lu7</t>
  </si>
  <si>
    <t>嘉</t>
  </si>
  <si>
    <t>ka3</t>
  </si>
  <si>
    <t>iap8</t>
  </si>
  <si>
    <t>ai1</t>
  </si>
  <si>
    <t>ik8</t>
  </si>
  <si>
    <t>se7</t>
  </si>
  <si>
    <t>bui7</t>
  </si>
  <si>
    <t>iong2</t>
  </si>
  <si>
    <t>ing5</t>
  </si>
  <si>
    <t>稽</t>
  </si>
  <si>
    <t>gonn2</t>
  </si>
  <si>
    <t>扛</t>
  </si>
  <si>
    <t>iu7</t>
  </si>
  <si>
    <t>驚</t>
  </si>
  <si>
    <t>biok8</t>
  </si>
  <si>
    <t>iong7</t>
  </si>
  <si>
    <t>gonn5</t>
  </si>
  <si>
    <t>se2</t>
  </si>
  <si>
    <t>聲母分類</t>
  </si>
  <si>
    <t>國際音標</t>
  </si>
  <si>
    <t>羅馬拼音字母</t>
  </si>
  <si>
    <t>注音符號</t>
  </si>
  <si>
    <t>漢字範例</t>
  </si>
  <si>
    <t>唇音</t>
  </si>
  <si>
    <t xml:space="preserve"> p</t>
  </si>
  <si>
    <t>ㄅ</t>
  </si>
  <si>
    <t xml:space="preserve"> pʰ</t>
  </si>
  <si>
    <t>ㄆ</t>
  </si>
  <si>
    <t xml:space="preserve"> b</t>
  </si>
  <si>
    <t>bb</t>
  </si>
  <si>
    <t>ㆠ</t>
  </si>
  <si>
    <t xml:space="preserve"> m</t>
  </si>
  <si>
    <t>m</t>
  </si>
  <si>
    <t>ㄇ</t>
  </si>
  <si>
    <t>毛</t>
  </si>
  <si>
    <t>舌尖中音</t>
  </si>
  <si>
    <t xml:space="preserve"> t</t>
  </si>
  <si>
    <t>d</t>
  </si>
  <si>
    <t>ㄉ</t>
  </si>
  <si>
    <t xml:space="preserve"> tʰ</t>
  </si>
  <si>
    <t>ㄊ</t>
  </si>
  <si>
    <t xml:space="preserve"> n</t>
  </si>
  <si>
    <t>n</t>
  </si>
  <si>
    <t>ㄋ</t>
  </si>
  <si>
    <t>耐</t>
  </si>
  <si>
    <t xml:space="preserve"> l</t>
  </si>
  <si>
    <t>ㄌ</t>
  </si>
  <si>
    <t>舌尖前音</t>
  </si>
  <si>
    <t xml:space="preserve"> ʦ</t>
  </si>
  <si>
    <t>ㄗ</t>
  </si>
  <si>
    <t xml:space="preserve"> ʦʰ</t>
  </si>
  <si>
    <t>ㄘ</t>
  </si>
  <si>
    <t xml:space="preserve"> s</t>
  </si>
  <si>
    <t>ㄙ</t>
  </si>
  <si>
    <t>齦顎音</t>
  </si>
  <si>
    <t xml:space="preserve"> ʥ</t>
  </si>
  <si>
    <t>jj(i)</t>
  </si>
  <si>
    <t>ㆢ</t>
  </si>
  <si>
    <t xml:space="preserve"> ɕ</t>
  </si>
  <si>
    <t>sh(i)</t>
  </si>
  <si>
    <t>ㄒ</t>
  </si>
  <si>
    <t>舌根音</t>
  </si>
  <si>
    <t xml:space="preserve"> k</t>
  </si>
  <si>
    <t>ㄍ</t>
  </si>
  <si>
    <t xml:space="preserve"> kʰ</t>
  </si>
  <si>
    <t>ㄎ</t>
  </si>
  <si>
    <t xml:space="preserve"> g</t>
  </si>
  <si>
    <t>gg</t>
  </si>
  <si>
    <t>ㆣ</t>
  </si>
  <si>
    <t xml:space="preserve"> ŋ</t>
  </si>
  <si>
    <t>ㄫ</t>
  </si>
  <si>
    <t>雅</t>
  </si>
  <si>
    <t>喉音</t>
  </si>
  <si>
    <t xml:space="preserve"> h</t>
  </si>
  <si>
    <t>ㄏ</t>
  </si>
  <si>
    <t>零聲母</t>
  </si>
  <si>
    <t>ʔ</t>
  </si>
  <si>
    <t>Ø</t>
  </si>
  <si>
    <t>台語音標</t>
    <phoneticPr fontId="5" type="noConversion"/>
  </si>
  <si>
    <t>識別號</t>
  </si>
  <si>
    <t>漢字例</t>
  </si>
  <si>
    <t>十五音</t>
  </si>
  <si>
    <t>方音符號</t>
  </si>
  <si>
    <t>台羅拼音</t>
  </si>
  <si>
    <t>白話字</t>
  </si>
  <si>
    <t>閩拼方案</t>
  </si>
  <si>
    <t>注音二式</t>
  </si>
  <si>
    <t>舒促聲</t>
  </si>
  <si>
    <t>十五音識別碼</t>
  </si>
  <si>
    <t>十五音韻母序</t>
  </si>
  <si>
    <t>55</t>
  </si>
  <si>
    <t>些</t>
  </si>
  <si>
    <t>a</t>
  </si>
  <si>
    <t>ㄚ</t>
  </si>
  <si>
    <t>舒聲</t>
  </si>
  <si>
    <t>膠舒</t>
  </si>
  <si>
    <t>28</t>
  </si>
  <si>
    <t>56</t>
  </si>
  <si>
    <t>百</t>
  </si>
  <si>
    <t>a?</t>
  </si>
  <si>
    <t>ㄚㆷ</t>
  </si>
  <si>
    <t>ah</t>
  </si>
  <si>
    <t>促聲</t>
  </si>
  <si>
    <t>膠促</t>
  </si>
  <si>
    <t>52</t>
  </si>
  <si>
    <t>含</t>
  </si>
  <si>
    <t>ã?</t>
  </si>
  <si>
    <t>監</t>
  </si>
  <si>
    <t>ㆩㆷ</t>
  </si>
  <si>
    <t>ahnn</t>
  </si>
  <si>
    <t>annh</t>
  </si>
  <si>
    <t>aⁿh</t>
  </si>
  <si>
    <t>nah</t>
  </si>
  <si>
    <t>監促</t>
  </si>
  <si>
    <t>26</t>
  </si>
  <si>
    <t>31</t>
  </si>
  <si>
    <t>埃</t>
  </si>
  <si>
    <t>ㄞ</t>
  </si>
  <si>
    <t>皆舒</t>
  </si>
  <si>
    <t>16</t>
  </si>
  <si>
    <t>79</t>
  </si>
  <si>
    <t>挨</t>
  </si>
  <si>
    <t>ãi</t>
  </si>
  <si>
    <t>閒</t>
  </si>
  <si>
    <t>ㆮ</t>
  </si>
  <si>
    <t>ainn</t>
  </si>
  <si>
    <t>aiⁿ</t>
  </si>
  <si>
    <t>nai</t>
  </si>
  <si>
    <t>閒舒</t>
  </si>
  <si>
    <t>40</t>
  </si>
  <si>
    <t>42</t>
  </si>
  <si>
    <t>角</t>
  </si>
  <si>
    <t>ak̚</t>
  </si>
  <si>
    <t>ㄚㆻ</t>
  </si>
  <si>
    <t>ak</t>
  </si>
  <si>
    <t>江促</t>
  </si>
  <si>
    <t>21</t>
  </si>
  <si>
    <t>37</t>
  </si>
  <si>
    <t>堪</t>
  </si>
  <si>
    <t>ㆰ</t>
  </si>
  <si>
    <t>甘舒</t>
  </si>
  <si>
    <t>19</t>
  </si>
  <si>
    <t>11</t>
  </si>
  <si>
    <t>ㄢ</t>
  </si>
  <si>
    <t>干舒</t>
  </si>
  <si>
    <t>6</t>
  </si>
  <si>
    <t>41</t>
  </si>
  <si>
    <t>邦</t>
  </si>
  <si>
    <t>aŋ</t>
  </si>
  <si>
    <t>ㄤ</t>
  </si>
  <si>
    <t>江舒</t>
  </si>
  <si>
    <t>51</t>
  </si>
  <si>
    <t>聽</t>
  </si>
  <si>
    <t>ã</t>
  </si>
  <si>
    <t>ㆩ</t>
  </si>
  <si>
    <t>ann</t>
  </si>
  <si>
    <t>aⁿ</t>
  </si>
  <si>
    <t>na</t>
  </si>
  <si>
    <t>監舒</t>
  </si>
  <si>
    <t>38</t>
  </si>
  <si>
    <t>答</t>
  </si>
  <si>
    <t>ap̚</t>
  </si>
  <si>
    <t>ㄚㆴ</t>
  </si>
  <si>
    <t>ap</t>
  </si>
  <si>
    <t>甘促</t>
  </si>
  <si>
    <t>12</t>
  </si>
  <si>
    <t>識</t>
  </si>
  <si>
    <t>at̚</t>
  </si>
  <si>
    <t>ㄚㆵ</t>
  </si>
  <si>
    <t>at</t>
  </si>
  <si>
    <t>干促</t>
  </si>
  <si>
    <t>45</t>
  </si>
  <si>
    <t>鬧</t>
  </si>
  <si>
    <t>ㄠ</t>
  </si>
  <si>
    <t>ao</t>
  </si>
  <si>
    <t>交舒</t>
  </si>
  <si>
    <t>23</t>
  </si>
  <si>
    <t>46</t>
  </si>
  <si>
    <t>暴</t>
  </si>
  <si>
    <t>au?</t>
  </si>
  <si>
    <t>ㄠㆷ</t>
  </si>
  <si>
    <t>auh</t>
  </si>
  <si>
    <t>aoh</t>
  </si>
  <si>
    <t>交促</t>
  </si>
  <si>
    <t>95</t>
  </si>
  <si>
    <t>懸</t>
  </si>
  <si>
    <t>ãu</t>
  </si>
  <si>
    <t>爻</t>
  </si>
  <si>
    <t>ㆯ</t>
  </si>
  <si>
    <t>aunn</t>
  </si>
  <si>
    <t>auⁿ</t>
  </si>
  <si>
    <t>nao</t>
  </si>
  <si>
    <t>爻舒</t>
  </si>
  <si>
    <t>48</t>
  </si>
  <si>
    <t>77</t>
  </si>
  <si>
    <t>會</t>
  </si>
  <si>
    <t>ㆤ</t>
  </si>
  <si>
    <t>伽舒</t>
  </si>
  <si>
    <t>39</t>
  </si>
  <si>
    <t>9</t>
  </si>
  <si>
    <t>家</t>
  </si>
  <si>
    <t>ɛ</t>
  </si>
  <si>
    <t>ㄝ</t>
  </si>
  <si>
    <t>嘉舒</t>
  </si>
  <si>
    <t>5</t>
  </si>
  <si>
    <t>10</t>
  </si>
  <si>
    <t>八</t>
  </si>
  <si>
    <t>ɛ?</t>
  </si>
  <si>
    <t>ㄝㆷ</t>
  </si>
  <si>
    <t>eeh</t>
  </si>
  <si>
    <t>0</t>
  </si>
  <si>
    <t>eh</t>
  </si>
  <si>
    <t>嘉促</t>
  </si>
  <si>
    <t>78</t>
  </si>
  <si>
    <t>伯</t>
  </si>
  <si>
    <t>e?</t>
  </si>
  <si>
    <t>ㆤㆷ</t>
  </si>
  <si>
    <t>伽促</t>
  </si>
  <si>
    <t>62</t>
  </si>
  <si>
    <t>ɛ̃?</t>
  </si>
  <si>
    <t>ㆥㆷ</t>
  </si>
  <si>
    <t>ehnn</t>
  </si>
  <si>
    <t>ennh</t>
  </si>
  <si>
    <t>eⁿh</t>
  </si>
  <si>
    <t>neh</t>
  </si>
  <si>
    <t>更促</t>
  </si>
  <si>
    <t>25</t>
  </si>
  <si>
    <t>遞</t>
  </si>
  <si>
    <t>稽舒</t>
  </si>
  <si>
    <t>13</t>
  </si>
  <si>
    <t>61</t>
  </si>
  <si>
    <t>爭</t>
  </si>
  <si>
    <t>ɛ̃</t>
  </si>
  <si>
    <t>ㆥ</t>
  </si>
  <si>
    <t>enn</t>
  </si>
  <si>
    <t>eⁿ</t>
  </si>
  <si>
    <t>ne</t>
  </si>
  <si>
    <t>更舒</t>
  </si>
  <si>
    <t>57</t>
  </si>
  <si>
    <t>爾</t>
  </si>
  <si>
    <t>ㄧ</t>
  </si>
  <si>
    <t>居舒</t>
  </si>
  <si>
    <t>29</t>
  </si>
  <si>
    <t>47</t>
  </si>
  <si>
    <t>名</t>
  </si>
  <si>
    <t>ㄧㄚ</t>
  </si>
  <si>
    <t>迦舒</t>
  </si>
  <si>
    <t>24</t>
  </si>
  <si>
    <t>ia?</t>
  </si>
  <si>
    <t>ㄧㄚㆷ</t>
  </si>
  <si>
    <t>iah</t>
  </si>
  <si>
    <t>迦促</t>
  </si>
  <si>
    <t>36</t>
  </si>
  <si>
    <t>爆</t>
  </si>
  <si>
    <t>iak̚</t>
  </si>
  <si>
    <t>姜</t>
  </si>
  <si>
    <t>ㄧㄚㆻ</t>
  </si>
  <si>
    <t>iak</t>
  </si>
  <si>
    <t>姜促</t>
  </si>
  <si>
    <t>18</t>
  </si>
  <si>
    <t>43</t>
  </si>
  <si>
    <t>尖</t>
  </si>
  <si>
    <t>ㄧㆰ</t>
  </si>
  <si>
    <t>兼舒</t>
  </si>
  <si>
    <t>22</t>
  </si>
  <si>
    <t>3</t>
  </si>
  <si>
    <t>掀</t>
  </si>
  <si>
    <t>ㄧㄢ</t>
  </si>
  <si>
    <t>堅舒</t>
  </si>
  <si>
    <t>2</t>
  </si>
  <si>
    <t>35</t>
  </si>
  <si>
    <t>iaŋ</t>
  </si>
  <si>
    <t>ㄧㄤ</t>
  </si>
  <si>
    <t>iang</t>
  </si>
  <si>
    <t>姜舒</t>
  </si>
  <si>
    <t>71</t>
  </si>
  <si>
    <t>iã</t>
  </si>
  <si>
    <t>ㄧㆩ</t>
  </si>
  <si>
    <t>iannh</t>
  </si>
  <si>
    <t>iaⁿ</t>
  </si>
  <si>
    <t>nia</t>
  </si>
  <si>
    <t>驚舒</t>
  </si>
  <si>
    <t>44</t>
  </si>
  <si>
    <t>iap̚</t>
  </si>
  <si>
    <t>ㄧㄚㆴ</t>
  </si>
  <si>
    <t>兼促</t>
  </si>
  <si>
    <t>4</t>
  </si>
  <si>
    <t>別</t>
  </si>
  <si>
    <t>iat̚</t>
  </si>
  <si>
    <t>ㄧㄚㆵ</t>
  </si>
  <si>
    <t>堅促</t>
  </si>
  <si>
    <t>遙</t>
  </si>
  <si>
    <t>ㄧㄠ</t>
  </si>
  <si>
    <t>iao</t>
  </si>
  <si>
    <t>嬌舒</t>
  </si>
  <si>
    <t>噭</t>
  </si>
  <si>
    <t>iau?</t>
  </si>
  <si>
    <t>ㄧㄠㆷ</t>
  </si>
  <si>
    <t>iauh</t>
  </si>
  <si>
    <t>iaoh</t>
  </si>
  <si>
    <t>嬌促</t>
  </si>
  <si>
    <t>92</t>
  </si>
  <si>
    <t>◯</t>
  </si>
  <si>
    <t>iãu?</t>
  </si>
  <si>
    <t>嘄</t>
  </si>
  <si>
    <t>ㄧㆯㆷ</t>
  </si>
  <si>
    <t>iauhnn</t>
  </si>
  <si>
    <t>iaunnh</t>
  </si>
  <si>
    <t>iauⁿh</t>
  </si>
  <si>
    <t>niaoh</t>
  </si>
  <si>
    <t>嘄促</t>
  </si>
  <si>
    <t>91</t>
  </si>
  <si>
    <t>鳥</t>
  </si>
  <si>
    <t>iãu</t>
  </si>
  <si>
    <t>ㄧㆯ</t>
  </si>
  <si>
    <t>iaunn</t>
  </si>
  <si>
    <t>iauⁿ</t>
  </si>
  <si>
    <t>niao</t>
  </si>
  <si>
    <t>嘄舒</t>
  </si>
  <si>
    <t>58</t>
  </si>
  <si>
    <t>逼</t>
  </si>
  <si>
    <t>i?</t>
  </si>
  <si>
    <t>ㄧㆷ</t>
  </si>
  <si>
    <t>ih</t>
  </si>
  <si>
    <t>居促</t>
  </si>
  <si>
    <t>68</t>
  </si>
  <si>
    <t>欷</t>
  </si>
  <si>
    <t>ĩ?</t>
  </si>
  <si>
    <t>梔</t>
  </si>
  <si>
    <t>ㆪㆷ</t>
  </si>
  <si>
    <t>ihnn</t>
  </si>
  <si>
    <t>innh</t>
  </si>
  <si>
    <t>iⁿh</t>
  </si>
  <si>
    <t>nih</t>
  </si>
  <si>
    <t>梔促</t>
  </si>
  <si>
    <t>34</t>
  </si>
  <si>
    <t>益</t>
  </si>
  <si>
    <t>ik̚</t>
  </si>
  <si>
    <t>ㄧㆻ</t>
  </si>
  <si>
    <t>ek</t>
  </si>
  <si>
    <t>經促</t>
  </si>
  <si>
    <t>深</t>
  </si>
  <si>
    <t>ㄧㆬ</t>
  </si>
  <si>
    <t>金舒</t>
  </si>
  <si>
    <t>33</t>
  </si>
  <si>
    <t>恩</t>
  </si>
  <si>
    <t>ㄧㄣ</t>
  </si>
  <si>
    <t>巾舒</t>
  </si>
  <si>
    <t>17</t>
  </si>
  <si>
    <t>情</t>
  </si>
  <si>
    <t>iŋ</t>
  </si>
  <si>
    <t>ㄧㄥ</t>
  </si>
  <si>
    <t>eng</t>
  </si>
  <si>
    <t>經舒</t>
  </si>
  <si>
    <t>67</t>
  </si>
  <si>
    <t>庚</t>
  </si>
  <si>
    <t>ĩ</t>
  </si>
  <si>
    <t>ㆪ</t>
  </si>
  <si>
    <t>inn</t>
  </si>
  <si>
    <t>iⁿ</t>
  </si>
  <si>
    <t>ni</t>
  </si>
  <si>
    <t>梔舒</t>
  </si>
  <si>
    <t>65</t>
  </si>
  <si>
    <t>io</t>
  </si>
  <si>
    <t>茄</t>
  </si>
  <si>
    <t>ㄧㄜ</t>
  </si>
  <si>
    <t>ior</t>
  </si>
  <si>
    <t>茄舒</t>
  </si>
  <si>
    <t>66</t>
  </si>
  <si>
    <t>著</t>
  </si>
  <si>
    <t>io?</t>
  </si>
  <si>
    <t>ㄧㄜㆷ</t>
  </si>
  <si>
    <t>ioh</t>
  </si>
  <si>
    <t>iorh</t>
  </si>
  <si>
    <t>茄促</t>
  </si>
  <si>
    <t>俗</t>
  </si>
  <si>
    <t>iɔk̚</t>
  </si>
  <si>
    <t>ㄧㆦㆻ</t>
  </si>
  <si>
    <t>恭促</t>
  </si>
  <si>
    <t>14</t>
  </si>
  <si>
    <t>27</t>
  </si>
  <si>
    <t>iɔŋ</t>
  </si>
  <si>
    <t>ㄧㆲ</t>
  </si>
  <si>
    <t>恭舒</t>
  </si>
  <si>
    <t>69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</si>
  <si>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</si>
  <si>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</si>
  <si>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</si>
  <si>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</si>
  <si>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</si>
  <si>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</si>
  <si>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</si>
  <si>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</si>
  <si>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</si>
  <si>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蟄</t>
  </si>
  <si>
    <t>ip̚</t>
  </si>
  <si>
    <t>一ㆴ</t>
  </si>
  <si>
    <t>金促</t>
  </si>
  <si>
    <t>it̚</t>
  </si>
  <si>
    <t>ㄧㆵ</t>
  </si>
  <si>
    <t>巾促</t>
  </si>
  <si>
    <t>59</t>
  </si>
  <si>
    <t>油</t>
  </si>
  <si>
    <t>ㄧㄨ</t>
  </si>
  <si>
    <t>丩舒</t>
  </si>
  <si>
    <t>30</t>
  </si>
  <si>
    <t>99</t>
  </si>
  <si>
    <t>香</t>
  </si>
  <si>
    <t>ĩu</t>
  </si>
  <si>
    <t>ㄧㆫ</t>
  </si>
  <si>
    <t>iuⁿ</t>
  </si>
  <si>
    <t>niu</t>
  </si>
  <si>
    <t>牛舒</t>
  </si>
  <si>
    <t>50</t>
  </si>
  <si>
    <t>83</t>
  </si>
  <si>
    <t>姆</t>
  </si>
  <si>
    <t>m̩</t>
  </si>
  <si>
    <t>ㆬ</t>
  </si>
  <si>
    <t>姆舒</t>
  </si>
  <si>
    <t>75</t>
  </si>
  <si>
    <t>床</t>
  </si>
  <si>
    <t>ŋ̍</t>
  </si>
  <si>
    <t>鋼</t>
  </si>
  <si>
    <t>ㆭ</t>
  </si>
  <si>
    <t>鋼舒</t>
  </si>
  <si>
    <t>果</t>
  </si>
  <si>
    <t>ㄜ</t>
  </si>
  <si>
    <t>or</t>
  </si>
  <si>
    <t>高舒</t>
  </si>
  <si>
    <t>15</t>
  </si>
  <si>
    <t>卜</t>
  </si>
  <si>
    <t>o?</t>
  </si>
  <si>
    <t>ㄜㆷ</t>
  </si>
  <si>
    <t>oh</t>
  </si>
  <si>
    <t>orh</t>
  </si>
  <si>
    <t>高促</t>
  </si>
  <si>
    <t>98</t>
  </si>
  <si>
    <t>õʔ</t>
  </si>
  <si>
    <t>ㆧㆷ</t>
  </si>
  <si>
    <t>ohnn</t>
  </si>
  <si>
    <t>onnh</t>
  </si>
  <si>
    <t>onh</t>
  </si>
  <si>
    <t>nooh</t>
  </si>
  <si>
    <t>uenn</t>
  </si>
  <si>
    <t>扛促</t>
  </si>
  <si>
    <t>49</t>
  </si>
  <si>
    <t>福</t>
  </si>
  <si>
    <t>ɔk̚</t>
  </si>
  <si>
    <t>ㆦㆻ</t>
  </si>
  <si>
    <t>公促</t>
  </si>
  <si>
    <t>7</t>
  </si>
  <si>
    <t>93</t>
  </si>
  <si>
    <t>丼</t>
  </si>
  <si>
    <t>ɔm</t>
  </si>
  <si>
    <t>箴</t>
  </si>
  <si>
    <t>ㆱ</t>
  </si>
  <si>
    <t>om</t>
  </si>
  <si>
    <t>oom</t>
  </si>
  <si>
    <t>箴舒</t>
  </si>
  <si>
    <t>ɔŋ</t>
  </si>
  <si>
    <t>ㆲ</t>
  </si>
  <si>
    <t>公舒</t>
  </si>
  <si>
    <t>97</t>
  </si>
  <si>
    <t>呼</t>
  </si>
  <si>
    <t>õ</t>
  </si>
  <si>
    <t>ㆧ</t>
  </si>
  <si>
    <t>on</t>
  </si>
  <si>
    <t>noo</t>
  </si>
  <si>
    <t>ornn</t>
  </si>
  <si>
    <t>扛舒</t>
  </si>
  <si>
    <t>捕</t>
  </si>
  <si>
    <t>ou</t>
  </si>
  <si>
    <t>ㆦ</t>
  </si>
  <si>
    <t>o͘</t>
  </si>
  <si>
    <t>沽舒</t>
  </si>
  <si>
    <t>81</t>
  </si>
  <si>
    <t>張</t>
  </si>
  <si>
    <t>õu</t>
  </si>
  <si>
    <t>姑</t>
  </si>
  <si>
    <t>oonn</t>
  </si>
  <si>
    <t>oⁿ</t>
  </si>
  <si>
    <t>姑舒</t>
  </si>
  <si>
    <t>94</t>
  </si>
  <si>
    <t>吷</t>
  </si>
  <si>
    <t>ɔp̚</t>
  </si>
  <si>
    <t>ㆦㆴ</t>
  </si>
  <si>
    <t>op</t>
  </si>
  <si>
    <t>oop</t>
  </si>
  <si>
    <t>箴促</t>
  </si>
  <si>
    <t>53</t>
  </si>
  <si>
    <t>ㄨ</t>
  </si>
  <si>
    <t>艍舒</t>
  </si>
  <si>
    <t>花</t>
  </si>
  <si>
    <t>ㄨㄚ</t>
  </si>
  <si>
    <t>oa</t>
  </si>
  <si>
    <t>瓜舒</t>
  </si>
  <si>
    <t>20</t>
  </si>
  <si>
    <t>缽</t>
  </si>
  <si>
    <t>ua?</t>
  </si>
  <si>
    <t>ㄨㄚㆷ</t>
  </si>
  <si>
    <t>uah</t>
  </si>
  <si>
    <t>oah</t>
  </si>
  <si>
    <t>瓜促</t>
  </si>
  <si>
    <t>怪</t>
  </si>
  <si>
    <t>ㄨㄞ</t>
  </si>
  <si>
    <t>oai</t>
  </si>
  <si>
    <t>乖舒</t>
  </si>
  <si>
    <t>8</t>
  </si>
  <si>
    <t>uai?</t>
  </si>
  <si>
    <t>ㄨㄞㆷ</t>
  </si>
  <si>
    <t>uaih</t>
  </si>
  <si>
    <t>oaih</t>
  </si>
  <si>
    <t>乖促</t>
  </si>
  <si>
    <t>88</t>
  </si>
  <si>
    <t>蹶</t>
  </si>
  <si>
    <t>uãi?</t>
  </si>
  <si>
    <t>閂</t>
  </si>
  <si>
    <t>ㄨㆮㆷ</t>
  </si>
  <si>
    <t>uaihnn</t>
  </si>
  <si>
    <t>uainnh</t>
  </si>
  <si>
    <t>oaiⁿh</t>
  </si>
  <si>
    <t>nuaih</t>
  </si>
  <si>
    <t>閂促</t>
  </si>
  <si>
    <t>87</t>
  </si>
  <si>
    <t>檨</t>
  </si>
  <si>
    <t>uãi</t>
  </si>
  <si>
    <t>ㄨㆮ</t>
  </si>
  <si>
    <t>uainn</t>
  </si>
  <si>
    <t>oaiⁿ</t>
  </si>
  <si>
    <t>nuai</t>
  </si>
  <si>
    <t>閂舒</t>
  </si>
  <si>
    <t>86</t>
  </si>
  <si>
    <t>伏</t>
  </si>
  <si>
    <t>uak̚</t>
  </si>
  <si>
    <t>ㄨㄚㆻ</t>
  </si>
  <si>
    <t>uak</t>
  </si>
  <si>
    <t>oak</t>
  </si>
  <si>
    <t>光促</t>
  </si>
  <si>
    <t>猿</t>
  </si>
  <si>
    <t>ㄨㄢ</t>
  </si>
  <si>
    <t>oan</t>
  </si>
  <si>
    <t>觀舒</t>
  </si>
  <si>
    <t>85</t>
  </si>
  <si>
    <t>闖</t>
  </si>
  <si>
    <t>uaŋ</t>
  </si>
  <si>
    <t>ㄨㄤ</t>
  </si>
  <si>
    <t>uang</t>
  </si>
  <si>
    <t>oang</t>
  </si>
  <si>
    <t>光舒</t>
  </si>
  <si>
    <t>73</t>
  </si>
  <si>
    <t>肝</t>
  </si>
  <si>
    <t>uã</t>
  </si>
  <si>
    <t>官</t>
  </si>
  <si>
    <t>ㄨㆩ</t>
  </si>
  <si>
    <t>uann</t>
  </si>
  <si>
    <t>oaⁿ</t>
  </si>
  <si>
    <t>nua</t>
  </si>
  <si>
    <t>官舒</t>
  </si>
  <si>
    <t>說</t>
  </si>
  <si>
    <t>uat̚</t>
  </si>
  <si>
    <t>ㄨㄚㆵ</t>
  </si>
  <si>
    <t>oat</t>
  </si>
  <si>
    <t>觀促</t>
  </si>
  <si>
    <t>話</t>
  </si>
  <si>
    <t>uei</t>
  </si>
  <si>
    <t>ㄨㆤ</t>
  </si>
  <si>
    <t>oe</t>
  </si>
  <si>
    <t>檜舒</t>
  </si>
  <si>
    <t>拔</t>
  </si>
  <si>
    <t>uei?</t>
  </si>
  <si>
    <t>ㄨㆤㆷ</t>
  </si>
  <si>
    <t>ueh</t>
  </si>
  <si>
    <t>oeh</t>
  </si>
  <si>
    <t>檜促</t>
  </si>
  <si>
    <t>89</t>
  </si>
  <si>
    <t>uẽi</t>
  </si>
  <si>
    <t>糜</t>
  </si>
  <si>
    <t>ㄨㆥ</t>
  </si>
  <si>
    <t>oeⁿ</t>
  </si>
  <si>
    <t>nue</t>
  </si>
  <si>
    <t>糜舒</t>
  </si>
  <si>
    <t>54</t>
  </si>
  <si>
    <t>勃</t>
  </si>
  <si>
    <t>u?</t>
  </si>
  <si>
    <t>ㄨㆷ</t>
  </si>
  <si>
    <t>uh</t>
  </si>
  <si>
    <t>艍促</t>
  </si>
  <si>
    <t>歸</t>
  </si>
  <si>
    <t>ㄨㄧ</t>
  </si>
  <si>
    <t>規舒</t>
  </si>
  <si>
    <t>63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</si>
  <si>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</si>
  <si>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</si>
  <si>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</si>
  <si>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</si>
  <si>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</si>
  <si>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</si>
  <si>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</si>
  <si>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</si>
  <si>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</si>
  <si>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1</t>
  </si>
  <si>
    <t>汾</t>
  </si>
  <si>
    <t>ㄨㄣ</t>
  </si>
  <si>
    <t>君舒</t>
  </si>
  <si>
    <t>ut̚</t>
  </si>
  <si>
    <t>ㄨㆵ</t>
  </si>
  <si>
    <t>君促</t>
  </si>
  <si>
    <t>識別號</t>
    <phoneticPr fontId="15" type="noConversion"/>
  </si>
  <si>
    <t>漢字例</t>
    <phoneticPr fontId="5" type="noConversion"/>
  </si>
  <si>
    <t>國際音標</t>
    <phoneticPr fontId="15" type="noConversion"/>
  </si>
  <si>
    <t>十五音</t>
    <phoneticPr fontId="15" type="noConversion"/>
  </si>
  <si>
    <t>方音符號</t>
    <phoneticPr fontId="15" type="noConversion"/>
  </si>
  <si>
    <t>台語音標</t>
    <phoneticPr fontId="15" type="noConversion"/>
  </si>
  <si>
    <t>台羅拼音</t>
    <phoneticPr fontId="15" type="noConversion"/>
  </si>
  <si>
    <t>白話字</t>
    <phoneticPr fontId="15" type="noConversion"/>
  </si>
  <si>
    <t>閩拼方案</t>
    <phoneticPr fontId="15" type="noConversion"/>
  </si>
  <si>
    <t>注音二式</t>
    <phoneticPr fontId="5" type="noConversion"/>
  </si>
  <si>
    <t>舒促聲</t>
    <phoneticPr fontId="15" type="noConversion"/>
  </si>
  <si>
    <t>十五音識別碼</t>
    <phoneticPr fontId="18" type="noConversion"/>
  </si>
  <si>
    <t>十五音韻母序</t>
    <phoneticPr fontId="15" type="noConversion"/>
  </si>
  <si>
    <t>字長</t>
  </si>
  <si>
    <t>python_dict</t>
    <phoneticPr fontId="5" type="noConversion"/>
  </si>
  <si>
    <t>un</t>
    <phoneticPr fontId="5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</si>
  <si>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8" type="noConversion"/>
  </si>
  <si>
    <t>不</t>
    <phoneticPr fontId="5" type="noConversion"/>
  </si>
  <si>
    <t>ut</t>
    <phoneticPr fontId="5" type="noConversion"/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</si>
  <si>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8" type="noConversion"/>
  </si>
  <si>
    <t>掀</t>
    <phoneticPr fontId="5" type="noConversion"/>
  </si>
  <si>
    <t>ian</t>
    <phoneticPr fontId="5" type="noConversion"/>
  </si>
  <si>
    <t>別</t>
    <phoneticPr fontId="5" type="noConversion"/>
  </si>
  <si>
    <t>iat</t>
    <phoneticPr fontId="5" type="noConversion"/>
  </si>
  <si>
    <t>im</t>
    <phoneticPr fontId="5" type="noConversion"/>
  </si>
  <si>
    <t>蟄</t>
    <phoneticPr fontId="5" type="noConversion"/>
  </si>
  <si>
    <t>ip</t>
    <phoneticPr fontId="5" type="noConversion"/>
  </si>
  <si>
    <t>ui</t>
    <phoneticPr fontId="5" type="noConversion"/>
  </si>
  <si>
    <t>家</t>
    <phoneticPr fontId="5" type="noConversion"/>
  </si>
  <si>
    <r>
      <rPr>
        <sz val="24"/>
        <color rgb="FFFF0000"/>
        <rFont val="Noto Serif TC Black"/>
        <family val="1"/>
        <charset val="136"/>
      </rPr>
      <t>ɛ</t>
    </r>
  </si>
  <si>
    <t>e</t>
    <phoneticPr fontId="18" type="noConversion"/>
  </si>
  <si>
    <t>ee</t>
    <phoneticPr fontId="18" type="noConversion"/>
  </si>
  <si>
    <t>e</t>
    <phoneticPr fontId="5" type="noConversion"/>
  </si>
  <si>
    <t>八</t>
    <phoneticPr fontId="5" type="noConversion"/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</si>
  <si>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8" type="noConversion"/>
  </si>
  <si>
    <t>eh</t>
    <phoneticPr fontId="5" type="noConversion"/>
  </si>
  <si>
    <t>an</t>
    <phoneticPr fontId="5" type="noConversion"/>
  </si>
  <si>
    <t>識</t>
    <phoneticPr fontId="5" type="noConversion"/>
  </si>
  <si>
    <t>at</t>
    <phoneticPr fontId="5" type="noConversion"/>
  </si>
  <si>
    <t>風</t>
    <phoneticPr fontId="5" type="noConversion"/>
  </si>
  <si>
    <r>
      <rPr>
        <sz val="24"/>
        <color rgb="FFFF0000"/>
        <rFont val="Noto Serif TC Black"/>
        <family val="1"/>
        <charset val="136"/>
      </rPr>
      <t>ɔŋ</t>
    </r>
  </si>
  <si>
    <t>ong</t>
    <phoneticPr fontId="5" type="noConversion"/>
  </si>
  <si>
    <t>福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</si>
  <si>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</si>
  <si>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ok</t>
    <phoneticPr fontId="5" type="noConversion"/>
  </si>
  <si>
    <t>uai</t>
    <phoneticPr fontId="5" type="noConversion"/>
  </si>
  <si>
    <t>uaih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</si>
  <si>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</si>
  <si>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t>ing</t>
    <phoneticPr fontId="5" type="noConversion"/>
  </si>
  <si>
    <t>益</t>
    <phoneticPr fontId="5" type="noConversion"/>
  </si>
  <si>
    <t>ik</t>
    <phoneticPr fontId="5" type="noConversion"/>
  </si>
  <si>
    <t>uan</t>
    <phoneticPr fontId="5" type="noConversion"/>
  </si>
  <si>
    <t>說</t>
    <phoneticPr fontId="5" type="noConversion"/>
  </si>
  <si>
    <t>uat</t>
    <phoneticPr fontId="5" type="noConversion"/>
  </si>
  <si>
    <t>捕</t>
    <phoneticPr fontId="5" type="noConversion"/>
  </si>
  <si>
    <t>ou</t>
    <phoneticPr fontId="18" type="noConversion"/>
  </si>
  <si>
    <t>oo</t>
    <phoneticPr fontId="5" type="noConversion"/>
  </si>
  <si>
    <t>iau</t>
    <phoneticPr fontId="5" type="noConversion"/>
  </si>
  <si>
    <t>噭</t>
    <phoneticPr fontId="5" type="noConversion"/>
  </si>
  <si>
    <t>iauh</t>
    <phoneticPr fontId="5" type="noConversion"/>
  </si>
  <si>
    <t>ㆤ</t>
    <phoneticPr fontId="18" type="noConversion"/>
  </si>
  <si>
    <t>中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</si>
  <si>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</si>
  <si>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t>iong</t>
    <phoneticPr fontId="5" type="noConversion"/>
  </si>
  <si>
    <t>俗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</si>
  <si>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</si>
  <si>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iok</t>
    <phoneticPr fontId="5" type="noConversion"/>
  </si>
  <si>
    <t>o</t>
    <phoneticPr fontId="18" type="noConversion"/>
  </si>
  <si>
    <t>or</t>
    <phoneticPr fontId="5" type="noConversion"/>
  </si>
  <si>
    <t>卜</t>
    <phoneticPr fontId="5" type="noConversion"/>
  </si>
  <si>
    <t>o?</t>
    <phoneticPr fontId="18" type="noConversion"/>
  </si>
  <si>
    <t>orh</t>
    <phoneticPr fontId="5" type="noConversion"/>
  </si>
  <si>
    <t>ai</t>
    <phoneticPr fontId="5" type="noConversion"/>
  </si>
  <si>
    <t>in</t>
    <phoneticPr fontId="5" type="noConversion"/>
  </si>
  <si>
    <t>一</t>
    <phoneticPr fontId="5" type="noConversion"/>
  </si>
  <si>
    <t>it</t>
    <phoneticPr fontId="5" type="noConversion"/>
  </si>
  <si>
    <t>將</t>
    <phoneticPr fontId="5" type="noConversion"/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</si>
  <si>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</si>
  <si>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t>iang</t>
    <phoneticPr fontId="5" type="noConversion"/>
  </si>
  <si>
    <t>爆</t>
    <phoneticPr fontId="5" type="noConversion"/>
  </si>
  <si>
    <t>iak</t>
    <phoneticPr fontId="5" type="noConversion"/>
  </si>
  <si>
    <t>am</t>
    <phoneticPr fontId="5" type="noConversion"/>
  </si>
  <si>
    <t>答</t>
    <phoneticPr fontId="5" type="noConversion"/>
  </si>
  <si>
    <t>ap</t>
    <phoneticPr fontId="5" type="noConversion"/>
  </si>
  <si>
    <t>ua</t>
    <phoneticPr fontId="5" type="noConversion"/>
  </si>
  <si>
    <t>缽</t>
    <phoneticPr fontId="5" type="noConversion"/>
  </si>
  <si>
    <t>uah</t>
    <phoneticPr fontId="5" type="noConversion"/>
  </si>
  <si>
    <t>邦</t>
    <phoneticPr fontId="5" type="noConversion"/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</si>
  <si>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</si>
  <si>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t>ang</t>
    <phoneticPr fontId="5" type="noConversion"/>
  </si>
  <si>
    <t>角</t>
    <phoneticPr fontId="5" type="noConversion"/>
  </si>
  <si>
    <t>ak</t>
    <phoneticPr fontId="5" type="noConversion"/>
  </si>
  <si>
    <t>尖</t>
    <phoneticPr fontId="5" type="noConversion"/>
  </si>
  <si>
    <t>iam</t>
    <phoneticPr fontId="5" type="noConversion"/>
  </si>
  <si>
    <t>接</t>
    <phoneticPr fontId="5" type="noConversion"/>
  </si>
  <si>
    <t>iap</t>
    <phoneticPr fontId="5" type="noConversion"/>
  </si>
  <si>
    <t>au</t>
    <phoneticPr fontId="5" type="noConversion"/>
  </si>
  <si>
    <t>暴</t>
    <phoneticPr fontId="5" type="noConversion"/>
  </si>
  <si>
    <t>auh</t>
    <phoneticPr fontId="5" type="noConversion"/>
  </si>
  <si>
    <t>名</t>
    <phoneticPr fontId="5" type="noConversion"/>
  </si>
  <si>
    <t>ia</t>
    <phoneticPr fontId="5" type="noConversion"/>
  </si>
  <si>
    <t>壁</t>
    <phoneticPr fontId="5" type="noConversion"/>
  </si>
  <si>
    <t>iah</t>
    <phoneticPr fontId="5" type="noConversion"/>
  </si>
  <si>
    <t>話</t>
    <phoneticPr fontId="5" type="noConversion"/>
  </si>
  <si>
    <t>uei</t>
    <phoneticPr fontId="18" type="noConversion"/>
  </si>
  <si>
    <t>ue</t>
    <phoneticPr fontId="5" type="noConversion"/>
  </si>
  <si>
    <t>拔</t>
    <phoneticPr fontId="5" type="noConversion"/>
  </si>
  <si>
    <t>uei?</t>
    <phoneticPr fontId="18" type="noConversion"/>
  </si>
  <si>
    <t>ueh</t>
    <phoneticPr fontId="5" type="noConversion"/>
  </si>
  <si>
    <t>聽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</si>
  <si>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</si>
  <si>
    <t>ann</t>
    <phoneticPr fontId="5" type="noConversion"/>
  </si>
  <si>
    <t>含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</si>
  <si>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</si>
  <si>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annh</t>
    <phoneticPr fontId="5" type="noConversion"/>
  </si>
  <si>
    <t>u</t>
    <phoneticPr fontId="5" type="noConversion"/>
  </si>
  <si>
    <t>勃</t>
    <phoneticPr fontId="5" type="noConversion"/>
  </si>
  <si>
    <t>uh</t>
    <phoneticPr fontId="5" type="noConversion"/>
  </si>
  <si>
    <t>a</t>
    <phoneticPr fontId="5" type="noConversion"/>
  </si>
  <si>
    <t>百</t>
    <phoneticPr fontId="5" type="noConversion"/>
  </si>
  <si>
    <t>ah</t>
    <phoneticPr fontId="5" type="noConversion"/>
  </si>
  <si>
    <t>爾</t>
    <phoneticPr fontId="5" type="noConversion"/>
  </si>
  <si>
    <t>i</t>
    <phoneticPr fontId="5" type="noConversion"/>
  </si>
  <si>
    <t>ih</t>
    <phoneticPr fontId="5" type="noConversion"/>
  </si>
  <si>
    <t>油</t>
    <phoneticPr fontId="5" type="noConversion"/>
  </si>
  <si>
    <t>iu</t>
    <phoneticPr fontId="5" type="noConversion"/>
  </si>
  <si>
    <t>爭</t>
    <phoneticPr fontId="5" type="noConversion"/>
  </si>
  <si>
    <t>ɛ̃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</si>
  <si>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</si>
  <si>
    <t>enn</t>
    <phoneticPr fontId="5" type="noConversion"/>
  </si>
  <si>
    <t>挾</t>
    <phoneticPr fontId="5" type="noConversion"/>
  </si>
  <si>
    <t>ɛ̃?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</si>
  <si>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</si>
  <si>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ennh</t>
    <phoneticPr fontId="5" type="noConversion"/>
  </si>
  <si>
    <r>
      <t>ui</t>
    </r>
    <r>
      <rPr>
        <sz val="24"/>
        <rFont val="Noto Sans TC Black"/>
        <family val="2"/>
        <charset val="136"/>
      </rPr>
      <t>ⁿ</t>
    </r>
  </si>
  <si>
    <t>uinn</t>
    <phoneticPr fontId="5" type="noConversion"/>
  </si>
  <si>
    <t>io</t>
    <phoneticPr fontId="18" type="noConversion"/>
  </si>
  <si>
    <t>ior</t>
    <phoneticPr fontId="5" type="noConversion"/>
  </si>
  <si>
    <t>著</t>
    <phoneticPr fontId="5" type="noConversion"/>
  </si>
  <si>
    <t>io?</t>
    <phoneticPr fontId="18" type="noConversion"/>
  </si>
  <si>
    <t>iorh</t>
    <phoneticPr fontId="5" type="noConversion"/>
  </si>
  <si>
    <t>庚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</si>
  <si>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</si>
  <si>
    <t>inn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</si>
  <si>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</si>
  <si>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innh</t>
    <phoneticPr fontId="5" type="noConversion"/>
  </si>
  <si>
    <t>腔</t>
    <phoneticPr fontId="5" type="noConversion"/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</si>
  <si>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8" type="noConversion"/>
  </si>
  <si>
    <r>
      <t>io</t>
    </r>
    <r>
      <rPr>
        <sz val="24"/>
        <rFont val="Noto Sans TC Black"/>
        <family val="2"/>
        <charset val="136"/>
      </rPr>
      <t>ⁿ</t>
    </r>
  </si>
  <si>
    <t>ioonn</t>
    <phoneticPr fontId="5" type="noConversion"/>
  </si>
  <si>
    <r>
      <t>ia</t>
    </r>
    <r>
      <rPr>
        <sz val="24"/>
        <rFont val="Noto Sans TC Black"/>
        <family val="2"/>
        <charset val="136"/>
      </rPr>
      <t>ⁿ</t>
    </r>
  </si>
  <si>
    <t>iann</t>
    <phoneticPr fontId="5" type="noConversion"/>
  </si>
  <si>
    <t>肝</t>
    <phoneticPr fontId="5" type="noConversion"/>
  </si>
  <si>
    <t>uã</t>
    <phoneticPr fontId="18" type="noConversion"/>
  </si>
  <si>
    <r>
      <t>oa</t>
    </r>
    <r>
      <rPr>
        <sz val="24"/>
        <rFont val="Noto Sans TC Black"/>
        <family val="2"/>
        <charset val="136"/>
      </rPr>
      <t>ⁿ</t>
    </r>
  </si>
  <si>
    <t>uann</t>
    <phoneticPr fontId="5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</si>
  <si>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</si>
  <si>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t>ng</t>
    <phoneticPr fontId="5" type="noConversion"/>
  </si>
  <si>
    <t>會</t>
    <phoneticPr fontId="5" type="noConversion"/>
  </si>
  <si>
    <t>伯</t>
    <phoneticPr fontId="5" type="noConversion"/>
  </si>
  <si>
    <t>挨</t>
    <phoneticPr fontId="5" type="noConversion"/>
  </si>
  <si>
    <t>ãi</t>
    <phoneticPr fontId="18" type="noConversion"/>
  </si>
  <si>
    <r>
      <t>ai</t>
    </r>
    <r>
      <rPr>
        <sz val="24"/>
        <rFont val="Noto Sans TC Black"/>
        <family val="2"/>
        <charset val="136"/>
      </rPr>
      <t>ⁿ</t>
    </r>
  </si>
  <si>
    <t>ainn</t>
    <phoneticPr fontId="5" type="noConversion"/>
  </si>
  <si>
    <t>張</t>
    <phoneticPr fontId="5" type="noConversion"/>
  </si>
  <si>
    <t>õu</t>
    <phoneticPr fontId="18" type="noConversion"/>
  </si>
  <si>
    <t>onn</t>
    <phoneticPr fontId="18" type="noConversion"/>
  </si>
  <si>
    <r>
      <t>o</t>
    </r>
    <r>
      <rPr>
        <sz val="24"/>
        <rFont val="Noto Sans TC Black"/>
        <family val="2"/>
        <charset val="136"/>
      </rPr>
      <t>ⁿ</t>
    </r>
  </si>
  <si>
    <t>oonn</t>
    <phoneticPr fontId="5" type="noConversion"/>
  </si>
  <si>
    <t>m</t>
    <phoneticPr fontId="5" type="noConversion"/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</si>
  <si>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</si>
  <si>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t>uang</t>
    <phoneticPr fontId="5" type="noConversion"/>
  </si>
  <si>
    <t>伏</t>
    <phoneticPr fontId="5" type="noConversion"/>
  </si>
  <si>
    <t>uak</t>
    <phoneticPr fontId="5" type="noConversion"/>
  </si>
  <si>
    <t>uãi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</si>
  <si>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</si>
  <si>
    <t>uainn</t>
    <phoneticPr fontId="5" type="noConversion"/>
  </si>
  <si>
    <t>蹶</t>
    <phoneticPr fontId="5" type="noConversion"/>
  </si>
  <si>
    <t>uãi?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</si>
  <si>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</si>
  <si>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uainnh</t>
    <phoneticPr fontId="5" type="noConversion"/>
  </si>
  <si>
    <t>uẽi</t>
    <phoneticPr fontId="18" type="noConversion"/>
  </si>
  <si>
    <r>
      <t>oe</t>
    </r>
    <r>
      <rPr>
        <sz val="24"/>
        <rFont val="Noto Sans TC Black"/>
        <family val="2"/>
        <charset val="136"/>
      </rPr>
      <t>ⁿ</t>
    </r>
  </si>
  <si>
    <t>uenn</t>
    <phoneticPr fontId="5" type="noConversion"/>
  </si>
  <si>
    <t>uẽi?</t>
    <phoneticPr fontId="18" type="noConversion"/>
  </si>
  <si>
    <t>iãu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</si>
  <si>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</si>
  <si>
    <t>iaunn</t>
    <phoneticPr fontId="5" type="noConversion"/>
  </si>
  <si>
    <t>iãu?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</si>
  <si>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</si>
  <si>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iaunnh</t>
    <phoneticPr fontId="5" type="noConversion"/>
  </si>
  <si>
    <t>丼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</si>
  <si>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</si>
  <si>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t>oom</t>
    <phoneticPr fontId="5" type="noConversion"/>
  </si>
  <si>
    <t>吷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</si>
  <si>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</si>
  <si>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oop</t>
    <phoneticPr fontId="5" type="noConversion"/>
  </si>
  <si>
    <t>懸</t>
    <phoneticPr fontId="5" type="noConversion"/>
  </si>
  <si>
    <t>ãu</t>
    <phoneticPr fontId="18" type="noConversion"/>
  </si>
  <si>
    <r>
      <t>au</t>
    </r>
    <r>
      <rPr>
        <sz val="24"/>
        <rFont val="Noto Sans TC Black"/>
        <family val="2"/>
        <charset val="136"/>
      </rPr>
      <t>ⁿ</t>
    </r>
  </si>
  <si>
    <t>aunn</t>
    <phoneticPr fontId="5" type="noConversion"/>
  </si>
  <si>
    <t>呼</t>
    <phoneticPr fontId="5" type="noConversion"/>
  </si>
  <si>
    <t>ㆧ</t>
    <phoneticPr fontId="5" type="noConversion"/>
  </si>
  <si>
    <t>onn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</si>
  <si>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5" type="noConversion"/>
  </si>
  <si>
    <t>noo</t>
    <phoneticPr fontId="5" type="noConversion"/>
  </si>
  <si>
    <t>ornn</t>
    <phoneticPr fontId="5" type="noConversion"/>
  </si>
  <si>
    <t>ㆧㆷ</t>
    <phoneticPr fontId="5" type="noConversion"/>
  </si>
  <si>
    <t>ohnn</t>
    <phoneticPr fontId="5" type="noConversion"/>
  </si>
  <si>
    <t>onnh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</si>
  <si>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5" type="noConversion"/>
  </si>
  <si>
    <t>nooh</t>
    <phoneticPr fontId="5" type="noConversion"/>
  </si>
  <si>
    <t>香</t>
    <phoneticPr fontId="5" type="noConversion"/>
  </si>
  <si>
    <t>ĩu</t>
    <phoneticPr fontId="18" type="noConversion"/>
  </si>
  <si>
    <r>
      <t>iu</t>
    </r>
    <r>
      <rPr>
        <sz val="24"/>
        <rFont val="Noto Sans TC Black"/>
        <family val="2"/>
        <charset val="136"/>
      </rPr>
      <t>ⁿ</t>
    </r>
  </si>
  <si>
    <t>iunn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</si>
</sst>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[ &quot;@&quot; ]&quot;"/>
    <numFmt numFmtId="177" formatCode="General;\-General;;@"/>
  </numFmts>
  <fonts count="43">
    <font>
      <sz val="16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b/>
      <sz val="12"/>
      <color theme="1"/>
      <name val="Noto Serif TC Black"/>
      <family val="1"/>
      <charset val="136"/>
    </font>
    <font>
      <sz val="9"/>
      <name val="新細明體"/>
      <family val="2"/>
      <charset val="136"/>
      <scheme val="minor"/>
    </font>
    <font>
      <sz val="24"/>
      <color theme="1"/>
      <name val="Arial"/>
      <family val="2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10"/>
      <color rgb="FF000000"/>
      <name val="Linux Libertine G"/>
      <family val="2"/>
    </font>
    <font>
      <sz val="12"/>
      <color rgb="FFFFFF00"/>
      <name val="Noto Sans TC Medium"/>
      <family val="2"/>
    </font>
    <font>
      <sz val="16"/>
      <color rgb="FF000000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theme="0" tint="-0.249977111117893"/>
      <name val="Arial"/>
      <family val="2"/>
    </font>
    <font>
      <b/>
      <sz val="16"/>
      <color rgb="FFFFFFFF"/>
      <name val="Noto Sans TC Black"/>
      <family val="2"/>
      <charset val="136"/>
    </font>
    <font>
      <sz val="9"/>
      <name val="cwTeX 仿宋體"/>
      <family val="3"/>
      <charset val="136"/>
    </font>
    <font>
      <b/>
      <sz val="16"/>
      <color rgb="FFFFFF00"/>
      <name val="Noto Sans TC Black"/>
      <family val="2"/>
      <charset val="136"/>
    </font>
    <font>
      <b/>
      <sz val="12"/>
      <color rgb="FFFFFF00"/>
      <name val="Noto Sans TC Black"/>
      <family val="2"/>
      <charset val="136"/>
    </font>
    <font>
      <sz val="9"/>
      <name val="Noto Sans TC"/>
      <family val="2"/>
      <charset val="136"/>
    </font>
    <font>
      <sz val="16"/>
      <color rgb="FFFFFF00"/>
      <name val="Noto Sans TC Medium"/>
      <family val="2"/>
      <charset val="136"/>
    </font>
    <font>
      <sz val="24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color rgb="FFFF0000"/>
      <name val="Times New Roman"/>
      <family val="1"/>
    </font>
    <font>
      <sz val="28"/>
      <name val="Noto Serif TC Black"/>
      <family val="1"/>
      <charset val="136"/>
    </font>
    <font>
      <sz val="24"/>
      <name val="Times New Roman"/>
      <family val="1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Noto Sans TC Medium"/>
      <family val="2"/>
      <charset val="136"/>
    </font>
    <font>
      <sz val="28"/>
      <name val="吳守禮細明台語破音02"/>
      <family val="1"/>
      <charset val="136"/>
    </font>
    <font>
      <sz val="28"/>
      <color rgb="FFFF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24"/>
      <color rgb="FFFF0000"/>
      <name val="MS Gothic"/>
      <family val="3"/>
      <charset val="128"/>
    </font>
    <font>
      <sz val="28"/>
      <name val="吳守禮細明台語破音01"/>
      <family val="1"/>
      <charset val="136"/>
    </font>
    <font>
      <strike/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3"/>
      <family val="1"/>
      <charset val="136"/>
    </font>
    <font>
      <sz val="24"/>
      <name val="Noto Sans TC Black"/>
      <family val="2"/>
      <charset val="136"/>
    </font>
    <font>
      <sz val="28"/>
      <name val="吳守禮細明台語破音06"/>
      <family val="1"/>
      <charset val="136"/>
    </font>
    <font>
      <sz val="28"/>
      <name val="吳守禮細明台語破音04"/>
      <family val="1"/>
      <charset val="136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strike/>
      <vertAlign val="superscript"/>
      <sz val="24"/>
      <color rgb="FFFF0000"/>
      <name val="Times New Roman"/>
      <family val="1"/>
    </font>
    <font>
      <sz val="16"/>
      <color theme="1"/>
      <name val="Noto Sans TC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>
      <alignment vertical="center"/>
    </xf>
    <xf numFmtId="0" fontId="9" fillId="0" borderId="0"/>
    <xf numFmtId="0" fontId="12" fillId="0" borderId="0">
      <alignment vertical="center"/>
    </xf>
    <xf numFmtId="0" fontId="42" fillId="0" borderId="0">
      <alignment vertical="center"/>
    </xf>
  </cellStyleXfs>
  <cellXfs count="60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indent="2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10" fillId="4" borderId="3" xfId="1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right" vertical="center" indent="1"/>
    </xf>
    <xf numFmtId="0" fontId="11" fillId="0" borderId="0" xfId="1" applyFont="1"/>
    <xf numFmtId="0" fontId="11" fillId="0" borderId="0" xfId="1" applyFont="1" applyAlignment="1">
      <alignment horizontal="left" vertical="center" indent="1"/>
    </xf>
    <xf numFmtId="0" fontId="11" fillId="0" borderId="0" xfId="1" applyFont="1" applyAlignment="1">
      <alignment horizontal="left" indent="1"/>
    </xf>
    <xf numFmtId="0" fontId="14" fillId="5" borderId="1" xfId="1" applyFont="1" applyFill="1" applyBorder="1" applyAlignment="1">
      <alignment horizontal="center" vertical="center"/>
    </xf>
    <xf numFmtId="0" fontId="16" fillId="5" borderId="1" xfId="1" applyFont="1" applyFill="1" applyBorder="1" applyAlignment="1">
      <alignment horizontal="center" vertical="center"/>
    </xf>
    <xf numFmtId="0" fontId="17" fillId="5" borderId="1" xfId="1" applyFont="1" applyFill="1" applyBorder="1" applyAlignment="1">
      <alignment horizontal="center" vertical="center"/>
    </xf>
    <xf numFmtId="0" fontId="14" fillId="5" borderId="10" xfId="1" applyFont="1" applyFill="1" applyBorder="1" applyAlignment="1">
      <alignment horizontal="center" vertical="center"/>
    </xf>
    <xf numFmtId="0" fontId="19" fillId="4" borderId="1" xfId="1" applyFont="1" applyFill="1" applyBorder="1"/>
    <xf numFmtId="0" fontId="11" fillId="0" borderId="1" xfId="1" applyFont="1" applyBorder="1"/>
    <xf numFmtId="177" fontId="20" fillId="0" borderId="1" xfId="1" applyNumberFormat="1" applyFont="1" applyBorder="1" applyAlignment="1">
      <alignment horizontal="right" vertical="center" indent="1"/>
    </xf>
    <xf numFmtId="177" fontId="21" fillId="0" borderId="1" xfId="1" applyNumberFormat="1" applyFont="1" applyBorder="1" applyAlignment="1">
      <alignment horizontal="center" vertical="center"/>
    </xf>
    <xf numFmtId="177" fontId="22" fillId="0" borderId="1" xfId="1" applyNumberFormat="1" applyFont="1" applyBorder="1" applyAlignment="1">
      <alignment horizontal="left" vertical="center" indent="1"/>
    </xf>
    <xf numFmtId="177" fontId="23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left" vertical="center" indent="1"/>
    </xf>
    <xf numFmtId="177" fontId="2" fillId="0" borderId="1" xfId="1" applyNumberFormat="1" applyFont="1" applyBorder="1" applyAlignment="1">
      <alignment horizontal="left" vertical="center" indent="1"/>
    </xf>
    <xf numFmtId="177" fontId="24" fillId="0" borderId="1" xfId="1" applyNumberFormat="1" applyFont="1" applyBorder="1" applyAlignment="1">
      <alignment horizontal="left" vertical="center" indent="1"/>
    </xf>
    <xf numFmtId="177" fontId="25" fillId="0" borderId="1" xfId="1" applyNumberFormat="1" applyFont="1" applyBorder="1" applyAlignment="1">
      <alignment horizontal="center" vertical="center" wrapText="1"/>
    </xf>
    <xf numFmtId="177" fontId="27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center" vertical="center"/>
    </xf>
    <xf numFmtId="0" fontId="2" fillId="0" borderId="11" xfId="1" applyFont="1" applyBorder="1" applyAlignment="1">
      <alignment horizontal="left" vertical="center" indent="1"/>
    </xf>
    <xf numFmtId="177" fontId="3" fillId="0" borderId="1" xfId="1" applyNumberFormat="1" applyFont="1" applyBorder="1" applyAlignment="1">
      <alignment horizontal="left" vertical="center" indent="1"/>
    </xf>
    <xf numFmtId="0" fontId="3" fillId="0" borderId="11" xfId="1" applyFont="1" applyBorder="1" applyAlignment="1">
      <alignment horizontal="left" vertical="center" indent="1"/>
    </xf>
    <xf numFmtId="177" fontId="28" fillId="0" borderId="1" xfId="1" applyNumberFormat="1" applyFont="1" applyBorder="1" applyAlignment="1">
      <alignment horizontal="center" vertical="center"/>
    </xf>
    <xf numFmtId="177" fontId="24" fillId="6" borderId="1" xfId="1" applyNumberFormat="1" applyFont="1" applyFill="1" applyBorder="1" applyAlignment="1">
      <alignment horizontal="left" vertical="center" indent="1"/>
    </xf>
    <xf numFmtId="177" fontId="22" fillId="6" borderId="1" xfId="1" applyNumberFormat="1" applyFont="1" applyFill="1" applyBorder="1" applyAlignment="1">
      <alignment horizontal="left" vertical="center" indent="1"/>
    </xf>
    <xf numFmtId="177" fontId="29" fillId="2" borderId="1" xfId="1" applyNumberFormat="1" applyFont="1" applyFill="1" applyBorder="1" applyAlignment="1">
      <alignment horizontal="center" vertical="center"/>
    </xf>
    <xf numFmtId="177" fontId="32" fillId="0" borderId="1" xfId="1" applyNumberFormat="1" applyFont="1" applyBorder="1" applyAlignment="1">
      <alignment horizontal="center" vertical="center"/>
    </xf>
    <xf numFmtId="177" fontId="33" fillId="0" borderId="1" xfId="1" applyNumberFormat="1" applyFont="1" applyBorder="1" applyAlignment="1">
      <alignment horizontal="left" vertical="center" indent="1"/>
    </xf>
    <xf numFmtId="177" fontId="34" fillId="0" borderId="1" xfId="1" applyNumberFormat="1" applyFont="1" applyBorder="1" applyAlignment="1">
      <alignment horizontal="center" vertical="center"/>
    </xf>
    <xf numFmtId="177" fontId="20" fillId="6" borderId="1" xfId="1" applyNumberFormat="1" applyFont="1" applyFill="1" applyBorder="1" applyAlignment="1">
      <alignment horizontal="left" vertical="center" indent="1"/>
    </xf>
    <xf numFmtId="177" fontId="35" fillId="0" borderId="1" xfId="1" applyNumberFormat="1" applyFont="1" applyBorder="1" applyAlignment="1">
      <alignment horizontal="center" vertical="center"/>
    </xf>
    <xf numFmtId="177" fontId="37" fillId="0" borderId="1" xfId="1" applyNumberFormat="1" applyFont="1" applyBorder="1" applyAlignment="1">
      <alignment horizontal="center" vertical="center"/>
    </xf>
    <xf numFmtId="177" fontId="38" fillId="0" borderId="1" xfId="1" applyNumberFormat="1" applyFont="1" applyBorder="1" applyAlignment="1">
      <alignment horizontal="center" vertical="center"/>
    </xf>
    <xf numFmtId="177" fontId="33" fillId="7" borderId="1" xfId="1" applyNumberFormat="1" applyFont="1" applyFill="1" applyBorder="1" applyAlignment="1">
      <alignment horizontal="left" vertical="center" indent="1"/>
    </xf>
    <xf numFmtId="177" fontId="24" fillId="8" borderId="1" xfId="1" applyNumberFormat="1" applyFont="1" applyFill="1" applyBorder="1" applyAlignment="1">
      <alignment horizontal="left" vertical="center" indent="1"/>
    </xf>
    <xf numFmtId="177" fontId="40" fillId="0" borderId="1" xfId="1" applyNumberFormat="1" applyFont="1" applyBorder="1" applyAlignment="1">
      <alignment horizontal="left" vertical="center" indent="1"/>
    </xf>
    <xf numFmtId="0" fontId="2" fillId="0" borderId="12" xfId="1" applyFont="1" applyBorder="1" applyAlignment="1">
      <alignment horizontal="left" vertical="center" indent="1"/>
    </xf>
    <xf numFmtId="0" fontId="12" fillId="0" borderId="0" xfId="2">
      <alignment vertical="center"/>
    </xf>
    <xf numFmtId="0" fontId="42" fillId="0" borderId="0" xfId="3">
      <alignment vertical="center"/>
    </xf>
  </cellXfs>
  <cellStyles count="4">
    <cellStyle name="一般" xfId="0" builtinId="0"/>
    <cellStyle name="一般 2" xfId="1" xr:uid="{A28A5BDB-0C03-4325-8E09-BAF0A8E9EAB9}"/>
    <cellStyle name="一般 3" xfId="2" xr:uid="{DA59B3FE-4340-46DB-A8AA-2BD0AC521D34}"/>
    <cellStyle name="一般 3 2" xfId="3" xr:uid="{A603E59B-0476-4B36-95A2-715F17227FF1}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8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ans TC Medium"/>
        <family val="2"/>
        <charset val="136"/>
        <scheme val="none"/>
      </font>
      <numFmt numFmtId="177" formatCode="General;\-General;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ans TC Medium"/>
        <family val="2"/>
        <charset val="136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7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Times New Roman"/>
        <family val="1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7" formatCode="General;\-General;;@"/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7" formatCode="General;\-General;;@"/>
      <fill>
        <patternFill patternType="none">
          <fgColor indexed="64"/>
          <bgColor auto="1"/>
        </patternFill>
      </fill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cuments/&#38313;&#21335;&#35486;&#27880;&#38899;&#20108;&#24335;/&#21488;&#35486;&#27880;&#38899;&#20108;&#24335;.xlsx" TargetMode="External"/><Relationship Id="rId2" Type="http://schemas.openxmlformats.org/officeDocument/2006/relationships/externalLinkPath" Target="file:///C:\work\Piau-Im\Documents\&#38313;&#21335;&#35486;&#27880;&#38899;&#20108;&#24335;\&#21488;&#35486;&#27880;&#38899;&#20108;&#24335;.xlsx" TargetMode="External"/><Relationship Id="rId1" Type="http://schemas.openxmlformats.org/officeDocument/2006/relationships/externalLinkPath" Target="/work/Piau-Im/Documents/&#38313;&#21335;&#35486;&#27880;&#38899;&#20108;&#24335;/&#21488;&#35486;&#27880;&#38899;&#20108;&#2433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聲母"/>
      <sheetName val="韻母"/>
      <sheetName val="聲母列表"/>
      <sheetName val="聲母列表 (2)"/>
      <sheetName val="韻母列表"/>
      <sheetName val="十五音聲母對照表"/>
      <sheetName val="台羅音節表"/>
      <sheetName val="十五音韻母對照表"/>
      <sheetName val="聲調對照表"/>
      <sheetName val="台語注音二式-音節表"/>
      <sheetName val="台語注音二式編碼表"/>
      <sheetName val="聲母與韻母清單【台語注音二式】"/>
      <sheetName val="方音符號-音節表"/>
      <sheetName val="廣韻聲母對照表"/>
      <sheetName val="廣韻韻母對照表"/>
      <sheetName val="廣韻韻母清單"/>
      <sheetName val="36字母表"/>
      <sheetName val="工作表7"/>
    </sheetNames>
    <sheetDataSet>
      <sheetData sheetId="0"/>
      <sheetData sheetId="1"/>
      <sheetData sheetId="2"/>
      <sheetData sheetId="3"/>
      <sheetData sheetId="4"/>
      <sheetData sheetId="5">
        <row r="4">
          <cell r="F4" t="str">
            <v>l</v>
          </cell>
        </row>
        <row r="5">
          <cell r="F5" t="str">
            <v>p</v>
          </cell>
        </row>
        <row r="6">
          <cell r="F6" t="str">
            <v>k</v>
          </cell>
        </row>
        <row r="7">
          <cell r="F7" t="str">
            <v>kh</v>
          </cell>
        </row>
        <row r="8">
          <cell r="F8" t="str">
            <v>t</v>
          </cell>
        </row>
        <row r="9">
          <cell r="F9" t="str">
            <v>ph</v>
          </cell>
        </row>
        <row r="10">
          <cell r="F10" t="str">
            <v>th</v>
          </cell>
        </row>
        <row r="11">
          <cell r="F11" t="str">
            <v>z</v>
          </cell>
        </row>
        <row r="12">
          <cell r="F12" t="str">
            <v>j</v>
          </cell>
        </row>
        <row r="13">
          <cell r="F13" t="str">
            <v>s</v>
          </cell>
        </row>
        <row r="14">
          <cell r="F14" t="str">
            <v>Ø</v>
          </cell>
        </row>
        <row r="15">
          <cell r="F15" t="str">
            <v>b</v>
          </cell>
        </row>
        <row r="16">
          <cell r="F16" t="str">
            <v>g</v>
          </cell>
        </row>
        <row r="17">
          <cell r="F17" t="str">
            <v>c</v>
          </cell>
        </row>
        <row r="18">
          <cell r="F18" t="str">
            <v>h</v>
          </cell>
        </row>
        <row r="19">
          <cell r="F19" t="str">
            <v>m</v>
          </cell>
        </row>
        <row r="20">
          <cell r="F20" t="str">
            <v>n</v>
          </cell>
        </row>
        <row r="21">
          <cell r="F21" t="str">
            <v>ng</v>
          </cell>
        </row>
        <row r="22">
          <cell r="F22" t="str">
            <v>ji</v>
          </cell>
        </row>
        <row r="23">
          <cell r="F23" t="str">
            <v>zi</v>
          </cell>
        </row>
        <row r="24">
          <cell r="F24" t="str">
            <v>ci</v>
          </cell>
        </row>
        <row r="25">
          <cell r="F25" t="str">
            <v>si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94B38E-4233-4EB0-98EE-2F10A8145748}" name="韻母清單" displayName="韻母清單" ref="B2:N86" totalsRowShown="0" headerRowDxfId="36" dataDxfId="35" headerRowBorderDxfId="33" tableBorderDxfId="34" totalsRowBorderDxfId="32" headerRowCellStyle="一般 2" dataCellStyle="一般 2">
  <sortState xmlns:xlrd2="http://schemas.microsoft.com/office/spreadsheetml/2017/richdata2" ref="B3:N86">
    <sortCondition ref="G2:G85"/>
  </sortState>
  <tableColumns count="13">
    <tableColumn id="1" xr3:uid="{05E3A69A-1B0F-4541-B059-FBDEE795CD24}" name="識別號" dataDxfId="31" dataCellStyle="一般 2"/>
    <tableColumn id="2" xr3:uid="{2E6986E0-B5AA-430E-A0C0-92FB298F19E4}" name="漢字例" dataDxfId="30" dataCellStyle="一般 2"/>
    <tableColumn id="3" xr3:uid="{83524A35-9B8D-436B-95AC-DC30D1D9385D}" name="國際音標" dataDxfId="29" dataCellStyle="一般 2"/>
    <tableColumn id="4" xr3:uid="{D99B8EB5-9DCF-4F57-AB54-D1287D0FAFED}" name="十五音" dataDxfId="28" dataCellStyle="一般 2"/>
    <tableColumn id="5" xr3:uid="{FCF6EC2B-DA3C-43C3-8C80-C65E3D78A892}" name="方音符號" dataDxfId="27" dataCellStyle="一般 2"/>
    <tableColumn id="6" xr3:uid="{97F87A79-5F87-4F32-A166-B4CAEFF24F9A}" name="台語音標" dataDxfId="26" dataCellStyle="一般 2"/>
    <tableColumn id="7" xr3:uid="{49257A80-93B8-4E68-B6A2-3B91AACF2F08}" name="台羅拼音" dataDxfId="25" dataCellStyle="一般 2"/>
    <tableColumn id="8" xr3:uid="{5F07667B-1DBC-49DC-A6DD-7E3EB7D2539B}" name="白話字" dataDxfId="24" dataCellStyle="一般 2"/>
    <tableColumn id="9" xr3:uid="{B2CD8120-9F29-4790-A400-71224F29CC43}" name="閩拼方案" dataDxfId="23" dataCellStyle="一般 2"/>
    <tableColumn id="10" xr3:uid="{740DC473-FE7E-4D6B-A59F-C101460F2D0D}" name="注音二式" dataDxfId="22" dataCellStyle="一般 2"/>
    <tableColumn id="11" xr3:uid="{8EAE33C7-A2E9-4332-BCF1-79908C58C20A}" name="舒促聲" dataDxfId="21" dataCellStyle="一般 2"/>
    <tableColumn id="12" xr3:uid="{68A280B0-32F7-4CB5-8F74-C72B39572F2F}" name="十五音識別碼" dataDxfId="20" dataCellStyle="一般 2"/>
    <tableColumn id="13" xr3:uid="{794E1DB7-2BA9-4161-952B-BC24D790B930}" name="十五音韻母序" dataDxfId="19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9046D0-5867-459D-AF5C-3A560C992D91}" name="韻母對照資料表" displayName="韻母對照資料表" ref="B3:O103" totalsRowShown="0" headerRowDxfId="17" headerRowBorderDxfId="15" tableBorderDxfId="16" totalsRowBorderDxfId="14" headerRowCellStyle="一般 2">
  <tableColumns count="14">
    <tableColumn id="1" xr3:uid="{77A40491-3CE5-4F00-8325-688F789DFA05}" name="識別號" dataDxfId="13" dataCellStyle="一般 2"/>
    <tableColumn id="14" xr3:uid="{121436F2-74BE-4B65-9249-01484E95DF04}" name="漢字例" dataDxfId="12" dataCellStyle="一般 2"/>
    <tableColumn id="3" xr3:uid="{518726C2-98DE-4EF2-9752-6382FF0A4143}" name="國際音標" dataDxfId="11" dataCellStyle="一般 2"/>
    <tableColumn id="8" xr3:uid="{2230D267-624A-49B1-9C2E-491F27BA60FE}" name="十五音" dataDxfId="10" dataCellStyle="一般 2"/>
    <tableColumn id="7" xr3:uid="{8EBAC455-8FC8-4A1E-86A5-B4A4B07EEFDB}" name="方音符號" dataDxfId="9" dataCellStyle="一般 2"/>
    <tableColumn id="2" xr3:uid="{AE053E8B-BC7C-40F4-89AF-4D3B376F9BC9}" name="台語音標" dataDxfId="8" dataCellStyle="一般 2"/>
    <tableColumn id="5" xr3:uid="{0B6C0BA8-0040-4B4A-86E5-3113577D3276}" name="台羅拼音" dataDxfId="7" dataCellStyle="一般 2"/>
    <tableColumn id="4" xr3:uid="{2925ABFE-8C09-4950-BDDE-8ED062E8067D}" name="白話字" dataDxfId="6" dataCellStyle="一般 2"/>
    <tableColumn id="6" xr3:uid="{F25410EB-DAEC-4307-823A-196F7600F39A}" name="閩拼方案" dataDxfId="5" dataCellStyle="一般 2"/>
    <tableColumn id="13" xr3:uid="{F775B4A9-4F61-4487-86A4-E3976A1A57A9}" name="注音二式" dataDxfId="4" dataCellStyle="一般 2"/>
    <tableColumn id="9" xr3:uid="{AD552689-4F47-49C0-80BC-11B217804490}" name="舒促聲" dataDxfId="3" dataCellStyle="一般 2"/>
    <tableColumn id="12" xr3:uid="{BC43875F-2D51-4DB2-B681-973B8CEF96DA}" name="十五音識別碼" dataDxfId="2" dataCellStyle="一般 2">
      <calculatedColumnFormula>韻母對照資料表[[#This Row],[十五音]]&amp;LEFT(韻母對照資料表[[#This Row],[舒促聲]],1)</calculatedColumnFormula>
    </tableColumn>
    <tableColumn id="10" xr3:uid="{31DC08FA-6461-44C4-8FA1-25A0E8DF626C}" name="十五音韻母序" dataDxfId="1" dataCellStyle="一般 2"/>
    <tableColumn id="11" xr3:uid="{832ED141-47FA-4AB8-9EF6-69F22F5A1528}" name="字長" dataDxfId="0" dataCellStyle="一般 2">
      <calculatedColumnFormula>IF(韻母對照資料表[[#This Row],[台語音標]]="", 0, LEN(韻母對照資料表[[#This Row],[台語音標]]))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5FB8-A02F-40A9-8418-17054A730C91}">
  <dimension ref="A1:F668"/>
  <sheetViews>
    <sheetView topLeftCell="A10" workbookViewId="0">
      <selection activeCell="I126" sqref="I12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561</v>
      </c>
      <c r="E3" t="s">
        <v>562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580</v>
      </c>
      <c r="E13" t="s">
        <v>581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574</v>
      </c>
      <c r="E14" t="s">
        <v>583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561</v>
      </c>
      <c r="E15" t="s">
        <v>585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564</v>
      </c>
      <c r="E16" t="s">
        <v>587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564</v>
      </c>
      <c r="E18" t="s">
        <v>589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591</v>
      </c>
      <c r="E19" t="s">
        <v>592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594</v>
      </c>
      <c r="E20" t="s">
        <v>585</v>
      </c>
      <c r="F20">
        <v>3</v>
      </c>
    </row>
    <row r="21" spans="1:6">
      <c r="A21" t="s">
        <v>36</v>
      </c>
      <c r="B21" t="s">
        <v>37</v>
      </c>
      <c r="C21" t="s">
        <v>595</v>
      </c>
      <c r="D21" t="s">
        <v>596</v>
      </c>
      <c r="E21" t="s">
        <v>575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574</v>
      </c>
      <c r="E23" t="s">
        <v>577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561</v>
      </c>
      <c r="E24" t="s">
        <v>570</v>
      </c>
      <c r="F24">
        <v>2</v>
      </c>
    </row>
    <row r="25" spans="1:6">
      <c r="A25" t="s">
        <v>40</v>
      </c>
      <c r="B25" t="s">
        <v>41</v>
      </c>
      <c r="C25" t="s">
        <v>598</v>
      </c>
      <c r="D25" t="s">
        <v>599</v>
      </c>
      <c r="E25" t="s">
        <v>570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601</v>
      </c>
      <c r="E26" t="s">
        <v>565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569</v>
      </c>
      <c r="E27" t="s">
        <v>603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561</v>
      </c>
      <c r="E28" t="s">
        <v>587</v>
      </c>
      <c r="F28">
        <v>1</v>
      </c>
    </row>
    <row r="29" spans="1:6">
      <c r="A29" t="s">
        <v>48</v>
      </c>
      <c r="B29" t="s">
        <v>49</v>
      </c>
      <c r="C29" t="s">
        <v>605</v>
      </c>
      <c r="D29" s="1" t="s">
        <v>599</v>
      </c>
      <c r="E29" t="s">
        <v>587</v>
      </c>
      <c r="F29">
        <v>5</v>
      </c>
    </row>
    <row r="30" spans="1:6">
      <c r="A30" t="s">
        <v>50</v>
      </c>
      <c r="B30" t="s">
        <v>51</v>
      </c>
      <c r="C30" t="s">
        <v>606</v>
      </c>
      <c r="D30" s="1" t="s">
        <v>599</v>
      </c>
      <c r="E30" t="s">
        <v>570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564</v>
      </c>
      <c r="E31" t="s">
        <v>565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567</v>
      </c>
      <c r="E32" t="s">
        <v>565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561</v>
      </c>
      <c r="E33" t="s">
        <v>585</v>
      </c>
      <c r="F33">
        <v>1</v>
      </c>
    </row>
    <row r="34" spans="1:6">
      <c r="A34" t="s">
        <v>52</v>
      </c>
      <c r="B34" t="s">
        <v>53</v>
      </c>
      <c r="C34" t="s">
        <v>607</v>
      </c>
      <c r="D34" t="s">
        <v>569</v>
      </c>
      <c r="E34" s="1" t="s">
        <v>608</v>
      </c>
      <c r="F34">
        <v>7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564</v>
      </c>
      <c r="E36" t="s">
        <v>610</v>
      </c>
      <c r="F36">
        <v>1</v>
      </c>
    </row>
    <row r="37" spans="1:6">
      <c r="A37" t="s">
        <v>57</v>
      </c>
      <c r="B37" s="1" t="s">
        <v>58</v>
      </c>
      <c r="C37" t="s">
        <v>611</v>
      </c>
      <c r="D37" t="s">
        <v>569</v>
      </c>
      <c r="E37" s="1" t="s">
        <v>612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574</v>
      </c>
      <c r="E38" t="s">
        <v>570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615</v>
      </c>
      <c r="E39" t="s">
        <v>616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574</v>
      </c>
      <c r="E41" t="s">
        <v>618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620</v>
      </c>
      <c r="E42" t="s">
        <v>621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567</v>
      </c>
      <c r="E43" t="s">
        <v>583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569</v>
      </c>
      <c r="E44" t="s">
        <v>610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624</v>
      </c>
      <c r="D46" t="s">
        <v>594</v>
      </c>
      <c r="E46" s="1" t="s">
        <v>585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561</v>
      </c>
      <c r="E47" t="s">
        <v>587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561</v>
      </c>
      <c r="E48" t="s">
        <v>627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601</v>
      </c>
      <c r="E49" t="s">
        <v>565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574</v>
      </c>
      <c r="E51" t="s">
        <v>612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596</v>
      </c>
      <c r="E52" t="s">
        <v>610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591</v>
      </c>
      <c r="E53" t="s">
        <v>592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561</v>
      </c>
      <c r="E54" t="s">
        <v>585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574</v>
      </c>
      <c r="E55" t="s">
        <v>585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594</v>
      </c>
      <c r="E57" t="s">
        <v>621</v>
      </c>
      <c r="F57">
        <v>1</v>
      </c>
    </row>
    <row r="58" spans="1:6">
      <c r="A58" t="s">
        <v>85</v>
      </c>
      <c r="B58" t="s">
        <v>86</v>
      </c>
      <c r="C58" t="s">
        <v>632</v>
      </c>
      <c r="D58" s="1" t="s">
        <v>599</v>
      </c>
      <c r="E58" t="s">
        <v>633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635</v>
      </c>
      <c r="E59" t="s">
        <v>633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561</v>
      </c>
      <c r="E60" t="s">
        <v>585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561</v>
      </c>
      <c r="E61" t="s">
        <v>612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574</v>
      </c>
      <c r="E63" t="s">
        <v>633</v>
      </c>
      <c r="F63">
        <v>2</v>
      </c>
    </row>
    <row r="64" spans="1:6">
      <c r="A64" t="s">
        <v>93</v>
      </c>
      <c r="B64" t="s">
        <v>94</v>
      </c>
      <c r="C64" t="s">
        <v>638</v>
      </c>
      <c r="D64" s="1" t="s">
        <v>599</v>
      </c>
      <c r="E64" t="s">
        <v>562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591</v>
      </c>
      <c r="E66" t="s">
        <v>592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564</v>
      </c>
      <c r="E67" t="s">
        <v>618</v>
      </c>
      <c r="F67">
        <v>3</v>
      </c>
    </row>
    <row r="68" spans="1:6">
      <c r="A68" t="s">
        <v>50</v>
      </c>
      <c r="B68" t="s">
        <v>51</v>
      </c>
      <c r="C68" t="s">
        <v>606</v>
      </c>
      <c r="D68" s="1" t="s">
        <v>599</v>
      </c>
      <c r="E68" t="s">
        <v>570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635</v>
      </c>
      <c r="E69" t="s">
        <v>575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574</v>
      </c>
      <c r="E70" t="s">
        <v>642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561</v>
      </c>
      <c r="E71" t="s">
        <v>585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574</v>
      </c>
      <c r="E72" t="s">
        <v>612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567</v>
      </c>
      <c r="E74" t="s">
        <v>616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569</v>
      </c>
      <c r="E75" t="s">
        <v>646</v>
      </c>
      <c r="F75">
        <v>5</v>
      </c>
    </row>
    <row r="76" spans="1:6">
      <c r="A76" t="s">
        <v>50</v>
      </c>
      <c r="B76" t="s">
        <v>51</v>
      </c>
      <c r="C76" t="s">
        <v>606</v>
      </c>
      <c r="D76" t="s">
        <v>599</v>
      </c>
      <c r="E76" t="s">
        <v>570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635</v>
      </c>
      <c r="E77" t="s">
        <v>577</v>
      </c>
      <c r="F77">
        <v>2</v>
      </c>
    </row>
    <row r="78" spans="1:6">
      <c r="A78" t="s">
        <v>109</v>
      </c>
      <c r="B78" t="s">
        <v>110</v>
      </c>
      <c r="C78" s="1" t="s">
        <v>648</v>
      </c>
      <c r="D78" t="s">
        <v>649</v>
      </c>
      <c r="E78" s="1" t="s">
        <v>650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561</v>
      </c>
      <c r="E79" t="s">
        <v>585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594</v>
      </c>
      <c r="E80" t="s">
        <v>642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567</v>
      </c>
      <c r="E82" t="s">
        <v>565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615</v>
      </c>
      <c r="E83" t="s">
        <v>577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569</v>
      </c>
      <c r="E84" t="s">
        <v>610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594</v>
      </c>
      <c r="E85" t="s">
        <v>655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574</v>
      </c>
      <c r="E87" t="s">
        <v>618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594</v>
      </c>
      <c r="E88" t="s">
        <v>575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561</v>
      </c>
      <c r="E89" t="s">
        <v>658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660</v>
      </c>
      <c r="E90" t="s">
        <v>562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561</v>
      </c>
      <c r="E92" t="s">
        <v>612</v>
      </c>
      <c r="F92">
        <v>1</v>
      </c>
    </row>
    <row r="93" spans="1:6">
      <c r="A93" t="s">
        <v>128</v>
      </c>
      <c r="B93" t="s">
        <v>129</v>
      </c>
      <c r="C93" t="s">
        <v>661</v>
      </c>
      <c r="D93" t="s">
        <v>599</v>
      </c>
      <c r="E93" t="s">
        <v>589</v>
      </c>
      <c r="F93">
        <v>4</v>
      </c>
    </row>
    <row r="94" spans="1:6">
      <c r="A94" t="s">
        <v>130</v>
      </c>
      <c r="B94" t="s">
        <v>131</v>
      </c>
      <c r="C94" t="s">
        <v>662</v>
      </c>
      <c r="D94" t="s">
        <v>599</v>
      </c>
      <c r="E94" t="s">
        <v>618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561</v>
      </c>
      <c r="E95" t="s">
        <v>585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574</v>
      </c>
      <c r="E96" t="s">
        <v>577</v>
      </c>
      <c r="F96">
        <v>2</v>
      </c>
    </row>
    <row r="97" spans="1:6">
      <c r="A97" t="s">
        <v>134</v>
      </c>
      <c r="B97" t="s">
        <v>135</v>
      </c>
      <c r="C97" t="s">
        <v>664</v>
      </c>
      <c r="D97" t="s">
        <v>580</v>
      </c>
      <c r="E97" s="1" t="s">
        <v>585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615</v>
      </c>
      <c r="E99" t="s">
        <v>610</v>
      </c>
      <c r="F99">
        <v>5</v>
      </c>
    </row>
    <row r="100" spans="1:6">
      <c r="A100" t="s">
        <v>138</v>
      </c>
      <c r="B100" t="s">
        <v>139</v>
      </c>
      <c r="C100" t="s">
        <v>666</v>
      </c>
      <c r="D100" t="s">
        <v>596</v>
      </c>
      <c r="E100" t="s">
        <v>642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601</v>
      </c>
      <c r="E101" t="s">
        <v>610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561</v>
      </c>
      <c r="E102" t="s">
        <v>585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596</v>
      </c>
      <c r="E103" t="s">
        <v>575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580</v>
      </c>
      <c r="E104" t="s">
        <v>562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569</v>
      </c>
      <c r="E106" t="s">
        <v>621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569</v>
      </c>
      <c r="E107" t="s">
        <v>621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569</v>
      </c>
      <c r="E108" t="s">
        <v>577</v>
      </c>
      <c r="F108">
        <v>5</v>
      </c>
    </row>
    <row r="109" spans="1:6">
      <c r="A109" t="s">
        <v>134</v>
      </c>
      <c r="B109" s="1" t="s">
        <v>150</v>
      </c>
      <c r="C109" t="s">
        <v>664</v>
      </c>
      <c r="D109" t="s">
        <v>580</v>
      </c>
      <c r="E109" t="s">
        <v>585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567</v>
      </c>
      <c r="E110" t="s">
        <v>610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569</v>
      </c>
      <c r="E111" t="s">
        <v>570</v>
      </c>
      <c r="F111">
        <v>1</v>
      </c>
    </row>
    <row r="112" spans="1:6">
      <c r="A112" t="s">
        <v>155</v>
      </c>
      <c r="B112" t="s">
        <v>156</v>
      </c>
      <c r="C112" t="s">
        <v>674</v>
      </c>
      <c r="D112" t="s">
        <v>591</v>
      </c>
      <c r="E112" s="1" t="s">
        <v>608</v>
      </c>
      <c r="F112">
        <v>7</v>
      </c>
    </row>
    <row r="113" spans="1:6">
      <c r="A113" t="s">
        <v>57</v>
      </c>
      <c r="B113" s="1" t="s">
        <v>58</v>
      </c>
      <c r="C113" s="2" t="s">
        <v>611</v>
      </c>
      <c r="D113" t="s">
        <v>569</v>
      </c>
      <c r="E113" s="1" t="s">
        <v>612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580</v>
      </c>
      <c r="E115" t="s">
        <v>585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567</v>
      </c>
      <c r="E116" t="s">
        <v>583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635</v>
      </c>
      <c r="E117" t="s">
        <v>585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594</v>
      </c>
      <c r="E118" t="s">
        <v>585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574</v>
      </c>
      <c r="E119" t="s">
        <v>577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561</v>
      </c>
      <c r="E120" t="s">
        <v>585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620</v>
      </c>
      <c r="E122" t="s">
        <v>633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620</v>
      </c>
      <c r="E123" t="s">
        <v>633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569</v>
      </c>
      <c r="E124" t="s">
        <v>577</v>
      </c>
      <c r="F124">
        <v>5</v>
      </c>
    </row>
    <row r="125" spans="1:6">
      <c r="A125" t="s">
        <v>134</v>
      </c>
      <c r="B125" t="s">
        <v>135</v>
      </c>
      <c r="C125" t="s">
        <v>664</v>
      </c>
      <c r="D125" t="s">
        <v>580</v>
      </c>
      <c r="E125" s="1" t="s">
        <v>585</v>
      </c>
      <c r="F125">
        <v>5</v>
      </c>
    </row>
    <row r="126" spans="1:6">
      <c r="A126" t="s">
        <v>166</v>
      </c>
      <c r="B126" t="s">
        <v>167</v>
      </c>
      <c r="C126" t="s">
        <v>679</v>
      </c>
      <c r="D126" t="s">
        <v>599</v>
      </c>
      <c r="E126" t="s">
        <v>618</v>
      </c>
      <c r="F126">
        <v>5</v>
      </c>
    </row>
    <row r="127" spans="1:6">
      <c r="A127" t="s">
        <v>168</v>
      </c>
      <c r="B127" t="s">
        <v>169</v>
      </c>
      <c r="C127" t="s">
        <v>680</v>
      </c>
      <c r="D127" t="s">
        <v>574</v>
      </c>
      <c r="E127" s="1" t="s">
        <v>585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635</v>
      </c>
      <c r="E128" t="s">
        <v>572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615</v>
      </c>
      <c r="E129" t="s">
        <v>683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598</v>
      </c>
      <c r="D131" t="s">
        <v>599</v>
      </c>
      <c r="E131" t="s">
        <v>570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569</v>
      </c>
      <c r="E132" t="s">
        <v>685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580</v>
      </c>
      <c r="E133" t="s">
        <v>585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635</v>
      </c>
      <c r="E134" t="s">
        <v>610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574</v>
      </c>
      <c r="E135" t="s">
        <v>562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606</v>
      </c>
      <c r="D137" t="s">
        <v>599</v>
      </c>
      <c r="E137" t="s">
        <v>570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574</v>
      </c>
      <c r="E138" t="s">
        <v>585</v>
      </c>
      <c r="F138">
        <v>2</v>
      </c>
    </row>
    <row r="139" spans="1:6">
      <c r="A139" t="s">
        <v>183</v>
      </c>
      <c r="B139" t="s">
        <v>184</v>
      </c>
      <c r="C139" t="s">
        <v>689</v>
      </c>
      <c r="D139" t="s">
        <v>599</v>
      </c>
      <c r="E139" t="s">
        <v>581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561</v>
      </c>
      <c r="E140" t="s">
        <v>587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615</v>
      </c>
      <c r="E141" t="s">
        <v>572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574</v>
      </c>
      <c r="E142" t="s">
        <v>581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601</v>
      </c>
      <c r="E144" t="s">
        <v>577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569</v>
      </c>
      <c r="E145" t="s">
        <v>562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580</v>
      </c>
      <c r="E146" t="s">
        <v>585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594</v>
      </c>
      <c r="E147" t="s">
        <v>621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561</v>
      </c>
      <c r="E148" t="s">
        <v>585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594</v>
      </c>
      <c r="E150" t="s">
        <v>621</v>
      </c>
      <c r="F150">
        <v>1</v>
      </c>
    </row>
    <row r="151" spans="1:6">
      <c r="A151" t="s">
        <v>193</v>
      </c>
      <c r="B151" t="s">
        <v>194</v>
      </c>
      <c r="C151" t="s">
        <v>694</v>
      </c>
      <c r="D151" t="s">
        <v>599</v>
      </c>
      <c r="E151" t="s">
        <v>592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594</v>
      </c>
      <c r="E155" t="s">
        <v>646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561</v>
      </c>
      <c r="E156" t="s">
        <v>697</v>
      </c>
      <c r="F156">
        <v>7</v>
      </c>
    </row>
    <row r="157" spans="1:6">
      <c r="A157" t="s">
        <v>201</v>
      </c>
      <c r="B157" t="s">
        <v>202</v>
      </c>
      <c r="C157" t="s">
        <v>698</v>
      </c>
      <c r="D157" t="s">
        <v>569</v>
      </c>
      <c r="E157" s="1" t="s">
        <v>699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615</v>
      </c>
      <c r="E158" t="s">
        <v>642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561</v>
      </c>
      <c r="E159" t="s">
        <v>612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594</v>
      </c>
      <c r="E161" t="s">
        <v>565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601</v>
      </c>
      <c r="E162" t="s">
        <v>575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596</v>
      </c>
      <c r="E163" t="s">
        <v>610</v>
      </c>
      <c r="F163">
        <v>5</v>
      </c>
    </row>
    <row r="164" spans="1:6">
      <c r="A164" t="s">
        <v>201</v>
      </c>
      <c r="B164" t="s">
        <v>202</v>
      </c>
      <c r="C164" t="s">
        <v>698</v>
      </c>
      <c r="D164" t="s">
        <v>569</v>
      </c>
      <c r="E164" t="s">
        <v>699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574</v>
      </c>
      <c r="E165" t="s">
        <v>577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615</v>
      </c>
      <c r="E166" t="s">
        <v>587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594</v>
      </c>
      <c r="E167" t="s">
        <v>575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596</v>
      </c>
      <c r="E169" t="s">
        <v>633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201</v>
      </c>
      <c r="B171" t="s">
        <v>202</v>
      </c>
      <c r="C171" t="s">
        <v>698</v>
      </c>
      <c r="D171" t="s">
        <v>569</v>
      </c>
      <c r="E171" t="s">
        <v>699</v>
      </c>
      <c r="F171">
        <v>5</v>
      </c>
    </row>
    <row r="172" spans="1:6">
      <c r="A172" t="s">
        <v>217</v>
      </c>
      <c r="B172" t="s">
        <v>218</v>
      </c>
      <c r="C172" t="s">
        <v>707</v>
      </c>
      <c r="D172" t="s">
        <v>599</v>
      </c>
      <c r="E172" t="s">
        <v>570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569</v>
      </c>
      <c r="E173" t="s">
        <v>709</v>
      </c>
      <c r="F173">
        <v>5</v>
      </c>
    </row>
    <row r="174" spans="1:6">
      <c r="A174" t="s">
        <v>29</v>
      </c>
    </row>
    <row r="175" spans="1:6">
      <c r="A175" t="s">
        <v>36</v>
      </c>
      <c r="B175" t="s">
        <v>221</v>
      </c>
      <c r="C175" t="s">
        <v>668</v>
      </c>
      <c r="D175" t="s">
        <v>596</v>
      </c>
      <c r="E175" t="s">
        <v>575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596</v>
      </c>
      <c r="E176" t="s">
        <v>585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580</v>
      </c>
      <c r="E177" t="s">
        <v>712</v>
      </c>
      <c r="F177">
        <v>5</v>
      </c>
    </row>
    <row r="178" spans="1:6">
      <c r="A178" t="s">
        <v>201</v>
      </c>
      <c r="B178" t="s">
        <v>202</v>
      </c>
      <c r="C178" t="s">
        <v>698</v>
      </c>
      <c r="D178" t="s">
        <v>569</v>
      </c>
      <c r="E178" t="s">
        <v>699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660</v>
      </c>
      <c r="E179" t="s">
        <v>562</v>
      </c>
      <c r="F179">
        <v>1</v>
      </c>
    </row>
    <row r="180" spans="1:6">
      <c r="A180" t="s">
        <v>128</v>
      </c>
      <c r="B180" t="s">
        <v>129</v>
      </c>
      <c r="C180" t="s">
        <v>661</v>
      </c>
      <c r="D180" t="s">
        <v>599</v>
      </c>
      <c r="E180" t="s">
        <v>589</v>
      </c>
      <c r="F180">
        <v>4</v>
      </c>
    </row>
    <row r="181" spans="1:6">
      <c r="A181" t="s">
        <v>226</v>
      </c>
      <c r="B181" s="1" t="s">
        <v>227</v>
      </c>
      <c r="C181" t="s">
        <v>713</v>
      </c>
      <c r="D181" t="s">
        <v>569</v>
      </c>
      <c r="E181" s="1" t="s">
        <v>612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601</v>
      </c>
      <c r="E185" t="s">
        <v>565</v>
      </c>
      <c r="F185">
        <v>4</v>
      </c>
    </row>
    <row r="186" spans="1:6">
      <c r="A186" t="s">
        <v>229</v>
      </c>
      <c r="B186" t="s">
        <v>230</v>
      </c>
      <c r="C186" t="s">
        <v>714</v>
      </c>
      <c r="D186" t="s">
        <v>599</v>
      </c>
      <c r="E186" t="s">
        <v>587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564</v>
      </c>
      <c r="E187" t="s">
        <v>618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635</v>
      </c>
      <c r="E188" t="s">
        <v>575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574</v>
      </c>
      <c r="E189" t="s">
        <v>633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561</v>
      </c>
      <c r="E190" t="s">
        <v>719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720</v>
      </c>
      <c r="D192" t="s">
        <v>599</v>
      </c>
      <c r="E192" t="s">
        <v>585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594</v>
      </c>
      <c r="E193" t="s">
        <v>621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580</v>
      </c>
      <c r="E194" t="s">
        <v>585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569</v>
      </c>
      <c r="E195" t="s">
        <v>621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561</v>
      </c>
      <c r="E196" t="s">
        <v>585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594</v>
      </c>
      <c r="E198" t="s">
        <v>585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574</v>
      </c>
      <c r="E199" t="s">
        <v>610</v>
      </c>
      <c r="F199">
        <v>1</v>
      </c>
    </row>
    <row r="200" spans="1:6">
      <c r="A200" t="s">
        <v>245</v>
      </c>
      <c r="B200" t="s">
        <v>246</v>
      </c>
      <c r="C200" t="s">
        <v>723</v>
      </c>
      <c r="D200" t="s">
        <v>599</v>
      </c>
      <c r="E200" t="s">
        <v>577</v>
      </c>
      <c r="F200">
        <v>1</v>
      </c>
    </row>
    <row r="201" spans="1:6">
      <c r="A201" t="s">
        <v>245</v>
      </c>
      <c r="B201" t="s">
        <v>246</v>
      </c>
      <c r="C201" t="s">
        <v>723</v>
      </c>
      <c r="D201" t="s">
        <v>599</v>
      </c>
      <c r="E201" t="s">
        <v>577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580</v>
      </c>
      <c r="E202" t="s">
        <v>562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664</v>
      </c>
      <c r="D204" t="s">
        <v>580</v>
      </c>
      <c r="E204" s="1" t="s">
        <v>585</v>
      </c>
      <c r="F204">
        <v>5</v>
      </c>
    </row>
    <row r="205" spans="1:6">
      <c r="A205" t="s">
        <v>247</v>
      </c>
      <c r="B205" t="s">
        <v>248</v>
      </c>
      <c r="C205" t="s">
        <v>724</v>
      </c>
      <c r="D205" t="s">
        <v>599</v>
      </c>
      <c r="E205" t="s">
        <v>603</v>
      </c>
      <c r="F205">
        <v>1</v>
      </c>
    </row>
    <row r="206" spans="1:6">
      <c r="A206" t="s">
        <v>134</v>
      </c>
      <c r="B206" t="s">
        <v>135</v>
      </c>
      <c r="C206" t="s">
        <v>664</v>
      </c>
      <c r="D206" t="s">
        <v>580</v>
      </c>
      <c r="E206" s="1" t="s">
        <v>585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596</v>
      </c>
      <c r="E207" t="s">
        <v>577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664</v>
      </c>
      <c r="D209" t="s">
        <v>580</v>
      </c>
      <c r="E209" s="1" t="s">
        <v>585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601</v>
      </c>
      <c r="E210" t="s">
        <v>683</v>
      </c>
      <c r="F210">
        <v>4</v>
      </c>
    </row>
    <row r="211" spans="1:6">
      <c r="A211" t="s">
        <v>134</v>
      </c>
      <c r="B211" t="s">
        <v>135</v>
      </c>
      <c r="C211" t="s">
        <v>664</v>
      </c>
      <c r="D211" t="s">
        <v>580</v>
      </c>
      <c r="E211" s="1" t="s">
        <v>585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574</v>
      </c>
      <c r="E212" t="s">
        <v>577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707</v>
      </c>
      <c r="D214" t="s">
        <v>599</v>
      </c>
      <c r="E214" t="s">
        <v>570</v>
      </c>
      <c r="F214">
        <v>5</v>
      </c>
    </row>
    <row r="215" spans="1:6">
      <c r="A215" t="s">
        <v>255</v>
      </c>
      <c r="B215" t="s">
        <v>256</v>
      </c>
      <c r="C215" t="s">
        <v>727</v>
      </c>
      <c r="D215" t="s">
        <v>599</v>
      </c>
      <c r="E215" t="s">
        <v>581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615</v>
      </c>
      <c r="E216" t="s">
        <v>633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567</v>
      </c>
      <c r="E219" t="s">
        <v>583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561</v>
      </c>
      <c r="E220" t="s">
        <v>592</v>
      </c>
      <c r="F220">
        <v>8</v>
      </c>
    </row>
    <row r="221" spans="1:6">
      <c r="A221" t="s">
        <v>134</v>
      </c>
      <c r="B221" s="1" t="s">
        <v>150</v>
      </c>
      <c r="C221" t="s">
        <v>664</v>
      </c>
      <c r="D221" t="s">
        <v>580</v>
      </c>
      <c r="E221" s="1" t="s">
        <v>585</v>
      </c>
      <c r="F221">
        <v>5</v>
      </c>
    </row>
    <row r="222" spans="1:6">
      <c r="A222" t="s">
        <v>261</v>
      </c>
      <c r="B222" t="s">
        <v>262</v>
      </c>
      <c r="C222" t="s">
        <v>730</v>
      </c>
      <c r="D222" t="s">
        <v>615</v>
      </c>
      <c r="E222" s="1" t="s">
        <v>585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596</v>
      </c>
      <c r="E224" t="s">
        <v>570</v>
      </c>
      <c r="F224">
        <v>2</v>
      </c>
    </row>
    <row r="225" spans="1:6">
      <c r="A225" t="s">
        <v>265</v>
      </c>
      <c r="B225" t="s">
        <v>266</v>
      </c>
      <c r="C225" t="s">
        <v>732</v>
      </c>
      <c r="D225" t="s">
        <v>599</v>
      </c>
      <c r="E225" t="s">
        <v>587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569</v>
      </c>
      <c r="E226" t="s">
        <v>572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561</v>
      </c>
      <c r="E227" t="s">
        <v>585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561</v>
      </c>
      <c r="E228" t="s">
        <v>735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594</v>
      </c>
      <c r="E229" t="s">
        <v>697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601</v>
      </c>
      <c r="E231" t="s">
        <v>683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594</v>
      </c>
      <c r="E232" t="s">
        <v>577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561</v>
      </c>
      <c r="E233" t="s">
        <v>587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561</v>
      </c>
      <c r="E234" t="s">
        <v>585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615</v>
      </c>
      <c r="E235" t="s">
        <v>585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569</v>
      </c>
      <c r="E236" t="s">
        <v>570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574</v>
      </c>
      <c r="E238" t="s">
        <v>577</v>
      </c>
      <c r="F238">
        <v>1</v>
      </c>
    </row>
    <row r="239" spans="1:6">
      <c r="A239" t="s">
        <v>38</v>
      </c>
      <c r="B239" s="1" t="s">
        <v>163</v>
      </c>
      <c r="C239" t="s">
        <v>677</v>
      </c>
      <c r="D239" t="s">
        <v>561</v>
      </c>
      <c r="E239" s="1" t="s">
        <v>585</v>
      </c>
      <c r="F239">
        <v>2</v>
      </c>
    </row>
    <row r="240" spans="1:6">
      <c r="A240" t="s">
        <v>279</v>
      </c>
      <c r="B240" s="1" t="s">
        <v>280</v>
      </c>
      <c r="C240" t="s">
        <v>740</v>
      </c>
      <c r="D240" t="s">
        <v>564</v>
      </c>
      <c r="E240" s="1" t="s">
        <v>633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580</v>
      </c>
      <c r="E241" t="s">
        <v>562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561</v>
      </c>
      <c r="E243" t="s">
        <v>610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594</v>
      </c>
      <c r="E244" t="s">
        <v>581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591</v>
      </c>
      <c r="E245" t="s">
        <v>618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561</v>
      </c>
      <c r="E246" t="s">
        <v>621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580</v>
      </c>
      <c r="E248" t="s">
        <v>585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596</v>
      </c>
      <c r="E249" t="s">
        <v>746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601</v>
      </c>
      <c r="E250" t="s">
        <v>565</v>
      </c>
      <c r="F250">
        <v>4</v>
      </c>
    </row>
    <row r="251" spans="1:6">
      <c r="A251" t="s">
        <v>193</v>
      </c>
      <c r="B251" t="s">
        <v>194</v>
      </c>
      <c r="C251" t="s">
        <v>694</v>
      </c>
      <c r="D251" t="s">
        <v>599</v>
      </c>
      <c r="E251" t="s">
        <v>592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747</v>
      </c>
      <c r="D256" t="s">
        <v>599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748</v>
      </c>
      <c r="D259" t="s">
        <v>599</v>
      </c>
      <c r="E259" t="s">
        <v>719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601</v>
      </c>
      <c r="E263" t="s">
        <v>565</v>
      </c>
      <c r="F263">
        <v>4</v>
      </c>
    </row>
    <row r="264" spans="1:6">
      <c r="A264" t="s">
        <v>193</v>
      </c>
      <c r="B264" t="s">
        <v>194</v>
      </c>
      <c r="C264" t="s">
        <v>694</v>
      </c>
      <c r="D264" t="s">
        <v>599</v>
      </c>
      <c r="E264" t="s">
        <v>592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591</v>
      </c>
      <c r="E270" t="s">
        <v>592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596</v>
      </c>
      <c r="E271" t="s">
        <v>610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574</v>
      </c>
      <c r="E272" t="s">
        <v>610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569</v>
      </c>
      <c r="E273" t="s">
        <v>585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723</v>
      </c>
      <c r="D275" t="s">
        <v>599</v>
      </c>
      <c r="E275" t="s">
        <v>577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564</v>
      </c>
      <c r="E276" t="s">
        <v>627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615</v>
      </c>
      <c r="E277" t="s">
        <v>752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569</v>
      </c>
      <c r="E278" t="s">
        <v>618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564</v>
      </c>
      <c r="E282" t="s">
        <v>570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569</v>
      </c>
      <c r="E283" t="s">
        <v>618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561</v>
      </c>
      <c r="E284" t="s">
        <v>621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596</v>
      </c>
      <c r="E285" t="s">
        <v>610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635</v>
      </c>
      <c r="E286" t="s">
        <v>565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561</v>
      </c>
      <c r="E287" t="s">
        <v>585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574</v>
      </c>
      <c r="E288" t="s">
        <v>585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569</v>
      </c>
      <c r="E289" t="s">
        <v>577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574</v>
      </c>
      <c r="E291" t="s">
        <v>759</v>
      </c>
      <c r="F291">
        <v>1</v>
      </c>
    </row>
    <row r="292" spans="1:6">
      <c r="A292" t="s">
        <v>36</v>
      </c>
      <c r="B292" t="s">
        <v>221</v>
      </c>
      <c r="C292" t="s">
        <v>668</v>
      </c>
      <c r="D292" t="s">
        <v>596</v>
      </c>
      <c r="E292" t="s">
        <v>575</v>
      </c>
      <c r="F292">
        <v>5</v>
      </c>
    </row>
    <row r="293" spans="1:6">
      <c r="A293" t="s">
        <v>320</v>
      </c>
      <c r="B293" t="s">
        <v>53</v>
      </c>
      <c r="C293" t="s">
        <v>607</v>
      </c>
      <c r="D293" t="s">
        <v>569</v>
      </c>
      <c r="E293" s="1" t="s">
        <v>608</v>
      </c>
      <c r="F293">
        <v>7</v>
      </c>
    </row>
    <row r="294" spans="1:6">
      <c r="A294" t="s">
        <v>321</v>
      </c>
      <c r="B294" t="s">
        <v>322</v>
      </c>
      <c r="C294" t="s">
        <v>760</v>
      </c>
      <c r="D294" t="s">
        <v>601</v>
      </c>
      <c r="E294" t="s">
        <v>577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635</v>
      </c>
      <c r="E296" t="s">
        <v>575</v>
      </c>
      <c r="F296">
        <v>1</v>
      </c>
    </row>
    <row r="297" spans="1:6">
      <c r="A297" t="s">
        <v>36</v>
      </c>
      <c r="B297" s="1" t="s">
        <v>221</v>
      </c>
      <c r="C297" t="s">
        <v>668</v>
      </c>
      <c r="D297" t="s">
        <v>596</v>
      </c>
      <c r="E297" s="1" t="s">
        <v>575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596</v>
      </c>
      <c r="E298" t="s">
        <v>570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564</v>
      </c>
      <c r="E299" t="s">
        <v>612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574</v>
      </c>
      <c r="E301" t="s">
        <v>642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564</v>
      </c>
      <c r="E302" t="s">
        <v>603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574</v>
      </c>
      <c r="E303" t="s">
        <v>612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596</v>
      </c>
      <c r="E304" t="s">
        <v>587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765</v>
      </c>
      <c r="D306" t="s">
        <v>599</v>
      </c>
      <c r="E306" t="s">
        <v>583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569</v>
      </c>
      <c r="E307" t="s">
        <v>577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564</v>
      </c>
      <c r="E308" t="s">
        <v>575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564</v>
      </c>
      <c r="E309" t="s">
        <v>575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564</v>
      </c>
      <c r="E311" t="s">
        <v>570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569</v>
      </c>
      <c r="E312" t="s">
        <v>618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596</v>
      </c>
      <c r="E313" t="s">
        <v>610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635</v>
      </c>
      <c r="E314" t="s">
        <v>565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561</v>
      </c>
      <c r="E315" t="s">
        <v>585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601</v>
      </c>
      <c r="E316" t="s">
        <v>746</v>
      </c>
      <c r="F316">
        <v>3</v>
      </c>
    </row>
    <row r="317" spans="1:6">
      <c r="A317" t="s">
        <v>50</v>
      </c>
      <c r="B317" t="s">
        <v>51</v>
      </c>
      <c r="C317" t="s">
        <v>606</v>
      </c>
      <c r="D317" t="s">
        <v>599</v>
      </c>
      <c r="E317" t="s">
        <v>570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561</v>
      </c>
      <c r="E318" t="s">
        <v>587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615</v>
      </c>
      <c r="E319" t="s">
        <v>575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561</v>
      </c>
      <c r="E320" t="s">
        <v>719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569</v>
      </c>
      <c r="E321" t="s">
        <v>577</v>
      </c>
      <c r="F321">
        <v>5</v>
      </c>
    </row>
    <row r="322" spans="1:6">
      <c r="A322" t="s">
        <v>296</v>
      </c>
    </row>
    <row r="323" spans="1:6">
      <c r="A323" t="s">
        <v>226</v>
      </c>
      <c r="B323" s="1" t="s">
        <v>227</v>
      </c>
      <c r="C323" t="s">
        <v>713</v>
      </c>
      <c r="D323" t="s">
        <v>569</v>
      </c>
      <c r="E323" s="1" t="s">
        <v>612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594</v>
      </c>
      <c r="E324" t="s">
        <v>585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620</v>
      </c>
      <c r="E325" t="s">
        <v>621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594</v>
      </c>
      <c r="E326" t="s">
        <v>610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561</v>
      </c>
      <c r="E327" t="s">
        <v>587</v>
      </c>
      <c r="F327">
        <v>1</v>
      </c>
    </row>
    <row r="328" spans="1:6">
      <c r="A328" t="s">
        <v>29</v>
      </c>
    </row>
    <row r="329" spans="1:6">
      <c r="A329" t="s">
        <v>52</v>
      </c>
      <c r="B329" s="1" t="s">
        <v>53</v>
      </c>
      <c r="C329" t="s">
        <v>607</v>
      </c>
      <c r="D329" t="s">
        <v>569</v>
      </c>
      <c r="E329" s="1" t="s">
        <v>608</v>
      </c>
      <c r="F329">
        <v>7</v>
      </c>
    </row>
    <row r="330" spans="1:6">
      <c r="A330" t="s">
        <v>118</v>
      </c>
      <c r="B330" t="s">
        <v>119</v>
      </c>
      <c r="C330" t="s">
        <v>654</v>
      </c>
      <c r="D330" t="s">
        <v>594</v>
      </c>
      <c r="E330" t="s">
        <v>655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615</v>
      </c>
      <c r="E331" t="s">
        <v>610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574</v>
      </c>
      <c r="E333" t="s">
        <v>746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615</v>
      </c>
      <c r="E334" t="s">
        <v>587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580</v>
      </c>
      <c r="E335" t="s">
        <v>585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635</v>
      </c>
      <c r="E336" t="s">
        <v>575</v>
      </c>
      <c r="F336">
        <v>1</v>
      </c>
    </row>
    <row r="337" spans="1:6">
      <c r="A337" t="s">
        <v>294</v>
      </c>
      <c r="B337" t="s">
        <v>295</v>
      </c>
      <c r="C337" t="s">
        <v>748</v>
      </c>
      <c r="D337" t="s">
        <v>599</v>
      </c>
      <c r="E337" t="s">
        <v>719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635</v>
      </c>
      <c r="E339" t="s">
        <v>627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615</v>
      </c>
      <c r="E340" t="s">
        <v>577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564</v>
      </c>
      <c r="E341" t="s">
        <v>562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615</v>
      </c>
      <c r="E342" t="s">
        <v>585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561</v>
      </c>
      <c r="E344" t="s">
        <v>610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594</v>
      </c>
      <c r="E345" t="s">
        <v>585</v>
      </c>
      <c r="F345">
        <v>5</v>
      </c>
    </row>
    <row r="346" spans="1:6">
      <c r="A346" t="s">
        <v>360</v>
      </c>
      <c r="B346" t="s">
        <v>361</v>
      </c>
      <c r="C346" t="s">
        <v>776</v>
      </c>
      <c r="D346" t="s">
        <v>567</v>
      </c>
      <c r="E346" s="1" t="s">
        <v>699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601</v>
      </c>
      <c r="E347" t="s">
        <v>575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574</v>
      </c>
      <c r="E349" t="s">
        <v>570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561</v>
      </c>
      <c r="E350" t="s">
        <v>587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615</v>
      </c>
      <c r="E351" t="s">
        <v>581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594</v>
      </c>
      <c r="E352" t="s">
        <v>655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569</v>
      </c>
      <c r="E354" t="s">
        <v>610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574</v>
      </c>
      <c r="E355" t="s">
        <v>572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569</v>
      </c>
      <c r="E356" t="s">
        <v>570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574</v>
      </c>
      <c r="E357" t="s">
        <v>585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594</v>
      </c>
      <c r="E359" t="s">
        <v>577</v>
      </c>
      <c r="F359">
        <v>3</v>
      </c>
    </row>
    <row r="360" spans="1:6">
      <c r="A360" t="s">
        <v>128</v>
      </c>
      <c r="B360" t="s">
        <v>129</v>
      </c>
      <c r="C360" t="s">
        <v>661</v>
      </c>
      <c r="D360" t="s">
        <v>599</v>
      </c>
      <c r="E360" t="s">
        <v>589</v>
      </c>
      <c r="F360">
        <v>4</v>
      </c>
    </row>
    <row r="361" spans="1:6">
      <c r="A361" t="s">
        <v>168</v>
      </c>
      <c r="B361" t="s">
        <v>169</v>
      </c>
      <c r="C361" t="s">
        <v>680</v>
      </c>
      <c r="D361" t="s">
        <v>574</v>
      </c>
      <c r="E361" s="1" t="s">
        <v>585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561</v>
      </c>
      <c r="E362" t="s">
        <v>585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569</v>
      </c>
      <c r="E363" t="s">
        <v>612</v>
      </c>
      <c r="F363">
        <v>5</v>
      </c>
    </row>
    <row r="364" spans="1:6">
      <c r="A364" t="s">
        <v>294</v>
      </c>
      <c r="B364" t="s">
        <v>295</v>
      </c>
      <c r="C364" t="s">
        <v>748</v>
      </c>
      <c r="D364" t="s">
        <v>599</v>
      </c>
      <c r="E364" t="s">
        <v>719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580</v>
      </c>
      <c r="E366" t="s">
        <v>585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594</v>
      </c>
      <c r="E367" t="s">
        <v>581</v>
      </c>
      <c r="F367">
        <v>1</v>
      </c>
    </row>
    <row r="368" spans="1:6">
      <c r="A368" t="s">
        <v>373</v>
      </c>
      <c r="B368" t="s">
        <v>374</v>
      </c>
      <c r="C368" t="s">
        <v>782</v>
      </c>
      <c r="D368" t="s">
        <v>599</v>
      </c>
      <c r="E368" t="s">
        <v>642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561</v>
      </c>
      <c r="E369" t="s">
        <v>616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561</v>
      </c>
      <c r="E370" t="s">
        <v>616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569</v>
      </c>
      <c r="E372" t="s">
        <v>575</v>
      </c>
      <c r="F372">
        <v>3</v>
      </c>
    </row>
    <row r="373" spans="1:6">
      <c r="A373" t="s">
        <v>381</v>
      </c>
      <c r="B373" t="s">
        <v>382</v>
      </c>
      <c r="C373" t="s">
        <v>786</v>
      </c>
      <c r="D373" t="s">
        <v>591</v>
      </c>
      <c r="E373" t="s">
        <v>577</v>
      </c>
      <c r="F373">
        <v>5</v>
      </c>
    </row>
    <row r="374" spans="1:6">
      <c r="A374" t="s">
        <v>40</v>
      </c>
      <c r="B374" t="s">
        <v>41</v>
      </c>
      <c r="C374" t="s">
        <v>598</v>
      </c>
      <c r="D374" t="s">
        <v>599</v>
      </c>
      <c r="E374" t="s">
        <v>570</v>
      </c>
      <c r="F374">
        <v>2</v>
      </c>
    </row>
    <row r="375" spans="1:6">
      <c r="A375" t="s">
        <v>38</v>
      </c>
      <c r="B375" s="1" t="s">
        <v>163</v>
      </c>
      <c r="C375" t="s">
        <v>677</v>
      </c>
      <c r="D375" t="s">
        <v>561</v>
      </c>
      <c r="E375" s="1" t="s">
        <v>585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787</v>
      </c>
      <c r="D377" t="s">
        <v>591</v>
      </c>
      <c r="E377" s="1" t="s">
        <v>585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561</v>
      </c>
      <c r="E378" t="s">
        <v>633</v>
      </c>
      <c r="F378">
        <v>5</v>
      </c>
    </row>
    <row r="379" spans="1:6">
      <c r="A379" t="s">
        <v>50</v>
      </c>
      <c r="B379" t="s">
        <v>51</v>
      </c>
      <c r="C379" t="s">
        <v>606</v>
      </c>
      <c r="D379" t="s">
        <v>599</v>
      </c>
      <c r="E379" t="s">
        <v>570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594</v>
      </c>
      <c r="E380" t="s">
        <v>655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561</v>
      </c>
      <c r="E381" t="s">
        <v>570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561</v>
      </c>
      <c r="E382" t="s">
        <v>585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574</v>
      </c>
      <c r="E383" t="s">
        <v>612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789</v>
      </c>
      <c r="D385" t="s">
        <v>615</v>
      </c>
      <c r="E385" s="1" t="s">
        <v>585</v>
      </c>
      <c r="F385">
        <v>7</v>
      </c>
    </row>
    <row r="386" spans="1:6">
      <c r="A386" t="s">
        <v>389</v>
      </c>
      <c r="B386" t="s">
        <v>110</v>
      </c>
      <c r="C386" t="s">
        <v>787</v>
      </c>
      <c r="D386" t="s">
        <v>591</v>
      </c>
      <c r="E386" s="1" t="s">
        <v>585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569</v>
      </c>
      <c r="E387" t="s">
        <v>608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580</v>
      </c>
      <c r="E388" t="s">
        <v>585</v>
      </c>
      <c r="F388">
        <v>5</v>
      </c>
    </row>
    <row r="389" spans="1:6">
      <c r="A389" t="s">
        <v>392</v>
      </c>
      <c r="B389" t="s">
        <v>230</v>
      </c>
      <c r="C389" t="s">
        <v>714</v>
      </c>
      <c r="D389" t="s">
        <v>599</v>
      </c>
      <c r="E389" t="s">
        <v>587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596</v>
      </c>
      <c r="E390" t="s">
        <v>585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615</v>
      </c>
      <c r="E391" t="s">
        <v>572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792</v>
      </c>
      <c r="D393" t="s">
        <v>594</v>
      </c>
      <c r="E393" s="1" t="s">
        <v>608</v>
      </c>
      <c r="F393">
        <v>3</v>
      </c>
    </row>
    <row r="394" spans="1:6">
      <c r="A394" t="s">
        <v>128</v>
      </c>
      <c r="B394" t="s">
        <v>129</v>
      </c>
      <c r="C394" t="s">
        <v>661</v>
      </c>
      <c r="D394" t="s">
        <v>599</v>
      </c>
      <c r="E394" t="s">
        <v>589</v>
      </c>
      <c r="F394">
        <v>4</v>
      </c>
    </row>
    <row r="395" spans="1:6">
      <c r="A395" t="s">
        <v>398</v>
      </c>
      <c r="B395" t="s">
        <v>399</v>
      </c>
      <c r="C395" t="s">
        <v>793</v>
      </c>
      <c r="D395" t="s">
        <v>599</v>
      </c>
      <c r="E395" t="s">
        <v>658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561</v>
      </c>
      <c r="E396" t="s">
        <v>585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620</v>
      </c>
      <c r="E397" t="s">
        <v>562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561</v>
      </c>
      <c r="E398" t="s">
        <v>587</v>
      </c>
      <c r="F398">
        <v>1</v>
      </c>
    </row>
    <row r="399" spans="1:6">
      <c r="A399" t="s">
        <v>29</v>
      </c>
    </row>
    <row r="400" spans="1:6">
      <c r="A400" t="s">
        <v>402</v>
      </c>
      <c r="B400" s="1" t="s">
        <v>72</v>
      </c>
      <c r="C400" s="1"/>
    </row>
    <row r="401" spans="1:6">
      <c r="A401" t="s">
        <v>403</v>
      </c>
      <c r="B401" t="s">
        <v>404</v>
      </c>
      <c r="C401" t="s">
        <v>795</v>
      </c>
      <c r="D401" t="s">
        <v>567</v>
      </c>
      <c r="E401" t="s">
        <v>697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561</v>
      </c>
      <c r="E402" t="s">
        <v>746</v>
      </c>
      <c r="F402">
        <v>1</v>
      </c>
    </row>
    <row r="403" spans="1:6">
      <c r="A403" t="s">
        <v>407</v>
      </c>
      <c r="B403" t="s">
        <v>240</v>
      </c>
      <c r="C403" t="s">
        <v>720</v>
      </c>
      <c r="D403" t="s">
        <v>599</v>
      </c>
      <c r="E403" t="s">
        <v>585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574</v>
      </c>
      <c r="E404" t="s">
        <v>612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561</v>
      </c>
      <c r="E405" t="s">
        <v>627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594</v>
      </c>
      <c r="E407" t="s">
        <v>585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569</v>
      </c>
      <c r="E408" t="s">
        <v>570</v>
      </c>
      <c r="F408">
        <v>5</v>
      </c>
    </row>
    <row r="409" spans="1:6">
      <c r="A409" t="s">
        <v>411</v>
      </c>
      <c r="B409" t="s">
        <v>49</v>
      </c>
      <c r="C409" t="s">
        <v>605</v>
      </c>
      <c r="D409" t="s">
        <v>599</v>
      </c>
      <c r="E409" t="s">
        <v>587</v>
      </c>
      <c r="F409">
        <v>5</v>
      </c>
    </row>
    <row r="410" spans="1:6">
      <c r="A410" t="s">
        <v>50</v>
      </c>
      <c r="B410" t="s">
        <v>51</v>
      </c>
      <c r="C410" t="s">
        <v>606</v>
      </c>
      <c r="D410" t="s">
        <v>599</v>
      </c>
      <c r="E410" t="s">
        <v>570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660</v>
      </c>
      <c r="E411" t="s">
        <v>562</v>
      </c>
      <c r="F411">
        <v>1</v>
      </c>
    </row>
    <row r="412" spans="1:6">
      <c r="A412" t="s">
        <v>412</v>
      </c>
      <c r="B412" s="1" t="s">
        <v>413</v>
      </c>
      <c r="C412" t="s">
        <v>798</v>
      </c>
      <c r="D412" t="s">
        <v>635</v>
      </c>
      <c r="E412" s="1" t="s">
        <v>585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596</v>
      </c>
      <c r="E414" t="s">
        <v>633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564</v>
      </c>
      <c r="E415" t="s">
        <v>575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569</v>
      </c>
      <c r="E416" t="s">
        <v>616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561</v>
      </c>
      <c r="E417" t="s">
        <v>585</v>
      </c>
      <c r="F417">
        <v>1</v>
      </c>
    </row>
    <row r="418" spans="1:6">
      <c r="A418" t="s">
        <v>128</v>
      </c>
      <c r="B418" t="s">
        <v>129</v>
      </c>
      <c r="C418" t="s">
        <v>661</v>
      </c>
      <c r="D418" t="s">
        <v>599</v>
      </c>
      <c r="E418" t="s">
        <v>589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574</v>
      </c>
      <c r="E419" t="s">
        <v>627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801</v>
      </c>
      <c r="D421" t="s">
        <v>599</v>
      </c>
      <c r="E421" t="s">
        <v>616</v>
      </c>
      <c r="F421">
        <v>1</v>
      </c>
    </row>
    <row r="422" spans="1:6">
      <c r="A422" t="s">
        <v>381</v>
      </c>
      <c r="B422" t="s">
        <v>382</v>
      </c>
      <c r="C422" t="s">
        <v>786</v>
      </c>
      <c r="D422" t="s">
        <v>591</v>
      </c>
      <c r="E422" t="s">
        <v>577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574</v>
      </c>
      <c r="E423" t="s">
        <v>610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561</v>
      </c>
      <c r="E424" t="s">
        <v>585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574</v>
      </c>
      <c r="E425" t="s">
        <v>570</v>
      </c>
      <c r="F425">
        <v>1</v>
      </c>
    </row>
    <row r="426" spans="1:6">
      <c r="A426" t="s">
        <v>423</v>
      </c>
      <c r="B426" t="s">
        <v>218</v>
      </c>
      <c r="C426" t="s">
        <v>707</v>
      </c>
      <c r="D426" t="s">
        <v>599</v>
      </c>
      <c r="E426" t="s">
        <v>570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574</v>
      </c>
      <c r="E428" t="s">
        <v>562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635</v>
      </c>
      <c r="E429" t="s">
        <v>612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594</v>
      </c>
      <c r="E430" t="s">
        <v>655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561</v>
      </c>
      <c r="E431" t="s">
        <v>585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596</v>
      </c>
      <c r="E432" t="s">
        <v>570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594</v>
      </c>
      <c r="E433" t="s">
        <v>612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569</v>
      </c>
      <c r="E435" t="s">
        <v>807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569</v>
      </c>
      <c r="E436" t="s">
        <v>618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574</v>
      </c>
      <c r="E437" t="s">
        <v>562</v>
      </c>
      <c r="F437">
        <v>1</v>
      </c>
    </row>
    <row r="438" spans="1:6">
      <c r="A438" t="s">
        <v>407</v>
      </c>
      <c r="B438" t="s">
        <v>240</v>
      </c>
      <c r="C438" t="s">
        <v>720</v>
      </c>
      <c r="D438" t="s">
        <v>599</v>
      </c>
      <c r="E438" t="s">
        <v>585</v>
      </c>
      <c r="F438">
        <v>2</v>
      </c>
    </row>
    <row r="439" spans="1:6">
      <c r="A439" t="s">
        <v>434</v>
      </c>
      <c r="B439" t="s">
        <v>435</v>
      </c>
      <c r="C439" t="s">
        <v>808</v>
      </c>
      <c r="D439" t="s">
        <v>591</v>
      </c>
      <c r="E439" t="s">
        <v>621</v>
      </c>
      <c r="F439">
        <v>5</v>
      </c>
    </row>
    <row r="440" spans="1:6">
      <c r="A440" t="s">
        <v>48</v>
      </c>
      <c r="B440" t="s">
        <v>49</v>
      </c>
      <c r="C440" t="s">
        <v>605</v>
      </c>
      <c r="D440" t="s">
        <v>599</v>
      </c>
      <c r="E440" t="s">
        <v>587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567</v>
      </c>
      <c r="E442" t="s">
        <v>621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596</v>
      </c>
      <c r="E443" t="s">
        <v>610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591</v>
      </c>
      <c r="E444" t="s">
        <v>592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580</v>
      </c>
      <c r="E445" t="s">
        <v>585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635</v>
      </c>
      <c r="E446" t="s">
        <v>612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561</v>
      </c>
      <c r="E447" t="s">
        <v>612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635</v>
      </c>
      <c r="E449" t="s">
        <v>585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567</v>
      </c>
      <c r="E450" t="s">
        <v>583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601</v>
      </c>
      <c r="E451" t="s">
        <v>621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569</v>
      </c>
      <c r="E452" t="s">
        <v>577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561</v>
      </c>
      <c r="E453" t="s">
        <v>577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635</v>
      </c>
      <c r="E454" t="s">
        <v>565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660</v>
      </c>
      <c r="E456" t="s">
        <v>572</v>
      </c>
      <c r="F456">
        <v>4</v>
      </c>
    </row>
    <row r="457" spans="1:6">
      <c r="A457" t="s">
        <v>166</v>
      </c>
      <c r="B457" t="s">
        <v>167</v>
      </c>
      <c r="C457" t="s">
        <v>679</v>
      </c>
      <c r="D457" t="s">
        <v>599</v>
      </c>
      <c r="E457" t="s">
        <v>618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569</v>
      </c>
      <c r="E458" t="s">
        <v>612</v>
      </c>
      <c r="F458">
        <v>2</v>
      </c>
    </row>
    <row r="459" spans="1:6">
      <c r="A459" t="s">
        <v>50</v>
      </c>
      <c r="B459" t="s">
        <v>51</v>
      </c>
      <c r="C459" t="s">
        <v>606</v>
      </c>
      <c r="D459" t="s">
        <v>599</v>
      </c>
      <c r="E459" t="s">
        <v>570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567</v>
      </c>
      <c r="E460" t="s">
        <v>585</v>
      </c>
      <c r="F460">
        <v>1</v>
      </c>
    </row>
    <row r="461" spans="1:6">
      <c r="A461" t="s">
        <v>57</v>
      </c>
      <c r="B461" s="1" t="s">
        <v>58</v>
      </c>
      <c r="C461" t="s">
        <v>611</v>
      </c>
      <c r="D461" t="s">
        <v>569</v>
      </c>
      <c r="E461" s="1" t="s">
        <v>612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574</v>
      </c>
      <c r="E465" t="s">
        <v>577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561</v>
      </c>
      <c r="E466" t="s">
        <v>570</v>
      </c>
      <c r="F466">
        <v>2</v>
      </c>
    </row>
    <row r="467" spans="1:6">
      <c r="A467" t="s">
        <v>193</v>
      </c>
      <c r="B467" t="s">
        <v>194</v>
      </c>
      <c r="C467" t="s">
        <v>694</v>
      </c>
      <c r="D467" t="s">
        <v>599</v>
      </c>
      <c r="E467" t="s">
        <v>592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601</v>
      </c>
      <c r="E471" t="s">
        <v>565</v>
      </c>
      <c r="F471">
        <v>4</v>
      </c>
    </row>
    <row r="472" spans="1:6">
      <c r="A472" t="s">
        <v>450</v>
      </c>
      <c r="B472" t="s">
        <v>451</v>
      </c>
      <c r="C472" t="s">
        <v>815</v>
      </c>
      <c r="D472" t="s">
        <v>599</v>
      </c>
      <c r="E472" t="s">
        <v>565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635</v>
      </c>
      <c r="E473" t="s">
        <v>585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569</v>
      </c>
      <c r="E474" t="s">
        <v>570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574</v>
      </c>
      <c r="E475" t="s">
        <v>618</v>
      </c>
      <c r="F475">
        <v>2</v>
      </c>
    </row>
    <row r="476" spans="1:6">
      <c r="A476" t="s">
        <v>40</v>
      </c>
      <c r="B476" t="s">
        <v>41</v>
      </c>
      <c r="C476" t="s">
        <v>598</v>
      </c>
      <c r="D476" t="s">
        <v>599</v>
      </c>
      <c r="E476" t="s">
        <v>570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591</v>
      </c>
      <c r="E477" t="s">
        <v>592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569</v>
      </c>
      <c r="E478" t="s">
        <v>577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816</v>
      </c>
      <c r="D480" t="s">
        <v>574</v>
      </c>
      <c r="E480" s="1" t="s">
        <v>585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561</v>
      </c>
      <c r="E481" t="s">
        <v>719</v>
      </c>
      <c r="F481">
        <v>2</v>
      </c>
    </row>
    <row r="482" spans="1:6">
      <c r="A482" t="s">
        <v>134</v>
      </c>
      <c r="B482" t="s">
        <v>135</v>
      </c>
      <c r="C482" t="s">
        <v>664</v>
      </c>
      <c r="D482" t="s">
        <v>580</v>
      </c>
      <c r="E482" s="1" t="s">
        <v>585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574</v>
      </c>
      <c r="E483" t="s">
        <v>570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580</v>
      </c>
      <c r="E485" t="s">
        <v>585</v>
      </c>
      <c r="F485">
        <v>5</v>
      </c>
    </row>
    <row r="486" spans="1:6">
      <c r="A486" t="s">
        <v>456</v>
      </c>
      <c r="B486" t="s">
        <v>457</v>
      </c>
      <c r="C486" t="s">
        <v>817</v>
      </c>
      <c r="D486" t="s">
        <v>596</v>
      </c>
      <c r="E486" t="s">
        <v>585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574</v>
      </c>
      <c r="E487" t="s">
        <v>612</v>
      </c>
      <c r="F487">
        <v>5</v>
      </c>
    </row>
    <row r="488" spans="1:6">
      <c r="A488" t="s">
        <v>460</v>
      </c>
      <c r="B488" s="1" t="s">
        <v>461</v>
      </c>
      <c r="C488" t="s">
        <v>819</v>
      </c>
      <c r="D488" t="s">
        <v>599</v>
      </c>
      <c r="E488" s="1" t="s">
        <v>612</v>
      </c>
      <c r="F488">
        <v>2</v>
      </c>
    </row>
    <row r="489" spans="1:6">
      <c r="A489" t="s">
        <v>294</v>
      </c>
      <c r="B489" t="s">
        <v>295</v>
      </c>
      <c r="C489" t="s">
        <v>748</v>
      </c>
      <c r="D489" t="s">
        <v>599</v>
      </c>
      <c r="E489" t="s">
        <v>719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820</v>
      </c>
      <c r="D491" t="s">
        <v>599</v>
      </c>
      <c r="E491" t="s">
        <v>610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569</v>
      </c>
      <c r="E492" t="s">
        <v>570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561</v>
      </c>
      <c r="E493" t="s">
        <v>719</v>
      </c>
      <c r="F493">
        <v>2</v>
      </c>
    </row>
    <row r="494" spans="1:6">
      <c r="A494" t="s">
        <v>134</v>
      </c>
      <c r="B494" t="s">
        <v>135</v>
      </c>
      <c r="C494" t="s">
        <v>664</v>
      </c>
      <c r="D494" t="s">
        <v>580</v>
      </c>
      <c r="E494" s="1" t="s">
        <v>585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567</v>
      </c>
      <c r="E495" t="s">
        <v>585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580</v>
      </c>
      <c r="E497" t="s">
        <v>585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561</v>
      </c>
      <c r="E498" t="s">
        <v>583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596</v>
      </c>
      <c r="E499" t="s">
        <v>572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574</v>
      </c>
      <c r="E500" t="s">
        <v>633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635</v>
      </c>
      <c r="E501" t="s">
        <v>612</v>
      </c>
      <c r="F501">
        <v>5</v>
      </c>
    </row>
    <row r="502" spans="1:6">
      <c r="A502" t="s">
        <v>294</v>
      </c>
      <c r="B502" t="s">
        <v>295</v>
      </c>
      <c r="C502" t="s">
        <v>748</v>
      </c>
      <c r="D502" t="s">
        <v>599</v>
      </c>
      <c r="E502" t="s">
        <v>719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594</v>
      </c>
      <c r="E504" t="s">
        <v>616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561</v>
      </c>
      <c r="E505" t="s">
        <v>612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561</v>
      </c>
      <c r="E506" t="s">
        <v>570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594</v>
      </c>
      <c r="E507" t="s">
        <v>585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567</v>
      </c>
      <c r="E508" t="s">
        <v>562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561</v>
      </c>
      <c r="E509" t="s">
        <v>719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580</v>
      </c>
      <c r="E510" t="s">
        <v>585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594</v>
      </c>
      <c r="E511" t="s">
        <v>603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561</v>
      </c>
      <c r="E512" t="s">
        <v>585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561</v>
      </c>
      <c r="E514" t="s">
        <v>565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660</v>
      </c>
      <c r="E515" t="s">
        <v>562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635</v>
      </c>
      <c r="E516" s="1" t="s">
        <v>699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561</v>
      </c>
      <c r="E517" t="s">
        <v>610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567</v>
      </c>
      <c r="E518" t="s">
        <v>583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615</v>
      </c>
      <c r="E519" t="s">
        <v>610</v>
      </c>
      <c r="F519">
        <v>5</v>
      </c>
    </row>
    <row r="520" spans="1:6">
      <c r="A520" t="s">
        <v>407</v>
      </c>
      <c r="B520" t="s">
        <v>240</v>
      </c>
      <c r="C520" t="s">
        <v>720</v>
      </c>
      <c r="D520" t="s">
        <v>599</v>
      </c>
      <c r="E520" t="s">
        <v>585</v>
      </c>
      <c r="F520">
        <v>2</v>
      </c>
    </row>
    <row r="521" spans="1:6">
      <c r="A521" t="s">
        <v>128</v>
      </c>
      <c r="B521" t="s">
        <v>129</v>
      </c>
      <c r="C521" t="s">
        <v>661</v>
      </c>
      <c r="D521" t="s">
        <v>599</v>
      </c>
      <c r="E521" t="s">
        <v>589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574</v>
      </c>
      <c r="E522" t="s">
        <v>746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561</v>
      </c>
      <c r="E524" t="s">
        <v>570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594</v>
      </c>
      <c r="E525" t="s">
        <v>585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567</v>
      </c>
      <c r="E526" t="s">
        <v>583</v>
      </c>
      <c r="F526">
        <v>4</v>
      </c>
    </row>
    <row r="527" spans="1:6">
      <c r="A527" t="s">
        <v>476</v>
      </c>
      <c r="B527" t="s">
        <v>487</v>
      </c>
      <c r="C527" t="s">
        <v>831</v>
      </c>
      <c r="D527" t="s">
        <v>567</v>
      </c>
      <c r="E527" t="s">
        <v>603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561</v>
      </c>
      <c r="E528" t="s">
        <v>719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580</v>
      </c>
      <c r="E529" t="s">
        <v>585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594</v>
      </c>
      <c r="E530" t="s">
        <v>603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561</v>
      </c>
      <c r="E531" t="s">
        <v>585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561</v>
      </c>
      <c r="E533" t="s">
        <v>565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596</v>
      </c>
      <c r="E534" t="s">
        <v>583</v>
      </c>
      <c r="F534">
        <v>8</v>
      </c>
    </row>
    <row r="535" spans="1:6">
      <c r="A535" t="s">
        <v>40</v>
      </c>
      <c r="B535" t="s">
        <v>41</v>
      </c>
      <c r="C535" t="s">
        <v>598</v>
      </c>
      <c r="D535" t="s">
        <v>599</v>
      </c>
      <c r="E535" t="s">
        <v>570</v>
      </c>
      <c r="F535">
        <v>2</v>
      </c>
    </row>
    <row r="536" spans="1:6">
      <c r="A536" t="s">
        <v>490</v>
      </c>
      <c r="B536" s="1" t="s">
        <v>491</v>
      </c>
      <c r="C536" t="s">
        <v>833</v>
      </c>
      <c r="D536" t="s">
        <v>649</v>
      </c>
      <c r="E536" s="1" t="s">
        <v>834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594</v>
      </c>
      <c r="E537" t="s">
        <v>616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596</v>
      </c>
      <c r="E538" t="s">
        <v>570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561</v>
      </c>
      <c r="E539" t="s">
        <v>712</v>
      </c>
      <c r="F539">
        <v>2</v>
      </c>
    </row>
    <row r="540" spans="1:6">
      <c r="A540" t="s">
        <v>294</v>
      </c>
      <c r="B540" t="s">
        <v>295</v>
      </c>
      <c r="C540" t="s">
        <v>748</v>
      </c>
      <c r="D540" t="s">
        <v>599</v>
      </c>
      <c r="E540" t="s">
        <v>719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580</v>
      </c>
      <c r="E542" t="s">
        <v>585</v>
      </c>
      <c r="F542">
        <v>5</v>
      </c>
    </row>
    <row r="543" spans="1:6">
      <c r="A543" t="s">
        <v>496</v>
      </c>
      <c r="B543" t="s">
        <v>497</v>
      </c>
      <c r="C543" t="s">
        <v>837</v>
      </c>
      <c r="D543" t="s">
        <v>599</v>
      </c>
      <c r="E543" t="s">
        <v>587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569</v>
      </c>
      <c r="E544" t="s">
        <v>621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574</v>
      </c>
      <c r="E545" t="s">
        <v>562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569</v>
      </c>
      <c r="E546" t="s">
        <v>577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564</v>
      </c>
      <c r="E548" t="s">
        <v>839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569</v>
      </c>
      <c r="E549" t="s">
        <v>570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660</v>
      </c>
      <c r="E550" t="s">
        <v>562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635</v>
      </c>
      <c r="E551" t="s">
        <v>699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561</v>
      </c>
      <c r="E552" t="s">
        <v>585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594</v>
      </c>
      <c r="E553" t="s">
        <v>642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596</v>
      </c>
      <c r="E555" t="s">
        <v>583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594</v>
      </c>
      <c r="E556" t="s">
        <v>572</v>
      </c>
      <c r="F556">
        <v>4</v>
      </c>
    </row>
    <row r="557" spans="1:6">
      <c r="A557" t="s">
        <v>229</v>
      </c>
      <c r="B557" t="s">
        <v>230</v>
      </c>
      <c r="C557" t="s">
        <v>714</v>
      </c>
      <c r="D557" t="s">
        <v>599</v>
      </c>
      <c r="E557" t="s">
        <v>587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561</v>
      </c>
      <c r="E558" t="s">
        <v>570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594</v>
      </c>
      <c r="E560" t="s">
        <v>577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569</v>
      </c>
      <c r="E561" t="s">
        <v>618</v>
      </c>
      <c r="F561">
        <v>1</v>
      </c>
    </row>
    <row r="562" spans="1:6">
      <c r="A562" t="s">
        <v>381</v>
      </c>
      <c r="B562" t="s">
        <v>491</v>
      </c>
      <c r="C562" t="s">
        <v>786</v>
      </c>
      <c r="D562" t="s">
        <v>591</v>
      </c>
      <c r="E562" t="s">
        <v>577</v>
      </c>
      <c r="F562">
        <v>5</v>
      </c>
    </row>
    <row r="563" spans="1:6">
      <c r="A563" t="s">
        <v>25</v>
      </c>
      <c r="B563" t="s">
        <v>26</v>
      </c>
      <c r="C563" t="s">
        <v>584</v>
      </c>
      <c r="D563" t="s">
        <v>561</v>
      </c>
      <c r="E563" t="s">
        <v>585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574</v>
      </c>
      <c r="E564" t="s">
        <v>577</v>
      </c>
      <c r="F564">
        <v>2</v>
      </c>
    </row>
    <row r="565" spans="1:6">
      <c r="A565" t="s">
        <v>229</v>
      </c>
      <c r="B565" t="s">
        <v>230</v>
      </c>
      <c r="C565" t="s">
        <v>714</v>
      </c>
      <c r="D565" t="s">
        <v>599</v>
      </c>
      <c r="E565" t="s">
        <v>587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574</v>
      </c>
      <c r="E567" t="s">
        <v>618</v>
      </c>
      <c r="F567">
        <v>1</v>
      </c>
    </row>
    <row r="568" spans="1:6">
      <c r="A568" t="s">
        <v>128</v>
      </c>
      <c r="B568" t="s">
        <v>129</v>
      </c>
      <c r="C568" t="s">
        <v>661</v>
      </c>
      <c r="D568" t="s">
        <v>599</v>
      </c>
      <c r="E568" t="s">
        <v>589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569</v>
      </c>
      <c r="E569" t="s">
        <v>621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580</v>
      </c>
      <c r="E570" t="s">
        <v>585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596</v>
      </c>
      <c r="E571" t="s">
        <v>572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564</v>
      </c>
      <c r="E572" t="s">
        <v>570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679</v>
      </c>
      <c r="D574" t="s">
        <v>599</v>
      </c>
      <c r="E574" t="s">
        <v>618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594</v>
      </c>
      <c r="E575" t="s">
        <v>655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574</v>
      </c>
      <c r="E576" t="s">
        <v>612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561</v>
      </c>
      <c r="E577" t="s">
        <v>585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564</v>
      </c>
      <c r="E578" t="s">
        <v>610</v>
      </c>
      <c r="F578">
        <v>1</v>
      </c>
    </row>
    <row r="579" spans="1:6">
      <c r="A579" t="s">
        <v>57</v>
      </c>
      <c r="B579" s="1" t="s">
        <v>58</v>
      </c>
      <c r="C579" s="1" t="s">
        <v>611</v>
      </c>
      <c r="D579" t="s">
        <v>569</v>
      </c>
      <c r="E579" s="1" t="s">
        <v>612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598</v>
      </c>
      <c r="D581" t="s">
        <v>599</v>
      </c>
      <c r="E581" t="s">
        <v>570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574</v>
      </c>
      <c r="E582" t="s">
        <v>642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594</v>
      </c>
      <c r="E583" t="s">
        <v>642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596</v>
      </c>
      <c r="E585" t="s">
        <v>610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591</v>
      </c>
      <c r="E586" t="s">
        <v>592</v>
      </c>
      <c r="F586">
        <v>8</v>
      </c>
    </row>
    <row r="587" spans="1:6">
      <c r="A587" t="s">
        <v>29</v>
      </c>
    </row>
    <row r="588" spans="1:6">
      <c r="A588" t="s">
        <v>510</v>
      </c>
      <c r="B588" t="s">
        <v>356</v>
      </c>
      <c r="C588" t="s">
        <v>730</v>
      </c>
      <c r="D588" s="1" t="s">
        <v>615</v>
      </c>
      <c r="E588" t="s">
        <v>585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635</v>
      </c>
      <c r="E589" t="s">
        <v>565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561</v>
      </c>
      <c r="E590" t="s">
        <v>585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580</v>
      </c>
      <c r="E591" t="s">
        <v>585</v>
      </c>
      <c r="F591">
        <v>5</v>
      </c>
    </row>
    <row r="592" spans="1:6">
      <c r="A592" t="s">
        <v>292</v>
      </c>
      <c r="B592" t="s">
        <v>293</v>
      </c>
      <c r="C592" t="s">
        <v>747</v>
      </c>
      <c r="D592" t="s">
        <v>599</v>
      </c>
      <c r="E592" t="s">
        <v>618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574</v>
      </c>
      <c r="E593" t="s">
        <v>610</v>
      </c>
      <c r="F593">
        <v>1</v>
      </c>
    </row>
    <row r="594" spans="1:6">
      <c r="A594" t="s">
        <v>29</v>
      </c>
    </row>
    <row r="595" spans="1:6">
      <c r="A595" t="s">
        <v>511</v>
      </c>
      <c r="B595" t="s">
        <v>512</v>
      </c>
      <c r="C595" t="s">
        <v>823</v>
      </c>
      <c r="D595" t="s">
        <v>596</v>
      </c>
      <c r="E595" t="s">
        <v>572</v>
      </c>
      <c r="F595">
        <v>8</v>
      </c>
    </row>
    <row r="596" spans="1:6">
      <c r="A596" t="s">
        <v>513</v>
      </c>
      <c r="B596" t="s">
        <v>156</v>
      </c>
      <c r="C596" t="s">
        <v>843</v>
      </c>
      <c r="D596" t="s">
        <v>591</v>
      </c>
      <c r="E596" s="1" t="s">
        <v>585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580</v>
      </c>
      <c r="E598" t="s">
        <v>585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574</v>
      </c>
      <c r="E599" t="s">
        <v>610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574</v>
      </c>
      <c r="E600" t="s">
        <v>565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564</v>
      </c>
      <c r="E602" t="s">
        <v>570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561</v>
      </c>
      <c r="E603" t="s">
        <v>585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596</v>
      </c>
      <c r="E604" t="s">
        <v>570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594</v>
      </c>
      <c r="E605" t="s">
        <v>581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845</v>
      </c>
      <c r="D607" t="s">
        <v>599</v>
      </c>
      <c r="E607" t="s">
        <v>612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561</v>
      </c>
      <c r="E608" t="s">
        <v>585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567</v>
      </c>
      <c r="E609" t="s">
        <v>583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594</v>
      </c>
      <c r="E610" t="s">
        <v>807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574</v>
      </c>
      <c r="E612" t="s">
        <v>585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561</v>
      </c>
      <c r="E613" t="s">
        <v>621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596</v>
      </c>
      <c r="E614" t="s">
        <v>583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561</v>
      </c>
      <c r="E615" t="s">
        <v>719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561</v>
      </c>
      <c r="E616" t="s">
        <v>585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596</v>
      </c>
      <c r="E617" t="s">
        <v>570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561</v>
      </c>
      <c r="E618" t="s">
        <v>712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561</v>
      </c>
      <c r="E619" t="s">
        <v>575</v>
      </c>
      <c r="F619">
        <v>5</v>
      </c>
    </row>
    <row r="620" spans="1:6">
      <c r="A620" t="s">
        <v>294</v>
      </c>
      <c r="B620" t="s">
        <v>295</v>
      </c>
      <c r="C620" t="s">
        <v>748</v>
      </c>
      <c r="D620" t="s">
        <v>599</v>
      </c>
      <c r="E620" t="s">
        <v>719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580</v>
      </c>
      <c r="E622" t="s">
        <v>585</v>
      </c>
      <c r="F622">
        <v>5</v>
      </c>
    </row>
    <row r="623" spans="1:6">
      <c r="A623" t="s">
        <v>381</v>
      </c>
      <c r="B623" s="1" t="s">
        <v>525</v>
      </c>
      <c r="C623" t="s">
        <v>786</v>
      </c>
      <c r="D623" s="1" t="s">
        <v>591</v>
      </c>
      <c r="E623" s="1" t="s">
        <v>577</v>
      </c>
      <c r="F623">
        <v>5</v>
      </c>
    </row>
    <row r="624" spans="1:6">
      <c r="A624" t="s">
        <v>40</v>
      </c>
      <c r="B624" t="s">
        <v>41</v>
      </c>
      <c r="C624" t="s">
        <v>598</v>
      </c>
      <c r="D624" t="s">
        <v>599</v>
      </c>
      <c r="E624" t="s">
        <v>570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561</v>
      </c>
      <c r="E625" t="s">
        <v>570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561</v>
      </c>
      <c r="E626" t="s">
        <v>585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574</v>
      </c>
      <c r="E627" t="s">
        <v>577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594</v>
      </c>
      <c r="E628" t="s">
        <v>612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574</v>
      </c>
      <c r="E629" t="s">
        <v>565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601</v>
      </c>
      <c r="E633" t="s">
        <v>565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569</v>
      </c>
      <c r="E634" t="s">
        <v>585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580</v>
      </c>
      <c r="E635" t="s">
        <v>585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574</v>
      </c>
      <c r="E636" t="s">
        <v>633</v>
      </c>
      <c r="F636">
        <v>3</v>
      </c>
    </row>
    <row r="637" spans="1:6">
      <c r="A637" t="s">
        <v>29</v>
      </c>
    </row>
    <row r="638" spans="1:6">
      <c r="A638" t="s">
        <v>533</v>
      </c>
      <c r="B638" s="1" t="s">
        <v>534</v>
      </c>
      <c r="C638" t="s">
        <v>851</v>
      </c>
      <c r="D638" t="s">
        <v>574</v>
      </c>
      <c r="E638" s="1" t="s">
        <v>562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561</v>
      </c>
      <c r="E639" t="s">
        <v>642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594</v>
      </c>
      <c r="E640" t="s">
        <v>610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561</v>
      </c>
      <c r="E641" t="s">
        <v>627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569</v>
      </c>
      <c r="E643" t="s">
        <v>697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569</v>
      </c>
      <c r="E644" t="s">
        <v>583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594</v>
      </c>
      <c r="E645" t="s">
        <v>585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561</v>
      </c>
      <c r="E646" t="s">
        <v>712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567</v>
      </c>
      <c r="E648" t="s">
        <v>646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567</v>
      </c>
      <c r="E649" t="s">
        <v>603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615</v>
      </c>
      <c r="E650" t="s">
        <v>575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561</v>
      </c>
      <c r="E651" t="s">
        <v>565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574</v>
      </c>
      <c r="E653" t="s">
        <v>612</v>
      </c>
      <c r="F653">
        <v>1</v>
      </c>
    </row>
    <row r="654" spans="1:6">
      <c r="A654" t="s">
        <v>40</v>
      </c>
      <c r="B654" t="s">
        <v>41</v>
      </c>
      <c r="C654" t="s">
        <v>598</v>
      </c>
      <c r="D654" t="s">
        <v>599</v>
      </c>
      <c r="E654" t="s">
        <v>570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561</v>
      </c>
      <c r="E655" t="s">
        <v>581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561</v>
      </c>
      <c r="E656" t="s">
        <v>719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569</v>
      </c>
      <c r="E657" t="s">
        <v>577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561</v>
      </c>
      <c r="E658" t="s">
        <v>587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635</v>
      </c>
      <c r="E659" t="s">
        <v>612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567</v>
      </c>
      <c r="E661" t="s">
        <v>583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635</v>
      </c>
      <c r="E662" t="s">
        <v>585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635</v>
      </c>
      <c r="E663" t="s">
        <v>575</v>
      </c>
      <c r="F663">
        <v>1</v>
      </c>
    </row>
    <row r="664" spans="1:6">
      <c r="A664" t="s">
        <v>226</v>
      </c>
      <c r="B664" s="1" t="s">
        <v>227</v>
      </c>
      <c r="C664" t="s">
        <v>713</v>
      </c>
      <c r="D664" t="s">
        <v>569</v>
      </c>
      <c r="E664" s="1" t="s">
        <v>612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561</v>
      </c>
      <c r="E665" t="s">
        <v>585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594</v>
      </c>
      <c r="E666" t="s">
        <v>585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567</v>
      </c>
      <c r="E667" t="s">
        <v>565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EF77-0FDE-42E0-94A0-8647770F7893}">
  <dimension ref="B2:D51"/>
  <sheetViews>
    <sheetView workbookViewId="0">
      <selection activeCell="D2" sqref="D2:D51"/>
    </sheetView>
  </sheetViews>
  <sheetFormatPr defaultRowHeight="25.5"/>
  <cols>
    <col min="2" max="2" width="10.08203125" bestFit="1" customWidth="1"/>
    <col min="4" max="4" width="23.58203125" bestFit="1" customWidth="1"/>
  </cols>
  <sheetData>
    <row r="2" spans="2:4">
      <c r="B2" t="s">
        <v>911</v>
      </c>
      <c r="D2" t="s">
        <v>861</v>
      </c>
    </row>
    <row r="3" spans="2:4">
      <c r="B3" t="s">
        <v>912</v>
      </c>
      <c r="D3" t="s">
        <v>862</v>
      </c>
    </row>
    <row r="4" spans="2:4">
      <c r="B4" t="s">
        <v>913</v>
      </c>
      <c r="D4" t="s">
        <v>863</v>
      </c>
    </row>
    <row r="5" spans="2:4">
      <c r="B5" t="s">
        <v>914</v>
      </c>
      <c r="D5" t="s">
        <v>864</v>
      </c>
    </row>
    <row r="6" spans="2:4">
      <c r="B6" t="s">
        <v>915</v>
      </c>
      <c r="D6" t="s">
        <v>865</v>
      </c>
    </row>
    <row r="7" spans="2:4">
      <c r="B7" t="s">
        <v>916</v>
      </c>
      <c r="D7" t="s">
        <v>866</v>
      </c>
    </row>
    <row r="8" spans="2:4">
      <c r="B8" t="s">
        <v>917</v>
      </c>
      <c r="D8" t="s">
        <v>867</v>
      </c>
    </row>
    <row r="9" spans="2:4">
      <c r="B9" t="s">
        <v>918</v>
      </c>
      <c r="D9" t="s">
        <v>868</v>
      </c>
    </row>
    <row r="10" spans="2:4">
      <c r="B10" t="s">
        <v>919</v>
      </c>
      <c r="D10" t="s">
        <v>869</v>
      </c>
    </row>
    <row r="11" spans="2:4">
      <c r="B11" t="s">
        <v>920</v>
      </c>
      <c r="D11" t="s">
        <v>870</v>
      </c>
    </row>
    <row r="12" spans="2:4">
      <c r="B12" t="s">
        <v>921</v>
      </c>
      <c r="D12" t="s">
        <v>871</v>
      </c>
    </row>
    <row r="13" spans="2:4">
      <c r="B13" t="s">
        <v>922</v>
      </c>
      <c r="D13" t="s">
        <v>872</v>
      </c>
    </row>
    <row r="14" spans="2:4">
      <c r="B14" t="s">
        <v>921</v>
      </c>
      <c r="D14" t="s">
        <v>873</v>
      </c>
    </row>
    <row r="15" spans="2:4">
      <c r="B15" t="s">
        <v>923</v>
      </c>
      <c r="D15" t="s">
        <v>874</v>
      </c>
    </row>
    <row r="16" spans="2:4">
      <c r="B16" t="s">
        <v>924</v>
      </c>
      <c r="D16" t="s">
        <v>875</v>
      </c>
    </row>
    <row r="17" spans="2:4">
      <c r="B17" t="s">
        <v>925</v>
      </c>
      <c r="D17" t="s">
        <v>876</v>
      </c>
    </row>
    <row r="18" spans="2:4">
      <c r="B18" t="s">
        <v>926</v>
      </c>
      <c r="D18" t="s">
        <v>877</v>
      </c>
    </row>
    <row r="19" spans="2:4">
      <c r="B19" t="s">
        <v>927</v>
      </c>
      <c r="D19" t="s">
        <v>878</v>
      </c>
    </row>
    <row r="20" spans="2:4">
      <c r="B20" t="s">
        <v>928</v>
      </c>
      <c r="D20" t="s">
        <v>879</v>
      </c>
    </row>
    <row r="21" spans="2:4">
      <c r="D21" t="s">
        <v>880</v>
      </c>
    </row>
    <row r="22" spans="2:4">
      <c r="D22" t="s">
        <v>881</v>
      </c>
    </row>
    <row r="23" spans="2:4">
      <c r="D23" t="s">
        <v>882</v>
      </c>
    </row>
    <row r="24" spans="2:4">
      <c r="D24" t="s">
        <v>883</v>
      </c>
    </row>
    <row r="25" spans="2:4">
      <c r="D25" t="s">
        <v>884</v>
      </c>
    </row>
    <row r="26" spans="2:4">
      <c r="D26" t="s">
        <v>885</v>
      </c>
    </row>
    <row r="27" spans="2:4">
      <c r="D27" t="s">
        <v>886</v>
      </c>
    </row>
    <row r="28" spans="2:4">
      <c r="D28" t="s">
        <v>887</v>
      </c>
    </row>
    <row r="29" spans="2:4">
      <c r="D29" t="s">
        <v>888</v>
      </c>
    </row>
    <row r="30" spans="2:4">
      <c r="D30" t="s">
        <v>889</v>
      </c>
    </row>
    <row r="31" spans="2:4">
      <c r="D31" t="s">
        <v>890</v>
      </c>
    </row>
    <row r="32" spans="2:4">
      <c r="D32" t="s">
        <v>891</v>
      </c>
    </row>
    <row r="33" spans="4:4">
      <c r="D33" t="s">
        <v>892</v>
      </c>
    </row>
    <row r="34" spans="4:4">
      <c r="D34" t="s">
        <v>893</v>
      </c>
    </row>
    <row r="35" spans="4:4">
      <c r="D35" t="s">
        <v>894</v>
      </c>
    </row>
    <row r="36" spans="4:4">
      <c r="D36" t="s">
        <v>895</v>
      </c>
    </row>
    <row r="37" spans="4:4">
      <c r="D37" t="s">
        <v>896</v>
      </c>
    </row>
    <row r="38" spans="4:4">
      <c r="D38" t="s">
        <v>897</v>
      </c>
    </row>
    <row r="39" spans="4:4">
      <c r="D39" t="s">
        <v>898</v>
      </c>
    </row>
    <row r="40" spans="4:4">
      <c r="D40" t="s">
        <v>899</v>
      </c>
    </row>
    <row r="41" spans="4:4">
      <c r="D41" t="s">
        <v>900</v>
      </c>
    </row>
    <row r="42" spans="4:4">
      <c r="D42" t="s">
        <v>901</v>
      </c>
    </row>
    <row r="43" spans="4:4">
      <c r="D43" t="s">
        <v>902</v>
      </c>
    </row>
    <row r="44" spans="4:4">
      <c r="D44" t="s">
        <v>903</v>
      </c>
    </row>
    <row r="45" spans="4:4">
      <c r="D45" t="s">
        <v>904</v>
      </c>
    </row>
    <row r="46" spans="4:4">
      <c r="D46" t="s">
        <v>905</v>
      </c>
    </row>
    <row r="47" spans="4:4">
      <c r="D47" t="s">
        <v>906</v>
      </c>
    </row>
    <row r="48" spans="4:4">
      <c r="D48" t="s">
        <v>907</v>
      </c>
    </row>
    <row r="49" spans="4:4">
      <c r="D49" t="s">
        <v>908</v>
      </c>
    </row>
    <row r="50" spans="4:4">
      <c r="D50" t="s">
        <v>909</v>
      </c>
    </row>
    <row r="51" spans="4:4">
      <c r="D51" t="s">
        <v>910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45E1-4777-4D9A-931F-05BF5C0D9107}">
  <dimension ref="A1:F668"/>
  <sheetViews>
    <sheetView topLeftCell="A13" workbookViewId="0">
      <selection activeCell="F19" sqref="F19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483</v>
      </c>
      <c r="E3" t="s">
        <v>929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95</v>
      </c>
      <c r="E4" t="s">
        <v>930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931</v>
      </c>
      <c r="E5" t="s">
        <v>930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529</v>
      </c>
      <c r="E6" t="s">
        <v>932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931</v>
      </c>
      <c r="E8" t="s">
        <v>933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934</v>
      </c>
      <c r="E9" t="s">
        <v>933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934</v>
      </c>
      <c r="E11" t="s">
        <v>935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934</v>
      </c>
      <c r="E12" t="s">
        <v>930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936</v>
      </c>
      <c r="E13" t="s">
        <v>937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934</v>
      </c>
      <c r="E14" t="s">
        <v>938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483</v>
      </c>
      <c r="E15" t="s">
        <v>939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95</v>
      </c>
      <c r="E16" t="s">
        <v>940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95</v>
      </c>
      <c r="E18" t="s">
        <v>941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942</v>
      </c>
      <c r="E19" t="s">
        <v>478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943</v>
      </c>
      <c r="E20" t="s">
        <v>939</v>
      </c>
      <c r="F20">
        <v>3</v>
      </c>
    </row>
    <row r="21" spans="1:6">
      <c r="A21" t="s">
        <v>36</v>
      </c>
      <c r="B21" t="s">
        <v>37</v>
      </c>
      <c r="C21" t="s">
        <v>944</v>
      </c>
      <c r="D21" t="s">
        <v>945</v>
      </c>
      <c r="E21" t="s">
        <v>946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934</v>
      </c>
      <c r="E23" t="s">
        <v>935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483</v>
      </c>
      <c r="E24" t="s">
        <v>932</v>
      </c>
      <c r="F24">
        <v>2</v>
      </c>
    </row>
    <row r="25" spans="1:6">
      <c r="A25" t="s">
        <v>40</v>
      </c>
      <c r="B25" t="s">
        <v>41</v>
      </c>
      <c r="C25" t="s">
        <v>947</v>
      </c>
      <c r="D25" t="s">
        <v>948</v>
      </c>
      <c r="E25" t="s">
        <v>932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949</v>
      </c>
      <c r="E26" t="s">
        <v>930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529</v>
      </c>
      <c r="E27" t="s">
        <v>478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483</v>
      </c>
      <c r="E28" t="s">
        <v>940</v>
      </c>
      <c r="F28">
        <v>1</v>
      </c>
    </row>
    <row r="29" spans="1:6">
      <c r="A29" t="s">
        <v>48</v>
      </c>
      <c r="B29" t="s">
        <v>49</v>
      </c>
      <c r="C29" t="s">
        <v>950</v>
      </c>
      <c r="D29" t="s">
        <v>948</v>
      </c>
      <c r="E29" t="s">
        <v>940</v>
      </c>
      <c r="F29">
        <v>5</v>
      </c>
    </row>
    <row r="30" spans="1:6">
      <c r="A30" t="s">
        <v>50</v>
      </c>
      <c r="B30" t="s">
        <v>51</v>
      </c>
      <c r="C30" t="s">
        <v>951</v>
      </c>
      <c r="D30" t="s">
        <v>948</v>
      </c>
      <c r="E30" t="s">
        <v>932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95</v>
      </c>
      <c r="E31" t="s">
        <v>930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931</v>
      </c>
      <c r="E32" t="s">
        <v>930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483</v>
      </c>
      <c r="E33" t="s">
        <v>939</v>
      </c>
      <c r="F33">
        <v>1</v>
      </c>
    </row>
    <row r="34" spans="1:6">
      <c r="A34" t="s">
        <v>52</v>
      </c>
      <c r="B34" t="s">
        <v>53</v>
      </c>
      <c r="C34" t="s">
        <v>952</v>
      </c>
      <c r="D34" t="s">
        <v>529</v>
      </c>
      <c r="E34" t="s">
        <v>953</v>
      </c>
      <c r="F34">
        <v>2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95</v>
      </c>
      <c r="E36" t="s">
        <v>930</v>
      </c>
      <c r="F36">
        <v>1</v>
      </c>
    </row>
    <row r="37" spans="1:6">
      <c r="A37" t="s">
        <v>57</v>
      </c>
      <c r="B37" t="s">
        <v>58</v>
      </c>
      <c r="C37" t="s">
        <v>611</v>
      </c>
      <c r="D37" t="s">
        <v>529</v>
      </c>
      <c r="E37" t="s">
        <v>946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934</v>
      </c>
      <c r="E38" t="s">
        <v>932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954</v>
      </c>
      <c r="E39" t="s">
        <v>492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934</v>
      </c>
      <c r="E41" t="s">
        <v>955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956</v>
      </c>
      <c r="E42" t="s">
        <v>957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931</v>
      </c>
      <c r="E43" t="s">
        <v>938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529</v>
      </c>
      <c r="E44" t="s">
        <v>930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958</v>
      </c>
      <c r="D46" t="s">
        <v>943</v>
      </c>
      <c r="E46" t="s">
        <v>932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483</v>
      </c>
      <c r="E47" t="s">
        <v>940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483</v>
      </c>
      <c r="E48" t="s">
        <v>946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949</v>
      </c>
      <c r="E49" t="s">
        <v>930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934</v>
      </c>
      <c r="E51" t="s">
        <v>946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945</v>
      </c>
      <c r="E52" t="s">
        <v>930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942</v>
      </c>
      <c r="E53" t="s">
        <v>478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483</v>
      </c>
      <c r="E54" t="s">
        <v>939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934</v>
      </c>
      <c r="E55" t="s">
        <v>939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943</v>
      </c>
      <c r="E57" t="s">
        <v>957</v>
      </c>
      <c r="F57">
        <v>1</v>
      </c>
    </row>
    <row r="58" spans="1:6">
      <c r="A58" t="s">
        <v>85</v>
      </c>
      <c r="B58" t="s">
        <v>86</v>
      </c>
      <c r="C58" t="s">
        <v>959</v>
      </c>
      <c r="D58" t="s">
        <v>948</v>
      </c>
      <c r="E58" t="s">
        <v>960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412</v>
      </c>
      <c r="E59" t="s">
        <v>960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483</v>
      </c>
      <c r="E60" t="s">
        <v>939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483</v>
      </c>
      <c r="E61" t="s">
        <v>946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934</v>
      </c>
      <c r="E63" t="s">
        <v>960</v>
      </c>
      <c r="F63">
        <v>2</v>
      </c>
    </row>
    <row r="64" spans="1:6">
      <c r="A64" t="s">
        <v>93</v>
      </c>
      <c r="B64" t="s">
        <v>94</v>
      </c>
      <c r="C64" t="s">
        <v>961</v>
      </c>
      <c r="D64" t="s">
        <v>948</v>
      </c>
      <c r="E64" t="s">
        <v>929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942</v>
      </c>
      <c r="E66" t="s">
        <v>478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95</v>
      </c>
      <c r="E67" t="s">
        <v>955</v>
      </c>
      <c r="F67">
        <v>3</v>
      </c>
    </row>
    <row r="68" spans="1:6">
      <c r="A68" t="s">
        <v>50</v>
      </c>
      <c r="B68" t="s">
        <v>51</v>
      </c>
      <c r="C68" t="s">
        <v>951</v>
      </c>
      <c r="D68" t="s">
        <v>948</v>
      </c>
      <c r="E68" t="s">
        <v>932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412</v>
      </c>
      <c r="E69" t="s">
        <v>933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934</v>
      </c>
      <c r="E70" t="s">
        <v>962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483</v>
      </c>
      <c r="E71" t="s">
        <v>939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934</v>
      </c>
      <c r="E72" t="s">
        <v>946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931</v>
      </c>
      <c r="E74" t="s">
        <v>492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529</v>
      </c>
      <c r="E75" t="s">
        <v>963</v>
      </c>
      <c r="F75">
        <v>5</v>
      </c>
    </row>
    <row r="76" spans="1:6">
      <c r="A76" t="s">
        <v>50</v>
      </c>
      <c r="B76" t="s">
        <v>51</v>
      </c>
      <c r="C76" t="s">
        <v>951</v>
      </c>
      <c r="D76" t="s">
        <v>948</v>
      </c>
      <c r="E76" t="s">
        <v>932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412</v>
      </c>
      <c r="E77" t="s">
        <v>935</v>
      </c>
      <c r="F77">
        <v>2</v>
      </c>
    </row>
    <row r="78" spans="1:6">
      <c r="A78" t="s">
        <v>109</v>
      </c>
      <c r="B78" t="s">
        <v>110</v>
      </c>
      <c r="C78" t="s">
        <v>964</v>
      </c>
      <c r="D78" t="s">
        <v>942</v>
      </c>
      <c r="E78" t="s">
        <v>932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483</v>
      </c>
      <c r="E79" t="s">
        <v>939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943</v>
      </c>
      <c r="E80" t="s">
        <v>962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931</v>
      </c>
      <c r="E82" t="s">
        <v>930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954</v>
      </c>
      <c r="E83" t="s">
        <v>935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529</v>
      </c>
      <c r="E84" t="s">
        <v>930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943</v>
      </c>
      <c r="E85" t="s">
        <v>118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934</v>
      </c>
      <c r="E87" t="s">
        <v>955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943</v>
      </c>
      <c r="E88" t="s">
        <v>933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483</v>
      </c>
      <c r="E89" t="s">
        <v>965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966</v>
      </c>
      <c r="E90" t="s">
        <v>929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483</v>
      </c>
      <c r="E92" t="s">
        <v>946</v>
      </c>
      <c r="F92">
        <v>1</v>
      </c>
    </row>
    <row r="93" spans="1:6">
      <c r="A93" t="s">
        <v>128</v>
      </c>
      <c r="B93" t="s">
        <v>129</v>
      </c>
      <c r="C93" t="s">
        <v>967</v>
      </c>
      <c r="D93" t="s">
        <v>948</v>
      </c>
      <c r="E93" t="s">
        <v>941</v>
      </c>
      <c r="F93">
        <v>4</v>
      </c>
    </row>
    <row r="94" spans="1:6">
      <c r="A94" t="s">
        <v>130</v>
      </c>
      <c r="B94" t="s">
        <v>131</v>
      </c>
      <c r="C94" t="s">
        <v>968</v>
      </c>
      <c r="D94" t="s">
        <v>948</v>
      </c>
      <c r="E94" t="s">
        <v>955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483</v>
      </c>
      <c r="E95" t="s">
        <v>939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934</v>
      </c>
      <c r="E96" t="s">
        <v>935</v>
      </c>
      <c r="F96">
        <v>2</v>
      </c>
    </row>
    <row r="97" spans="1:6">
      <c r="A97" t="s">
        <v>134</v>
      </c>
      <c r="B97" t="s">
        <v>135</v>
      </c>
      <c r="C97" t="s">
        <v>969</v>
      </c>
      <c r="D97" t="s">
        <v>936</v>
      </c>
      <c r="E97" t="s">
        <v>932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954</v>
      </c>
      <c r="E99" t="s">
        <v>930</v>
      </c>
      <c r="F99">
        <v>5</v>
      </c>
    </row>
    <row r="100" spans="1:6">
      <c r="A100" t="s">
        <v>138</v>
      </c>
      <c r="B100" t="s">
        <v>139</v>
      </c>
      <c r="C100" t="s">
        <v>970</v>
      </c>
      <c r="D100" t="s">
        <v>945</v>
      </c>
      <c r="E100" t="s">
        <v>478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949</v>
      </c>
      <c r="E101" t="s">
        <v>930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483</v>
      </c>
      <c r="E102" t="s">
        <v>939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945</v>
      </c>
      <c r="E103" t="s">
        <v>933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936</v>
      </c>
      <c r="E104" t="s">
        <v>929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529</v>
      </c>
      <c r="E106" t="s">
        <v>957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529</v>
      </c>
      <c r="E107" t="s">
        <v>957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529</v>
      </c>
      <c r="E108" t="s">
        <v>935</v>
      </c>
      <c r="F108">
        <v>5</v>
      </c>
    </row>
    <row r="109" spans="1:6">
      <c r="A109" t="s">
        <v>134</v>
      </c>
      <c r="B109" t="s">
        <v>150</v>
      </c>
      <c r="C109" t="s">
        <v>664</v>
      </c>
      <c r="D109" t="s">
        <v>936</v>
      </c>
      <c r="E109" t="s">
        <v>939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931</v>
      </c>
      <c r="E110" t="s">
        <v>930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529</v>
      </c>
      <c r="E111" t="s">
        <v>932</v>
      </c>
      <c r="F111">
        <v>1</v>
      </c>
    </row>
    <row r="112" spans="1:6">
      <c r="A112" t="s">
        <v>155</v>
      </c>
      <c r="B112" t="s">
        <v>156</v>
      </c>
      <c r="C112" t="s">
        <v>971</v>
      </c>
      <c r="D112" t="s">
        <v>942</v>
      </c>
      <c r="E112" t="s">
        <v>932</v>
      </c>
      <c r="F112">
        <v>7</v>
      </c>
    </row>
    <row r="113" spans="1:6">
      <c r="A113" t="s">
        <v>57</v>
      </c>
      <c r="B113" t="s">
        <v>58</v>
      </c>
      <c r="C113" t="s">
        <v>611</v>
      </c>
      <c r="D113" t="s">
        <v>529</v>
      </c>
      <c r="E113" t="s">
        <v>946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936</v>
      </c>
      <c r="E115" t="s">
        <v>939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931</v>
      </c>
      <c r="E116" t="s">
        <v>938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412</v>
      </c>
      <c r="E117" t="s">
        <v>939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943</v>
      </c>
      <c r="E118" t="s">
        <v>939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934</v>
      </c>
      <c r="E119" t="s">
        <v>935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483</v>
      </c>
      <c r="E120" t="s">
        <v>939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956</v>
      </c>
      <c r="E122" t="s">
        <v>960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956</v>
      </c>
      <c r="E123" t="s">
        <v>960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529</v>
      </c>
      <c r="E124" t="s">
        <v>935</v>
      </c>
      <c r="F124">
        <v>5</v>
      </c>
    </row>
    <row r="125" spans="1:6">
      <c r="A125" t="s">
        <v>134</v>
      </c>
      <c r="B125" t="s">
        <v>135</v>
      </c>
      <c r="C125" t="s">
        <v>969</v>
      </c>
      <c r="D125" t="s">
        <v>936</v>
      </c>
      <c r="E125" t="s">
        <v>932</v>
      </c>
      <c r="F125">
        <v>5</v>
      </c>
    </row>
    <row r="126" spans="1:6">
      <c r="A126" t="s">
        <v>166</v>
      </c>
      <c r="B126" t="s">
        <v>167</v>
      </c>
      <c r="C126" t="s">
        <v>972</v>
      </c>
      <c r="D126" t="s">
        <v>948</v>
      </c>
      <c r="E126" t="s">
        <v>955</v>
      </c>
      <c r="F126">
        <v>5</v>
      </c>
    </row>
    <row r="127" spans="1:6">
      <c r="A127" t="s">
        <v>168</v>
      </c>
      <c r="B127" t="s">
        <v>169</v>
      </c>
      <c r="C127" t="s">
        <v>973</v>
      </c>
      <c r="D127" t="s">
        <v>934</v>
      </c>
      <c r="E127" t="s">
        <v>974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412</v>
      </c>
      <c r="E128" t="s">
        <v>933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954</v>
      </c>
      <c r="E129" t="s">
        <v>937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947</v>
      </c>
      <c r="D131" t="s">
        <v>948</v>
      </c>
      <c r="E131" t="s">
        <v>932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529</v>
      </c>
      <c r="E132" t="s">
        <v>975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936</v>
      </c>
      <c r="E133" t="s">
        <v>939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412</v>
      </c>
      <c r="E134" t="s">
        <v>930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934</v>
      </c>
      <c r="E135" t="s">
        <v>929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951</v>
      </c>
      <c r="D137" t="s">
        <v>948</v>
      </c>
      <c r="E137" t="s">
        <v>932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934</v>
      </c>
      <c r="E138" t="s">
        <v>939</v>
      </c>
      <c r="F138">
        <v>2</v>
      </c>
    </row>
    <row r="139" spans="1:6">
      <c r="A139" t="s">
        <v>183</v>
      </c>
      <c r="B139" t="s">
        <v>184</v>
      </c>
      <c r="C139" t="s">
        <v>976</v>
      </c>
      <c r="D139" t="s">
        <v>948</v>
      </c>
      <c r="E139" t="s">
        <v>937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483</v>
      </c>
      <c r="E140" t="s">
        <v>940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954</v>
      </c>
      <c r="E141" t="s">
        <v>933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934</v>
      </c>
      <c r="E142" t="s">
        <v>937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949</v>
      </c>
      <c r="E144" t="s">
        <v>935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529</v>
      </c>
      <c r="E145" t="s">
        <v>929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936</v>
      </c>
      <c r="E146" t="s">
        <v>939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943</v>
      </c>
      <c r="E147" t="s">
        <v>957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483</v>
      </c>
      <c r="E148" t="s">
        <v>939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943</v>
      </c>
      <c r="E150" t="s">
        <v>957</v>
      </c>
      <c r="F150">
        <v>1</v>
      </c>
    </row>
    <row r="151" spans="1:6">
      <c r="A151" t="s">
        <v>193</v>
      </c>
      <c r="B151" t="s">
        <v>194</v>
      </c>
      <c r="C151" t="s">
        <v>977</v>
      </c>
      <c r="D151" t="s">
        <v>948</v>
      </c>
      <c r="E151" t="s">
        <v>478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943</v>
      </c>
      <c r="E155" t="s">
        <v>963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483</v>
      </c>
      <c r="E156" t="s">
        <v>978</v>
      </c>
      <c r="F156">
        <v>7</v>
      </c>
    </row>
    <row r="157" spans="1:6">
      <c r="A157" t="s">
        <v>201</v>
      </c>
      <c r="B157" t="s">
        <v>202</v>
      </c>
      <c r="C157" t="s">
        <v>979</v>
      </c>
      <c r="D157" t="s">
        <v>529</v>
      </c>
      <c r="E157" t="s">
        <v>974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954</v>
      </c>
      <c r="E158" t="s">
        <v>962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483</v>
      </c>
      <c r="E159" t="s">
        <v>946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943</v>
      </c>
      <c r="E161" t="s">
        <v>930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949</v>
      </c>
      <c r="E162" t="s">
        <v>933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945</v>
      </c>
      <c r="E163" t="s">
        <v>930</v>
      </c>
      <c r="F163">
        <v>5</v>
      </c>
    </row>
    <row r="164" spans="1:6">
      <c r="A164" t="s">
        <v>201</v>
      </c>
      <c r="B164" t="s">
        <v>202</v>
      </c>
      <c r="C164" t="s">
        <v>979</v>
      </c>
      <c r="D164" t="s">
        <v>529</v>
      </c>
      <c r="E164" t="s">
        <v>974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934</v>
      </c>
      <c r="E165" t="s">
        <v>935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954</v>
      </c>
      <c r="E166" t="s">
        <v>940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943</v>
      </c>
      <c r="E167" t="s">
        <v>933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945</v>
      </c>
      <c r="E169" t="s">
        <v>960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945</v>
      </c>
      <c r="E170" t="s">
        <v>960</v>
      </c>
      <c r="F170">
        <v>2</v>
      </c>
    </row>
    <row r="171" spans="1:6">
      <c r="A171" t="s">
        <v>201</v>
      </c>
      <c r="B171" t="s">
        <v>202</v>
      </c>
      <c r="C171" t="s">
        <v>979</v>
      </c>
      <c r="D171" t="s">
        <v>529</v>
      </c>
      <c r="E171" t="s">
        <v>974</v>
      </c>
      <c r="F171">
        <v>5</v>
      </c>
    </row>
    <row r="172" spans="1:6">
      <c r="A172" t="s">
        <v>217</v>
      </c>
      <c r="B172" t="s">
        <v>218</v>
      </c>
      <c r="C172" t="s">
        <v>980</v>
      </c>
      <c r="D172" t="s">
        <v>948</v>
      </c>
      <c r="E172" t="s">
        <v>932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529</v>
      </c>
      <c r="E173" t="s">
        <v>981</v>
      </c>
      <c r="F173">
        <v>5</v>
      </c>
    </row>
    <row r="174" spans="1:6">
      <c r="A174" t="s">
        <v>29</v>
      </c>
    </row>
    <row r="175" spans="1:6">
      <c r="A175" t="s">
        <v>36</v>
      </c>
      <c r="B175" t="s">
        <v>221</v>
      </c>
      <c r="C175" t="s">
        <v>982</v>
      </c>
      <c r="D175" t="s">
        <v>945</v>
      </c>
      <c r="E175" t="s">
        <v>946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945</v>
      </c>
      <c r="E176" t="s">
        <v>939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936</v>
      </c>
      <c r="E177" t="s">
        <v>941</v>
      </c>
      <c r="F177">
        <v>5</v>
      </c>
    </row>
    <row r="178" spans="1:6">
      <c r="A178" t="s">
        <v>201</v>
      </c>
      <c r="B178" t="s">
        <v>202</v>
      </c>
      <c r="C178" t="s">
        <v>979</v>
      </c>
      <c r="D178" t="s">
        <v>529</v>
      </c>
      <c r="E178" t="s">
        <v>974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966</v>
      </c>
      <c r="E179" t="s">
        <v>929</v>
      </c>
      <c r="F179">
        <v>1</v>
      </c>
    </row>
    <row r="180" spans="1:6">
      <c r="A180" t="s">
        <v>128</v>
      </c>
      <c r="B180" t="s">
        <v>129</v>
      </c>
      <c r="C180" t="s">
        <v>967</v>
      </c>
      <c r="D180" t="s">
        <v>948</v>
      </c>
      <c r="E180" t="s">
        <v>941</v>
      </c>
      <c r="F180">
        <v>4</v>
      </c>
    </row>
    <row r="181" spans="1:6">
      <c r="A181" t="s">
        <v>226</v>
      </c>
      <c r="B181" t="s">
        <v>227</v>
      </c>
      <c r="C181" t="s">
        <v>713</v>
      </c>
      <c r="D181" t="s">
        <v>529</v>
      </c>
      <c r="E181" t="s">
        <v>946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949</v>
      </c>
      <c r="E185" t="s">
        <v>930</v>
      </c>
      <c r="F185">
        <v>4</v>
      </c>
    </row>
    <row r="186" spans="1:6">
      <c r="A186" t="s">
        <v>229</v>
      </c>
      <c r="B186" t="s">
        <v>230</v>
      </c>
      <c r="C186" t="s">
        <v>983</v>
      </c>
      <c r="D186" t="s">
        <v>948</v>
      </c>
      <c r="E186" t="s">
        <v>940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95</v>
      </c>
      <c r="E187" t="s">
        <v>955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412</v>
      </c>
      <c r="E188" t="s">
        <v>933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934</v>
      </c>
      <c r="E189" t="s">
        <v>960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483</v>
      </c>
      <c r="E190" t="s">
        <v>984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985</v>
      </c>
      <c r="D192" t="s">
        <v>948</v>
      </c>
      <c r="E192" t="s">
        <v>939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943</v>
      </c>
      <c r="E193" t="s">
        <v>957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936</v>
      </c>
      <c r="E194" t="s">
        <v>939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529</v>
      </c>
      <c r="E195" t="s">
        <v>957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483</v>
      </c>
      <c r="E196" t="s">
        <v>939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943</v>
      </c>
      <c r="E198" t="s">
        <v>939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934</v>
      </c>
      <c r="E199" t="s">
        <v>930</v>
      </c>
      <c r="F199">
        <v>1</v>
      </c>
    </row>
    <row r="200" spans="1:6">
      <c r="A200" t="s">
        <v>245</v>
      </c>
      <c r="B200" t="s">
        <v>246</v>
      </c>
      <c r="C200" t="s">
        <v>986</v>
      </c>
      <c r="D200" t="s">
        <v>948</v>
      </c>
      <c r="E200" t="s">
        <v>935</v>
      </c>
      <c r="F200">
        <v>1</v>
      </c>
    </row>
    <row r="201" spans="1:6">
      <c r="A201" t="s">
        <v>245</v>
      </c>
      <c r="B201" t="s">
        <v>246</v>
      </c>
      <c r="C201" t="s">
        <v>986</v>
      </c>
      <c r="D201" t="s">
        <v>948</v>
      </c>
      <c r="E201" t="s">
        <v>935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936</v>
      </c>
      <c r="E202" t="s">
        <v>929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969</v>
      </c>
      <c r="D204" t="s">
        <v>936</v>
      </c>
      <c r="E204" t="s">
        <v>932</v>
      </c>
      <c r="F204">
        <v>5</v>
      </c>
    </row>
    <row r="205" spans="1:6">
      <c r="A205" t="s">
        <v>247</v>
      </c>
      <c r="B205" t="s">
        <v>248</v>
      </c>
      <c r="C205" t="s">
        <v>987</v>
      </c>
      <c r="D205" t="s">
        <v>948</v>
      </c>
      <c r="E205" t="s">
        <v>478</v>
      </c>
      <c r="F205">
        <v>1</v>
      </c>
    </row>
    <row r="206" spans="1:6">
      <c r="A206" t="s">
        <v>134</v>
      </c>
      <c r="B206" t="s">
        <v>135</v>
      </c>
      <c r="C206" t="s">
        <v>969</v>
      </c>
      <c r="D206" t="s">
        <v>936</v>
      </c>
      <c r="E206" t="s">
        <v>932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945</v>
      </c>
      <c r="E207" t="s">
        <v>935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969</v>
      </c>
      <c r="D209" t="s">
        <v>936</v>
      </c>
      <c r="E209" t="s">
        <v>932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949</v>
      </c>
      <c r="E210" t="s">
        <v>937</v>
      </c>
      <c r="F210">
        <v>4</v>
      </c>
    </row>
    <row r="211" spans="1:6">
      <c r="A211" t="s">
        <v>134</v>
      </c>
      <c r="B211" t="s">
        <v>135</v>
      </c>
      <c r="C211" t="s">
        <v>969</v>
      </c>
      <c r="D211" t="s">
        <v>936</v>
      </c>
      <c r="E211" t="s">
        <v>932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934</v>
      </c>
      <c r="E212" t="s">
        <v>935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980</v>
      </c>
      <c r="D214" t="s">
        <v>948</v>
      </c>
      <c r="E214" t="s">
        <v>932</v>
      </c>
      <c r="F214">
        <v>5</v>
      </c>
    </row>
    <row r="215" spans="1:6">
      <c r="A215" t="s">
        <v>255</v>
      </c>
      <c r="B215" t="s">
        <v>256</v>
      </c>
      <c r="C215" t="s">
        <v>988</v>
      </c>
      <c r="D215" t="s">
        <v>948</v>
      </c>
      <c r="E215" t="s">
        <v>937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954</v>
      </c>
      <c r="E216" t="s">
        <v>960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954</v>
      </c>
      <c r="E217" t="s">
        <v>960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931</v>
      </c>
      <c r="E219" t="s">
        <v>938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483</v>
      </c>
      <c r="E220" t="s">
        <v>478</v>
      </c>
      <c r="F220">
        <v>8</v>
      </c>
    </row>
    <row r="221" spans="1:6">
      <c r="A221" t="s">
        <v>134</v>
      </c>
      <c r="B221" t="s">
        <v>150</v>
      </c>
      <c r="C221" t="s">
        <v>664</v>
      </c>
      <c r="D221" t="s">
        <v>936</v>
      </c>
      <c r="E221" t="s">
        <v>939</v>
      </c>
      <c r="F221">
        <v>5</v>
      </c>
    </row>
    <row r="222" spans="1:6">
      <c r="A222" t="s">
        <v>261</v>
      </c>
      <c r="B222" t="s">
        <v>262</v>
      </c>
      <c r="C222" t="s">
        <v>989</v>
      </c>
      <c r="D222" t="s">
        <v>954</v>
      </c>
      <c r="E222" t="s">
        <v>932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945</v>
      </c>
      <c r="E224" t="s">
        <v>932</v>
      </c>
      <c r="F224">
        <v>2</v>
      </c>
    </row>
    <row r="225" spans="1:6">
      <c r="A225" t="s">
        <v>265</v>
      </c>
      <c r="B225" t="s">
        <v>266</v>
      </c>
      <c r="C225" t="s">
        <v>990</v>
      </c>
      <c r="D225" t="s">
        <v>948</v>
      </c>
      <c r="E225" t="s">
        <v>940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529</v>
      </c>
      <c r="E226" t="s">
        <v>933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483</v>
      </c>
      <c r="E227" t="s">
        <v>939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483</v>
      </c>
      <c r="E228" t="s">
        <v>965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943</v>
      </c>
      <c r="E229" t="s">
        <v>978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949</v>
      </c>
      <c r="E231" t="s">
        <v>937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943</v>
      </c>
      <c r="E232" t="s">
        <v>935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483</v>
      </c>
      <c r="E233" t="s">
        <v>940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483</v>
      </c>
      <c r="E234" t="s">
        <v>939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954</v>
      </c>
      <c r="E235" t="s">
        <v>939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529</v>
      </c>
      <c r="E236" t="s">
        <v>932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934</v>
      </c>
      <c r="E238" t="s">
        <v>935</v>
      </c>
      <c r="F238">
        <v>1</v>
      </c>
    </row>
    <row r="239" spans="1:6">
      <c r="A239" t="s">
        <v>38</v>
      </c>
      <c r="B239" t="s">
        <v>163</v>
      </c>
      <c r="C239" t="s">
        <v>677</v>
      </c>
      <c r="D239" t="s">
        <v>483</v>
      </c>
      <c r="E239" t="s">
        <v>939</v>
      </c>
      <c r="F239">
        <v>2</v>
      </c>
    </row>
    <row r="240" spans="1:6">
      <c r="A240" t="s">
        <v>279</v>
      </c>
      <c r="B240" t="s">
        <v>280</v>
      </c>
      <c r="C240" t="s">
        <v>740</v>
      </c>
      <c r="D240" t="s">
        <v>95</v>
      </c>
      <c r="E240" t="s">
        <v>960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936</v>
      </c>
      <c r="E241" t="s">
        <v>929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483</v>
      </c>
      <c r="E243" t="s">
        <v>930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943</v>
      </c>
      <c r="E244" t="s">
        <v>937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942</v>
      </c>
      <c r="E245" t="s">
        <v>955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483</v>
      </c>
      <c r="E246" t="s">
        <v>957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936</v>
      </c>
      <c r="E248" t="s">
        <v>939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945</v>
      </c>
      <c r="E249" t="s">
        <v>938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949</v>
      </c>
      <c r="E250" t="s">
        <v>930</v>
      </c>
      <c r="F250">
        <v>4</v>
      </c>
    </row>
    <row r="251" spans="1:6">
      <c r="A251" t="s">
        <v>193</v>
      </c>
      <c r="B251" t="s">
        <v>194</v>
      </c>
      <c r="C251" t="s">
        <v>977</v>
      </c>
      <c r="D251" t="s">
        <v>948</v>
      </c>
      <c r="E251" t="s">
        <v>478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529</v>
      </c>
      <c r="E255" t="s">
        <v>957</v>
      </c>
      <c r="F255">
        <v>5</v>
      </c>
    </row>
    <row r="256" spans="1:6">
      <c r="A256" t="s">
        <v>292</v>
      </c>
      <c r="B256" t="s">
        <v>293</v>
      </c>
      <c r="C256" t="s">
        <v>991</v>
      </c>
      <c r="D256" t="s">
        <v>948</v>
      </c>
      <c r="E256" t="s">
        <v>955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943</v>
      </c>
      <c r="E257" t="s">
        <v>939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936</v>
      </c>
      <c r="E258" t="s">
        <v>929</v>
      </c>
      <c r="F258">
        <v>5</v>
      </c>
    </row>
    <row r="259" spans="1:6">
      <c r="A259" t="s">
        <v>294</v>
      </c>
      <c r="B259" t="s">
        <v>295</v>
      </c>
      <c r="C259" t="s">
        <v>992</v>
      </c>
      <c r="D259" t="s">
        <v>948</v>
      </c>
      <c r="E259" t="s">
        <v>984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949</v>
      </c>
      <c r="E263" t="s">
        <v>930</v>
      </c>
      <c r="F263">
        <v>4</v>
      </c>
    </row>
    <row r="264" spans="1:6">
      <c r="A264" t="s">
        <v>193</v>
      </c>
      <c r="B264" t="s">
        <v>194</v>
      </c>
      <c r="C264" t="s">
        <v>977</v>
      </c>
      <c r="D264" t="s">
        <v>948</v>
      </c>
      <c r="E264" t="s">
        <v>478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942</v>
      </c>
      <c r="E270" t="s">
        <v>478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945</v>
      </c>
      <c r="E271" t="s">
        <v>930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934</v>
      </c>
      <c r="E272" t="s">
        <v>930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529</v>
      </c>
      <c r="E273" t="s">
        <v>939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986</v>
      </c>
      <c r="D275" t="s">
        <v>948</v>
      </c>
      <c r="E275" t="s">
        <v>935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95</v>
      </c>
      <c r="E276" t="s">
        <v>946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954</v>
      </c>
      <c r="E277" t="s">
        <v>993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529</v>
      </c>
      <c r="E278" t="s">
        <v>955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95</v>
      </c>
      <c r="E282" t="s">
        <v>932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529</v>
      </c>
      <c r="E283" t="s">
        <v>955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483</v>
      </c>
      <c r="E284" t="s">
        <v>957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945</v>
      </c>
      <c r="E285" t="s">
        <v>930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412</v>
      </c>
      <c r="E286" t="s">
        <v>930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483</v>
      </c>
      <c r="E287" t="s">
        <v>939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934</v>
      </c>
      <c r="E288" t="s">
        <v>939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529</v>
      </c>
      <c r="E289" t="s">
        <v>935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934</v>
      </c>
      <c r="E291" t="s">
        <v>974</v>
      </c>
      <c r="F291">
        <v>1</v>
      </c>
    </row>
    <row r="292" spans="1:6">
      <c r="A292" t="s">
        <v>36</v>
      </c>
      <c r="B292" t="s">
        <v>221</v>
      </c>
      <c r="C292" t="s">
        <v>982</v>
      </c>
      <c r="D292" t="s">
        <v>945</v>
      </c>
      <c r="E292" t="s">
        <v>946</v>
      </c>
      <c r="F292">
        <v>5</v>
      </c>
    </row>
    <row r="293" spans="1:6">
      <c r="A293" t="s">
        <v>320</v>
      </c>
      <c r="B293" t="s">
        <v>53</v>
      </c>
      <c r="C293" t="s">
        <v>952</v>
      </c>
      <c r="D293" t="s">
        <v>529</v>
      </c>
      <c r="E293" t="s">
        <v>953</v>
      </c>
      <c r="F293">
        <v>2</v>
      </c>
    </row>
    <row r="294" spans="1:6">
      <c r="A294" t="s">
        <v>321</v>
      </c>
      <c r="B294" t="s">
        <v>322</v>
      </c>
      <c r="C294" t="s">
        <v>760</v>
      </c>
      <c r="D294" t="s">
        <v>949</v>
      </c>
      <c r="E294" t="s">
        <v>935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412</v>
      </c>
      <c r="E296" t="s">
        <v>933</v>
      </c>
      <c r="F296">
        <v>1</v>
      </c>
    </row>
    <row r="297" spans="1:6">
      <c r="A297" t="s">
        <v>36</v>
      </c>
      <c r="B297" t="s">
        <v>221</v>
      </c>
      <c r="C297" t="s">
        <v>982</v>
      </c>
      <c r="D297" t="s">
        <v>945</v>
      </c>
      <c r="E297" t="s">
        <v>946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945</v>
      </c>
      <c r="E298" t="s">
        <v>932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95</v>
      </c>
      <c r="E299" t="s">
        <v>946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934</v>
      </c>
      <c r="E301" t="s">
        <v>962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95</v>
      </c>
      <c r="E302" t="s">
        <v>478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934</v>
      </c>
      <c r="E303" t="s">
        <v>946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945</v>
      </c>
      <c r="E304" t="s">
        <v>940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994</v>
      </c>
      <c r="D306" t="s">
        <v>948</v>
      </c>
      <c r="E306" t="s">
        <v>938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529</v>
      </c>
      <c r="E307" t="s">
        <v>935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95</v>
      </c>
      <c r="E308" t="s">
        <v>933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95</v>
      </c>
      <c r="E309" t="s">
        <v>933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95</v>
      </c>
      <c r="E311" t="s">
        <v>932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529</v>
      </c>
      <c r="E312" t="s">
        <v>955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945</v>
      </c>
      <c r="E313" t="s">
        <v>930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412</v>
      </c>
      <c r="E314" t="s">
        <v>930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483</v>
      </c>
      <c r="E315" t="s">
        <v>939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949</v>
      </c>
      <c r="E316" t="s">
        <v>938</v>
      </c>
      <c r="F316">
        <v>3</v>
      </c>
    </row>
    <row r="317" spans="1:6">
      <c r="A317" t="s">
        <v>50</v>
      </c>
      <c r="B317" t="s">
        <v>51</v>
      </c>
      <c r="C317" t="s">
        <v>951</v>
      </c>
      <c r="D317" t="s">
        <v>948</v>
      </c>
      <c r="E317" t="s">
        <v>932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483</v>
      </c>
      <c r="E318" t="s">
        <v>940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954</v>
      </c>
      <c r="E319" t="s">
        <v>933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483</v>
      </c>
      <c r="E320" t="s">
        <v>984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529</v>
      </c>
      <c r="E321" t="s">
        <v>935</v>
      </c>
      <c r="F321">
        <v>5</v>
      </c>
    </row>
    <row r="322" spans="1:6">
      <c r="A322" t="s">
        <v>296</v>
      </c>
    </row>
    <row r="323" spans="1:6">
      <c r="A323" t="s">
        <v>226</v>
      </c>
      <c r="B323" t="s">
        <v>227</v>
      </c>
      <c r="C323" t="s">
        <v>713</v>
      </c>
      <c r="D323" t="s">
        <v>529</v>
      </c>
      <c r="E323" t="s">
        <v>946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943</v>
      </c>
      <c r="E324" t="s">
        <v>939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956</v>
      </c>
      <c r="E325" t="s">
        <v>957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943</v>
      </c>
      <c r="E326" t="s">
        <v>930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483</v>
      </c>
      <c r="E327" t="s">
        <v>940</v>
      </c>
      <c r="F327">
        <v>1</v>
      </c>
    </row>
    <row r="328" spans="1:6">
      <c r="A328" t="s">
        <v>29</v>
      </c>
    </row>
    <row r="329" spans="1:6">
      <c r="A329" t="s">
        <v>52</v>
      </c>
      <c r="B329" t="s">
        <v>53</v>
      </c>
      <c r="C329" t="s">
        <v>952</v>
      </c>
      <c r="D329" t="s">
        <v>529</v>
      </c>
      <c r="E329" t="s">
        <v>953</v>
      </c>
      <c r="F329">
        <v>2</v>
      </c>
    </row>
    <row r="330" spans="1:6">
      <c r="A330" t="s">
        <v>118</v>
      </c>
      <c r="B330" t="s">
        <v>119</v>
      </c>
      <c r="C330" t="s">
        <v>654</v>
      </c>
      <c r="D330" t="s">
        <v>943</v>
      </c>
      <c r="E330" t="s">
        <v>118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954</v>
      </c>
      <c r="E331" t="s">
        <v>930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934</v>
      </c>
      <c r="E333" t="s">
        <v>938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954</v>
      </c>
      <c r="E334" t="s">
        <v>940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936</v>
      </c>
      <c r="E335" t="s">
        <v>939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412</v>
      </c>
      <c r="E336" t="s">
        <v>933</v>
      </c>
      <c r="F336">
        <v>1</v>
      </c>
    </row>
    <row r="337" spans="1:6">
      <c r="A337" t="s">
        <v>294</v>
      </c>
      <c r="B337" t="s">
        <v>295</v>
      </c>
      <c r="C337" t="s">
        <v>992</v>
      </c>
      <c r="D337" t="s">
        <v>948</v>
      </c>
      <c r="E337" t="s">
        <v>984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412</v>
      </c>
      <c r="E339" t="s">
        <v>946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954</v>
      </c>
      <c r="E340" t="s">
        <v>935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95</v>
      </c>
      <c r="E341" t="s">
        <v>929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954</v>
      </c>
      <c r="E342" t="s">
        <v>939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483</v>
      </c>
      <c r="E344" t="s">
        <v>930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943</v>
      </c>
      <c r="E345" t="s">
        <v>939</v>
      </c>
      <c r="F345">
        <v>5</v>
      </c>
    </row>
    <row r="346" spans="1:6">
      <c r="A346" t="s">
        <v>360</v>
      </c>
      <c r="B346" t="s">
        <v>361</v>
      </c>
      <c r="C346" t="s">
        <v>995</v>
      </c>
      <c r="D346" t="s">
        <v>931</v>
      </c>
      <c r="E346" t="s">
        <v>974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949</v>
      </c>
      <c r="E347" t="s">
        <v>933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934</v>
      </c>
      <c r="E349" t="s">
        <v>932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483</v>
      </c>
      <c r="E350" t="s">
        <v>940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954</v>
      </c>
      <c r="E351" t="s">
        <v>937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943</v>
      </c>
      <c r="E352" t="s">
        <v>118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529</v>
      </c>
      <c r="E354" t="s">
        <v>930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934</v>
      </c>
      <c r="E355" t="s">
        <v>933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529</v>
      </c>
      <c r="E356" t="s">
        <v>932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934</v>
      </c>
      <c r="E357" t="s">
        <v>939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943</v>
      </c>
      <c r="E359" t="s">
        <v>935</v>
      </c>
      <c r="F359">
        <v>3</v>
      </c>
    </row>
    <row r="360" spans="1:6">
      <c r="A360" t="s">
        <v>128</v>
      </c>
      <c r="B360" t="s">
        <v>129</v>
      </c>
      <c r="C360" t="s">
        <v>967</v>
      </c>
      <c r="D360" t="s">
        <v>948</v>
      </c>
      <c r="E360" t="s">
        <v>941</v>
      </c>
      <c r="F360">
        <v>4</v>
      </c>
    </row>
    <row r="361" spans="1:6">
      <c r="A361" t="s">
        <v>168</v>
      </c>
      <c r="B361" t="s">
        <v>169</v>
      </c>
      <c r="C361" t="s">
        <v>973</v>
      </c>
      <c r="D361" t="s">
        <v>934</v>
      </c>
      <c r="E361" t="s">
        <v>974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483</v>
      </c>
      <c r="E362" t="s">
        <v>939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529</v>
      </c>
      <c r="E363" t="s">
        <v>946</v>
      </c>
      <c r="F363">
        <v>5</v>
      </c>
    </row>
    <row r="364" spans="1:6">
      <c r="A364" t="s">
        <v>294</v>
      </c>
      <c r="B364" t="s">
        <v>295</v>
      </c>
      <c r="C364" t="s">
        <v>992</v>
      </c>
      <c r="D364" t="s">
        <v>948</v>
      </c>
      <c r="E364" t="s">
        <v>984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936</v>
      </c>
      <c r="E366" t="s">
        <v>939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943</v>
      </c>
      <c r="E367" t="s">
        <v>937</v>
      </c>
      <c r="F367">
        <v>1</v>
      </c>
    </row>
    <row r="368" spans="1:6">
      <c r="A368" t="s">
        <v>373</v>
      </c>
      <c r="B368" t="s">
        <v>374</v>
      </c>
      <c r="C368" t="s">
        <v>996</v>
      </c>
      <c r="D368" t="s">
        <v>948</v>
      </c>
      <c r="E368" t="s">
        <v>962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483</v>
      </c>
      <c r="E369" t="s">
        <v>492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483</v>
      </c>
      <c r="E370" t="s">
        <v>492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529</v>
      </c>
      <c r="E372" t="s">
        <v>933</v>
      </c>
      <c r="F372">
        <v>3</v>
      </c>
    </row>
    <row r="373" spans="1:6">
      <c r="A373" t="s">
        <v>381</v>
      </c>
      <c r="B373" t="s">
        <v>382</v>
      </c>
      <c r="C373" t="s">
        <v>786</v>
      </c>
      <c r="D373" t="s">
        <v>942</v>
      </c>
      <c r="E373" t="s">
        <v>935</v>
      </c>
      <c r="F373">
        <v>5</v>
      </c>
    </row>
    <row r="374" spans="1:6">
      <c r="A374" t="s">
        <v>40</v>
      </c>
      <c r="B374" t="s">
        <v>41</v>
      </c>
      <c r="C374" t="s">
        <v>947</v>
      </c>
      <c r="D374" t="s">
        <v>948</v>
      </c>
      <c r="E374" t="s">
        <v>932</v>
      </c>
      <c r="F374">
        <v>2</v>
      </c>
    </row>
    <row r="375" spans="1:6">
      <c r="A375" t="s">
        <v>38</v>
      </c>
      <c r="B375" t="s">
        <v>163</v>
      </c>
      <c r="C375" t="s">
        <v>677</v>
      </c>
      <c r="D375" t="s">
        <v>483</v>
      </c>
      <c r="E375" t="s">
        <v>939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964</v>
      </c>
      <c r="D377" t="s">
        <v>942</v>
      </c>
      <c r="E377" t="s">
        <v>932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483</v>
      </c>
      <c r="E378" t="s">
        <v>960</v>
      </c>
      <c r="F378">
        <v>5</v>
      </c>
    </row>
    <row r="379" spans="1:6">
      <c r="A379" t="s">
        <v>50</v>
      </c>
      <c r="B379" t="s">
        <v>51</v>
      </c>
      <c r="C379" t="s">
        <v>951</v>
      </c>
      <c r="D379" t="s">
        <v>948</v>
      </c>
      <c r="E379" t="s">
        <v>932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943</v>
      </c>
      <c r="E380" t="s">
        <v>118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483</v>
      </c>
      <c r="E381" t="s">
        <v>932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483</v>
      </c>
      <c r="E382" t="s">
        <v>939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934</v>
      </c>
      <c r="E383" t="s">
        <v>946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997</v>
      </c>
      <c r="D385" t="s">
        <v>954</v>
      </c>
      <c r="E385" t="s">
        <v>932</v>
      </c>
      <c r="F385">
        <v>7</v>
      </c>
    </row>
    <row r="386" spans="1:6">
      <c r="A386" t="s">
        <v>389</v>
      </c>
      <c r="B386" t="s">
        <v>110</v>
      </c>
      <c r="C386" t="s">
        <v>964</v>
      </c>
      <c r="D386" t="s">
        <v>942</v>
      </c>
      <c r="E386" t="s">
        <v>932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529</v>
      </c>
      <c r="E387" t="s">
        <v>998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936</v>
      </c>
      <c r="E388" t="s">
        <v>939</v>
      </c>
      <c r="F388">
        <v>5</v>
      </c>
    </row>
    <row r="389" spans="1:6">
      <c r="A389" t="s">
        <v>392</v>
      </c>
      <c r="B389" t="s">
        <v>230</v>
      </c>
      <c r="C389" t="s">
        <v>983</v>
      </c>
      <c r="D389" t="s">
        <v>948</v>
      </c>
      <c r="E389" t="s">
        <v>940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945</v>
      </c>
      <c r="E390" t="s">
        <v>939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954</v>
      </c>
      <c r="E391" t="s">
        <v>933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999</v>
      </c>
      <c r="D393" t="s">
        <v>943</v>
      </c>
      <c r="E393" t="s">
        <v>953</v>
      </c>
      <c r="F393">
        <v>3</v>
      </c>
    </row>
    <row r="394" spans="1:6">
      <c r="A394" t="s">
        <v>128</v>
      </c>
      <c r="B394" t="s">
        <v>129</v>
      </c>
      <c r="C394" t="s">
        <v>967</v>
      </c>
      <c r="D394" t="s">
        <v>948</v>
      </c>
      <c r="E394" t="s">
        <v>941</v>
      </c>
      <c r="F394">
        <v>4</v>
      </c>
    </row>
    <row r="395" spans="1:6">
      <c r="A395" t="s">
        <v>398</v>
      </c>
      <c r="B395" t="s">
        <v>399</v>
      </c>
      <c r="C395" t="s">
        <v>1000</v>
      </c>
      <c r="D395" t="s">
        <v>948</v>
      </c>
      <c r="E395" t="s">
        <v>965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483</v>
      </c>
      <c r="E396" t="s">
        <v>939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956</v>
      </c>
      <c r="E397" t="s">
        <v>929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483</v>
      </c>
      <c r="E398" t="s">
        <v>940</v>
      </c>
      <c r="F398">
        <v>1</v>
      </c>
    </row>
    <row r="399" spans="1:6">
      <c r="A399" t="s">
        <v>29</v>
      </c>
    </row>
    <row r="400" spans="1:6">
      <c r="A400" t="s">
        <v>402</v>
      </c>
      <c r="B400" t="s">
        <v>72</v>
      </c>
      <c r="C400" t="s">
        <v>958</v>
      </c>
      <c r="D400" t="s">
        <v>943</v>
      </c>
      <c r="E400" t="s">
        <v>932</v>
      </c>
      <c r="F400">
        <v>2</v>
      </c>
    </row>
    <row r="401" spans="1:6">
      <c r="A401" t="s">
        <v>403</v>
      </c>
      <c r="B401" t="s">
        <v>404</v>
      </c>
      <c r="C401" t="s">
        <v>795</v>
      </c>
      <c r="D401" t="s">
        <v>931</v>
      </c>
      <c r="E401" t="s">
        <v>978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483</v>
      </c>
      <c r="E402" t="s">
        <v>938</v>
      </c>
      <c r="F402">
        <v>1</v>
      </c>
    </row>
    <row r="403" spans="1:6">
      <c r="A403" t="s">
        <v>407</v>
      </c>
      <c r="B403" t="s">
        <v>240</v>
      </c>
      <c r="C403" t="s">
        <v>985</v>
      </c>
      <c r="D403" t="s">
        <v>948</v>
      </c>
      <c r="E403" t="s">
        <v>939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934</v>
      </c>
      <c r="E404" t="s">
        <v>946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483</v>
      </c>
      <c r="E405" t="s">
        <v>946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943</v>
      </c>
      <c r="E407" t="s">
        <v>939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529</v>
      </c>
      <c r="E408" t="s">
        <v>932</v>
      </c>
      <c r="F408">
        <v>5</v>
      </c>
    </row>
    <row r="409" spans="1:6">
      <c r="A409" t="s">
        <v>411</v>
      </c>
      <c r="B409" t="s">
        <v>49</v>
      </c>
      <c r="C409" t="s">
        <v>950</v>
      </c>
      <c r="D409" t="s">
        <v>948</v>
      </c>
      <c r="E409" t="s">
        <v>940</v>
      </c>
      <c r="F409">
        <v>5</v>
      </c>
    </row>
    <row r="410" spans="1:6">
      <c r="A410" t="s">
        <v>50</v>
      </c>
      <c r="B410" t="s">
        <v>51</v>
      </c>
      <c r="C410" t="s">
        <v>951</v>
      </c>
      <c r="D410" t="s">
        <v>948</v>
      </c>
      <c r="E410" t="s">
        <v>932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966</v>
      </c>
      <c r="E411" t="s">
        <v>929</v>
      </c>
      <c r="F411">
        <v>1</v>
      </c>
    </row>
    <row r="412" spans="1:6">
      <c r="A412" t="s">
        <v>412</v>
      </c>
      <c r="B412" t="s">
        <v>413</v>
      </c>
      <c r="C412" t="s">
        <v>798</v>
      </c>
      <c r="D412" t="s">
        <v>412</v>
      </c>
      <c r="E412" t="s">
        <v>939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945</v>
      </c>
      <c r="E414" t="s">
        <v>960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95</v>
      </c>
      <c r="E415" t="s">
        <v>933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529</v>
      </c>
      <c r="E416" t="s">
        <v>492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483</v>
      </c>
      <c r="E417" t="s">
        <v>939</v>
      </c>
      <c r="F417">
        <v>1</v>
      </c>
    </row>
    <row r="418" spans="1:6">
      <c r="A418" t="s">
        <v>128</v>
      </c>
      <c r="B418" t="s">
        <v>129</v>
      </c>
      <c r="C418" t="s">
        <v>967</v>
      </c>
      <c r="D418" t="s">
        <v>948</v>
      </c>
      <c r="E418" t="s">
        <v>941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934</v>
      </c>
      <c r="E419" t="s">
        <v>946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1001</v>
      </c>
      <c r="D421" t="s">
        <v>948</v>
      </c>
      <c r="E421" t="s">
        <v>492</v>
      </c>
      <c r="F421">
        <v>1</v>
      </c>
    </row>
    <row r="422" spans="1:6">
      <c r="A422" t="s">
        <v>381</v>
      </c>
      <c r="B422" t="s">
        <v>382</v>
      </c>
      <c r="C422" t="s">
        <v>786</v>
      </c>
      <c r="D422" t="s">
        <v>942</v>
      </c>
      <c r="E422" t="s">
        <v>935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934</v>
      </c>
      <c r="E423" t="s">
        <v>930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483</v>
      </c>
      <c r="E424" t="s">
        <v>939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934</v>
      </c>
      <c r="E425" t="s">
        <v>932</v>
      </c>
      <c r="F425">
        <v>1</v>
      </c>
    </row>
    <row r="426" spans="1:6">
      <c r="A426" t="s">
        <v>423</v>
      </c>
      <c r="B426" t="s">
        <v>218</v>
      </c>
      <c r="C426" t="s">
        <v>980</v>
      </c>
      <c r="D426" t="s">
        <v>948</v>
      </c>
      <c r="E426" t="s">
        <v>932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934</v>
      </c>
      <c r="E428" t="s">
        <v>929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412</v>
      </c>
      <c r="E429" t="s">
        <v>946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943</v>
      </c>
      <c r="E430" t="s">
        <v>118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483</v>
      </c>
      <c r="E431" t="s">
        <v>939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945</v>
      </c>
      <c r="E432" t="s">
        <v>932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943</v>
      </c>
      <c r="E433" t="s">
        <v>946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529</v>
      </c>
      <c r="E435" t="s">
        <v>929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529</v>
      </c>
      <c r="E436" t="s">
        <v>955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934</v>
      </c>
      <c r="E437" t="s">
        <v>929</v>
      </c>
      <c r="F437">
        <v>1</v>
      </c>
    </row>
    <row r="438" spans="1:6">
      <c r="A438" t="s">
        <v>407</v>
      </c>
      <c r="B438" t="s">
        <v>240</v>
      </c>
      <c r="C438" t="s">
        <v>985</v>
      </c>
      <c r="D438" t="s">
        <v>948</v>
      </c>
      <c r="E438" t="s">
        <v>939</v>
      </c>
      <c r="F438">
        <v>2</v>
      </c>
    </row>
    <row r="439" spans="1:6">
      <c r="A439" t="s">
        <v>434</v>
      </c>
      <c r="B439" t="s">
        <v>435</v>
      </c>
      <c r="C439" t="s">
        <v>808</v>
      </c>
      <c r="D439" t="s">
        <v>942</v>
      </c>
      <c r="E439" t="s">
        <v>957</v>
      </c>
      <c r="F439">
        <v>5</v>
      </c>
    </row>
    <row r="440" spans="1:6">
      <c r="A440" t="s">
        <v>48</v>
      </c>
      <c r="B440" t="s">
        <v>49</v>
      </c>
      <c r="C440" t="s">
        <v>950</v>
      </c>
      <c r="D440" t="s">
        <v>948</v>
      </c>
      <c r="E440" t="s">
        <v>940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931</v>
      </c>
      <c r="E442" t="s">
        <v>957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945</v>
      </c>
      <c r="E443" t="s">
        <v>930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942</v>
      </c>
      <c r="E444" t="s">
        <v>478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936</v>
      </c>
      <c r="E445" t="s">
        <v>939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412</v>
      </c>
      <c r="E446" t="s">
        <v>946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483</v>
      </c>
      <c r="E447" t="s">
        <v>946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412</v>
      </c>
      <c r="E449" t="s">
        <v>939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931</v>
      </c>
      <c r="E450" t="s">
        <v>938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949</v>
      </c>
      <c r="E451" t="s">
        <v>957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529</v>
      </c>
      <c r="E452" t="s">
        <v>935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483</v>
      </c>
      <c r="E453" t="s">
        <v>935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412</v>
      </c>
      <c r="E454" t="s">
        <v>930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966</v>
      </c>
      <c r="E456" t="s">
        <v>933</v>
      </c>
      <c r="F456">
        <v>4</v>
      </c>
    </row>
    <row r="457" spans="1:6">
      <c r="A457" t="s">
        <v>166</v>
      </c>
      <c r="B457" t="s">
        <v>167</v>
      </c>
      <c r="C457" t="s">
        <v>972</v>
      </c>
      <c r="D457" t="s">
        <v>948</v>
      </c>
      <c r="E457" t="s">
        <v>955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529</v>
      </c>
      <c r="E458" t="s">
        <v>946</v>
      </c>
      <c r="F458">
        <v>2</v>
      </c>
    </row>
    <row r="459" spans="1:6">
      <c r="A459" t="s">
        <v>50</v>
      </c>
      <c r="B459" t="s">
        <v>51</v>
      </c>
      <c r="C459" t="s">
        <v>951</v>
      </c>
      <c r="D459" t="s">
        <v>948</v>
      </c>
      <c r="E459" t="s">
        <v>932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931</v>
      </c>
      <c r="E460" t="s">
        <v>939</v>
      </c>
      <c r="F460">
        <v>1</v>
      </c>
    </row>
    <row r="461" spans="1:6">
      <c r="A461" t="s">
        <v>57</v>
      </c>
      <c r="B461" t="s">
        <v>58</v>
      </c>
      <c r="C461" t="s">
        <v>611</v>
      </c>
      <c r="D461" t="s">
        <v>529</v>
      </c>
      <c r="E461" t="s">
        <v>946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934</v>
      </c>
      <c r="E465" t="s">
        <v>935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483</v>
      </c>
      <c r="E466" t="s">
        <v>932</v>
      </c>
      <c r="F466">
        <v>2</v>
      </c>
    </row>
    <row r="467" spans="1:6">
      <c r="A467" t="s">
        <v>193</v>
      </c>
      <c r="B467" t="s">
        <v>194</v>
      </c>
      <c r="C467" t="s">
        <v>977</v>
      </c>
      <c r="D467" t="s">
        <v>948</v>
      </c>
      <c r="E467" t="s">
        <v>478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949</v>
      </c>
      <c r="E471" t="s">
        <v>930</v>
      </c>
      <c r="F471">
        <v>4</v>
      </c>
    </row>
    <row r="472" spans="1:6">
      <c r="A472" t="s">
        <v>450</v>
      </c>
      <c r="B472" t="s">
        <v>451</v>
      </c>
      <c r="C472" t="s">
        <v>1002</v>
      </c>
      <c r="D472" t="s">
        <v>948</v>
      </c>
      <c r="E472" t="s">
        <v>930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412</v>
      </c>
      <c r="E473" t="s">
        <v>939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529</v>
      </c>
      <c r="E474" t="s">
        <v>932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934</v>
      </c>
      <c r="E475" t="s">
        <v>955</v>
      </c>
      <c r="F475">
        <v>2</v>
      </c>
    </row>
    <row r="476" spans="1:6">
      <c r="A476" t="s">
        <v>40</v>
      </c>
      <c r="B476" t="s">
        <v>41</v>
      </c>
      <c r="C476" t="s">
        <v>947</v>
      </c>
      <c r="D476" t="s">
        <v>948</v>
      </c>
      <c r="E476" t="s">
        <v>932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942</v>
      </c>
      <c r="E477" t="s">
        <v>478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529</v>
      </c>
      <c r="E478" t="s">
        <v>935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1003</v>
      </c>
      <c r="D480" t="s">
        <v>934</v>
      </c>
      <c r="E480" t="s">
        <v>974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483</v>
      </c>
      <c r="E481" t="s">
        <v>984</v>
      </c>
      <c r="F481">
        <v>2</v>
      </c>
    </row>
    <row r="482" spans="1:6">
      <c r="A482" t="s">
        <v>134</v>
      </c>
      <c r="B482" t="s">
        <v>135</v>
      </c>
      <c r="C482" t="s">
        <v>969</v>
      </c>
      <c r="D482" t="s">
        <v>936</v>
      </c>
      <c r="E482" t="s">
        <v>932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934</v>
      </c>
      <c r="E483" t="s">
        <v>932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936</v>
      </c>
      <c r="E485" t="s">
        <v>939</v>
      </c>
      <c r="F485">
        <v>5</v>
      </c>
    </row>
    <row r="486" spans="1:6">
      <c r="A486" t="s">
        <v>456</v>
      </c>
      <c r="B486" t="s">
        <v>457</v>
      </c>
      <c r="C486" t="s">
        <v>1004</v>
      </c>
      <c r="D486" t="s">
        <v>945</v>
      </c>
      <c r="E486" t="s">
        <v>955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934</v>
      </c>
      <c r="E487" t="s">
        <v>946</v>
      </c>
      <c r="F487">
        <v>5</v>
      </c>
    </row>
    <row r="488" spans="1:6">
      <c r="A488" t="s">
        <v>460</v>
      </c>
      <c r="B488" t="s">
        <v>461</v>
      </c>
      <c r="C488" t="s">
        <v>1005</v>
      </c>
      <c r="D488" t="s">
        <v>948</v>
      </c>
      <c r="E488" t="s">
        <v>946</v>
      </c>
      <c r="F488">
        <v>2</v>
      </c>
    </row>
    <row r="489" spans="1:6">
      <c r="A489" t="s">
        <v>294</v>
      </c>
      <c r="B489" t="s">
        <v>295</v>
      </c>
      <c r="C489" t="s">
        <v>992</v>
      </c>
      <c r="D489" t="s">
        <v>948</v>
      </c>
      <c r="E489" t="s">
        <v>984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1006</v>
      </c>
      <c r="D491" t="s">
        <v>948</v>
      </c>
      <c r="E491" t="s">
        <v>930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529</v>
      </c>
      <c r="E492" t="s">
        <v>932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483</v>
      </c>
      <c r="E493" t="s">
        <v>984</v>
      </c>
      <c r="F493">
        <v>2</v>
      </c>
    </row>
    <row r="494" spans="1:6">
      <c r="A494" t="s">
        <v>134</v>
      </c>
      <c r="B494" t="s">
        <v>135</v>
      </c>
      <c r="C494" t="s">
        <v>969</v>
      </c>
      <c r="D494" t="s">
        <v>936</v>
      </c>
      <c r="E494" t="s">
        <v>932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931</v>
      </c>
      <c r="E495" t="s">
        <v>939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936</v>
      </c>
      <c r="E497" t="s">
        <v>939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483</v>
      </c>
      <c r="E498" t="s">
        <v>938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945</v>
      </c>
      <c r="E499" t="s">
        <v>933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934</v>
      </c>
      <c r="E500" t="s">
        <v>960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412</v>
      </c>
      <c r="E501" t="s">
        <v>946</v>
      </c>
      <c r="F501">
        <v>5</v>
      </c>
    </row>
    <row r="502" spans="1:6">
      <c r="A502" t="s">
        <v>294</v>
      </c>
      <c r="B502" t="s">
        <v>295</v>
      </c>
      <c r="C502" t="s">
        <v>992</v>
      </c>
      <c r="D502" t="s">
        <v>948</v>
      </c>
      <c r="E502" t="s">
        <v>984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943</v>
      </c>
      <c r="E504" t="s">
        <v>492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483</v>
      </c>
      <c r="E505" t="s">
        <v>946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483</v>
      </c>
      <c r="E506" t="s">
        <v>932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943</v>
      </c>
      <c r="E507" t="s">
        <v>939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931</v>
      </c>
      <c r="E508" t="s">
        <v>929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483</v>
      </c>
      <c r="E509" t="s">
        <v>984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936</v>
      </c>
      <c r="E510" t="s">
        <v>939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943</v>
      </c>
      <c r="E511" t="s">
        <v>478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483</v>
      </c>
      <c r="E512" t="s">
        <v>939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483</v>
      </c>
      <c r="E514" t="s">
        <v>930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966</v>
      </c>
      <c r="E515" t="s">
        <v>929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412</v>
      </c>
      <c r="E516" t="s">
        <v>1007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483</v>
      </c>
      <c r="E517" t="s">
        <v>930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931</v>
      </c>
      <c r="E518" t="s">
        <v>938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954</v>
      </c>
      <c r="E519" t="s">
        <v>930</v>
      </c>
      <c r="F519">
        <v>5</v>
      </c>
    </row>
    <row r="520" spans="1:6">
      <c r="A520" t="s">
        <v>407</v>
      </c>
      <c r="B520" t="s">
        <v>240</v>
      </c>
      <c r="C520" t="s">
        <v>985</v>
      </c>
      <c r="D520" t="s">
        <v>948</v>
      </c>
      <c r="E520" t="s">
        <v>939</v>
      </c>
      <c r="F520">
        <v>2</v>
      </c>
    </row>
    <row r="521" spans="1:6">
      <c r="A521" t="s">
        <v>128</v>
      </c>
      <c r="B521" t="s">
        <v>129</v>
      </c>
      <c r="C521" t="s">
        <v>967</v>
      </c>
      <c r="D521" t="s">
        <v>948</v>
      </c>
      <c r="E521" t="s">
        <v>941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934</v>
      </c>
      <c r="E522" t="s">
        <v>938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483</v>
      </c>
      <c r="E524" t="s">
        <v>932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943</v>
      </c>
      <c r="E525" t="s">
        <v>939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931</v>
      </c>
      <c r="E526" t="s">
        <v>938</v>
      </c>
      <c r="F526">
        <v>4</v>
      </c>
    </row>
    <row r="527" spans="1:6">
      <c r="A527" t="s">
        <v>476</v>
      </c>
      <c r="B527" t="s">
        <v>487</v>
      </c>
      <c r="C527" t="s">
        <v>831</v>
      </c>
      <c r="D527" t="s">
        <v>931</v>
      </c>
      <c r="E527" t="s">
        <v>478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483</v>
      </c>
      <c r="E528" t="s">
        <v>984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936</v>
      </c>
      <c r="E529" t="s">
        <v>939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943</v>
      </c>
      <c r="E530" t="s">
        <v>478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483</v>
      </c>
      <c r="E531" t="s">
        <v>939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483</v>
      </c>
      <c r="E533" t="s">
        <v>930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945</v>
      </c>
      <c r="E534" t="s">
        <v>938</v>
      </c>
      <c r="F534">
        <v>8</v>
      </c>
    </row>
    <row r="535" spans="1:6">
      <c r="A535" t="s">
        <v>40</v>
      </c>
      <c r="B535" t="s">
        <v>41</v>
      </c>
      <c r="C535" t="s">
        <v>947</v>
      </c>
      <c r="D535" t="s">
        <v>948</v>
      </c>
      <c r="E535" t="s">
        <v>932</v>
      </c>
      <c r="F535">
        <v>2</v>
      </c>
    </row>
    <row r="536" spans="1:6">
      <c r="A536" t="s">
        <v>490</v>
      </c>
      <c r="B536" t="s">
        <v>491</v>
      </c>
      <c r="C536" t="s">
        <v>1008</v>
      </c>
      <c r="D536" t="s">
        <v>942</v>
      </c>
      <c r="E536" t="s">
        <v>1009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943</v>
      </c>
      <c r="E537" t="s">
        <v>492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945</v>
      </c>
      <c r="E538" t="s">
        <v>932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483</v>
      </c>
      <c r="E539" t="s">
        <v>941</v>
      </c>
      <c r="F539">
        <v>2</v>
      </c>
    </row>
    <row r="540" spans="1:6">
      <c r="A540" t="s">
        <v>294</v>
      </c>
      <c r="B540" t="s">
        <v>295</v>
      </c>
      <c r="C540" t="s">
        <v>992</v>
      </c>
      <c r="D540" t="s">
        <v>948</v>
      </c>
      <c r="E540" t="s">
        <v>984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936</v>
      </c>
      <c r="E542" t="s">
        <v>939</v>
      </c>
      <c r="F542">
        <v>5</v>
      </c>
    </row>
    <row r="543" spans="1:6">
      <c r="A543" t="s">
        <v>496</v>
      </c>
      <c r="B543" t="s">
        <v>497</v>
      </c>
      <c r="C543" t="s">
        <v>1010</v>
      </c>
      <c r="D543" t="s">
        <v>948</v>
      </c>
      <c r="E543" t="s">
        <v>940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529</v>
      </c>
      <c r="E544" t="s">
        <v>957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934</v>
      </c>
      <c r="E545" t="s">
        <v>929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529</v>
      </c>
      <c r="E546" t="s">
        <v>935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95</v>
      </c>
      <c r="E548" t="s">
        <v>1011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529</v>
      </c>
      <c r="E549" t="s">
        <v>932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966</v>
      </c>
      <c r="E550" t="s">
        <v>929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412</v>
      </c>
      <c r="E551" t="s">
        <v>1007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483</v>
      </c>
      <c r="E552" t="s">
        <v>939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943</v>
      </c>
      <c r="E553" t="s">
        <v>962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945</v>
      </c>
      <c r="E555" t="s">
        <v>938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943</v>
      </c>
      <c r="E556" t="s">
        <v>933</v>
      </c>
      <c r="F556">
        <v>4</v>
      </c>
    </row>
    <row r="557" spans="1:6">
      <c r="A557" t="s">
        <v>229</v>
      </c>
      <c r="B557" t="s">
        <v>230</v>
      </c>
      <c r="C557" t="s">
        <v>983</v>
      </c>
      <c r="D557" t="s">
        <v>948</v>
      </c>
      <c r="E557" t="s">
        <v>940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483</v>
      </c>
      <c r="E558" t="s">
        <v>932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943</v>
      </c>
      <c r="E560" t="s">
        <v>935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529</v>
      </c>
      <c r="E561" t="s">
        <v>955</v>
      </c>
      <c r="F561">
        <v>1</v>
      </c>
    </row>
    <row r="562" spans="1:6">
      <c r="A562" t="s">
        <v>381</v>
      </c>
      <c r="B562" t="s">
        <v>491</v>
      </c>
      <c r="C562" t="s">
        <v>1008</v>
      </c>
      <c r="D562" t="s">
        <v>942</v>
      </c>
      <c r="E562" t="s">
        <v>1009</v>
      </c>
      <c r="F562">
        <v>2</v>
      </c>
    </row>
    <row r="563" spans="1:6">
      <c r="A563" t="s">
        <v>25</v>
      </c>
      <c r="B563" t="s">
        <v>26</v>
      </c>
      <c r="C563" t="s">
        <v>584</v>
      </c>
      <c r="D563" t="s">
        <v>483</v>
      </c>
      <c r="E563" t="s">
        <v>939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934</v>
      </c>
      <c r="E564" t="s">
        <v>935</v>
      </c>
      <c r="F564">
        <v>2</v>
      </c>
    </row>
    <row r="565" spans="1:6">
      <c r="A565" t="s">
        <v>229</v>
      </c>
      <c r="B565" t="s">
        <v>230</v>
      </c>
      <c r="C565" t="s">
        <v>983</v>
      </c>
      <c r="D565" t="s">
        <v>948</v>
      </c>
      <c r="E565" t="s">
        <v>940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934</v>
      </c>
      <c r="E567" t="s">
        <v>955</v>
      </c>
      <c r="F567">
        <v>1</v>
      </c>
    </row>
    <row r="568" spans="1:6">
      <c r="A568" t="s">
        <v>128</v>
      </c>
      <c r="B568" t="s">
        <v>129</v>
      </c>
      <c r="C568" t="s">
        <v>967</v>
      </c>
      <c r="D568" t="s">
        <v>948</v>
      </c>
      <c r="E568" t="s">
        <v>941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529</v>
      </c>
      <c r="E569" t="s">
        <v>957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936</v>
      </c>
      <c r="E570" t="s">
        <v>939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945</v>
      </c>
      <c r="E571" t="s">
        <v>933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95</v>
      </c>
      <c r="E572" t="s">
        <v>932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972</v>
      </c>
      <c r="D574" t="s">
        <v>948</v>
      </c>
      <c r="E574" t="s">
        <v>955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943</v>
      </c>
      <c r="E575" t="s">
        <v>118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934</v>
      </c>
      <c r="E576" t="s">
        <v>946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483</v>
      </c>
      <c r="E577" t="s">
        <v>939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95</v>
      </c>
      <c r="E578" t="s">
        <v>930</v>
      </c>
      <c r="F578">
        <v>1</v>
      </c>
    </row>
    <row r="579" spans="1:6">
      <c r="A579" t="s">
        <v>57</v>
      </c>
      <c r="B579" t="s">
        <v>58</v>
      </c>
      <c r="C579" t="s">
        <v>611</v>
      </c>
      <c r="D579" t="s">
        <v>529</v>
      </c>
      <c r="E579" t="s">
        <v>946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947</v>
      </c>
      <c r="D581" t="s">
        <v>948</v>
      </c>
      <c r="E581" t="s">
        <v>932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934</v>
      </c>
      <c r="E582" t="s">
        <v>962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943</v>
      </c>
      <c r="E583" t="s">
        <v>962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483</v>
      </c>
      <c r="E584" t="s">
        <v>939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945</v>
      </c>
      <c r="E585" t="s">
        <v>930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942</v>
      </c>
      <c r="E586" t="s">
        <v>478</v>
      </c>
      <c r="F586">
        <v>8</v>
      </c>
    </row>
    <row r="587" spans="1:6">
      <c r="A587" t="s">
        <v>29</v>
      </c>
    </row>
    <row r="588" spans="1:6">
      <c r="A588" t="s">
        <v>510</v>
      </c>
      <c r="B588" t="s">
        <v>356</v>
      </c>
      <c r="C588" t="s">
        <v>730</v>
      </c>
      <c r="D588" t="s">
        <v>954</v>
      </c>
      <c r="E588" t="s">
        <v>939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412</v>
      </c>
      <c r="E589" t="s">
        <v>930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483</v>
      </c>
      <c r="E590" t="s">
        <v>939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936</v>
      </c>
      <c r="E591" t="s">
        <v>939</v>
      </c>
      <c r="F591">
        <v>5</v>
      </c>
    </row>
    <row r="592" spans="1:6">
      <c r="A592" t="s">
        <v>292</v>
      </c>
      <c r="B592" t="s">
        <v>293</v>
      </c>
      <c r="C592" t="s">
        <v>991</v>
      </c>
      <c r="D592" t="s">
        <v>948</v>
      </c>
      <c r="E592" t="s">
        <v>955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934</v>
      </c>
      <c r="E593" t="s">
        <v>930</v>
      </c>
      <c r="F593">
        <v>1</v>
      </c>
    </row>
    <row r="594" spans="1:6">
      <c r="A594" t="s">
        <v>29</v>
      </c>
    </row>
    <row r="595" spans="1:6">
      <c r="A595" t="s">
        <v>511</v>
      </c>
      <c r="B595" t="s">
        <v>512</v>
      </c>
      <c r="C595" t="s">
        <v>1012</v>
      </c>
      <c r="D595" t="s">
        <v>945</v>
      </c>
      <c r="E595" t="s">
        <v>946</v>
      </c>
      <c r="F595">
        <v>8</v>
      </c>
    </row>
    <row r="596" spans="1:6">
      <c r="A596" t="s">
        <v>513</v>
      </c>
      <c r="B596" t="s">
        <v>156</v>
      </c>
      <c r="C596" t="s">
        <v>971</v>
      </c>
      <c r="D596" t="s">
        <v>942</v>
      </c>
      <c r="E596" t="s">
        <v>932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483</v>
      </c>
      <c r="E597" t="s">
        <v>939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936</v>
      </c>
      <c r="E598" t="s">
        <v>939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934</v>
      </c>
      <c r="E599" t="s">
        <v>930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934</v>
      </c>
      <c r="E600" t="s">
        <v>930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95</v>
      </c>
      <c r="E602" t="s">
        <v>932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483</v>
      </c>
      <c r="E603" t="s">
        <v>939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945</v>
      </c>
      <c r="E604" t="s">
        <v>932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943</v>
      </c>
      <c r="E605" t="s">
        <v>937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1013</v>
      </c>
      <c r="D607" t="s">
        <v>948</v>
      </c>
      <c r="E607" t="s">
        <v>946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483</v>
      </c>
      <c r="E608" t="s">
        <v>939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931</v>
      </c>
      <c r="E609" t="s">
        <v>938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943</v>
      </c>
      <c r="E610" t="s">
        <v>929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934</v>
      </c>
      <c r="E612" t="s">
        <v>939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483</v>
      </c>
      <c r="E613" t="s">
        <v>957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945</v>
      </c>
      <c r="E614" t="s">
        <v>938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483</v>
      </c>
      <c r="E615" t="s">
        <v>984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483</v>
      </c>
      <c r="E616" t="s">
        <v>939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945</v>
      </c>
      <c r="E617" t="s">
        <v>932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483</v>
      </c>
      <c r="E618" t="s">
        <v>941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483</v>
      </c>
      <c r="E619" t="s">
        <v>933</v>
      </c>
      <c r="F619">
        <v>5</v>
      </c>
    </row>
    <row r="620" spans="1:6">
      <c r="A620" t="s">
        <v>294</v>
      </c>
      <c r="B620" t="s">
        <v>295</v>
      </c>
      <c r="C620" t="s">
        <v>992</v>
      </c>
      <c r="D620" t="s">
        <v>948</v>
      </c>
      <c r="E620" t="s">
        <v>984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936</v>
      </c>
      <c r="E622" t="s">
        <v>939</v>
      </c>
      <c r="F622">
        <v>5</v>
      </c>
    </row>
    <row r="623" spans="1:6">
      <c r="A623" t="s">
        <v>381</v>
      </c>
      <c r="B623" t="s">
        <v>525</v>
      </c>
      <c r="C623" t="s">
        <v>1014</v>
      </c>
      <c r="D623" t="s">
        <v>942</v>
      </c>
      <c r="E623" t="s">
        <v>1009</v>
      </c>
      <c r="F623">
        <v>5</v>
      </c>
    </row>
    <row r="624" spans="1:6">
      <c r="A624" t="s">
        <v>40</v>
      </c>
      <c r="B624" t="s">
        <v>41</v>
      </c>
      <c r="C624" t="s">
        <v>947</v>
      </c>
      <c r="D624" t="s">
        <v>948</v>
      </c>
      <c r="E624" t="s">
        <v>932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483</v>
      </c>
      <c r="E625" t="s">
        <v>932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483</v>
      </c>
      <c r="E626" t="s">
        <v>939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934</v>
      </c>
      <c r="E627" t="s">
        <v>935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943</v>
      </c>
      <c r="E628" t="s">
        <v>946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934</v>
      </c>
      <c r="E629" t="s">
        <v>930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949</v>
      </c>
      <c r="E633" t="s">
        <v>930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529</v>
      </c>
      <c r="E634" t="s">
        <v>939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936</v>
      </c>
      <c r="E635" t="s">
        <v>939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934</v>
      </c>
      <c r="E636" t="s">
        <v>960</v>
      </c>
      <c r="F636">
        <v>3</v>
      </c>
    </row>
    <row r="637" spans="1:6">
      <c r="A637" t="s">
        <v>29</v>
      </c>
    </row>
    <row r="638" spans="1:6">
      <c r="A638" t="s">
        <v>533</v>
      </c>
      <c r="B638" t="s">
        <v>534</v>
      </c>
      <c r="C638" t="s">
        <v>1015</v>
      </c>
      <c r="D638" t="s">
        <v>934</v>
      </c>
      <c r="E638" t="s">
        <v>974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483</v>
      </c>
      <c r="E639" t="s">
        <v>962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943</v>
      </c>
      <c r="E640" t="s">
        <v>930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483</v>
      </c>
      <c r="E641" t="s">
        <v>946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529</v>
      </c>
      <c r="E643" t="s">
        <v>978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529</v>
      </c>
      <c r="E644" t="s">
        <v>938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943</v>
      </c>
      <c r="E645" t="s">
        <v>939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483</v>
      </c>
      <c r="E646" t="s">
        <v>941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931</v>
      </c>
      <c r="E648" t="s">
        <v>963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931</v>
      </c>
      <c r="E649" t="s">
        <v>478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954</v>
      </c>
      <c r="E650" t="s">
        <v>933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483</v>
      </c>
      <c r="E651" t="s">
        <v>930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934</v>
      </c>
      <c r="E653" t="s">
        <v>946</v>
      </c>
      <c r="F653">
        <v>1</v>
      </c>
    </row>
    <row r="654" spans="1:6">
      <c r="A654" t="s">
        <v>40</v>
      </c>
      <c r="B654" t="s">
        <v>41</v>
      </c>
      <c r="C654" t="s">
        <v>947</v>
      </c>
      <c r="D654" t="s">
        <v>948</v>
      </c>
      <c r="E654" t="s">
        <v>932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483</v>
      </c>
      <c r="E655" t="s">
        <v>937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483</v>
      </c>
      <c r="E656" t="s">
        <v>984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529</v>
      </c>
      <c r="E657" t="s">
        <v>935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483</v>
      </c>
      <c r="E658" t="s">
        <v>940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412</v>
      </c>
      <c r="E659" t="s">
        <v>946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931</v>
      </c>
      <c r="E661" t="s">
        <v>938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412</v>
      </c>
      <c r="E662" t="s">
        <v>939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412</v>
      </c>
      <c r="E663" t="s">
        <v>933</v>
      </c>
      <c r="F663">
        <v>1</v>
      </c>
    </row>
    <row r="664" spans="1:6">
      <c r="A664" t="s">
        <v>226</v>
      </c>
      <c r="B664" t="s">
        <v>227</v>
      </c>
      <c r="C664" t="s">
        <v>713</v>
      </c>
      <c r="D664" t="s">
        <v>529</v>
      </c>
      <c r="E664" t="s">
        <v>946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483</v>
      </c>
      <c r="E665" t="s">
        <v>939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943</v>
      </c>
      <c r="E666" t="s">
        <v>939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931</v>
      </c>
      <c r="E667" t="s">
        <v>930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D3A-0525-49A7-910E-6DA406DD489C}">
  <dimension ref="B2:G21"/>
  <sheetViews>
    <sheetView workbookViewId="0">
      <selection activeCell="M6" sqref="M6"/>
    </sheetView>
  </sheetViews>
  <sheetFormatPr defaultRowHeight="25.5"/>
  <sheetData>
    <row r="2" spans="2:7">
      <c r="B2" s="3" t="s">
        <v>1016</v>
      </c>
      <c r="C2" s="3" t="s">
        <v>1017</v>
      </c>
      <c r="D2" s="3" t="s">
        <v>1076</v>
      </c>
      <c r="E2" s="3" t="s">
        <v>1018</v>
      </c>
      <c r="F2" s="3" t="s">
        <v>1019</v>
      </c>
      <c r="G2" s="3" t="s">
        <v>1020</v>
      </c>
    </row>
    <row r="3" spans="2:7" ht="44.25">
      <c r="B3" s="4" t="s">
        <v>1021</v>
      </c>
      <c r="C3" s="8" t="s">
        <v>1022</v>
      </c>
      <c r="D3" s="5" t="s">
        <v>567</v>
      </c>
      <c r="E3" s="5" t="s">
        <v>596</v>
      </c>
      <c r="F3" s="6" t="s">
        <v>1023</v>
      </c>
      <c r="G3" s="7" t="s">
        <v>931</v>
      </c>
    </row>
    <row r="4" spans="2:7" ht="44.25">
      <c r="B4" s="4" t="s">
        <v>1021</v>
      </c>
      <c r="C4" s="8" t="s">
        <v>1024</v>
      </c>
      <c r="D4" s="5" t="s">
        <v>620</v>
      </c>
      <c r="E4" s="5" t="s">
        <v>567</v>
      </c>
      <c r="F4" s="6" t="s">
        <v>1025</v>
      </c>
      <c r="G4" s="7" t="s">
        <v>956</v>
      </c>
    </row>
    <row r="5" spans="2:7" ht="44.25">
      <c r="B5" s="4" t="s">
        <v>1021</v>
      </c>
      <c r="C5" s="8" t="s">
        <v>1026</v>
      </c>
      <c r="D5" s="5" t="s">
        <v>596</v>
      </c>
      <c r="E5" s="5" t="s">
        <v>1027</v>
      </c>
      <c r="F5" s="6" t="s">
        <v>1028</v>
      </c>
      <c r="G5" s="7" t="s">
        <v>945</v>
      </c>
    </row>
    <row r="6" spans="2:7" ht="44.25">
      <c r="B6" s="4" t="s">
        <v>1021</v>
      </c>
      <c r="C6" s="8" t="s">
        <v>1029</v>
      </c>
      <c r="D6" s="5" t="s">
        <v>1030</v>
      </c>
      <c r="E6" s="5" t="s">
        <v>1030</v>
      </c>
      <c r="F6" s="6" t="s">
        <v>1031</v>
      </c>
      <c r="G6" s="7" t="s">
        <v>1032</v>
      </c>
    </row>
    <row r="7" spans="2:7" ht="44.25">
      <c r="B7" s="4" t="s">
        <v>1033</v>
      </c>
      <c r="C7" s="8" t="s">
        <v>1034</v>
      </c>
      <c r="D7" s="5" t="s">
        <v>635</v>
      </c>
      <c r="E7" s="5" t="s">
        <v>1035</v>
      </c>
      <c r="F7" s="6" t="s">
        <v>1036</v>
      </c>
      <c r="G7" s="7" t="s">
        <v>412</v>
      </c>
    </row>
    <row r="8" spans="2:7" ht="44.25">
      <c r="B8" s="4" t="s">
        <v>1033</v>
      </c>
      <c r="C8" s="8" t="s">
        <v>1037</v>
      </c>
      <c r="D8" s="5" t="s">
        <v>660</v>
      </c>
      <c r="E8" s="5" t="s">
        <v>635</v>
      </c>
      <c r="F8" s="6" t="s">
        <v>1038</v>
      </c>
      <c r="G8" s="7" t="s">
        <v>966</v>
      </c>
    </row>
    <row r="9" spans="2:7" ht="44.25">
      <c r="B9" s="4" t="s">
        <v>1033</v>
      </c>
      <c r="C9" s="8" t="s">
        <v>1039</v>
      </c>
      <c r="D9" s="5" t="s">
        <v>1040</v>
      </c>
      <c r="E9" s="5" t="s">
        <v>1040</v>
      </c>
      <c r="F9" s="6" t="s">
        <v>1041</v>
      </c>
      <c r="G9" s="7" t="s">
        <v>1042</v>
      </c>
    </row>
    <row r="10" spans="2:7" ht="44.25">
      <c r="B10" s="4" t="s">
        <v>1033</v>
      </c>
      <c r="C10" s="8" t="s">
        <v>1043</v>
      </c>
      <c r="D10" s="5" t="s">
        <v>615</v>
      </c>
      <c r="E10" s="5" t="s">
        <v>615</v>
      </c>
      <c r="F10" s="6" t="s">
        <v>1044</v>
      </c>
      <c r="G10" s="7" t="s">
        <v>954</v>
      </c>
    </row>
    <row r="11" spans="2:7" ht="44.25">
      <c r="B11" s="4" t="s">
        <v>1045</v>
      </c>
      <c r="C11" s="8" t="s">
        <v>1046</v>
      </c>
      <c r="D11" s="5" t="s">
        <v>561</v>
      </c>
      <c r="E11" s="5" t="s">
        <v>561</v>
      </c>
      <c r="F11" s="6" t="s">
        <v>1047</v>
      </c>
      <c r="G11" s="7" t="s">
        <v>483</v>
      </c>
    </row>
    <row r="12" spans="2:7" ht="44.25">
      <c r="B12" s="4" t="s">
        <v>1045</v>
      </c>
      <c r="C12" s="8" t="s">
        <v>1048</v>
      </c>
      <c r="D12" s="5" t="s">
        <v>564</v>
      </c>
      <c r="E12" s="5" t="s">
        <v>564</v>
      </c>
      <c r="F12" s="6" t="s">
        <v>1049</v>
      </c>
      <c r="G12" s="7" t="s">
        <v>95</v>
      </c>
    </row>
    <row r="13" spans="2:7" ht="44.25">
      <c r="B13" s="4" t="s">
        <v>1045</v>
      </c>
      <c r="C13" s="8" t="s">
        <v>1050</v>
      </c>
      <c r="D13" s="5" t="s">
        <v>574</v>
      </c>
      <c r="E13" s="5" t="s">
        <v>574</v>
      </c>
      <c r="F13" s="6" t="s">
        <v>1051</v>
      </c>
      <c r="G13" s="7" t="s">
        <v>934</v>
      </c>
    </row>
    <row r="14" spans="2:7" ht="44.25">
      <c r="B14" s="4" t="s">
        <v>1052</v>
      </c>
      <c r="C14" s="8" t="s">
        <v>1053</v>
      </c>
      <c r="D14" s="5" t="s">
        <v>580</v>
      </c>
      <c r="E14" s="5" t="s">
        <v>1054</v>
      </c>
      <c r="F14" s="6" t="s">
        <v>1055</v>
      </c>
      <c r="G14" s="7" t="s">
        <v>936</v>
      </c>
    </row>
    <row r="15" spans="2:7" ht="44.25">
      <c r="B15" s="4" t="s">
        <v>1052</v>
      </c>
      <c r="C15" s="8" t="s">
        <v>1056</v>
      </c>
      <c r="D15" s="5" t="s">
        <v>574</v>
      </c>
      <c r="E15" s="5" t="s">
        <v>1057</v>
      </c>
      <c r="F15" s="6" t="s">
        <v>1058</v>
      </c>
      <c r="G15" s="7" t="s">
        <v>934</v>
      </c>
    </row>
    <row r="16" spans="2:7" ht="44.25">
      <c r="B16" s="4" t="s">
        <v>1059</v>
      </c>
      <c r="C16" s="8" t="s">
        <v>1060</v>
      </c>
      <c r="D16" s="5" t="s">
        <v>594</v>
      </c>
      <c r="E16" s="5" t="s">
        <v>591</v>
      </c>
      <c r="F16" s="6" t="s">
        <v>1061</v>
      </c>
      <c r="G16" s="7" t="s">
        <v>943</v>
      </c>
    </row>
    <row r="17" spans="2:7" ht="44.25">
      <c r="B17" s="4" t="s">
        <v>1059</v>
      </c>
      <c r="C17" s="8" t="s">
        <v>1062</v>
      </c>
      <c r="D17" s="5" t="s">
        <v>601</v>
      </c>
      <c r="E17" s="5" t="s">
        <v>594</v>
      </c>
      <c r="F17" s="6" t="s">
        <v>1063</v>
      </c>
      <c r="G17" s="7" t="s">
        <v>949</v>
      </c>
    </row>
    <row r="18" spans="2:7" ht="44.25">
      <c r="B18" s="4" t="s">
        <v>1059</v>
      </c>
      <c r="C18" s="8" t="s">
        <v>1064</v>
      </c>
      <c r="D18" s="5" t="s">
        <v>591</v>
      </c>
      <c r="E18" s="5" t="s">
        <v>1065</v>
      </c>
      <c r="F18" s="6" t="s">
        <v>1066</v>
      </c>
      <c r="G18" s="7" t="s">
        <v>942</v>
      </c>
    </row>
    <row r="19" spans="2:7" ht="44.25">
      <c r="B19" s="4" t="s">
        <v>1059</v>
      </c>
      <c r="C19" s="8" t="s">
        <v>1067</v>
      </c>
      <c r="D19" s="5" t="s">
        <v>649</v>
      </c>
      <c r="E19" s="5" t="s">
        <v>649</v>
      </c>
      <c r="F19" s="6" t="s">
        <v>1068</v>
      </c>
      <c r="G19" s="7" t="s">
        <v>1069</v>
      </c>
    </row>
    <row r="20" spans="2:7" ht="44.25">
      <c r="B20" s="4" t="s">
        <v>1070</v>
      </c>
      <c r="C20" s="8" t="s">
        <v>1071</v>
      </c>
      <c r="D20" s="5" t="s">
        <v>569</v>
      </c>
      <c r="E20" s="5" t="s">
        <v>569</v>
      </c>
      <c r="F20" s="6" t="s">
        <v>1072</v>
      </c>
      <c r="G20" s="7" t="s">
        <v>529</v>
      </c>
    </row>
    <row r="21" spans="2:7" ht="44.25">
      <c r="B21" s="4" t="s">
        <v>1073</v>
      </c>
      <c r="C21" s="8" t="s">
        <v>1074</v>
      </c>
      <c r="D21" s="5" t="s">
        <v>1075</v>
      </c>
      <c r="E21" s="5" t="s">
        <v>1075</v>
      </c>
      <c r="F21" s="6">
        <v>0</v>
      </c>
      <c r="G21" s="7" t="s">
        <v>948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79D6-5459-4AA4-9CB4-CA35483EC038}">
  <dimension ref="B2:N86"/>
  <sheetViews>
    <sheetView workbookViewId="0">
      <selection activeCell="B2" sqref="B2:N86"/>
    </sheetView>
  </sheetViews>
  <sheetFormatPr defaultRowHeight="25.5"/>
  <sheetData>
    <row r="2" spans="2:14">
      <c r="B2" s="9" t="s">
        <v>1077</v>
      </c>
      <c r="C2" s="10" t="s">
        <v>1078</v>
      </c>
      <c r="D2" s="10" t="s">
        <v>1017</v>
      </c>
      <c r="E2" s="10" t="s">
        <v>1079</v>
      </c>
      <c r="F2" s="10" t="s">
        <v>1080</v>
      </c>
      <c r="G2" s="10" t="s">
        <v>556</v>
      </c>
      <c r="H2" s="10" t="s">
        <v>1081</v>
      </c>
      <c r="I2" s="10" t="s">
        <v>1082</v>
      </c>
      <c r="J2" s="10" t="s">
        <v>1083</v>
      </c>
      <c r="K2" s="10" t="s">
        <v>1084</v>
      </c>
      <c r="L2" s="10" t="s">
        <v>1085</v>
      </c>
      <c r="M2" s="10" t="s">
        <v>1086</v>
      </c>
      <c r="N2" s="11" t="s">
        <v>1087</v>
      </c>
    </row>
    <row r="3" spans="2:14">
      <c r="B3" s="12" t="s">
        <v>1088</v>
      </c>
      <c r="C3" s="13" t="s">
        <v>1089</v>
      </c>
      <c r="D3" s="13" t="s">
        <v>1090</v>
      </c>
      <c r="E3" s="13" t="s">
        <v>953</v>
      </c>
      <c r="F3" s="13" t="s">
        <v>1091</v>
      </c>
      <c r="G3" s="13" t="s">
        <v>1090</v>
      </c>
      <c r="H3" s="13" t="s">
        <v>1090</v>
      </c>
      <c r="I3" s="13" t="s">
        <v>1090</v>
      </c>
      <c r="J3" s="13" t="s">
        <v>1090</v>
      </c>
      <c r="K3" s="13" t="s">
        <v>1090</v>
      </c>
      <c r="L3" s="13" t="s">
        <v>1092</v>
      </c>
      <c r="M3" s="13" t="s">
        <v>1093</v>
      </c>
      <c r="N3" s="14" t="s">
        <v>1094</v>
      </c>
    </row>
    <row r="4" spans="2:14">
      <c r="B4" s="12" t="s">
        <v>1095</v>
      </c>
      <c r="C4" s="13" t="s">
        <v>1096</v>
      </c>
      <c r="D4" s="13" t="s">
        <v>1097</v>
      </c>
      <c r="E4" s="13" t="s">
        <v>953</v>
      </c>
      <c r="F4" s="13" t="s">
        <v>1098</v>
      </c>
      <c r="G4" s="13" t="s">
        <v>1099</v>
      </c>
      <c r="H4" s="13" t="s">
        <v>1099</v>
      </c>
      <c r="I4" s="13" t="s">
        <v>1099</v>
      </c>
      <c r="J4" s="13" t="s">
        <v>1099</v>
      </c>
      <c r="K4" s="13" t="s">
        <v>1099</v>
      </c>
      <c r="L4" s="13" t="s">
        <v>1100</v>
      </c>
      <c r="M4" s="13" t="s">
        <v>1101</v>
      </c>
      <c r="N4" s="14" t="s">
        <v>1094</v>
      </c>
    </row>
    <row r="5" spans="2:14">
      <c r="B5" s="12" t="s">
        <v>1102</v>
      </c>
      <c r="C5" s="13" t="s">
        <v>1103</v>
      </c>
      <c r="D5" s="13" t="s">
        <v>1104</v>
      </c>
      <c r="E5" s="13" t="s">
        <v>1105</v>
      </c>
      <c r="F5" s="13" t="s">
        <v>1106</v>
      </c>
      <c r="G5" s="13" t="s">
        <v>1107</v>
      </c>
      <c r="H5" s="13" t="s">
        <v>1108</v>
      </c>
      <c r="I5" s="13" t="s">
        <v>1109</v>
      </c>
      <c r="J5" s="13" t="s">
        <v>1110</v>
      </c>
      <c r="K5" s="13" t="s">
        <v>1108</v>
      </c>
      <c r="L5" s="13" t="s">
        <v>1100</v>
      </c>
      <c r="M5" s="13" t="s">
        <v>1111</v>
      </c>
      <c r="N5" s="14" t="s">
        <v>1112</v>
      </c>
    </row>
    <row r="6" spans="2:14">
      <c r="B6" s="12" t="s">
        <v>1113</v>
      </c>
      <c r="C6" s="13" t="s">
        <v>1114</v>
      </c>
      <c r="D6" s="13" t="s">
        <v>616</v>
      </c>
      <c r="E6" s="13" t="s">
        <v>492</v>
      </c>
      <c r="F6" s="13" t="s">
        <v>1115</v>
      </c>
      <c r="G6" s="13" t="s">
        <v>616</v>
      </c>
      <c r="H6" s="13" t="s">
        <v>616</v>
      </c>
      <c r="I6" s="13" t="s">
        <v>616</v>
      </c>
      <c r="J6" s="13" t="s">
        <v>616</v>
      </c>
      <c r="K6" s="13" t="s">
        <v>616</v>
      </c>
      <c r="L6" s="13" t="s">
        <v>1092</v>
      </c>
      <c r="M6" s="13" t="s">
        <v>1116</v>
      </c>
      <c r="N6" s="14" t="s">
        <v>1117</v>
      </c>
    </row>
    <row r="7" spans="2:14">
      <c r="B7" s="12" t="s">
        <v>1118</v>
      </c>
      <c r="C7" s="13" t="s">
        <v>1119</v>
      </c>
      <c r="D7" s="13" t="s">
        <v>1120</v>
      </c>
      <c r="E7" s="13" t="s">
        <v>1121</v>
      </c>
      <c r="F7" s="13" t="s">
        <v>1122</v>
      </c>
      <c r="G7" s="13" t="s">
        <v>1123</v>
      </c>
      <c r="H7" s="13" t="s">
        <v>1123</v>
      </c>
      <c r="I7" s="13" t="s">
        <v>1124</v>
      </c>
      <c r="J7" s="13" t="s">
        <v>1125</v>
      </c>
      <c r="K7" s="13" t="s">
        <v>1123</v>
      </c>
      <c r="L7" s="13" t="s">
        <v>1092</v>
      </c>
      <c r="M7" s="13" t="s">
        <v>1126</v>
      </c>
      <c r="N7" s="14" t="s">
        <v>1127</v>
      </c>
    </row>
    <row r="8" spans="2:14">
      <c r="B8" s="12" t="s">
        <v>1128</v>
      </c>
      <c r="C8" s="13" t="s">
        <v>1129</v>
      </c>
      <c r="D8" s="13" t="s">
        <v>1130</v>
      </c>
      <c r="E8" s="13" t="s">
        <v>118</v>
      </c>
      <c r="F8" s="13" t="s">
        <v>1131</v>
      </c>
      <c r="G8" s="13" t="s">
        <v>1132</v>
      </c>
      <c r="H8" s="13" t="s">
        <v>1132</v>
      </c>
      <c r="I8" s="13" t="s">
        <v>1132</v>
      </c>
      <c r="J8" s="13" t="s">
        <v>1132</v>
      </c>
      <c r="K8" s="13" t="s">
        <v>1132</v>
      </c>
      <c r="L8" s="13" t="s">
        <v>1100</v>
      </c>
      <c r="M8" s="13" t="s">
        <v>1133</v>
      </c>
      <c r="N8" s="14" t="s">
        <v>1134</v>
      </c>
    </row>
    <row r="9" spans="2:14">
      <c r="B9" s="12" t="s">
        <v>1135</v>
      </c>
      <c r="C9" s="13" t="s">
        <v>1136</v>
      </c>
      <c r="D9" s="13" t="s">
        <v>752</v>
      </c>
      <c r="E9" s="13" t="s">
        <v>993</v>
      </c>
      <c r="F9" s="13" t="s">
        <v>1137</v>
      </c>
      <c r="G9" s="13" t="s">
        <v>752</v>
      </c>
      <c r="H9" s="13" t="s">
        <v>752</v>
      </c>
      <c r="I9" s="13" t="s">
        <v>752</v>
      </c>
      <c r="J9" s="13" t="s">
        <v>752</v>
      </c>
      <c r="K9" s="13" t="s">
        <v>752</v>
      </c>
      <c r="L9" s="13" t="s">
        <v>1092</v>
      </c>
      <c r="M9" s="13" t="s">
        <v>1138</v>
      </c>
      <c r="N9" s="14" t="s">
        <v>1139</v>
      </c>
    </row>
    <row r="10" spans="2:14">
      <c r="B10" s="12" t="s">
        <v>1140</v>
      </c>
      <c r="C10" s="13" t="s">
        <v>203</v>
      </c>
      <c r="D10" s="13" t="s">
        <v>642</v>
      </c>
      <c r="E10" s="13" t="s">
        <v>962</v>
      </c>
      <c r="F10" s="13" t="s">
        <v>1141</v>
      </c>
      <c r="G10" s="13" t="s">
        <v>642</v>
      </c>
      <c r="H10" s="13" t="s">
        <v>642</v>
      </c>
      <c r="I10" s="13" t="s">
        <v>642</v>
      </c>
      <c r="J10" s="13" t="s">
        <v>642</v>
      </c>
      <c r="K10" s="13" t="s">
        <v>642</v>
      </c>
      <c r="L10" s="13" t="s">
        <v>1092</v>
      </c>
      <c r="M10" s="13" t="s">
        <v>1142</v>
      </c>
      <c r="N10" s="14" t="s">
        <v>1143</v>
      </c>
    </row>
    <row r="11" spans="2:14">
      <c r="B11" s="12" t="s">
        <v>1144</v>
      </c>
      <c r="C11" s="13" t="s">
        <v>1145</v>
      </c>
      <c r="D11" s="13" t="s">
        <v>1146</v>
      </c>
      <c r="E11" s="13" t="s">
        <v>118</v>
      </c>
      <c r="F11" s="13" t="s">
        <v>1147</v>
      </c>
      <c r="G11" s="13" t="s">
        <v>655</v>
      </c>
      <c r="H11" s="13" t="s">
        <v>655</v>
      </c>
      <c r="I11" s="13" t="s">
        <v>655</v>
      </c>
      <c r="J11" s="13" t="s">
        <v>655</v>
      </c>
      <c r="K11" s="13" t="s">
        <v>655</v>
      </c>
      <c r="L11" s="13" t="s">
        <v>1092</v>
      </c>
      <c r="M11" s="13" t="s">
        <v>1148</v>
      </c>
      <c r="N11" s="14" t="s">
        <v>1134</v>
      </c>
    </row>
    <row r="12" spans="2:14">
      <c r="B12" s="12" t="s">
        <v>1149</v>
      </c>
      <c r="C12" s="13" t="s">
        <v>1150</v>
      </c>
      <c r="D12" s="13" t="s">
        <v>1151</v>
      </c>
      <c r="E12" s="13" t="s">
        <v>1105</v>
      </c>
      <c r="F12" s="13" t="s">
        <v>1152</v>
      </c>
      <c r="G12" s="13" t="s">
        <v>1153</v>
      </c>
      <c r="H12" s="13" t="s">
        <v>1153</v>
      </c>
      <c r="I12" s="13" t="s">
        <v>1154</v>
      </c>
      <c r="J12" s="13" t="s">
        <v>1155</v>
      </c>
      <c r="K12" s="13" t="s">
        <v>1153</v>
      </c>
      <c r="L12" s="13" t="s">
        <v>1092</v>
      </c>
      <c r="M12" s="13" t="s">
        <v>1156</v>
      </c>
      <c r="N12" s="14" t="s">
        <v>1112</v>
      </c>
    </row>
    <row r="13" spans="2:14">
      <c r="B13" s="12" t="s">
        <v>1157</v>
      </c>
      <c r="C13" s="13" t="s">
        <v>1158</v>
      </c>
      <c r="D13" s="13" t="s">
        <v>1159</v>
      </c>
      <c r="E13" s="13" t="s">
        <v>993</v>
      </c>
      <c r="F13" s="13" t="s">
        <v>1160</v>
      </c>
      <c r="G13" s="13" t="s">
        <v>1161</v>
      </c>
      <c r="H13" s="13" t="s">
        <v>1161</v>
      </c>
      <c r="I13" s="13" t="s">
        <v>1161</v>
      </c>
      <c r="J13" s="13" t="s">
        <v>1161</v>
      </c>
      <c r="K13" s="13" t="s">
        <v>1161</v>
      </c>
      <c r="L13" s="13" t="s">
        <v>1100</v>
      </c>
      <c r="M13" s="13" t="s">
        <v>1162</v>
      </c>
      <c r="N13" s="14" t="s">
        <v>1139</v>
      </c>
    </row>
    <row r="14" spans="2:14">
      <c r="B14" s="12" t="s">
        <v>1163</v>
      </c>
      <c r="C14" s="13" t="s">
        <v>1164</v>
      </c>
      <c r="D14" s="13" t="s">
        <v>1165</v>
      </c>
      <c r="E14" s="13" t="s">
        <v>962</v>
      </c>
      <c r="F14" s="13" t="s">
        <v>1166</v>
      </c>
      <c r="G14" s="13" t="s">
        <v>1167</v>
      </c>
      <c r="H14" s="13" t="s">
        <v>1167</v>
      </c>
      <c r="I14" s="13" t="s">
        <v>1167</v>
      </c>
      <c r="J14" s="13" t="s">
        <v>1167</v>
      </c>
      <c r="K14" s="13" t="s">
        <v>1167</v>
      </c>
      <c r="L14" s="13" t="s">
        <v>1100</v>
      </c>
      <c r="M14" s="13" t="s">
        <v>1168</v>
      </c>
      <c r="N14" s="14" t="s">
        <v>1143</v>
      </c>
    </row>
    <row r="15" spans="2:14">
      <c r="B15" s="12" t="s">
        <v>1169</v>
      </c>
      <c r="C15" s="13" t="s">
        <v>1170</v>
      </c>
      <c r="D15" s="13" t="s">
        <v>697</v>
      </c>
      <c r="E15" s="13" t="s">
        <v>978</v>
      </c>
      <c r="F15" s="13" t="s">
        <v>1171</v>
      </c>
      <c r="G15" s="13" t="s">
        <v>697</v>
      </c>
      <c r="H15" s="13" t="s">
        <v>697</v>
      </c>
      <c r="I15" s="13" t="s">
        <v>697</v>
      </c>
      <c r="J15" s="13" t="s">
        <v>1172</v>
      </c>
      <c r="K15" s="13" t="s">
        <v>697</v>
      </c>
      <c r="L15" s="13" t="s">
        <v>1092</v>
      </c>
      <c r="M15" s="13" t="s">
        <v>1173</v>
      </c>
      <c r="N15" s="14" t="s">
        <v>1174</v>
      </c>
    </row>
    <row r="16" spans="2:14">
      <c r="B16" s="12" t="s">
        <v>1175</v>
      </c>
      <c r="C16" s="13" t="s">
        <v>1176</v>
      </c>
      <c r="D16" s="13" t="s">
        <v>1177</v>
      </c>
      <c r="E16" s="13" t="s">
        <v>978</v>
      </c>
      <c r="F16" s="13" t="s">
        <v>1178</v>
      </c>
      <c r="G16" s="13" t="s">
        <v>1179</v>
      </c>
      <c r="H16" s="13" t="s">
        <v>1179</v>
      </c>
      <c r="I16" s="13" t="s">
        <v>1179</v>
      </c>
      <c r="J16" s="13" t="s">
        <v>1180</v>
      </c>
      <c r="K16" s="13" t="s">
        <v>1179</v>
      </c>
      <c r="L16" s="13" t="s">
        <v>1100</v>
      </c>
      <c r="M16" s="13" t="s">
        <v>1181</v>
      </c>
      <c r="N16" s="14" t="s">
        <v>1174</v>
      </c>
    </row>
    <row r="17" spans="2:14">
      <c r="B17" s="12" t="s">
        <v>1182</v>
      </c>
      <c r="C17" s="13" t="s">
        <v>1183</v>
      </c>
      <c r="D17" s="13" t="s">
        <v>1184</v>
      </c>
      <c r="E17" s="13" t="s">
        <v>1185</v>
      </c>
      <c r="F17" s="13" t="s">
        <v>1186</v>
      </c>
      <c r="G17" s="13" t="s">
        <v>1187</v>
      </c>
      <c r="H17" s="13" t="s">
        <v>1187</v>
      </c>
      <c r="I17" s="13" t="s">
        <v>1188</v>
      </c>
      <c r="J17" s="13" t="s">
        <v>1189</v>
      </c>
      <c r="K17" s="13" t="s">
        <v>1187</v>
      </c>
      <c r="L17" s="13" t="s">
        <v>1092</v>
      </c>
      <c r="M17" s="13" t="s">
        <v>1190</v>
      </c>
      <c r="N17" s="14" t="s">
        <v>1191</v>
      </c>
    </row>
    <row r="18" spans="2:14">
      <c r="B18" s="12" t="s">
        <v>1192</v>
      </c>
      <c r="C18" s="13" t="s">
        <v>1193</v>
      </c>
      <c r="D18" s="13" t="s">
        <v>759</v>
      </c>
      <c r="E18" s="13" t="s">
        <v>974</v>
      </c>
      <c r="F18" s="13" t="s">
        <v>1194</v>
      </c>
      <c r="G18" s="13" t="s">
        <v>759</v>
      </c>
      <c r="H18" s="13" t="s">
        <v>759</v>
      </c>
      <c r="I18" s="13" t="s">
        <v>759</v>
      </c>
      <c r="J18" s="13" t="s">
        <v>759</v>
      </c>
      <c r="K18" s="13" t="s">
        <v>759</v>
      </c>
      <c r="L18" s="13" t="s">
        <v>1092</v>
      </c>
      <c r="M18" s="13" t="s">
        <v>1195</v>
      </c>
      <c r="N18" s="14" t="s">
        <v>1196</v>
      </c>
    </row>
    <row r="19" spans="2:14">
      <c r="B19" s="12" t="s">
        <v>1197</v>
      </c>
      <c r="C19" s="13" t="s">
        <v>1198</v>
      </c>
      <c r="D19" s="13" t="s">
        <v>1199</v>
      </c>
      <c r="E19" s="13" t="s">
        <v>998</v>
      </c>
      <c r="F19" s="13" t="s">
        <v>1200</v>
      </c>
      <c r="G19" s="13" t="s">
        <v>608</v>
      </c>
      <c r="H19" s="13" t="s">
        <v>608</v>
      </c>
      <c r="I19" s="13" t="s">
        <v>759</v>
      </c>
      <c r="J19" s="13" t="s">
        <v>608</v>
      </c>
      <c r="K19" s="13" t="s">
        <v>759</v>
      </c>
      <c r="L19" s="13" t="s">
        <v>1092</v>
      </c>
      <c r="M19" s="13" t="s">
        <v>1201</v>
      </c>
      <c r="N19" s="14" t="s">
        <v>1202</v>
      </c>
    </row>
    <row r="20" spans="2:14">
      <c r="B20" s="12" t="s">
        <v>1203</v>
      </c>
      <c r="C20" s="13" t="s">
        <v>1204</v>
      </c>
      <c r="D20" s="13" t="s">
        <v>1205</v>
      </c>
      <c r="E20" s="13" t="s">
        <v>998</v>
      </c>
      <c r="F20" s="13" t="s">
        <v>1206</v>
      </c>
      <c r="G20" s="13" t="s">
        <v>1207</v>
      </c>
      <c r="H20" s="13" t="s">
        <v>1207</v>
      </c>
      <c r="I20" s="13" t="s">
        <v>1207</v>
      </c>
      <c r="J20" s="13" t="s">
        <v>1208</v>
      </c>
      <c r="K20" s="13" t="s">
        <v>1209</v>
      </c>
      <c r="L20" s="13" t="s">
        <v>1100</v>
      </c>
      <c r="M20" s="13" t="s">
        <v>1210</v>
      </c>
      <c r="N20" s="14" t="s">
        <v>1202</v>
      </c>
    </row>
    <row r="21" spans="2:14">
      <c r="B21" s="12" t="s">
        <v>1211</v>
      </c>
      <c r="C21" s="13" t="s">
        <v>1212</v>
      </c>
      <c r="D21" s="13" t="s">
        <v>1213</v>
      </c>
      <c r="E21" s="13" t="s">
        <v>974</v>
      </c>
      <c r="F21" s="13" t="s">
        <v>1214</v>
      </c>
      <c r="G21" s="13" t="s">
        <v>1209</v>
      </c>
      <c r="H21" s="13" t="s">
        <v>1209</v>
      </c>
      <c r="I21" s="13" t="s">
        <v>1209</v>
      </c>
      <c r="J21" s="13" t="s">
        <v>1209</v>
      </c>
      <c r="K21" s="13" t="s">
        <v>1209</v>
      </c>
      <c r="L21" s="13" t="s">
        <v>1100</v>
      </c>
      <c r="M21" s="13" t="s">
        <v>1215</v>
      </c>
      <c r="N21" s="14" t="s">
        <v>1196</v>
      </c>
    </row>
    <row r="22" spans="2:14">
      <c r="B22" s="12" t="s">
        <v>1216</v>
      </c>
      <c r="C22" s="13" t="s">
        <v>432</v>
      </c>
      <c r="D22" s="13" t="s">
        <v>1217</v>
      </c>
      <c r="E22" s="13" t="s">
        <v>537</v>
      </c>
      <c r="F22" s="13" t="s">
        <v>1218</v>
      </c>
      <c r="G22" s="13" t="s">
        <v>1219</v>
      </c>
      <c r="H22" s="13" t="s">
        <v>1220</v>
      </c>
      <c r="I22" s="13" t="s">
        <v>1221</v>
      </c>
      <c r="J22" s="13" t="s">
        <v>1222</v>
      </c>
      <c r="K22" s="13" t="s">
        <v>1220</v>
      </c>
      <c r="L22" s="13" t="s">
        <v>1100</v>
      </c>
      <c r="M22" s="13" t="s">
        <v>1223</v>
      </c>
      <c r="N22" s="14" t="s">
        <v>1113</v>
      </c>
    </row>
    <row r="23" spans="2:14">
      <c r="B23" s="12" t="s">
        <v>1224</v>
      </c>
      <c r="C23" s="13" t="s">
        <v>1225</v>
      </c>
      <c r="D23" s="13" t="s">
        <v>699</v>
      </c>
      <c r="E23" s="13" t="s">
        <v>1007</v>
      </c>
      <c r="F23" s="13" t="s">
        <v>1194</v>
      </c>
      <c r="G23" s="13" t="s">
        <v>699</v>
      </c>
      <c r="H23" s="13" t="s">
        <v>759</v>
      </c>
      <c r="I23" s="13" t="s">
        <v>759</v>
      </c>
      <c r="J23" s="13" t="s">
        <v>759</v>
      </c>
      <c r="K23" s="13" t="s">
        <v>759</v>
      </c>
      <c r="L23" s="13" t="s">
        <v>1092</v>
      </c>
      <c r="M23" s="13" t="s">
        <v>1226</v>
      </c>
      <c r="N23" s="14" t="s">
        <v>1227</v>
      </c>
    </row>
    <row r="24" spans="2:14">
      <c r="B24" s="12" t="s">
        <v>1228</v>
      </c>
      <c r="C24" s="13" t="s">
        <v>1229</v>
      </c>
      <c r="D24" s="13" t="s">
        <v>1230</v>
      </c>
      <c r="E24" s="13" t="s">
        <v>537</v>
      </c>
      <c r="F24" s="13" t="s">
        <v>1231</v>
      </c>
      <c r="G24" s="13" t="s">
        <v>1232</v>
      </c>
      <c r="H24" s="13" t="s">
        <v>1232</v>
      </c>
      <c r="I24" s="13" t="s">
        <v>1233</v>
      </c>
      <c r="J24" s="13" t="s">
        <v>1234</v>
      </c>
      <c r="K24" s="13" t="s">
        <v>1232</v>
      </c>
      <c r="L24" s="13" t="s">
        <v>1092</v>
      </c>
      <c r="M24" s="13" t="s">
        <v>1235</v>
      </c>
      <c r="N24" s="14" t="s">
        <v>1113</v>
      </c>
    </row>
    <row r="25" spans="2:14">
      <c r="B25" s="12" t="s">
        <v>1236</v>
      </c>
      <c r="C25" s="13" t="s">
        <v>1237</v>
      </c>
      <c r="D25" s="13" t="s">
        <v>585</v>
      </c>
      <c r="E25" s="13" t="s">
        <v>939</v>
      </c>
      <c r="F25" s="13" t="s">
        <v>1238</v>
      </c>
      <c r="G25" s="13" t="s">
        <v>585</v>
      </c>
      <c r="H25" s="13" t="s">
        <v>585</v>
      </c>
      <c r="I25" s="13" t="s">
        <v>585</v>
      </c>
      <c r="J25" s="13" t="s">
        <v>585</v>
      </c>
      <c r="K25" s="13" t="s">
        <v>585</v>
      </c>
      <c r="L25" s="13" t="s">
        <v>1092</v>
      </c>
      <c r="M25" s="13" t="s">
        <v>1239</v>
      </c>
      <c r="N25" s="14" t="s">
        <v>1240</v>
      </c>
    </row>
    <row r="26" spans="2:14">
      <c r="B26" s="12" t="s">
        <v>1241</v>
      </c>
      <c r="C26" s="13" t="s">
        <v>1242</v>
      </c>
      <c r="D26" s="13" t="s">
        <v>719</v>
      </c>
      <c r="E26" s="13" t="s">
        <v>984</v>
      </c>
      <c r="F26" s="13" t="s">
        <v>1243</v>
      </c>
      <c r="G26" s="13" t="s">
        <v>719</v>
      </c>
      <c r="H26" s="13" t="s">
        <v>719</v>
      </c>
      <c r="I26" s="13" t="s">
        <v>719</v>
      </c>
      <c r="J26" s="13" t="s">
        <v>719</v>
      </c>
      <c r="K26" s="13" t="s">
        <v>719</v>
      </c>
      <c r="L26" s="13" t="s">
        <v>1092</v>
      </c>
      <c r="M26" s="13" t="s">
        <v>1244</v>
      </c>
      <c r="N26" s="14" t="s">
        <v>1245</v>
      </c>
    </row>
    <row r="27" spans="2:14">
      <c r="B27" s="12" t="s">
        <v>1191</v>
      </c>
      <c r="C27" s="13" t="s">
        <v>7</v>
      </c>
      <c r="D27" s="13" t="s">
        <v>1246</v>
      </c>
      <c r="E27" s="13" t="s">
        <v>984</v>
      </c>
      <c r="F27" s="13" t="s">
        <v>1247</v>
      </c>
      <c r="G27" s="13" t="s">
        <v>1248</v>
      </c>
      <c r="H27" s="13" t="s">
        <v>1248</v>
      </c>
      <c r="I27" s="13" t="s">
        <v>1248</v>
      </c>
      <c r="J27" s="13" t="s">
        <v>1248</v>
      </c>
      <c r="K27" s="13" t="s">
        <v>1248</v>
      </c>
      <c r="L27" s="13" t="s">
        <v>1100</v>
      </c>
      <c r="M27" s="13" t="s">
        <v>1249</v>
      </c>
      <c r="N27" s="14" t="s">
        <v>1245</v>
      </c>
    </row>
    <row r="28" spans="2:14">
      <c r="B28" s="12" t="s">
        <v>1250</v>
      </c>
      <c r="C28" s="13" t="s">
        <v>1251</v>
      </c>
      <c r="D28" s="13" t="s">
        <v>1252</v>
      </c>
      <c r="E28" s="13" t="s">
        <v>1253</v>
      </c>
      <c r="F28" s="13" t="s">
        <v>1254</v>
      </c>
      <c r="G28" s="13" t="s">
        <v>1255</v>
      </c>
      <c r="H28" s="13" t="s">
        <v>1255</v>
      </c>
      <c r="I28" s="13" t="s">
        <v>1255</v>
      </c>
      <c r="J28" s="13" t="s">
        <v>1255</v>
      </c>
      <c r="K28" s="13" t="s">
        <v>1255</v>
      </c>
      <c r="L28" s="13" t="s">
        <v>1100</v>
      </c>
      <c r="M28" s="13" t="s">
        <v>1256</v>
      </c>
      <c r="N28" s="14" t="s">
        <v>1257</v>
      </c>
    </row>
    <row r="29" spans="2:14">
      <c r="B29" s="12" t="s">
        <v>1258</v>
      </c>
      <c r="C29" s="13" t="s">
        <v>1259</v>
      </c>
      <c r="D29" s="13" t="s">
        <v>735</v>
      </c>
      <c r="E29" s="13" t="s">
        <v>965</v>
      </c>
      <c r="F29" s="13" t="s">
        <v>1260</v>
      </c>
      <c r="G29" s="13" t="s">
        <v>735</v>
      </c>
      <c r="H29" s="13" t="s">
        <v>735</v>
      </c>
      <c r="I29" s="13" t="s">
        <v>735</v>
      </c>
      <c r="J29" s="13" t="s">
        <v>735</v>
      </c>
      <c r="K29" s="13" t="s">
        <v>735</v>
      </c>
      <c r="L29" s="13" t="s">
        <v>1092</v>
      </c>
      <c r="M29" s="13" t="s">
        <v>1261</v>
      </c>
      <c r="N29" s="14" t="s">
        <v>1262</v>
      </c>
    </row>
    <row r="30" spans="2:14">
      <c r="B30" s="12" t="s">
        <v>1263</v>
      </c>
      <c r="C30" s="13" t="s">
        <v>1264</v>
      </c>
      <c r="D30" s="13" t="s">
        <v>562</v>
      </c>
      <c r="E30" s="13" t="s">
        <v>929</v>
      </c>
      <c r="F30" s="13" t="s">
        <v>1265</v>
      </c>
      <c r="G30" s="13" t="s">
        <v>562</v>
      </c>
      <c r="H30" s="13" t="s">
        <v>562</v>
      </c>
      <c r="I30" s="13" t="s">
        <v>562</v>
      </c>
      <c r="J30" s="13" t="s">
        <v>562</v>
      </c>
      <c r="K30" s="13" t="s">
        <v>562</v>
      </c>
      <c r="L30" s="13" t="s">
        <v>1092</v>
      </c>
      <c r="M30" s="13" t="s">
        <v>1266</v>
      </c>
      <c r="N30" s="14" t="s">
        <v>1267</v>
      </c>
    </row>
    <row r="31" spans="2:14">
      <c r="B31" s="12" t="s">
        <v>1268</v>
      </c>
      <c r="C31" s="13" t="s">
        <v>473</v>
      </c>
      <c r="D31" s="13" t="s">
        <v>1269</v>
      </c>
      <c r="E31" s="13" t="s">
        <v>1253</v>
      </c>
      <c r="F31" s="13" t="s">
        <v>1270</v>
      </c>
      <c r="G31" s="13" t="s">
        <v>1271</v>
      </c>
      <c r="H31" s="13" t="s">
        <v>1271</v>
      </c>
      <c r="I31" s="13" t="s">
        <v>1271</v>
      </c>
      <c r="J31" s="13" t="s">
        <v>1271</v>
      </c>
      <c r="K31" s="13" t="s">
        <v>1271</v>
      </c>
      <c r="L31" s="13" t="s">
        <v>1092</v>
      </c>
      <c r="M31" s="13" t="s">
        <v>1272</v>
      </c>
      <c r="N31" s="14" t="s">
        <v>1257</v>
      </c>
    </row>
    <row r="32" spans="2:14">
      <c r="B32" s="12" t="s">
        <v>1273</v>
      </c>
      <c r="C32" s="13" t="s">
        <v>498</v>
      </c>
      <c r="D32" s="13" t="s">
        <v>1274</v>
      </c>
      <c r="E32" s="13" t="s">
        <v>1011</v>
      </c>
      <c r="F32" s="13" t="s">
        <v>1275</v>
      </c>
      <c r="G32" s="13" t="s">
        <v>839</v>
      </c>
      <c r="H32" s="13" t="s">
        <v>1276</v>
      </c>
      <c r="I32" s="13" t="s">
        <v>1277</v>
      </c>
      <c r="J32" s="13" t="s">
        <v>1278</v>
      </c>
      <c r="K32" s="13" t="s">
        <v>839</v>
      </c>
      <c r="L32" s="13" t="s">
        <v>1092</v>
      </c>
      <c r="M32" s="13" t="s">
        <v>1279</v>
      </c>
      <c r="N32" s="14" t="s">
        <v>1250</v>
      </c>
    </row>
    <row r="33" spans="2:14">
      <c r="B33" s="12" t="s">
        <v>1280</v>
      </c>
      <c r="C33" s="13" t="s">
        <v>122</v>
      </c>
      <c r="D33" s="13" t="s">
        <v>1281</v>
      </c>
      <c r="E33" s="13" t="s">
        <v>965</v>
      </c>
      <c r="F33" s="13" t="s">
        <v>1282</v>
      </c>
      <c r="G33" s="13" t="s">
        <v>658</v>
      </c>
      <c r="H33" s="13" t="s">
        <v>658</v>
      </c>
      <c r="I33" s="13" t="s">
        <v>658</v>
      </c>
      <c r="J33" s="13" t="s">
        <v>658</v>
      </c>
      <c r="K33" s="13" t="s">
        <v>658</v>
      </c>
      <c r="L33" s="13" t="s">
        <v>1100</v>
      </c>
      <c r="M33" s="13" t="s">
        <v>1283</v>
      </c>
      <c r="N33" s="14" t="s">
        <v>1262</v>
      </c>
    </row>
    <row r="34" spans="2:14">
      <c r="B34" s="12" t="s">
        <v>1284</v>
      </c>
      <c r="C34" s="13" t="s">
        <v>1285</v>
      </c>
      <c r="D34" s="13" t="s">
        <v>1286</v>
      </c>
      <c r="E34" s="13" t="s">
        <v>929</v>
      </c>
      <c r="F34" s="13" t="s">
        <v>1287</v>
      </c>
      <c r="G34" s="13" t="s">
        <v>807</v>
      </c>
      <c r="H34" s="13" t="s">
        <v>807</v>
      </c>
      <c r="I34" s="13" t="s">
        <v>807</v>
      </c>
      <c r="J34" s="13" t="s">
        <v>807</v>
      </c>
      <c r="K34" s="13" t="s">
        <v>807</v>
      </c>
      <c r="L34" s="13" t="s">
        <v>1100</v>
      </c>
      <c r="M34" s="13" t="s">
        <v>1288</v>
      </c>
      <c r="N34" s="14" t="s">
        <v>1267</v>
      </c>
    </row>
    <row r="35" spans="2:14">
      <c r="B35" s="12" t="s">
        <v>1174</v>
      </c>
      <c r="C35" s="13" t="s">
        <v>1289</v>
      </c>
      <c r="D35" s="13" t="s">
        <v>633</v>
      </c>
      <c r="E35" s="13" t="s">
        <v>960</v>
      </c>
      <c r="F35" s="13" t="s">
        <v>1290</v>
      </c>
      <c r="G35" s="13" t="s">
        <v>633</v>
      </c>
      <c r="H35" s="13" t="s">
        <v>633</v>
      </c>
      <c r="I35" s="13" t="s">
        <v>633</v>
      </c>
      <c r="J35" s="13" t="s">
        <v>1291</v>
      </c>
      <c r="K35" s="13" t="s">
        <v>633</v>
      </c>
      <c r="L35" s="13" t="s">
        <v>1092</v>
      </c>
      <c r="M35" s="13" t="s">
        <v>1292</v>
      </c>
      <c r="N35" s="14" t="s">
        <v>1163</v>
      </c>
    </row>
    <row r="36" spans="2:14">
      <c r="B36" s="12" t="s">
        <v>1245</v>
      </c>
      <c r="C36" s="13" t="s">
        <v>1293</v>
      </c>
      <c r="D36" s="13" t="s">
        <v>1294</v>
      </c>
      <c r="E36" s="13" t="s">
        <v>960</v>
      </c>
      <c r="F36" s="13" t="s">
        <v>1295</v>
      </c>
      <c r="G36" s="13" t="s">
        <v>1296</v>
      </c>
      <c r="H36" s="13" t="s">
        <v>1296</v>
      </c>
      <c r="I36" s="13" t="s">
        <v>1296</v>
      </c>
      <c r="J36" s="13" t="s">
        <v>1297</v>
      </c>
      <c r="K36" s="13" t="s">
        <v>1296</v>
      </c>
      <c r="L36" s="13" t="s">
        <v>1100</v>
      </c>
      <c r="M36" s="13" t="s">
        <v>1298</v>
      </c>
      <c r="N36" s="14" t="s">
        <v>1163</v>
      </c>
    </row>
    <row r="37" spans="2:14">
      <c r="B37" s="12" t="s">
        <v>1299</v>
      </c>
      <c r="C37" s="13" t="s">
        <v>1300</v>
      </c>
      <c r="D37" s="13" t="s">
        <v>1301</v>
      </c>
      <c r="E37" s="13" t="s">
        <v>1302</v>
      </c>
      <c r="F37" s="13" t="s">
        <v>1303</v>
      </c>
      <c r="G37" s="13" t="s">
        <v>1304</v>
      </c>
      <c r="H37" s="13" t="s">
        <v>1305</v>
      </c>
      <c r="I37" s="13" t="s">
        <v>1306</v>
      </c>
      <c r="J37" s="13" t="s">
        <v>1307</v>
      </c>
      <c r="K37" s="13" t="s">
        <v>1305</v>
      </c>
      <c r="L37" s="13" t="s">
        <v>1100</v>
      </c>
      <c r="M37" s="13" t="s">
        <v>1308</v>
      </c>
      <c r="N37" s="14" t="s">
        <v>1175</v>
      </c>
    </row>
    <row r="38" spans="2:14">
      <c r="B38" s="12" t="s">
        <v>1309</v>
      </c>
      <c r="C38" s="13" t="s">
        <v>1310</v>
      </c>
      <c r="D38" s="13" t="s">
        <v>1311</v>
      </c>
      <c r="E38" s="13" t="s">
        <v>1302</v>
      </c>
      <c r="F38" s="13" t="s">
        <v>1312</v>
      </c>
      <c r="G38" s="13" t="s">
        <v>1313</v>
      </c>
      <c r="H38" s="13" t="s">
        <v>1313</v>
      </c>
      <c r="I38" s="13" t="s">
        <v>1314</v>
      </c>
      <c r="J38" s="13" t="s">
        <v>1315</v>
      </c>
      <c r="K38" s="13" t="s">
        <v>1313</v>
      </c>
      <c r="L38" s="13" t="s">
        <v>1092</v>
      </c>
      <c r="M38" s="13" t="s">
        <v>1316</v>
      </c>
      <c r="N38" s="14" t="s">
        <v>1175</v>
      </c>
    </row>
    <row r="39" spans="2:14">
      <c r="B39" s="12" t="s">
        <v>1317</v>
      </c>
      <c r="C39" s="13" t="s">
        <v>1318</v>
      </c>
      <c r="D39" s="13" t="s">
        <v>1319</v>
      </c>
      <c r="E39" s="13" t="s">
        <v>939</v>
      </c>
      <c r="F39" s="13" t="s">
        <v>1320</v>
      </c>
      <c r="G39" s="13" t="s">
        <v>1321</v>
      </c>
      <c r="H39" s="13" t="s">
        <v>1321</v>
      </c>
      <c r="I39" s="13" t="s">
        <v>1321</v>
      </c>
      <c r="J39" s="13" t="s">
        <v>1321</v>
      </c>
      <c r="K39" s="13" t="s">
        <v>1321</v>
      </c>
      <c r="L39" s="13" t="s">
        <v>1100</v>
      </c>
      <c r="M39" s="13" t="s">
        <v>1322</v>
      </c>
      <c r="N39" s="14" t="s">
        <v>1240</v>
      </c>
    </row>
    <row r="40" spans="2:14">
      <c r="B40" s="12" t="s">
        <v>1323</v>
      </c>
      <c r="C40" s="13" t="s">
        <v>1324</v>
      </c>
      <c r="D40" s="13" t="s">
        <v>1325</v>
      </c>
      <c r="E40" s="13" t="s">
        <v>1326</v>
      </c>
      <c r="F40" s="13" t="s">
        <v>1327</v>
      </c>
      <c r="G40" s="13" t="s">
        <v>1328</v>
      </c>
      <c r="H40" s="13" t="s">
        <v>1329</v>
      </c>
      <c r="I40" s="13" t="s">
        <v>1330</v>
      </c>
      <c r="J40" s="13" t="s">
        <v>1331</v>
      </c>
      <c r="K40" s="13" t="s">
        <v>1329</v>
      </c>
      <c r="L40" s="13" t="s">
        <v>1100</v>
      </c>
      <c r="M40" s="13" t="s">
        <v>1332</v>
      </c>
      <c r="N40" s="14" t="s">
        <v>1333</v>
      </c>
    </row>
    <row r="41" spans="2:14">
      <c r="B41" s="12" t="s">
        <v>1257</v>
      </c>
      <c r="C41" s="13" t="s">
        <v>1334</v>
      </c>
      <c r="D41" s="13" t="s">
        <v>1335</v>
      </c>
      <c r="E41" s="13" t="s">
        <v>930</v>
      </c>
      <c r="F41" s="13" t="s">
        <v>1336</v>
      </c>
      <c r="G41" s="13" t="s">
        <v>565</v>
      </c>
      <c r="H41" s="13" t="s">
        <v>565</v>
      </c>
      <c r="I41" s="13" t="s">
        <v>1337</v>
      </c>
      <c r="J41" s="13" t="s">
        <v>565</v>
      </c>
      <c r="K41" s="13" t="s">
        <v>565</v>
      </c>
      <c r="L41" s="13" t="s">
        <v>1100</v>
      </c>
      <c r="M41" s="13" t="s">
        <v>1338</v>
      </c>
      <c r="N41" s="14" t="s">
        <v>1197</v>
      </c>
    </row>
    <row r="42" spans="2:14">
      <c r="B42" s="12" t="s">
        <v>1202</v>
      </c>
      <c r="C42" s="13" t="s">
        <v>1339</v>
      </c>
      <c r="D42" s="13" t="s">
        <v>581</v>
      </c>
      <c r="E42" s="13" t="s">
        <v>937</v>
      </c>
      <c r="F42" s="13" t="s">
        <v>1340</v>
      </c>
      <c r="G42" s="13" t="s">
        <v>581</v>
      </c>
      <c r="H42" s="13" t="s">
        <v>581</v>
      </c>
      <c r="I42" s="13" t="s">
        <v>581</v>
      </c>
      <c r="J42" s="13" t="s">
        <v>581</v>
      </c>
      <c r="K42" s="13" t="s">
        <v>581</v>
      </c>
      <c r="L42" s="13" t="s">
        <v>1092</v>
      </c>
      <c r="M42" s="13" t="s">
        <v>1341</v>
      </c>
      <c r="N42" s="14" t="s">
        <v>1263</v>
      </c>
    </row>
    <row r="43" spans="2:14">
      <c r="B43" s="12" t="s">
        <v>1342</v>
      </c>
      <c r="C43" s="13" t="s">
        <v>1343</v>
      </c>
      <c r="D43" s="13" t="s">
        <v>712</v>
      </c>
      <c r="E43" s="13" t="s">
        <v>941</v>
      </c>
      <c r="F43" s="13" t="s">
        <v>1344</v>
      </c>
      <c r="G43" s="13" t="s">
        <v>712</v>
      </c>
      <c r="H43" s="13" t="s">
        <v>712</v>
      </c>
      <c r="I43" s="13" t="s">
        <v>712</v>
      </c>
      <c r="J43" s="13" t="s">
        <v>712</v>
      </c>
      <c r="K43" s="13" t="s">
        <v>712</v>
      </c>
      <c r="L43" s="13" t="s">
        <v>1092</v>
      </c>
      <c r="M43" s="13" t="s">
        <v>1345</v>
      </c>
      <c r="N43" s="14" t="s">
        <v>1346</v>
      </c>
    </row>
    <row r="44" spans="2:14">
      <c r="B44" s="12" t="s">
        <v>1346</v>
      </c>
      <c r="C44" s="13" t="s">
        <v>1347</v>
      </c>
      <c r="D44" s="13" t="s">
        <v>1348</v>
      </c>
      <c r="E44" s="13" t="s">
        <v>930</v>
      </c>
      <c r="F44" s="13" t="s">
        <v>1349</v>
      </c>
      <c r="G44" s="13" t="s">
        <v>610</v>
      </c>
      <c r="H44" s="13" t="s">
        <v>610</v>
      </c>
      <c r="I44" s="13" t="s">
        <v>1350</v>
      </c>
      <c r="J44" s="13" t="s">
        <v>610</v>
      </c>
      <c r="K44" s="13" t="s">
        <v>610</v>
      </c>
      <c r="L44" s="13" t="s">
        <v>1092</v>
      </c>
      <c r="M44" s="13" t="s">
        <v>1351</v>
      </c>
      <c r="N44" s="14" t="s">
        <v>1197</v>
      </c>
    </row>
    <row r="45" spans="2:14">
      <c r="B45" s="12" t="s">
        <v>1352</v>
      </c>
      <c r="C45" s="13" t="s">
        <v>1353</v>
      </c>
      <c r="D45" s="13" t="s">
        <v>1354</v>
      </c>
      <c r="E45" s="13" t="s">
        <v>1326</v>
      </c>
      <c r="F45" s="13" t="s">
        <v>1355</v>
      </c>
      <c r="G45" s="13" t="s">
        <v>1356</v>
      </c>
      <c r="H45" s="13" t="s">
        <v>1356</v>
      </c>
      <c r="I45" s="13" t="s">
        <v>1357</v>
      </c>
      <c r="J45" s="13" t="s">
        <v>1358</v>
      </c>
      <c r="K45" s="13" t="s">
        <v>1356</v>
      </c>
      <c r="L45" s="13" t="s">
        <v>1092</v>
      </c>
      <c r="M45" s="13" t="s">
        <v>1359</v>
      </c>
      <c r="N45" s="14" t="s">
        <v>1333</v>
      </c>
    </row>
    <row r="46" spans="2:14">
      <c r="B46" s="12" t="s">
        <v>1360</v>
      </c>
      <c r="C46" s="13" t="s">
        <v>91</v>
      </c>
      <c r="D46" s="13" t="s">
        <v>1361</v>
      </c>
      <c r="E46" s="13" t="s">
        <v>1362</v>
      </c>
      <c r="F46" s="13" t="s">
        <v>1363</v>
      </c>
      <c r="G46" s="13" t="s">
        <v>1361</v>
      </c>
      <c r="H46" s="13" t="s">
        <v>1361</v>
      </c>
      <c r="I46" s="13" t="s">
        <v>1361</v>
      </c>
      <c r="J46" s="13" t="s">
        <v>1361</v>
      </c>
      <c r="K46" s="13" t="s">
        <v>1364</v>
      </c>
      <c r="L46" s="13" t="s">
        <v>1092</v>
      </c>
      <c r="M46" s="13" t="s">
        <v>1365</v>
      </c>
      <c r="N46" s="14" t="s">
        <v>1342</v>
      </c>
    </row>
    <row r="47" spans="2:14">
      <c r="B47" s="12" t="s">
        <v>1366</v>
      </c>
      <c r="C47" s="13" t="s">
        <v>1367</v>
      </c>
      <c r="D47" s="13" t="s">
        <v>1368</v>
      </c>
      <c r="E47" s="13" t="s">
        <v>1362</v>
      </c>
      <c r="F47" s="13" t="s">
        <v>1369</v>
      </c>
      <c r="G47" s="13" t="s">
        <v>1370</v>
      </c>
      <c r="H47" s="13" t="s">
        <v>1370</v>
      </c>
      <c r="I47" s="13" t="s">
        <v>1370</v>
      </c>
      <c r="J47" s="13" t="s">
        <v>1370</v>
      </c>
      <c r="K47" s="13" t="s">
        <v>1371</v>
      </c>
      <c r="L47" s="13" t="s">
        <v>1100</v>
      </c>
      <c r="M47" s="13" t="s">
        <v>1372</v>
      </c>
      <c r="N47" s="14" t="s">
        <v>1342</v>
      </c>
    </row>
    <row r="48" spans="2:14">
      <c r="B48" s="12" t="s">
        <v>1094</v>
      </c>
      <c r="C48" s="13" t="s">
        <v>1373</v>
      </c>
      <c r="D48" s="13" t="s">
        <v>1374</v>
      </c>
      <c r="E48" s="13" t="s">
        <v>946</v>
      </c>
      <c r="F48" s="13" t="s">
        <v>1375</v>
      </c>
      <c r="G48" s="13" t="s">
        <v>627</v>
      </c>
      <c r="H48" s="13" t="s">
        <v>627</v>
      </c>
      <c r="I48" s="13" t="s">
        <v>627</v>
      </c>
      <c r="J48" s="13" t="s">
        <v>627</v>
      </c>
      <c r="K48" s="13" t="s">
        <v>627</v>
      </c>
      <c r="L48" s="13" t="s">
        <v>1100</v>
      </c>
      <c r="M48" s="13" t="s">
        <v>1376</v>
      </c>
      <c r="N48" s="14" t="s">
        <v>1377</v>
      </c>
    </row>
    <row r="49" spans="2:14">
      <c r="B49" s="12" t="s">
        <v>1378</v>
      </c>
      <c r="C49" s="13" t="s">
        <v>554</v>
      </c>
      <c r="D49" s="13" t="s">
        <v>1379</v>
      </c>
      <c r="E49" s="13" t="s">
        <v>946</v>
      </c>
      <c r="F49" s="13" t="s">
        <v>1380</v>
      </c>
      <c r="G49" s="13" t="s">
        <v>612</v>
      </c>
      <c r="H49" s="13" t="s">
        <v>612</v>
      </c>
      <c r="I49" s="13" t="s">
        <v>612</v>
      </c>
      <c r="J49" s="13" t="s">
        <v>612</v>
      </c>
      <c r="K49" s="13" t="s">
        <v>612</v>
      </c>
      <c r="L49" s="13" t="s">
        <v>1092</v>
      </c>
      <c r="M49" s="13" t="s">
        <v>1381</v>
      </c>
      <c r="N49" s="14" t="s">
        <v>1377</v>
      </c>
    </row>
    <row r="50" spans="2:14">
      <c r="B50" s="12" t="s">
        <v>1382</v>
      </c>
      <c r="C50" s="13" t="s">
        <v>1383</v>
      </c>
      <c r="D50" s="13" t="s">
        <v>1384</v>
      </c>
      <c r="E50" s="13" t="s">
        <v>1385</v>
      </c>
      <c r="F50" s="13" t="s">
        <v>1386</v>
      </c>
      <c r="G50" s="13" t="s">
        <v>1387</v>
      </c>
      <c r="H50" s="13" t="s">
        <v>1387</v>
      </c>
      <c r="I50" s="13" t="s">
        <v>1388</v>
      </c>
      <c r="J50" s="13" t="s">
        <v>1389</v>
      </c>
      <c r="K50" s="13" t="s">
        <v>1390</v>
      </c>
      <c r="L50" s="13" t="s">
        <v>1092</v>
      </c>
      <c r="M50" s="13" t="s">
        <v>1391</v>
      </c>
      <c r="N50" s="14" t="s">
        <v>1268</v>
      </c>
    </row>
    <row r="51" spans="2:14">
      <c r="B51" s="12" t="s">
        <v>1143</v>
      </c>
      <c r="C51" s="13" t="s">
        <v>1392</v>
      </c>
      <c r="D51" s="13" t="s">
        <v>1393</v>
      </c>
      <c r="E51" s="13" t="s">
        <v>937</v>
      </c>
      <c r="F51" s="13" t="s">
        <v>1394</v>
      </c>
      <c r="G51" s="13" t="s">
        <v>683</v>
      </c>
      <c r="H51" s="13" t="s">
        <v>683</v>
      </c>
      <c r="I51" s="13" t="s">
        <v>683</v>
      </c>
      <c r="J51" s="13" t="s">
        <v>683</v>
      </c>
      <c r="K51" s="13" t="s">
        <v>683</v>
      </c>
      <c r="L51" s="13" t="s">
        <v>1100</v>
      </c>
      <c r="M51" s="13" t="s">
        <v>1395</v>
      </c>
      <c r="N51" s="14" t="s">
        <v>1263</v>
      </c>
    </row>
    <row r="52" spans="2:14">
      <c r="B52" s="12" t="s">
        <v>1333</v>
      </c>
      <c r="C52" s="13" t="s">
        <v>128</v>
      </c>
      <c r="D52" s="13" t="s">
        <v>1396</v>
      </c>
      <c r="E52" s="13" t="s">
        <v>941</v>
      </c>
      <c r="F52" s="13" t="s">
        <v>1397</v>
      </c>
      <c r="G52" s="13" t="s">
        <v>589</v>
      </c>
      <c r="H52" s="13" t="s">
        <v>589</v>
      </c>
      <c r="I52" s="13" t="s">
        <v>589</v>
      </c>
      <c r="J52" s="13" t="s">
        <v>589</v>
      </c>
      <c r="K52" s="13" t="s">
        <v>589</v>
      </c>
      <c r="L52" s="13" t="s">
        <v>1100</v>
      </c>
      <c r="M52" s="13" t="s">
        <v>1398</v>
      </c>
      <c r="N52" s="14" t="s">
        <v>1346</v>
      </c>
    </row>
    <row r="53" spans="2:14">
      <c r="B53" s="12" t="s">
        <v>1399</v>
      </c>
      <c r="C53" s="13" t="s">
        <v>1400</v>
      </c>
      <c r="D53" s="13" t="s">
        <v>587</v>
      </c>
      <c r="E53" s="13" t="s">
        <v>940</v>
      </c>
      <c r="F53" s="13" t="s">
        <v>1401</v>
      </c>
      <c r="G53" s="13" t="s">
        <v>587</v>
      </c>
      <c r="H53" s="13" t="s">
        <v>587</v>
      </c>
      <c r="I53" s="13" t="s">
        <v>587</v>
      </c>
      <c r="J53" s="13" t="s">
        <v>587</v>
      </c>
      <c r="K53" s="13" t="s">
        <v>587</v>
      </c>
      <c r="L53" s="13" t="s">
        <v>1092</v>
      </c>
      <c r="M53" s="13" t="s">
        <v>1402</v>
      </c>
      <c r="N53" s="14" t="s">
        <v>1403</v>
      </c>
    </row>
    <row r="54" spans="2:14">
      <c r="B54" s="12" t="s">
        <v>1404</v>
      </c>
      <c r="C54" s="13" t="s">
        <v>1405</v>
      </c>
      <c r="D54" s="13" t="s">
        <v>1406</v>
      </c>
      <c r="E54" s="13" t="s">
        <v>109</v>
      </c>
      <c r="F54" s="13" t="s">
        <v>1407</v>
      </c>
      <c r="G54" s="13" t="s">
        <v>650</v>
      </c>
      <c r="H54" s="13" t="s">
        <v>650</v>
      </c>
      <c r="I54" s="13" t="s">
        <v>1408</v>
      </c>
      <c r="J54" s="13" t="s">
        <v>1409</v>
      </c>
      <c r="K54" s="13" t="s">
        <v>650</v>
      </c>
      <c r="L54" s="13" t="s">
        <v>1092</v>
      </c>
      <c r="M54" s="13" t="s">
        <v>1410</v>
      </c>
      <c r="N54" s="14" t="s">
        <v>1411</v>
      </c>
    </row>
    <row r="55" spans="2:14">
      <c r="B55" s="12" t="s">
        <v>1412</v>
      </c>
      <c r="C55" s="13" t="s">
        <v>1413</v>
      </c>
      <c r="D55" s="13" t="s">
        <v>1414</v>
      </c>
      <c r="E55" s="13" t="s">
        <v>1413</v>
      </c>
      <c r="F55" s="13" t="s">
        <v>1415</v>
      </c>
      <c r="G55" s="13" t="s">
        <v>1030</v>
      </c>
      <c r="H55" s="13" t="s">
        <v>1030</v>
      </c>
      <c r="I55" s="13" t="s">
        <v>1030</v>
      </c>
      <c r="J55" s="13" t="s">
        <v>1030</v>
      </c>
      <c r="K55" s="13" t="s">
        <v>1030</v>
      </c>
      <c r="L55" s="13" t="s">
        <v>1092</v>
      </c>
      <c r="M55" s="13" t="s">
        <v>1416</v>
      </c>
      <c r="N55" s="14" t="s">
        <v>1128</v>
      </c>
    </row>
    <row r="56" spans="2:14">
      <c r="B56" s="12" t="s">
        <v>1417</v>
      </c>
      <c r="C56" s="13" t="s">
        <v>1418</v>
      </c>
      <c r="D56" s="13" t="s">
        <v>1419</v>
      </c>
      <c r="E56" s="13" t="s">
        <v>1420</v>
      </c>
      <c r="F56" s="13" t="s">
        <v>1421</v>
      </c>
      <c r="G56" s="13" t="s">
        <v>649</v>
      </c>
      <c r="H56" s="13" t="s">
        <v>649</v>
      </c>
      <c r="I56" s="13" t="s">
        <v>649</v>
      </c>
      <c r="J56" s="13" t="s">
        <v>649</v>
      </c>
      <c r="K56" s="13" t="s">
        <v>649</v>
      </c>
      <c r="L56" s="13" t="s">
        <v>1092</v>
      </c>
      <c r="M56" s="13" t="s">
        <v>1422</v>
      </c>
      <c r="N56" s="14" t="s">
        <v>1157</v>
      </c>
    </row>
    <row r="57" spans="2:14">
      <c r="B57" s="12" t="s">
        <v>1240</v>
      </c>
      <c r="C57" s="13" t="s">
        <v>1423</v>
      </c>
      <c r="D57" s="13" t="s">
        <v>621</v>
      </c>
      <c r="E57" s="13" t="s">
        <v>957</v>
      </c>
      <c r="F57" s="13" t="s">
        <v>1424</v>
      </c>
      <c r="G57" s="13" t="s">
        <v>621</v>
      </c>
      <c r="H57" s="13" t="s">
        <v>621</v>
      </c>
      <c r="I57" s="13" t="s">
        <v>621</v>
      </c>
      <c r="J57" s="13" t="s">
        <v>621</v>
      </c>
      <c r="K57" s="13" t="s">
        <v>1425</v>
      </c>
      <c r="L57" s="13" t="s">
        <v>1092</v>
      </c>
      <c r="M57" s="13" t="s">
        <v>1426</v>
      </c>
      <c r="N57" s="14" t="s">
        <v>1427</v>
      </c>
    </row>
    <row r="58" spans="2:14">
      <c r="B58" s="12" t="s">
        <v>1403</v>
      </c>
      <c r="C58" s="13" t="s">
        <v>1428</v>
      </c>
      <c r="D58" s="13" t="s">
        <v>1429</v>
      </c>
      <c r="E58" s="13" t="s">
        <v>957</v>
      </c>
      <c r="F58" s="13" t="s">
        <v>1430</v>
      </c>
      <c r="G58" s="13" t="s">
        <v>1431</v>
      </c>
      <c r="H58" s="13" t="s">
        <v>1431</v>
      </c>
      <c r="I58" s="13" t="s">
        <v>1431</v>
      </c>
      <c r="J58" s="13" t="s">
        <v>1431</v>
      </c>
      <c r="K58" s="13" t="s">
        <v>1432</v>
      </c>
      <c r="L58" s="13" t="s">
        <v>1100</v>
      </c>
      <c r="M58" s="13" t="s">
        <v>1433</v>
      </c>
      <c r="N58" s="14" t="s">
        <v>1427</v>
      </c>
    </row>
    <row r="59" spans="2:14">
      <c r="B59" s="12" t="s">
        <v>1434</v>
      </c>
      <c r="C59" s="13" t="s">
        <v>1300</v>
      </c>
      <c r="D59" s="13" t="s">
        <v>1435</v>
      </c>
      <c r="E59" s="13" t="s">
        <v>1009</v>
      </c>
      <c r="F59" s="13" t="s">
        <v>1436</v>
      </c>
      <c r="G59" s="13" t="s">
        <v>1437</v>
      </c>
      <c r="H59" s="13" t="s">
        <v>1438</v>
      </c>
      <c r="I59" s="13" t="s">
        <v>1439</v>
      </c>
      <c r="J59" s="13" t="s">
        <v>1440</v>
      </c>
      <c r="K59" s="13" t="s">
        <v>1441</v>
      </c>
      <c r="L59" s="13" t="s">
        <v>1100</v>
      </c>
      <c r="M59" s="13" t="s">
        <v>1442</v>
      </c>
      <c r="N59" s="14" t="s">
        <v>1443</v>
      </c>
    </row>
    <row r="60" spans="2:14">
      <c r="B60" s="12" t="s">
        <v>1377</v>
      </c>
      <c r="C60" s="13" t="s">
        <v>1444</v>
      </c>
      <c r="D60" s="13" t="s">
        <v>1445</v>
      </c>
      <c r="E60" s="13" t="s">
        <v>933</v>
      </c>
      <c r="F60" s="13" t="s">
        <v>1446</v>
      </c>
      <c r="G60" s="13" t="s">
        <v>572</v>
      </c>
      <c r="H60" s="13" t="s">
        <v>572</v>
      </c>
      <c r="I60" s="13" t="s">
        <v>572</v>
      </c>
      <c r="J60" s="13" t="s">
        <v>572</v>
      </c>
      <c r="K60" s="13" t="s">
        <v>572</v>
      </c>
      <c r="L60" s="13" t="s">
        <v>1100</v>
      </c>
      <c r="M60" s="13" t="s">
        <v>1447</v>
      </c>
      <c r="N60" s="14" t="s">
        <v>1448</v>
      </c>
    </row>
    <row r="61" spans="2:14">
      <c r="B61" s="12" t="s">
        <v>1449</v>
      </c>
      <c r="C61" s="13" t="s">
        <v>1450</v>
      </c>
      <c r="D61" s="13" t="s">
        <v>1451</v>
      </c>
      <c r="E61" s="13" t="s">
        <v>1452</v>
      </c>
      <c r="F61" s="13" t="s">
        <v>1453</v>
      </c>
      <c r="G61" s="13" t="s">
        <v>1454</v>
      </c>
      <c r="H61" s="13" t="s">
        <v>1454</v>
      </c>
      <c r="I61" s="13" t="s">
        <v>1454</v>
      </c>
      <c r="J61" s="13" t="s">
        <v>1454</v>
      </c>
      <c r="K61" s="13" t="s">
        <v>1455</v>
      </c>
      <c r="L61" s="13" t="s">
        <v>1092</v>
      </c>
      <c r="M61" s="13" t="s">
        <v>1456</v>
      </c>
      <c r="N61" s="14" t="s">
        <v>1241</v>
      </c>
    </row>
    <row r="62" spans="2:14">
      <c r="B62" s="12" t="s">
        <v>1227</v>
      </c>
      <c r="C62" s="13" t="s">
        <v>57</v>
      </c>
      <c r="D62" s="13" t="s">
        <v>1457</v>
      </c>
      <c r="E62" s="13" t="s">
        <v>933</v>
      </c>
      <c r="F62" s="13" t="s">
        <v>1458</v>
      </c>
      <c r="G62" s="13" t="s">
        <v>575</v>
      </c>
      <c r="H62" s="13" t="s">
        <v>575</v>
      </c>
      <c r="I62" s="13" t="s">
        <v>575</v>
      </c>
      <c r="J62" s="13" t="s">
        <v>575</v>
      </c>
      <c r="K62" s="13" t="s">
        <v>575</v>
      </c>
      <c r="L62" s="13" t="s">
        <v>1092</v>
      </c>
      <c r="M62" s="13" t="s">
        <v>1459</v>
      </c>
      <c r="N62" s="14" t="s">
        <v>1448</v>
      </c>
    </row>
    <row r="63" spans="2:14">
      <c r="B63" s="12" t="s">
        <v>1460</v>
      </c>
      <c r="C63" s="13" t="s">
        <v>1461</v>
      </c>
      <c r="D63" s="13" t="s">
        <v>1462</v>
      </c>
      <c r="E63" s="13" t="s">
        <v>1009</v>
      </c>
      <c r="F63" s="13" t="s">
        <v>1463</v>
      </c>
      <c r="G63" s="13" t="s">
        <v>834</v>
      </c>
      <c r="H63" s="13" t="s">
        <v>834</v>
      </c>
      <c r="I63" s="13" t="s">
        <v>1464</v>
      </c>
      <c r="J63" s="13" t="s">
        <v>1465</v>
      </c>
      <c r="K63" s="13" t="s">
        <v>1466</v>
      </c>
      <c r="L63" s="13" t="s">
        <v>1092</v>
      </c>
      <c r="M63" s="13" t="s">
        <v>1467</v>
      </c>
      <c r="N63" s="14" t="s">
        <v>1443</v>
      </c>
    </row>
    <row r="64" spans="2:14">
      <c r="B64" s="12" t="s">
        <v>1134</v>
      </c>
      <c r="C64" s="13" t="s">
        <v>1468</v>
      </c>
      <c r="D64" s="13" t="s">
        <v>1469</v>
      </c>
      <c r="E64" s="13" t="s">
        <v>935</v>
      </c>
      <c r="F64" s="13" t="s">
        <v>1470</v>
      </c>
      <c r="G64" s="13" t="s">
        <v>577</v>
      </c>
      <c r="H64" s="13" t="s">
        <v>577</v>
      </c>
      <c r="I64" s="13" t="s">
        <v>1471</v>
      </c>
      <c r="J64" s="13" t="s">
        <v>577</v>
      </c>
      <c r="K64" s="13" t="s">
        <v>577</v>
      </c>
      <c r="L64" s="13" t="s">
        <v>1092</v>
      </c>
      <c r="M64" s="13" t="s">
        <v>1472</v>
      </c>
      <c r="N64" s="14" t="s">
        <v>1140</v>
      </c>
    </row>
    <row r="65" spans="2:14">
      <c r="B65" s="12" t="s">
        <v>1473</v>
      </c>
      <c r="C65" s="13" t="s">
        <v>1474</v>
      </c>
      <c r="D65" s="13" t="s">
        <v>1475</v>
      </c>
      <c r="E65" s="13" t="s">
        <v>1476</v>
      </c>
      <c r="F65" s="13" t="s">
        <v>1463</v>
      </c>
      <c r="G65" s="13" t="s">
        <v>1477</v>
      </c>
      <c r="H65" s="13" t="s">
        <v>834</v>
      </c>
      <c r="I65" s="13" t="s">
        <v>1478</v>
      </c>
      <c r="J65" s="13" t="s">
        <v>1465</v>
      </c>
      <c r="K65" s="13" t="s">
        <v>1477</v>
      </c>
      <c r="L65" s="13" t="s">
        <v>1092</v>
      </c>
      <c r="M65" s="13" t="s">
        <v>1479</v>
      </c>
      <c r="N65" s="14" t="s">
        <v>1144</v>
      </c>
    </row>
    <row r="66" spans="2:14">
      <c r="B66" s="12" t="s">
        <v>1480</v>
      </c>
      <c r="C66" s="13" t="s">
        <v>1481</v>
      </c>
      <c r="D66" s="13" t="s">
        <v>1482</v>
      </c>
      <c r="E66" s="13" t="s">
        <v>1452</v>
      </c>
      <c r="F66" s="13" t="s">
        <v>1483</v>
      </c>
      <c r="G66" s="13" t="s">
        <v>1484</v>
      </c>
      <c r="H66" s="13" t="s">
        <v>1484</v>
      </c>
      <c r="I66" s="13" t="s">
        <v>1484</v>
      </c>
      <c r="J66" s="13" t="s">
        <v>1484</v>
      </c>
      <c r="K66" s="13" t="s">
        <v>1485</v>
      </c>
      <c r="L66" s="13" t="s">
        <v>1100</v>
      </c>
      <c r="M66" s="13" t="s">
        <v>1486</v>
      </c>
      <c r="N66" s="14" t="s">
        <v>1241</v>
      </c>
    </row>
    <row r="67" spans="2:14">
      <c r="B67" s="12" t="s">
        <v>1487</v>
      </c>
      <c r="C67" s="13" t="s">
        <v>452</v>
      </c>
      <c r="D67" s="13" t="s">
        <v>570</v>
      </c>
      <c r="E67" s="13" t="s">
        <v>932</v>
      </c>
      <c r="F67" s="13" t="s">
        <v>1488</v>
      </c>
      <c r="G67" s="13" t="s">
        <v>570</v>
      </c>
      <c r="H67" s="13" t="s">
        <v>570</v>
      </c>
      <c r="I67" s="13" t="s">
        <v>570</v>
      </c>
      <c r="J67" s="13" t="s">
        <v>570</v>
      </c>
      <c r="K67" s="13" t="s">
        <v>570</v>
      </c>
      <c r="L67" s="13" t="s">
        <v>1092</v>
      </c>
      <c r="M67" s="13" t="s">
        <v>1489</v>
      </c>
      <c r="N67" s="14" t="s">
        <v>1378</v>
      </c>
    </row>
    <row r="68" spans="2:14">
      <c r="B68" s="12" t="s">
        <v>1196</v>
      </c>
      <c r="C68" s="13" t="s">
        <v>1490</v>
      </c>
      <c r="D68" s="13" t="s">
        <v>685</v>
      </c>
      <c r="E68" s="13" t="s">
        <v>975</v>
      </c>
      <c r="F68" s="13" t="s">
        <v>1491</v>
      </c>
      <c r="G68" s="13" t="s">
        <v>685</v>
      </c>
      <c r="H68" s="13" t="s">
        <v>685</v>
      </c>
      <c r="I68" s="13" t="s">
        <v>1492</v>
      </c>
      <c r="J68" s="13" t="s">
        <v>685</v>
      </c>
      <c r="K68" s="13" t="s">
        <v>685</v>
      </c>
      <c r="L68" s="13" t="s">
        <v>1092</v>
      </c>
      <c r="M68" s="13" t="s">
        <v>1493</v>
      </c>
      <c r="N68" s="14" t="s">
        <v>1494</v>
      </c>
    </row>
    <row r="69" spans="2:14">
      <c r="B69" s="12" t="s">
        <v>1127</v>
      </c>
      <c r="C69" s="13" t="s">
        <v>1495</v>
      </c>
      <c r="D69" s="13" t="s">
        <v>1496</v>
      </c>
      <c r="E69" s="13" t="s">
        <v>975</v>
      </c>
      <c r="F69" s="13" t="s">
        <v>1497</v>
      </c>
      <c r="G69" s="13" t="s">
        <v>1498</v>
      </c>
      <c r="H69" s="13" t="s">
        <v>1498</v>
      </c>
      <c r="I69" s="13" t="s">
        <v>1499</v>
      </c>
      <c r="J69" s="13" t="s">
        <v>1498</v>
      </c>
      <c r="K69" s="13" t="s">
        <v>1498</v>
      </c>
      <c r="L69" s="13" t="s">
        <v>1100</v>
      </c>
      <c r="M69" s="13" t="s">
        <v>1500</v>
      </c>
      <c r="N69" s="14" t="s">
        <v>1494</v>
      </c>
    </row>
    <row r="70" spans="2:14">
      <c r="B70" s="12" t="s">
        <v>1427</v>
      </c>
      <c r="C70" s="13" t="s">
        <v>1501</v>
      </c>
      <c r="D70" s="13" t="s">
        <v>709</v>
      </c>
      <c r="E70" s="13" t="s">
        <v>981</v>
      </c>
      <c r="F70" s="13" t="s">
        <v>1502</v>
      </c>
      <c r="G70" s="13" t="s">
        <v>709</v>
      </c>
      <c r="H70" s="13" t="s">
        <v>709</v>
      </c>
      <c r="I70" s="13" t="s">
        <v>1503</v>
      </c>
      <c r="J70" s="13" t="s">
        <v>709</v>
      </c>
      <c r="K70" s="13" t="s">
        <v>709</v>
      </c>
      <c r="L70" s="13" t="s">
        <v>1092</v>
      </c>
      <c r="M70" s="13" t="s">
        <v>1504</v>
      </c>
      <c r="N70" s="14" t="s">
        <v>1505</v>
      </c>
    </row>
    <row r="71" spans="2:14">
      <c r="B71" s="12" t="s">
        <v>1117</v>
      </c>
      <c r="C71" s="13" t="s">
        <v>1300</v>
      </c>
      <c r="D71" s="13" t="s">
        <v>1506</v>
      </c>
      <c r="E71" s="13" t="s">
        <v>981</v>
      </c>
      <c r="F71" s="13" t="s">
        <v>1507</v>
      </c>
      <c r="G71" s="13" t="s">
        <v>1508</v>
      </c>
      <c r="H71" s="13" t="s">
        <v>1508</v>
      </c>
      <c r="I71" s="13" t="s">
        <v>1509</v>
      </c>
      <c r="J71" s="13" t="s">
        <v>1508</v>
      </c>
      <c r="K71" s="13" t="s">
        <v>1508</v>
      </c>
      <c r="L71" s="13" t="s">
        <v>1100</v>
      </c>
      <c r="M71" s="13" t="s">
        <v>1510</v>
      </c>
      <c r="N71" s="14" t="s">
        <v>1505</v>
      </c>
    </row>
    <row r="72" spans="2:14">
      <c r="B72" s="12" t="s">
        <v>1511</v>
      </c>
      <c r="C72" s="13" t="s">
        <v>1512</v>
      </c>
      <c r="D72" s="13" t="s">
        <v>1513</v>
      </c>
      <c r="E72" s="13" t="s">
        <v>1514</v>
      </c>
      <c r="F72" s="13" t="s">
        <v>1515</v>
      </c>
      <c r="G72" s="13" t="s">
        <v>1516</v>
      </c>
      <c r="H72" s="13" t="s">
        <v>1517</v>
      </c>
      <c r="I72" s="13" t="s">
        <v>1518</v>
      </c>
      <c r="J72" s="13" t="s">
        <v>1519</v>
      </c>
      <c r="K72" s="13" t="s">
        <v>1517</v>
      </c>
      <c r="L72" s="13" t="s">
        <v>1100</v>
      </c>
      <c r="M72" s="13" t="s">
        <v>1520</v>
      </c>
      <c r="N72" s="14" t="s">
        <v>1280</v>
      </c>
    </row>
    <row r="73" spans="2:14">
      <c r="B73" s="12" t="s">
        <v>1521</v>
      </c>
      <c r="C73" s="13" t="s">
        <v>1522</v>
      </c>
      <c r="D73" s="13" t="s">
        <v>1523</v>
      </c>
      <c r="E73" s="13" t="s">
        <v>1514</v>
      </c>
      <c r="F73" s="13" t="s">
        <v>1524</v>
      </c>
      <c r="G73" s="13" t="s">
        <v>1525</v>
      </c>
      <c r="H73" s="13" t="s">
        <v>1525</v>
      </c>
      <c r="I73" s="13" t="s">
        <v>1526</v>
      </c>
      <c r="J73" s="13" t="s">
        <v>1527</v>
      </c>
      <c r="K73" s="13" t="s">
        <v>1525</v>
      </c>
      <c r="L73" s="13" t="s">
        <v>1092</v>
      </c>
      <c r="M73" s="13" t="s">
        <v>1528</v>
      </c>
      <c r="N73" s="14" t="s">
        <v>1280</v>
      </c>
    </row>
    <row r="74" spans="2:14">
      <c r="B74" s="12" t="s">
        <v>1529</v>
      </c>
      <c r="C74" s="13" t="s">
        <v>1530</v>
      </c>
      <c r="D74" s="13" t="s">
        <v>1531</v>
      </c>
      <c r="E74" s="13" t="s">
        <v>120</v>
      </c>
      <c r="F74" s="13" t="s">
        <v>1532</v>
      </c>
      <c r="G74" s="13" t="s">
        <v>1533</v>
      </c>
      <c r="H74" s="13" t="s">
        <v>1533</v>
      </c>
      <c r="I74" s="13" t="s">
        <v>1534</v>
      </c>
      <c r="J74" s="13" t="s">
        <v>1533</v>
      </c>
      <c r="K74" s="13" t="s">
        <v>1533</v>
      </c>
      <c r="L74" s="13" t="s">
        <v>1100</v>
      </c>
      <c r="M74" s="13" t="s">
        <v>1535</v>
      </c>
      <c r="N74" s="14" t="s">
        <v>1258</v>
      </c>
    </row>
    <row r="75" spans="2:14">
      <c r="B75" s="12" t="s">
        <v>1139</v>
      </c>
      <c r="C75" s="13" t="s">
        <v>1536</v>
      </c>
      <c r="D75" s="13" t="s">
        <v>603</v>
      </c>
      <c r="E75" s="13" t="s">
        <v>478</v>
      </c>
      <c r="F75" s="13" t="s">
        <v>1537</v>
      </c>
      <c r="G75" s="13" t="s">
        <v>603</v>
      </c>
      <c r="H75" s="13" t="s">
        <v>603</v>
      </c>
      <c r="I75" s="13" t="s">
        <v>1538</v>
      </c>
      <c r="J75" s="13" t="s">
        <v>603</v>
      </c>
      <c r="K75" s="13" t="s">
        <v>603</v>
      </c>
      <c r="L75" s="13" t="s">
        <v>1092</v>
      </c>
      <c r="M75" s="13" t="s">
        <v>1539</v>
      </c>
      <c r="N75" s="14" t="s">
        <v>1203</v>
      </c>
    </row>
    <row r="76" spans="2:14">
      <c r="B76" s="12" t="s">
        <v>1540</v>
      </c>
      <c r="C76" s="13" t="s">
        <v>1541</v>
      </c>
      <c r="D76" s="13" t="s">
        <v>1542</v>
      </c>
      <c r="E76" s="13" t="s">
        <v>120</v>
      </c>
      <c r="F76" s="13" t="s">
        <v>1543</v>
      </c>
      <c r="G76" s="13" t="s">
        <v>1544</v>
      </c>
      <c r="H76" s="13" t="s">
        <v>1544</v>
      </c>
      <c r="I76" s="13" t="s">
        <v>1545</v>
      </c>
      <c r="J76" s="13" t="s">
        <v>1544</v>
      </c>
      <c r="K76" s="13" t="s">
        <v>1544</v>
      </c>
      <c r="L76" s="13" t="s">
        <v>1092</v>
      </c>
      <c r="M76" s="13" t="s">
        <v>1546</v>
      </c>
      <c r="N76" s="14" t="s">
        <v>1258</v>
      </c>
    </row>
    <row r="77" spans="2:14">
      <c r="B77" s="12" t="s">
        <v>1547</v>
      </c>
      <c r="C77" s="13" t="s">
        <v>1548</v>
      </c>
      <c r="D77" s="13" t="s">
        <v>1549</v>
      </c>
      <c r="E77" s="13" t="s">
        <v>1550</v>
      </c>
      <c r="F77" s="13" t="s">
        <v>1551</v>
      </c>
      <c r="G77" s="13" t="s">
        <v>1552</v>
      </c>
      <c r="H77" s="13" t="s">
        <v>1552</v>
      </c>
      <c r="I77" s="13" t="s">
        <v>1553</v>
      </c>
      <c r="J77" s="13" t="s">
        <v>1554</v>
      </c>
      <c r="K77" s="13" t="s">
        <v>1552</v>
      </c>
      <c r="L77" s="13" t="s">
        <v>1092</v>
      </c>
      <c r="M77" s="13" t="s">
        <v>1555</v>
      </c>
      <c r="N77" s="14" t="s">
        <v>1135</v>
      </c>
    </row>
    <row r="78" spans="2:14">
      <c r="B78" s="12" t="s">
        <v>1494</v>
      </c>
      <c r="C78" s="13" t="s">
        <v>1556</v>
      </c>
      <c r="D78" s="13" t="s">
        <v>1557</v>
      </c>
      <c r="E78" s="13" t="s">
        <v>478</v>
      </c>
      <c r="F78" s="13" t="s">
        <v>1558</v>
      </c>
      <c r="G78" s="13" t="s">
        <v>592</v>
      </c>
      <c r="H78" s="13" t="s">
        <v>592</v>
      </c>
      <c r="I78" s="13" t="s">
        <v>1559</v>
      </c>
      <c r="J78" s="13" t="s">
        <v>592</v>
      </c>
      <c r="K78" s="13" t="s">
        <v>592</v>
      </c>
      <c r="L78" s="13" t="s">
        <v>1100</v>
      </c>
      <c r="M78" s="13" t="s">
        <v>1560</v>
      </c>
      <c r="N78" s="14" t="s">
        <v>1203</v>
      </c>
    </row>
    <row r="79" spans="2:14">
      <c r="B79" s="12" t="s">
        <v>1443</v>
      </c>
      <c r="C79" s="13" t="s">
        <v>1561</v>
      </c>
      <c r="D79" s="13" t="s">
        <v>1562</v>
      </c>
      <c r="E79" s="13" t="s">
        <v>963</v>
      </c>
      <c r="F79" s="13" t="s">
        <v>1563</v>
      </c>
      <c r="G79" s="13" t="s">
        <v>646</v>
      </c>
      <c r="H79" s="13" t="s">
        <v>646</v>
      </c>
      <c r="I79" s="13" t="s">
        <v>1564</v>
      </c>
      <c r="J79" s="13" t="s">
        <v>646</v>
      </c>
      <c r="K79" s="13" t="s">
        <v>646</v>
      </c>
      <c r="L79" s="13" t="s">
        <v>1092</v>
      </c>
      <c r="M79" s="13" t="s">
        <v>1565</v>
      </c>
      <c r="N79" s="14" t="s">
        <v>1224</v>
      </c>
    </row>
    <row r="80" spans="2:14">
      <c r="B80" s="12" t="s">
        <v>1411</v>
      </c>
      <c r="C80" s="13" t="s">
        <v>1566</v>
      </c>
      <c r="D80" s="13" t="s">
        <v>1567</v>
      </c>
      <c r="E80" s="13" t="s">
        <v>963</v>
      </c>
      <c r="F80" s="13" t="s">
        <v>1568</v>
      </c>
      <c r="G80" s="13" t="s">
        <v>1569</v>
      </c>
      <c r="H80" s="13" t="s">
        <v>1569</v>
      </c>
      <c r="I80" s="13" t="s">
        <v>1570</v>
      </c>
      <c r="J80" s="13" t="s">
        <v>1569</v>
      </c>
      <c r="K80" s="13" t="s">
        <v>1569</v>
      </c>
      <c r="L80" s="13" t="s">
        <v>1100</v>
      </c>
      <c r="M80" s="13" t="s">
        <v>1571</v>
      </c>
      <c r="N80" s="14" t="s">
        <v>1224</v>
      </c>
    </row>
    <row r="81" spans="2:14">
      <c r="B81" s="12" t="s">
        <v>1572</v>
      </c>
      <c r="C81" s="13" t="s">
        <v>1300</v>
      </c>
      <c r="D81" s="13" t="s">
        <v>1573</v>
      </c>
      <c r="E81" s="13" t="s">
        <v>1574</v>
      </c>
      <c r="F81" s="13" t="s">
        <v>1575</v>
      </c>
      <c r="G81" s="13" t="s">
        <v>1441</v>
      </c>
      <c r="H81" s="13" t="s">
        <v>1441</v>
      </c>
      <c r="I81" s="13" t="s">
        <v>1576</v>
      </c>
      <c r="J81" s="13" t="s">
        <v>1577</v>
      </c>
      <c r="K81" s="13" t="s">
        <v>1441</v>
      </c>
      <c r="L81" s="13" t="s">
        <v>1092</v>
      </c>
      <c r="M81" s="13" t="s">
        <v>1578</v>
      </c>
      <c r="N81" s="14" t="s">
        <v>1169</v>
      </c>
    </row>
    <row r="82" spans="2:14">
      <c r="B82" s="12" t="s">
        <v>1579</v>
      </c>
      <c r="C82" s="13" t="s">
        <v>1580</v>
      </c>
      <c r="D82" s="13" t="s">
        <v>1581</v>
      </c>
      <c r="E82" s="13" t="s">
        <v>932</v>
      </c>
      <c r="F82" s="13" t="s">
        <v>1582</v>
      </c>
      <c r="G82" s="13" t="s">
        <v>1583</v>
      </c>
      <c r="H82" s="13" t="s">
        <v>1583</v>
      </c>
      <c r="I82" s="13" t="s">
        <v>1583</v>
      </c>
      <c r="J82" s="13" t="s">
        <v>1583</v>
      </c>
      <c r="K82" s="13" t="s">
        <v>1583</v>
      </c>
      <c r="L82" s="13" t="s">
        <v>1100</v>
      </c>
      <c r="M82" s="13" t="s">
        <v>1584</v>
      </c>
      <c r="N82" s="14" t="s">
        <v>1378</v>
      </c>
    </row>
    <row r="83" spans="2:14">
      <c r="B83" s="12" t="s">
        <v>1448</v>
      </c>
      <c r="C83" s="13" t="s">
        <v>1585</v>
      </c>
      <c r="D83" s="13" t="s">
        <v>618</v>
      </c>
      <c r="E83" s="13" t="s">
        <v>955</v>
      </c>
      <c r="F83" s="13" t="s">
        <v>1586</v>
      </c>
      <c r="G83" s="13" t="s">
        <v>618</v>
      </c>
      <c r="H83" s="13" t="s">
        <v>618</v>
      </c>
      <c r="I83" s="13" t="s">
        <v>618</v>
      </c>
      <c r="J83" s="13" t="s">
        <v>618</v>
      </c>
      <c r="K83" s="13" t="s">
        <v>618</v>
      </c>
      <c r="L83" s="13" t="s">
        <v>1092</v>
      </c>
      <c r="M83" s="13" t="s">
        <v>1587</v>
      </c>
      <c r="N83" s="14" t="s">
        <v>1284</v>
      </c>
    </row>
    <row r="84" spans="2:14">
      <c r="B84" s="12" t="s">
        <v>1588</v>
      </c>
      <c r="C84" s="13" t="s">
        <v>1589</v>
      </c>
      <c r="D84" s="13" t="s">
        <v>1590</v>
      </c>
      <c r="E84" s="13" t="s">
        <v>1591</v>
      </c>
      <c r="F84" s="13" t="s">
        <v>1592</v>
      </c>
      <c r="G84" s="13" t="s">
        <v>1593</v>
      </c>
      <c r="H84" s="13" t="s">
        <v>1593</v>
      </c>
      <c r="I84" s="13" t="s">
        <v>1594</v>
      </c>
      <c r="J84" s="13" t="s">
        <v>1595</v>
      </c>
      <c r="K84" s="13" t="s">
        <v>1593</v>
      </c>
      <c r="L84" s="13" t="s">
        <v>1092</v>
      </c>
      <c r="M84" s="13" t="s">
        <v>1596</v>
      </c>
      <c r="N84" s="14" t="s">
        <v>1597</v>
      </c>
    </row>
    <row r="85" spans="2:14">
      <c r="B85" s="12" t="s">
        <v>1598</v>
      </c>
      <c r="C85" s="13" t="s">
        <v>1599</v>
      </c>
      <c r="D85" s="13" t="s">
        <v>746</v>
      </c>
      <c r="E85" s="13" t="s">
        <v>938</v>
      </c>
      <c r="F85" s="13" t="s">
        <v>1600</v>
      </c>
      <c r="G85" s="13" t="s">
        <v>746</v>
      </c>
      <c r="H85" s="13" t="s">
        <v>746</v>
      </c>
      <c r="I85" s="13" t="s">
        <v>746</v>
      </c>
      <c r="J85" s="13" t="s">
        <v>746</v>
      </c>
      <c r="K85" s="13" t="s">
        <v>746</v>
      </c>
      <c r="L85" s="13" t="s">
        <v>1092</v>
      </c>
      <c r="M85" s="13" t="s">
        <v>1601</v>
      </c>
      <c r="N85" s="14" t="s">
        <v>1598</v>
      </c>
    </row>
    <row r="86" spans="2:14">
      <c r="B86" s="15" t="s">
        <v>1267</v>
      </c>
      <c r="C86" s="16" t="s">
        <v>67</v>
      </c>
      <c r="D86" s="16" t="s">
        <v>1602</v>
      </c>
      <c r="E86" s="16" t="s">
        <v>938</v>
      </c>
      <c r="F86" s="16" t="s">
        <v>1603</v>
      </c>
      <c r="G86" s="16" t="s">
        <v>583</v>
      </c>
      <c r="H86" s="16" t="s">
        <v>583</v>
      </c>
      <c r="I86" s="16" t="s">
        <v>583</v>
      </c>
      <c r="J86" s="16" t="s">
        <v>583</v>
      </c>
      <c r="K86" s="16" t="s">
        <v>583</v>
      </c>
      <c r="L86" s="16" t="s">
        <v>1100</v>
      </c>
      <c r="M86" s="16" t="s">
        <v>1604</v>
      </c>
      <c r="N86" s="17" t="s">
        <v>1598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2EDC-4560-40ED-AF45-29B5BCBA51B8}">
  <dimension ref="B1:AS103"/>
  <sheetViews>
    <sheetView showGridLines="0" tabSelected="1" zoomScale="90" zoomScaleNormal="90" workbookViewId="0">
      <pane ySplit="3" topLeftCell="A4" activePane="bottomLeft" state="frozen"/>
      <selection activeCell="C12" sqref="C12"/>
      <selection pane="bottomLeft" activeCell="AE9" sqref="AE9"/>
    </sheetView>
  </sheetViews>
  <sheetFormatPr defaultColWidth="6.6640625" defaultRowHeight="25.5" outlineLevelCol="1"/>
  <cols>
    <col min="1" max="1" width="2.5" style="21" customWidth="1"/>
    <col min="2" max="2" width="7.4140625" style="20" customWidth="1"/>
    <col min="3" max="5" width="9.9140625" style="58" customWidth="1"/>
    <col min="6" max="6" width="9.9140625" style="19" customWidth="1"/>
    <col min="7" max="7" width="9.9140625" style="59" customWidth="1"/>
    <col min="8" max="11" width="9.9140625" style="58" customWidth="1"/>
    <col min="12" max="14" width="10.25" style="58" customWidth="1"/>
    <col min="15" max="15" width="10.58203125" style="22" hidden="1" customWidth="1" outlineLevel="1"/>
    <col min="16" max="16" width="6.6640625" style="58" collapsed="1"/>
    <col min="17" max="18" width="0" style="58" hidden="1" customWidth="1" outlineLevel="1"/>
    <col min="19" max="19" width="8.5" style="58" hidden="1" customWidth="1" outlineLevel="1"/>
    <col min="20" max="20" width="6.58203125" style="59" hidden="1" customWidth="1" outlineLevel="1"/>
    <col min="21" max="21" width="8.5" style="59" hidden="1" customWidth="1" outlineLevel="1"/>
    <col min="22" max="23" width="8.5" style="58" hidden="1" customWidth="1" outlineLevel="1"/>
    <col min="24" max="24" width="6.58203125" style="58" hidden="1" customWidth="1" outlineLevel="1"/>
    <col min="25" max="25" width="8.5" style="58" hidden="1" customWidth="1" outlineLevel="1"/>
    <col min="26" max="26" width="8.5" style="21" hidden="1" customWidth="1" outlineLevel="1"/>
    <col min="27" max="27" width="15.9140625" style="58" hidden="1" customWidth="1" outlineLevel="1"/>
    <col min="28" max="28" width="12.5" style="59" hidden="1" customWidth="1" outlineLevel="1"/>
    <col min="29" max="29" width="12.5" style="58" hidden="1" customWidth="1" outlineLevel="1"/>
    <col min="30" max="30" width="10.08203125" style="22" hidden="1" customWidth="1" outlineLevel="1"/>
    <col min="31" max="31" width="5.5" style="59" customWidth="1" collapsed="1"/>
    <col min="32" max="32" width="17.6640625" style="58" bestFit="1" customWidth="1"/>
    <col min="33" max="33" width="6.6640625" style="58"/>
    <col min="34" max="34" width="21.9140625" style="58" customWidth="1"/>
    <col min="35" max="35" width="12.5" style="58" bestFit="1" customWidth="1"/>
    <col min="36" max="36" width="6.6640625" style="58"/>
    <col min="37" max="38" width="12.5" style="58" bestFit="1" customWidth="1"/>
    <col min="39" max="40" width="6.6640625" style="58"/>
    <col min="41" max="41" width="8.9140625" style="22" customWidth="1"/>
    <col min="42" max="42" width="8.9140625" style="22" hidden="1" customWidth="1" outlineLevel="1"/>
    <col min="43" max="43" width="9.1640625" style="23" hidden="1" customWidth="1" outlineLevel="1"/>
    <col min="44" max="44" width="9.1640625" style="23" customWidth="1" collapsed="1"/>
    <col min="45" max="45" width="12.75" style="23" customWidth="1"/>
    <col min="46" max="47" width="9.9140625" style="21" customWidth="1"/>
    <col min="48" max="48" width="14.1640625" style="21" customWidth="1"/>
    <col min="49" max="49" width="16.6640625" style="21" customWidth="1"/>
    <col min="50" max="16384" width="6.6640625" style="21"/>
  </cols>
  <sheetData>
    <row r="1" spans="2:45" s="19" customFormat="1" ht="26.25" customHeight="1">
      <c r="B1" s="18" cm="1">
        <f t="array" ref="B1" xml:space="preserve"> COLUMN() - COLUMN($A:$A)</f>
        <v>1</v>
      </c>
      <c r="C1" s="18" cm="1">
        <f t="array" ref="C1" xml:space="preserve"> COLUMN() - COLUMN($A:$A)</f>
        <v>2</v>
      </c>
      <c r="D1" s="18" cm="1">
        <f t="array" ref="D1" xml:space="preserve"> COLUMN() - COLUMN($A:$A)</f>
        <v>3</v>
      </c>
      <c r="E1" s="18" cm="1">
        <f t="array" ref="E1" xml:space="preserve"> COLUMN() - COLUMN($A:$A)</f>
        <v>4</v>
      </c>
      <c r="F1" s="18" cm="1">
        <f t="array" ref="F1" xml:space="preserve"> COLUMN() - COLUMN($A:$A)</f>
        <v>5</v>
      </c>
      <c r="G1" s="18" cm="1">
        <f t="array" ref="G1" xml:space="preserve"> COLUMN() - COLUMN($A:$A)</f>
        <v>6</v>
      </c>
      <c r="H1" s="18" cm="1">
        <f t="array" ref="H1" xml:space="preserve"> COLUMN() - COLUMN($A:$A)</f>
        <v>7</v>
      </c>
      <c r="I1" s="18" cm="1">
        <f t="array" ref="I1" xml:space="preserve"> COLUMN() - COLUMN($A:$A)</f>
        <v>8</v>
      </c>
      <c r="J1" s="18" cm="1">
        <f t="array" ref="J1" xml:space="preserve"> COLUMN() - COLUMN($A:$A)</f>
        <v>9</v>
      </c>
      <c r="K1" s="18" cm="1">
        <f t="array" ref="K1" xml:space="preserve"> COLUMN() - COLUMN($A:$A)</f>
        <v>10</v>
      </c>
      <c r="L1" s="18" cm="1">
        <f t="array" ref="L1" xml:space="preserve"> COLUMN() - COLUMN($A:$A)</f>
        <v>11</v>
      </c>
      <c r="M1" s="18" cm="1">
        <f t="array" ref="M1" xml:space="preserve"> COLUMN() - COLUMN($A:$A)</f>
        <v>12</v>
      </c>
      <c r="N1" s="18" cm="1">
        <f t="array" ref="N1" xml:space="preserve"> COLUMN() - COLUMN($A:$A)</f>
        <v>13</v>
      </c>
      <c r="O1" s="18" cm="1">
        <f t="array" ref="O1" xml:space="preserve"> COLUMN() - COLUMN($A:$A)</f>
        <v>14</v>
      </c>
    </row>
    <row r="2" spans="2:45" ht="26.25" customHeight="1">
      <c r="C2" s="21"/>
      <c r="D2" s="22"/>
      <c r="E2" s="21"/>
      <c r="F2" s="23"/>
      <c r="G2" s="22"/>
      <c r="H2" s="23"/>
      <c r="I2" s="23"/>
      <c r="J2" s="23"/>
      <c r="K2" s="23"/>
      <c r="L2" s="21"/>
      <c r="M2" s="21"/>
      <c r="N2" s="19"/>
      <c r="P2" s="21"/>
      <c r="Q2" s="21"/>
      <c r="R2" s="21"/>
      <c r="S2" s="21"/>
      <c r="T2" s="21"/>
      <c r="U2" s="21"/>
      <c r="V2" s="21"/>
      <c r="W2" s="21"/>
      <c r="X2" s="21"/>
      <c r="Y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</row>
    <row r="3" spans="2:45" ht="27" customHeight="1">
      <c r="B3" s="24" t="s">
        <v>1605</v>
      </c>
      <c r="C3" s="24" t="s">
        <v>1606</v>
      </c>
      <c r="D3" s="25" t="s">
        <v>1607</v>
      </c>
      <c r="E3" s="24" t="s">
        <v>1608</v>
      </c>
      <c r="F3" s="24" t="s">
        <v>1609</v>
      </c>
      <c r="G3" s="24" t="s">
        <v>1610</v>
      </c>
      <c r="H3" s="24" t="s">
        <v>1611</v>
      </c>
      <c r="I3" s="24" t="s">
        <v>1612</v>
      </c>
      <c r="J3" s="24" t="s">
        <v>1613</v>
      </c>
      <c r="K3" s="24" t="s">
        <v>1614</v>
      </c>
      <c r="L3" s="26" t="s">
        <v>1615</v>
      </c>
      <c r="M3" s="26" t="s">
        <v>1616</v>
      </c>
      <c r="N3" s="26" t="s">
        <v>1617</v>
      </c>
      <c r="O3" s="27" t="s">
        <v>1618</v>
      </c>
      <c r="P3" s="21"/>
      <c r="Q3" s="28" t="str" cm="1">
        <f t="array" ref="Q3:AC87">_xlfn._xlws.FILTER(B2:N103, G2:G103&lt;&gt;"") &amp; ""</f>
        <v>識別號</v>
      </c>
      <c r="R3" s="28" t="str">
        <v>漢字例</v>
      </c>
      <c r="S3" s="28" t="str">
        <v>國際音標</v>
      </c>
      <c r="T3" s="28" t="str">
        <v>十五音</v>
      </c>
      <c r="U3" s="28" t="str">
        <v>方音符號</v>
      </c>
      <c r="V3" s="28" t="str">
        <v>台語音標</v>
      </c>
      <c r="W3" s="28" t="str">
        <v>台羅拼音</v>
      </c>
      <c r="X3" s="28" t="str">
        <v>白話字</v>
      </c>
      <c r="Y3" s="28" t="str">
        <v>閩拼方案</v>
      </c>
      <c r="Z3" s="28" t="str">
        <v>注音二式</v>
      </c>
      <c r="AA3" s="28" t="str">
        <v>舒促聲</v>
      </c>
      <c r="AB3" s="28" t="str">
        <v>十五音識別碼</v>
      </c>
      <c r="AC3" s="28" t="str">
        <v>十五音韻母序</v>
      </c>
      <c r="AD3" s="21"/>
      <c r="AE3" s="21"/>
      <c r="AF3" s="21" t="s">
        <v>1619</v>
      </c>
      <c r="AG3" s="21"/>
      <c r="AH3" s="21" t="str" cm="1">
        <f t="array" ref="AH3:AH52" xml:space="preserve"> _xlfn._xlws.FILTER(AF4:AF103, AF4:AF103&lt;&gt;"")</f>
        <v>"君" : ["un", "ut"],</v>
      </c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</row>
    <row r="4" spans="2:45" ht="54" customHeight="1">
      <c r="B4" s="30">
        <v>1</v>
      </c>
      <c r="C4" s="31" t="s">
        <v>1599</v>
      </c>
      <c r="D4" s="32" t="s">
        <v>746</v>
      </c>
      <c r="E4" s="33" t="s">
        <v>938</v>
      </c>
      <c r="F4" s="34" t="s">
        <v>1600</v>
      </c>
      <c r="G4" s="35" t="s">
        <v>746</v>
      </c>
      <c r="H4" s="36" t="s">
        <v>746</v>
      </c>
      <c r="I4" s="36" t="s">
        <v>746</v>
      </c>
      <c r="J4" s="36" t="s">
        <v>746</v>
      </c>
      <c r="K4" s="36" t="s">
        <v>1620</v>
      </c>
      <c r="L4" s="37" t="s">
        <v>1621</v>
      </c>
      <c r="M4" s="38" t="str">
        <f>韻母對照資料表[[#This Row],[十五音]]&amp;LEFT(韻母對照資料表[[#This Row],[舒促聲]],1)</f>
        <v>君舒</v>
      </c>
      <c r="N4" s="39">
        <v>1</v>
      </c>
      <c r="O4" s="40">
        <f>IF(韻母對照資料表[[#This Row],[台語音標]]="", 0, LEN(韻母對照資料表[[#This Row],[台語音標]]))</f>
        <v>2</v>
      </c>
      <c r="P4" s="21"/>
      <c r="Q4" s="29" t="str">
        <v>1</v>
      </c>
      <c r="R4" s="29" t="str">
        <v>汾</v>
      </c>
      <c r="S4" s="29" t="str">
        <v>un</v>
      </c>
      <c r="T4" s="29" t="str">
        <v>君</v>
      </c>
      <c r="U4" s="29" t="str">
        <v>ㄨㄣ</v>
      </c>
      <c r="V4" s="29" t="str">
        <v>un</v>
      </c>
      <c r="W4" s="29" t="str">
        <v>un</v>
      </c>
      <c r="X4" s="29" t="str">
        <v>un</v>
      </c>
      <c r="Y4" s="29" t="str">
        <v>un</v>
      </c>
      <c r="Z4" s="29" t="str">
        <v>un</v>
      </c>
      <c r="AA4" s="29" t="str">
        <v>舒聲
（平/上/去）</v>
      </c>
      <c r="AB4" s="29" t="str">
        <v>君舒</v>
      </c>
      <c r="AC4" s="29" t="str">
        <v>1</v>
      </c>
      <c r="AD4" s="21"/>
      <c r="AE4" s="21"/>
      <c r="AF4" s="21" t="str">
        <f xml:space="preserve"> IF(AND(MOD(B4,2)&lt;&gt;1, G4&lt;&gt;""), "", _xlfn.CONCAT("""", 韻母對照資料表[[#This Row],[十五音]], """", " : [", """", 韻母對照資料表[[#This Row],[台語音標]], """", ", """, G5, """", "],"))</f>
        <v>"君" : ["un", "ut"],</v>
      </c>
      <c r="AG4" s="21"/>
      <c r="AH4" s="21" t="str">
        <v>"堅" : ["ian", "iat"],</v>
      </c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</row>
    <row r="5" spans="2:45" ht="54" customHeight="1">
      <c r="B5" s="30">
        <v>2</v>
      </c>
      <c r="C5" s="31" t="s">
        <v>1622</v>
      </c>
      <c r="D5" s="32" t="s">
        <v>1602</v>
      </c>
      <c r="E5" s="33" t="s">
        <v>938</v>
      </c>
      <c r="F5" s="34" t="s">
        <v>1603</v>
      </c>
      <c r="G5" s="35" t="s">
        <v>583</v>
      </c>
      <c r="H5" s="36" t="s">
        <v>583</v>
      </c>
      <c r="I5" s="36" t="s">
        <v>583</v>
      </c>
      <c r="J5" s="36" t="s">
        <v>583</v>
      </c>
      <c r="K5" s="36" t="s">
        <v>1623</v>
      </c>
      <c r="L5" s="37" t="s">
        <v>1624</v>
      </c>
      <c r="M5" s="38" t="str">
        <f>韻母對照資料表[[#This Row],[十五音]]&amp;LEFT(韻母對照資料表[[#This Row],[舒促聲]],1)</f>
        <v>君促</v>
      </c>
      <c r="N5" s="39">
        <v>1</v>
      </c>
      <c r="O5" s="40">
        <f>IF(韻母對照資料表[[#This Row],[台語音標]]="", 0, LEN(韻母對照資料表[[#This Row],[台語音標]]))</f>
        <v>2</v>
      </c>
      <c r="P5" s="21"/>
      <c r="Q5" s="29" t="str">
        <v>2</v>
      </c>
      <c r="R5" s="29" t="str">
        <v>不</v>
      </c>
      <c r="S5" s="29" t="str">
        <v>ut̚</v>
      </c>
      <c r="T5" s="29" t="str">
        <v>君</v>
      </c>
      <c r="U5" s="29" t="str">
        <v>ㄨㆵ</v>
      </c>
      <c r="V5" s="29" t="str">
        <v>ut</v>
      </c>
      <c r="W5" s="29" t="str">
        <v>ut</v>
      </c>
      <c r="X5" s="29" t="str">
        <v>ut</v>
      </c>
      <c r="Y5" s="29" t="str">
        <v>ut</v>
      </c>
      <c r="Z5" s="29" t="str">
        <v>ut</v>
      </c>
      <c r="AA5" s="29" t="str">
        <v>促聲
（入）</v>
      </c>
      <c r="AB5" s="29" t="str">
        <v>君促</v>
      </c>
      <c r="AC5" s="29" t="str">
        <v>1</v>
      </c>
      <c r="AD5" s="21"/>
      <c r="AE5" s="21"/>
      <c r="AF5" s="21" t="str">
        <f xml:space="preserve"> IF(AND(MOD(B5,2)&lt;&gt;1, G5&lt;&gt;""), "", _xlfn.CONCAT("""", 韻母對照資料表[[#This Row],[十五音]], """", " : [", """", 韻母對照資料表[[#This Row],[台語音標]], """", ", """, G6, """", "],"))</f>
        <v/>
      </c>
      <c r="AG5" s="21"/>
      <c r="AH5" s="21" t="str">
        <v>"金" : ["im", "ip"],</v>
      </c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</row>
    <row r="6" spans="2:45" ht="54" customHeight="1">
      <c r="B6" s="30">
        <v>3</v>
      </c>
      <c r="C6" s="31" t="s">
        <v>1625</v>
      </c>
      <c r="D6" s="32" t="s">
        <v>562</v>
      </c>
      <c r="E6" s="33" t="s">
        <v>929</v>
      </c>
      <c r="F6" s="34" t="s">
        <v>1265</v>
      </c>
      <c r="G6" s="41" t="s">
        <v>562</v>
      </c>
      <c r="H6" s="36" t="s">
        <v>562</v>
      </c>
      <c r="I6" s="36" t="s">
        <v>562</v>
      </c>
      <c r="J6" s="36" t="s">
        <v>562</v>
      </c>
      <c r="K6" s="36" t="s">
        <v>1626</v>
      </c>
      <c r="L6" s="37" t="s">
        <v>1621</v>
      </c>
      <c r="M6" s="38" t="str">
        <f>韻母對照資料表[[#This Row],[十五音]]&amp;LEFT(韻母對照資料表[[#This Row],[舒促聲]],1)</f>
        <v>堅舒</v>
      </c>
      <c r="N6" s="39">
        <v>2</v>
      </c>
      <c r="O6" s="42">
        <f>IF(韻母對照資料表[[#This Row],[台語音標]]="", 0, LEN(韻母對照資料表[[#This Row],[台語音標]]))</f>
        <v>3</v>
      </c>
      <c r="P6" s="21"/>
      <c r="Q6" s="29" t="str">
        <v>3</v>
      </c>
      <c r="R6" s="29" t="str">
        <v>掀</v>
      </c>
      <c r="S6" s="29" t="str">
        <v>ian</v>
      </c>
      <c r="T6" s="29" t="str">
        <v>堅</v>
      </c>
      <c r="U6" s="29" t="str">
        <v>ㄧㄢ</v>
      </c>
      <c r="V6" s="29" t="str">
        <v>ian</v>
      </c>
      <c r="W6" s="29" t="str">
        <v>ian</v>
      </c>
      <c r="X6" s="29" t="str">
        <v>ian</v>
      </c>
      <c r="Y6" s="29" t="str">
        <v>ian</v>
      </c>
      <c r="Z6" s="29" t="str">
        <v>ian</v>
      </c>
      <c r="AA6" s="29" t="str">
        <v>舒聲
（平/上/去）</v>
      </c>
      <c r="AB6" s="29" t="str">
        <v>堅舒</v>
      </c>
      <c r="AC6" s="29" t="str">
        <v>2</v>
      </c>
      <c r="AD6" s="21"/>
      <c r="AE6" s="21"/>
      <c r="AF6" s="21" t="str">
        <f xml:space="preserve"> IF(AND(MOD(B6,2)&lt;&gt;1, G6&lt;&gt;""), "", _xlfn.CONCAT("""", 韻母對照資料表[[#This Row],[十五音]], """", " : [", """", 韻母對照資料表[[#This Row],[台語音標]], """", ", """, G7, """", "],"))</f>
        <v>"堅" : ["ian", "iat"],</v>
      </c>
      <c r="AG6" s="21"/>
      <c r="AH6" s="21" t="str">
        <v>"規" : ["ui", ""],</v>
      </c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</row>
    <row r="7" spans="2:45" ht="54" customHeight="1">
      <c r="B7" s="30">
        <v>4</v>
      </c>
      <c r="C7" s="31" t="s">
        <v>1627</v>
      </c>
      <c r="D7" s="32" t="s">
        <v>1286</v>
      </c>
      <c r="E7" s="33" t="s">
        <v>929</v>
      </c>
      <c r="F7" s="34" t="s">
        <v>1287</v>
      </c>
      <c r="G7" s="41" t="s">
        <v>807</v>
      </c>
      <c r="H7" s="36" t="s">
        <v>807</v>
      </c>
      <c r="I7" s="36" t="s">
        <v>807</v>
      </c>
      <c r="J7" s="36" t="s">
        <v>807</v>
      </c>
      <c r="K7" s="36" t="s">
        <v>1628</v>
      </c>
      <c r="L7" s="37" t="s">
        <v>1624</v>
      </c>
      <c r="M7" s="38" t="str">
        <f>韻母對照資料表[[#This Row],[十五音]]&amp;LEFT(韻母對照資料表[[#This Row],[舒促聲]],1)</f>
        <v>堅促</v>
      </c>
      <c r="N7" s="39">
        <v>2</v>
      </c>
      <c r="O7" s="42">
        <f>IF(韻母對照資料表[[#This Row],[台語音標]]="", 0, LEN(韻母對照資料表[[#This Row],[台語音標]]))</f>
        <v>3</v>
      </c>
      <c r="P7" s="21"/>
      <c r="Q7" s="29" t="str">
        <v>4</v>
      </c>
      <c r="R7" s="29" t="str">
        <v>別</v>
      </c>
      <c r="S7" s="29" t="str">
        <v>iat̚</v>
      </c>
      <c r="T7" s="29" t="str">
        <v>堅</v>
      </c>
      <c r="U7" s="29" t="str">
        <v>ㄧㄚㆵ</v>
      </c>
      <c r="V7" s="29" t="str">
        <v>iat</v>
      </c>
      <c r="W7" s="29" t="str">
        <v>iat</v>
      </c>
      <c r="X7" s="29" t="str">
        <v>iat</v>
      </c>
      <c r="Y7" s="29" t="str">
        <v>iat</v>
      </c>
      <c r="Z7" s="29" t="str">
        <v>iat</v>
      </c>
      <c r="AA7" s="29" t="str">
        <v>促聲
（入）</v>
      </c>
      <c r="AB7" s="29" t="str">
        <v>堅促</v>
      </c>
      <c r="AC7" s="29" t="str">
        <v>2</v>
      </c>
      <c r="AD7" s="21"/>
      <c r="AE7" s="21"/>
      <c r="AF7" s="21" t="str">
        <f xml:space="preserve"> IF(AND(MOD(B7,2)&lt;&gt;1, G7&lt;&gt;""), "", _xlfn.CONCAT("""", 韻母對照資料表[[#This Row],[十五音]], """", " : [", """", 韻母對照資料表[[#This Row],[台語音標]], """", ", """, G8, """", "],"))</f>
        <v/>
      </c>
      <c r="AG7" s="21"/>
      <c r="AH7" s="21" t="str">
        <v>"嘉" : ["ee", "eeh"],</v>
      </c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</row>
    <row r="8" spans="2:45" ht="54" customHeight="1">
      <c r="B8" s="30">
        <v>5</v>
      </c>
      <c r="C8" s="31" t="s">
        <v>1339</v>
      </c>
      <c r="D8" s="32" t="s">
        <v>581</v>
      </c>
      <c r="E8" s="33" t="s">
        <v>937</v>
      </c>
      <c r="F8" s="34" t="s">
        <v>1340</v>
      </c>
      <c r="G8" s="35" t="s">
        <v>581</v>
      </c>
      <c r="H8" s="36" t="s">
        <v>581</v>
      </c>
      <c r="I8" s="36" t="s">
        <v>581</v>
      </c>
      <c r="J8" s="36" t="s">
        <v>581</v>
      </c>
      <c r="K8" s="36" t="s">
        <v>1629</v>
      </c>
      <c r="L8" s="37" t="s">
        <v>1621</v>
      </c>
      <c r="M8" s="38" t="str">
        <f>韻母對照資料表[[#This Row],[十五音]]&amp;LEFT(韻母對照資料表[[#This Row],[舒促聲]],1)</f>
        <v>金舒</v>
      </c>
      <c r="N8" s="39">
        <v>3</v>
      </c>
      <c r="O8" s="40">
        <f>IF(韻母對照資料表[[#This Row],[台語音標]]="", 0, LEN(韻母對照資料表[[#This Row],[台語音標]]))</f>
        <v>2</v>
      </c>
      <c r="P8" s="21"/>
      <c r="Q8" s="29" t="str">
        <v>5</v>
      </c>
      <c r="R8" s="29" t="str">
        <v>深</v>
      </c>
      <c r="S8" s="29" t="str">
        <v>im</v>
      </c>
      <c r="T8" s="29" t="str">
        <v>金</v>
      </c>
      <c r="U8" s="29" t="str">
        <v>ㄧㆬ</v>
      </c>
      <c r="V8" s="29" t="str">
        <v>im</v>
      </c>
      <c r="W8" s="29" t="str">
        <v>im</v>
      </c>
      <c r="X8" s="29" t="str">
        <v>im</v>
      </c>
      <c r="Y8" s="29" t="str">
        <v>im</v>
      </c>
      <c r="Z8" s="29" t="str">
        <v>im</v>
      </c>
      <c r="AA8" s="29" t="str">
        <v>舒聲
（平/上/去）</v>
      </c>
      <c r="AB8" s="29" t="str">
        <v>金舒</v>
      </c>
      <c r="AC8" s="29" t="str">
        <v>3</v>
      </c>
      <c r="AD8" s="21"/>
      <c r="AE8" s="21"/>
      <c r="AF8" s="21" t="str">
        <f xml:space="preserve"> IF(AND(MOD(B8,2)&lt;&gt;1, G8&lt;&gt;""), "", _xlfn.CONCAT("""", 韻母對照資料表[[#This Row],[十五音]], """", " : [", """", 韻母對照資料表[[#This Row],[台語音標]], """", ", """, G9, """", "],"))</f>
        <v>"金" : ["im", "ip"],</v>
      </c>
      <c r="AG8" s="21"/>
      <c r="AH8" s="21" t="str">
        <v>"干" : ["an", "at"],</v>
      </c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</row>
    <row r="9" spans="2:45" ht="54" customHeight="1">
      <c r="B9" s="30">
        <v>6</v>
      </c>
      <c r="C9" s="43" t="s">
        <v>1630</v>
      </c>
      <c r="D9" s="32" t="s">
        <v>1393</v>
      </c>
      <c r="E9" s="33" t="s">
        <v>937</v>
      </c>
      <c r="F9" s="34" t="s">
        <v>1394</v>
      </c>
      <c r="G9" s="35" t="s">
        <v>683</v>
      </c>
      <c r="H9" s="36" t="s">
        <v>683</v>
      </c>
      <c r="I9" s="36" t="s">
        <v>683</v>
      </c>
      <c r="J9" s="36" t="s">
        <v>683</v>
      </c>
      <c r="K9" s="36" t="s">
        <v>1631</v>
      </c>
      <c r="L9" s="37" t="s">
        <v>1624</v>
      </c>
      <c r="M9" s="38" t="str">
        <f>韻母對照資料表[[#This Row],[十五音]]&amp;LEFT(韻母對照資料表[[#This Row],[舒促聲]],1)</f>
        <v>金促</v>
      </c>
      <c r="N9" s="39">
        <v>3</v>
      </c>
      <c r="O9" s="40">
        <f>IF(韻母對照資料表[[#This Row],[台語音標]]="", 0, LEN(韻母對照資料表[[#This Row],[台語音標]]))</f>
        <v>2</v>
      </c>
      <c r="P9" s="21"/>
      <c r="Q9" s="29" t="str">
        <v>6</v>
      </c>
      <c r="R9" s="29" t="str">
        <v>蟄</v>
      </c>
      <c r="S9" s="29" t="str">
        <v>ip̚</v>
      </c>
      <c r="T9" s="29" t="str">
        <v>金</v>
      </c>
      <c r="U9" s="29" t="str">
        <v>一ㆴ</v>
      </c>
      <c r="V9" s="29" t="str">
        <v>ip</v>
      </c>
      <c r="W9" s="29" t="str">
        <v>ip</v>
      </c>
      <c r="X9" s="29" t="str">
        <v>ip</v>
      </c>
      <c r="Y9" s="29" t="str">
        <v>ip</v>
      </c>
      <c r="Z9" s="29" t="str">
        <v>ip</v>
      </c>
      <c r="AA9" s="29" t="str">
        <v>促聲
（入）</v>
      </c>
      <c r="AB9" s="29" t="str">
        <v>金促</v>
      </c>
      <c r="AC9" s="29" t="str">
        <v>3</v>
      </c>
      <c r="AD9" s="21"/>
      <c r="AE9" s="21"/>
      <c r="AF9" s="21" t="str">
        <f xml:space="preserve"> IF(AND(MOD(B9,2)&lt;&gt;1, G9&lt;&gt;""), "", _xlfn.CONCAT("""", 韻母對照資料表[[#This Row],[十五音]], """", " : [", """", 韻母對照資料表[[#This Row],[台語音標]], """", ", """, G10, """", "],"))</f>
        <v/>
      </c>
      <c r="AG9" s="21"/>
      <c r="AH9" s="21" t="str">
        <v>"公" : ["ong", "ok"],</v>
      </c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</row>
    <row r="10" spans="2:45" ht="54" customHeight="1">
      <c r="B10" s="30">
        <v>7</v>
      </c>
      <c r="C10" s="31" t="s">
        <v>1585</v>
      </c>
      <c r="D10" s="32" t="s">
        <v>618</v>
      </c>
      <c r="E10" s="33" t="s">
        <v>955</v>
      </c>
      <c r="F10" s="34" t="s">
        <v>1586</v>
      </c>
      <c r="G10" s="35" t="s">
        <v>618</v>
      </c>
      <c r="H10" s="36" t="s">
        <v>618</v>
      </c>
      <c r="I10" s="36" t="s">
        <v>618</v>
      </c>
      <c r="J10" s="36" t="s">
        <v>618</v>
      </c>
      <c r="K10" s="36" t="s">
        <v>1632</v>
      </c>
      <c r="L10" s="37" t="s">
        <v>1621</v>
      </c>
      <c r="M10" s="38" t="str">
        <f>韻母對照資料表[[#This Row],[十五音]]&amp;LEFT(韻母對照資料表[[#This Row],[舒促聲]],1)</f>
        <v>規舒</v>
      </c>
      <c r="N10" s="39">
        <v>4</v>
      </c>
      <c r="O10" s="40">
        <f>IF(韻母對照資料表[[#This Row],[台語音標]]="", 0, LEN(韻母對照資料表[[#This Row],[台語音標]]))</f>
        <v>2</v>
      </c>
      <c r="P10" s="21"/>
      <c r="Q10" s="29" t="str">
        <v>7</v>
      </c>
      <c r="R10" s="29" t="str">
        <v>歸</v>
      </c>
      <c r="S10" s="29" t="str">
        <v>ui</v>
      </c>
      <c r="T10" s="29" t="str">
        <v>規</v>
      </c>
      <c r="U10" s="29" t="str">
        <v>ㄨㄧ</v>
      </c>
      <c r="V10" s="29" t="str">
        <v>ui</v>
      </c>
      <c r="W10" s="29" t="str">
        <v>ui</v>
      </c>
      <c r="X10" s="29" t="str">
        <v>ui</v>
      </c>
      <c r="Y10" s="29" t="str">
        <v>ui</v>
      </c>
      <c r="Z10" s="29" t="str">
        <v>ui</v>
      </c>
      <c r="AA10" s="29" t="str">
        <v>舒聲
（平/上/去）</v>
      </c>
      <c r="AB10" s="29" t="str">
        <v>規舒</v>
      </c>
      <c r="AC10" s="29" t="str">
        <v>4</v>
      </c>
      <c r="AD10" s="21"/>
      <c r="AE10" s="21"/>
      <c r="AF10" s="21" t="str">
        <f xml:space="preserve"> IF(AND(MOD(B10,2)&lt;&gt;1, G10&lt;&gt;""), "", _xlfn.CONCAT("""", 韻母對照資料表[[#This Row],[十五音]], """", " : [", """", 韻母對照資料表[[#This Row],[台語音標]], """", ", """, G11, """", "],"))</f>
        <v>"規" : ["ui", ""],</v>
      </c>
      <c r="AG10" s="21"/>
      <c r="AH10" s="21" t="str">
        <v>"乖" : ["uai", "uaih"],</v>
      </c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</row>
    <row r="11" spans="2:45" ht="54" customHeight="1">
      <c r="B11" s="30">
        <v>8</v>
      </c>
      <c r="C11" s="44"/>
      <c r="D11" s="45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0">
        <f>IF(韻母對照資料表[[#This Row],[台語音標]]="", 0, LEN(韻母對照資料表[[#This Row],[台語音標]]))</f>
        <v>0</v>
      </c>
      <c r="P11" s="21"/>
      <c r="Q11" s="29" t="str">
        <v>9</v>
      </c>
      <c r="R11" s="29" t="str">
        <v>家</v>
      </c>
      <c r="S11" s="29" t="str">
        <v>ɛ</v>
      </c>
      <c r="T11" s="29" t="str">
        <v>嘉</v>
      </c>
      <c r="U11" s="29" t="str">
        <v>ㄝ</v>
      </c>
      <c r="V11" s="29" t="str">
        <v>ee</v>
      </c>
      <c r="W11" s="29" t="str">
        <v>ee</v>
      </c>
      <c r="X11" s="29" t="str">
        <v>e</v>
      </c>
      <c r="Y11" s="29" t="str">
        <v>ee</v>
      </c>
      <c r="Z11" s="29" t="str">
        <v>e</v>
      </c>
      <c r="AA11" s="29" t="str">
        <v>舒聲
（平/上/去）</v>
      </c>
      <c r="AB11" s="29" t="str">
        <v>嘉舒</v>
      </c>
      <c r="AC11" s="29" t="str">
        <v>5</v>
      </c>
      <c r="AD11" s="21"/>
      <c r="AE11" s="21"/>
      <c r="AF11" s="21"/>
      <c r="AG11" s="21"/>
      <c r="AH11" s="21" t="str">
        <v>"經" : ["ing", "ik"],</v>
      </c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</row>
    <row r="12" spans="2:45" ht="54" customHeight="1">
      <c r="B12" s="30">
        <v>9</v>
      </c>
      <c r="C12" s="46" t="s">
        <v>1633</v>
      </c>
      <c r="D12" s="32" t="s">
        <v>1634</v>
      </c>
      <c r="E12" s="33" t="s">
        <v>998</v>
      </c>
      <c r="F12" s="34" t="s">
        <v>1200</v>
      </c>
      <c r="G12" s="35" t="s">
        <v>608</v>
      </c>
      <c r="H12" s="36" t="s">
        <v>608</v>
      </c>
      <c r="I12" s="36" t="s">
        <v>1635</v>
      </c>
      <c r="J12" s="32" t="s">
        <v>1636</v>
      </c>
      <c r="K12" s="32" t="s">
        <v>1637</v>
      </c>
      <c r="L12" s="37" t="s">
        <v>1621</v>
      </c>
      <c r="M12" s="38" t="str">
        <f>韻母對照資料表[[#This Row],[十五音]]&amp;LEFT(韻母對照資料表[[#This Row],[舒促聲]],1)</f>
        <v>嘉舒</v>
      </c>
      <c r="N12" s="39">
        <v>5</v>
      </c>
      <c r="O12" s="40">
        <f>IF(韻母對照資料表[[#This Row],[台語音標]]="", 0, LEN(韻母對照資料表[[#This Row],[台語音標]]))</f>
        <v>2</v>
      </c>
      <c r="P12" s="21"/>
      <c r="Q12" s="29" t="str">
        <v>10</v>
      </c>
      <c r="R12" s="29" t="str">
        <v>八</v>
      </c>
      <c r="S12" s="29" t="str">
        <v>ɛ?</v>
      </c>
      <c r="T12" s="29" t="str">
        <v>嘉</v>
      </c>
      <c r="U12" s="29" t="str">
        <v>ㄝㆷ</v>
      </c>
      <c r="V12" s="29" t="str">
        <v>eeh</v>
      </c>
      <c r="W12" s="29" t="str">
        <v>eeh</v>
      </c>
      <c r="X12" s="29" t="str">
        <v>eeh</v>
      </c>
      <c r="Y12" s="29" t="str">
        <v>0</v>
      </c>
      <c r="Z12" s="29" t="str">
        <v>eh</v>
      </c>
      <c r="AA12" s="29" t="str">
        <v>促聲
（入）</v>
      </c>
      <c r="AB12" s="29" t="str">
        <v>嘉促</v>
      </c>
      <c r="AC12" s="29" t="str">
        <v>5</v>
      </c>
      <c r="AD12" s="21"/>
      <c r="AE12" s="21"/>
      <c r="AF12" s="21" t="str">
        <f xml:space="preserve"> IF(AND(MOD(B12,2)&lt;&gt;1, G12&lt;&gt;""), "", _xlfn.CONCAT("""", 韻母對照資料表[[#This Row],[十五音]], """", " : [", """", 韻母對照資料表[[#This Row],[台語音標]], """", ", """, G13, """", "],"))</f>
        <v>"嘉" : ["ee", "eeh"],</v>
      </c>
      <c r="AG12" s="21"/>
      <c r="AH12" s="21" t="str">
        <v>"觀" : ["uan", "uat"],</v>
      </c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</row>
    <row r="13" spans="2:45" ht="54" customHeight="1">
      <c r="B13" s="30">
        <v>10</v>
      </c>
      <c r="C13" s="31" t="s">
        <v>1638</v>
      </c>
      <c r="D13" s="32" t="s">
        <v>1639</v>
      </c>
      <c r="E13" s="33" t="s">
        <v>998</v>
      </c>
      <c r="F13" s="34" t="s">
        <v>1206</v>
      </c>
      <c r="G13" s="35" t="s">
        <v>1207</v>
      </c>
      <c r="H13" s="36" t="s">
        <v>1207</v>
      </c>
      <c r="I13" s="36" t="s">
        <v>1207</v>
      </c>
      <c r="J13" s="36">
        <v>0</v>
      </c>
      <c r="K13" s="36" t="s">
        <v>1640</v>
      </c>
      <c r="L13" s="37" t="s">
        <v>1624</v>
      </c>
      <c r="M13" s="38" t="str">
        <f>韻母對照資料表[[#This Row],[十五音]]&amp;LEFT(韻母對照資料表[[#This Row],[舒促聲]],1)</f>
        <v>嘉促</v>
      </c>
      <c r="N13" s="39">
        <v>5</v>
      </c>
      <c r="O13" s="40">
        <f>IF(韻母對照資料表[[#This Row],[台語音標]]="", 0, LEN(韻母對照資料表[[#This Row],[台語音標]]))</f>
        <v>3</v>
      </c>
      <c r="P13" s="21"/>
      <c r="Q13" s="29" t="str">
        <v>11</v>
      </c>
      <c r="R13" s="29" t="str">
        <v>蘭</v>
      </c>
      <c r="S13" s="29" t="str">
        <v>an</v>
      </c>
      <c r="T13" s="29" t="str">
        <v>干</v>
      </c>
      <c r="U13" s="29" t="str">
        <v>ㄢ</v>
      </c>
      <c r="V13" s="29" t="str">
        <v>an</v>
      </c>
      <c r="W13" s="29" t="str">
        <v>an</v>
      </c>
      <c r="X13" s="29" t="str">
        <v>an</v>
      </c>
      <c r="Y13" s="29" t="str">
        <v>an</v>
      </c>
      <c r="Z13" s="29" t="str">
        <v>an</v>
      </c>
      <c r="AA13" s="29" t="str">
        <v>舒聲
（平/上/去）</v>
      </c>
      <c r="AB13" s="29" t="str">
        <v>干舒</v>
      </c>
      <c r="AC13" s="29" t="str">
        <v>6</v>
      </c>
      <c r="AD13" s="21"/>
      <c r="AE13" s="21"/>
      <c r="AF13" s="21" t="str">
        <f xml:space="preserve"> IF(AND(MOD(B13,2)&lt;&gt;1, G13&lt;&gt;""), "", _xlfn.CONCAT("""", 韻母對照資料表[[#This Row],[十五音]], """", " : [", """", 韻母對照資料表[[#This Row],[台語音標]], """", ", """, G14, """", "],"))</f>
        <v/>
      </c>
      <c r="AG13" s="21"/>
      <c r="AH13" s="21" t="str">
        <v>"沽" : ["oo", ""],</v>
      </c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</row>
    <row r="14" spans="2:45" ht="54" customHeight="1">
      <c r="B14" s="30">
        <v>11</v>
      </c>
      <c r="C14" s="31" t="s">
        <v>203</v>
      </c>
      <c r="D14" s="32" t="s">
        <v>642</v>
      </c>
      <c r="E14" s="33" t="s">
        <v>962</v>
      </c>
      <c r="F14" s="34" t="s">
        <v>1141</v>
      </c>
      <c r="G14" s="35" t="s">
        <v>642</v>
      </c>
      <c r="H14" s="36" t="s">
        <v>642</v>
      </c>
      <c r="I14" s="36" t="s">
        <v>642</v>
      </c>
      <c r="J14" s="36" t="s">
        <v>642</v>
      </c>
      <c r="K14" s="36" t="s">
        <v>1641</v>
      </c>
      <c r="L14" s="37" t="s">
        <v>1621</v>
      </c>
      <c r="M14" s="38" t="str">
        <f>韻母對照資料表[[#This Row],[十五音]]&amp;LEFT(韻母對照資料表[[#This Row],[舒促聲]],1)</f>
        <v>干舒</v>
      </c>
      <c r="N14" s="39">
        <v>6</v>
      </c>
      <c r="O14" s="40">
        <f>IF(韻母對照資料表[[#This Row],[台語音標]]="", 0, LEN(韻母對照資料表[[#This Row],[台語音標]]))</f>
        <v>2</v>
      </c>
      <c r="P14" s="21"/>
      <c r="Q14" s="29" t="str">
        <v>12</v>
      </c>
      <c r="R14" s="29" t="str">
        <v>識</v>
      </c>
      <c r="S14" s="29" t="str">
        <v>at̚</v>
      </c>
      <c r="T14" s="29" t="str">
        <v>干</v>
      </c>
      <c r="U14" s="29" t="str">
        <v>ㄚㆵ</v>
      </c>
      <c r="V14" s="29" t="str">
        <v>at</v>
      </c>
      <c r="W14" s="29" t="str">
        <v>at</v>
      </c>
      <c r="X14" s="29" t="str">
        <v>at</v>
      </c>
      <c r="Y14" s="29" t="str">
        <v>at</v>
      </c>
      <c r="Z14" s="29" t="str">
        <v>at</v>
      </c>
      <c r="AA14" s="29" t="str">
        <v>促聲
（入）</v>
      </c>
      <c r="AB14" s="29" t="str">
        <v>干促</v>
      </c>
      <c r="AC14" s="29" t="str">
        <v>6</v>
      </c>
      <c r="AD14" s="21"/>
      <c r="AE14" s="21"/>
      <c r="AF14" s="21" t="str">
        <f xml:space="preserve"> IF(AND(MOD(B14,2)&lt;&gt;1, G14&lt;&gt;""), "", _xlfn.CONCAT("""", 韻母對照資料表[[#This Row],[十五音]], """", " : [", """", 韻母對照資料表[[#This Row],[台語音標]], """", ", """, G15, """", "],"))</f>
        <v>"干" : ["an", "at"],</v>
      </c>
      <c r="AG14" s="21"/>
      <c r="AH14" s="21" t="str">
        <v>"嬌" : ["iau", "iauh"],</v>
      </c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</row>
    <row r="15" spans="2:45" ht="54" customHeight="1">
      <c r="B15" s="30">
        <v>12</v>
      </c>
      <c r="C15" s="47" t="s">
        <v>1642</v>
      </c>
      <c r="D15" s="32" t="s">
        <v>1165</v>
      </c>
      <c r="E15" s="33" t="s">
        <v>962</v>
      </c>
      <c r="F15" s="34" t="s">
        <v>1166</v>
      </c>
      <c r="G15" s="35" t="s">
        <v>1167</v>
      </c>
      <c r="H15" s="36" t="s">
        <v>1167</v>
      </c>
      <c r="I15" s="36" t="s">
        <v>1167</v>
      </c>
      <c r="J15" s="36" t="s">
        <v>1167</v>
      </c>
      <c r="K15" s="36" t="s">
        <v>1643</v>
      </c>
      <c r="L15" s="37" t="s">
        <v>1624</v>
      </c>
      <c r="M15" s="38" t="str">
        <f>韻母對照資料表[[#This Row],[十五音]]&amp;LEFT(韻母對照資料表[[#This Row],[舒促聲]],1)</f>
        <v>干促</v>
      </c>
      <c r="N15" s="39">
        <v>6</v>
      </c>
      <c r="O15" s="40">
        <f>IF(韻母對照資料表[[#This Row],[台語音標]]="", 0, LEN(韻母對照資料表[[#This Row],[台語音標]]))</f>
        <v>2</v>
      </c>
      <c r="P15" s="21"/>
      <c r="Q15" s="29" t="str">
        <v>13</v>
      </c>
      <c r="R15" s="29" t="str">
        <v>風</v>
      </c>
      <c r="S15" s="29" t="str">
        <v>ɔŋ</v>
      </c>
      <c r="T15" s="29" t="str">
        <v>公</v>
      </c>
      <c r="U15" s="29" t="str">
        <v>ㆲ</v>
      </c>
      <c r="V15" s="29" t="str">
        <v>ong</v>
      </c>
      <c r="W15" s="29" t="str">
        <v>ong</v>
      </c>
      <c r="X15" s="29" t="str">
        <v>ong</v>
      </c>
      <c r="Y15" s="29" t="str">
        <v>ong</v>
      </c>
      <c r="Z15" s="29" t="str">
        <v>ong</v>
      </c>
      <c r="AA15" s="29" t="str">
        <v>舒聲
（平/上/去）</v>
      </c>
      <c r="AB15" s="29" t="str">
        <v>公舒</v>
      </c>
      <c r="AC15" s="29" t="str">
        <v>7</v>
      </c>
      <c r="AD15" s="21"/>
      <c r="AE15" s="21"/>
      <c r="AF15" s="21" t="str">
        <f xml:space="preserve"> IF(AND(MOD(B15,2)&lt;&gt;1, G15&lt;&gt;""), "", _xlfn.CONCAT("""", 韻母對照資料表[[#This Row],[十五音]], """", " : [", """", 韻母對照資料表[[#This Row],[台語音標]], """", ", """, G16, """", "],"))</f>
        <v/>
      </c>
      <c r="AG15" s="21"/>
      <c r="AH15" s="21" t="str">
        <v>"稽" : ["ei", ""],</v>
      </c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</row>
    <row r="16" spans="2:45" ht="54" customHeight="1">
      <c r="B16" s="30">
        <v>13</v>
      </c>
      <c r="C16" s="31" t="s">
        <v>1644</v>
      </c>
      <c r="D16" s="32" t="s">
        <v>1645</v>
      </c>
      <c r="E16" s="33" t="s">
        <v>933</v>
      </c>
      <c r="F16" s="34" t="s">
        <v>1458</v>
      </c>
      <c r="G16" s="35" t="s">
        <v>575</v>
      </c>
      <c r="H16" s="36" t="s">
        <v>575</v>
      </c>
      <c r="I16" s="36" t="s">
        <v>575</v>
      </c>
      <c r="J16" s="36" t="s">
        <v>575</v>
      </c>
      <c r="K16" s="36" t="s">
        <v>1646</v>
      </c>
      <c r="L16" s="37" t="s">
        <v>1621</v>
      </c>
      <c r="M16" s="38" t="str">
        <f>韻母對照資料表[[#This Row],[十五音]]&amp;LEFT(韻母對照資料表[[#This Row],[舒促聲]],1)</f>
        <v>公舒</v>
      </c>
      <c r="N16" s="39">
        <v>7</v>
      </c>
      <c r="O16" s="40">
        <f>IF(韻母對照資料表[[#This Row],[台語音標]]="", 0, LEN(韻母對照資料表[[#This Row],[台語音標]]))</f>
        <v>3</v>
      </c>
      <c r="P16" s="21"/>
      <c r="Q16" s="29" t="str">
        <v>14</v>
      </c>
      <c r="R16" s="29" t="str">
        <v>福</v>
      </c>
      <c r="S16" s="29" t="str">
        <v>ɔk̚</v>
      </c>
      <c r="T16" s="29" t="str">
        <v>公</v>
      </c>
      <c r="U16" s="29" t="str">
        <v>ㆦㆻ</v>
      </c>
      <c r="V16" s="29" t="str">
        <v>ok</v>
      </c>
      <c r="W16" s="29" t="str">
        <v>ok</v>
      </c>
      <c r="X16" s="29" t="str">
        <v>ok</v>
      </c>
      <c r="Y16" s="29" t="str">
        <v>ok</v>
      </c>
      <c r="Z16" s="29" t="str">
        <v>ok</v>
      </c>
      <c r="AA16" s="29" t="str">
        <v>促聲
（入）</v>
      </c>
      <c r="AB16" s="29" t="str">
        <v>公促</v>
      </c>
      <c r="AC16" s="29" t="str">
        <v>7</v>
      </c>
      <c r="AD16" s="21"/>
      <c r="AE16" s="21"/>
      <c r="AF16" s="21" t="str">
        <f xml:space="preserve"> IF(AND(MOD(B16,2)&lt;&gt;1, G16&lt;&gt;""), "", _xlfn.CONCAT("""", 韻母對照資料表[[#This Row],[十五音]], """", " : [", """", 韻母對照資料表[[#This Row],[台語音標]], """", ", """, G17, """", "],"))</f>
        <v>"公" : ["ong", "ok"],</v>
      </c>
      <c r="AG16" s="21"/>
      <c r="AH16" s="21" t="str">
        <v>"恭" : ["iong", "iok"],</v>
      </c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</row>
    <row r="17" spans="2:45" ht="54" customHeight="1">
      <c r="B17" s="30">
        <v>14</v>
      </c>
      <c r="C17" s="31" t="s">
        <v>1647</v>
      </c>
      <c r="D17" s="32" t="s">
        <v>1648</v>
      </c>
      <c r="E17" s="33" t="s">
        <v>933</v>
      </c>
      <c r="F17" s="34" t="s">
        <v>1446</v>
      </c>
      <c r="G17" s="35" t="s">
        <v>572</v>
      </c>
      <c r="H17" s="36" t="s">
        <v>572</v>
      </c>
      <c r="I17" s="36" t="s">
        <v>572</v>
      </c>
      <c r="J17" s="36" t="s">
        <v>572</v>
      </c>
      <c r="K17" s="36" t="s">
        <v>1649</v>
      </c>
      <c r="L17" s="37" t="s">
        <v>1624</v>
      </c>
      <c r="M17" s="38" t="str">
        <f>韻母對照資料表[[#This Row],[十五音]]&amp;LEFT(韻母對照資料表[[#This Row],[舒促聲]],1)</f>
        <v>公促</v>
      </c>
      <c r="N17" s="39">
        <v>7</v>
      </c>
      <c r="O17" s="40">
        <f>IF(韻母對照資料表[[#This Row],[台語音標]]="", 0, LEN(韻母對照資料表[[#This Row],[台語音標]]))</f>
        <v>2</v>
      </c>
      <c r="P17" s="21"/>
      <c r="Q17" s="29" t="str">
        <v>15</v>
      </c>
      <c r="R17" s="29" t="str">
        <v>怪</v>
      </c>
      <c r="S17" s="29" t="str">
        <v>uai</v>
      </c>
      <c r="T17" s="29" t="str">
        <v>乖</v>
      </c>
      <c r="U17" s="29" t="str">
        <v>ㄨㄞ</v>
      </c>
      <c r="V17" s="29" t="str">
        <v>uai</v>
      </c>
      <c r="W17" s="29" t="str">
        <v>uai</v>
      </c>
      <c r="X17" s="29" t="str">
        <v>oai</v>
      </c>
      <c r="Y17" s="29" t="str">
        <v>uai</v>
      </c>
      <c r="Z17" s="29" t="str">
        <v>uai</v>
      </c>
      <c r="AA17" s="29" t="str">
        <v>舒聲
（平/上/去）</v>
      </c>
      <c r="AB17" s="29" t="str">
        <v>乖舒</v>
      </c>
      <c r="AC17" s="29" t="str">
        <v>8</v>
      </c>
      <c r="AD17" s="21"/>
      <c r="AE17" s="21"/>
      <c r="AF17" s="21" t="str">
        <f xml:space="preserve"> IF(AND(MOD(B17,2)&lt;&gt;1, G17&lt;&gt;""), "", _xlfn.CONCAT("""", 韻母對照資料表[[#This Row],[十五音]], """", " : [", """", 韻母對照資料表[[#This Row],[台語音標]], """", ", """, G18, """", "],"))</f>
        <v/>
      </c>
      <c r="AG17" s="21"/>
      <c r="AH17" s="21" t="str">
        <v>"高" : ["o", "oh"],</v>
      </c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</row>
    <row r="18" spans="2:45" ht="54" customHeight="1">
      <c r="B18" s="30">
        <v>15</v>
      </c>
      <c r="C18" s="31" t="s">
        <v>1501</v>
      </c>
      <c r="D18" s="32" t="s">
        <v>709</v>
      </c>
      <c r="E18" s="33" t="s">
        <v>981</v>
      </c>
      <c r="F18" s="34" t="s">
        <v>1502</v>
      </c>
      <c r="G18" s="35" t="s">
        <v>709</v>
      </c>
      <c r="H18" s="36" t="s">
        <v>709</v>
      </c>
      <c r="I18" s="36" t="s">
        <v>1503</v>
      </c>
      <c r="J18" s="36" t="s">
        <v>709</v>
      </c>
      <c r="K18" s="36" t="s">
        <v>1650</v>
      </c>
      <c r="L18" s="37" t="s">
        <v>1621</v>
      </c>
      <c r="M18" s="38" t="str">
        <f>韻母對照資料表[[#This Row],[十五音]]&amp;LEFT(韻母對照資料表[[#This Row],[舒促聲]],1)</f>
        <v>乖舒</v>
      </c>
      <c r="N18" s="39">
        <v>8</v>
      </c>
      <c r="O18" s="40">
        <f>IF(韻母對照資料表[[#This Row],[台語音標]]="", 0, LEN(韻母對照資料表[[#This Row],[台語音標]]))</f>
        <v>3</v>
      </c>
      <c r="P18" s="21"/>
      <c r="Q18" s="29" t="str">
        <v>16</v>
      </c>
      <c r="R18" s="29" t="str">
        <v>◯</v>
      </c>
      <c r="S18" s="29" t="str">
        <v>uai?</v>
      </c>
      <c r="T18" s="29" t="str">
        <v>乖</v>
      </c>
      <c r="U18" s="29" t="str">
        <v>ㄨㄞㆷ</v>
      </c>
      <c r="V18" s="29" t="str">
        <v>uaih</v>
      </c>
      <c r="W18" s="29" t="str">
        <v>uaih</v>
      </c>
      <c r="X18" s="29" t="str">
        <v>oaih</v>
      </c>
      <c r="Y18" s="29" t="str">
        <v>uaih</v>
      </c>
      <c r="Z18" s="29" t="str">
        <v>uaih</v>
      </c>
      <c r="AA18" s="29" t="str">
        <v>促聲
（入）</v>
      </c>
      <c r="AB18" s="29" t="str">
        <v>乖促</v>
      </c>
      <c r="AC18" s="29" t="str">
        <v>8</v>
      </c>
      <c r="AD18" s="21"/>
      <c r="AE18" s="21"/>
      <c r="AF18" s="21" t="str">
        <f xml:space="preserve"> IF(AND(MOD(B18,2)&lt;&gt;1, G18&lt;&gt;""), "", _xlfn.CONCAT("""", 韻母對照資料表[[#This Row],[十五音]], """", " : [", """", 韻母對照資料表[[#This Row],[台語音標]], """", ", """, G19, """", "],"))</f>
        <v>"乖" : ["uai", "uaih"],</v>
      </c>
      <c r="AG18" s="21"/>
      <c r="AH18" s="21" t="str">
        <v>"皆" : ["ai", ""],</v>
      </c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</row>
    <row r="19" spans="2:45" ht="54" customHeight="1">
      <c r="B19" s="30">
        <v>16</v>
      </c>
      <c r="C19" s="31" t="s">
        <v>1300</v>
      </c>
      <c r="D19" s="32" t="s">
        <v>1506</v>
      </c>
      <c r="E19" s="33" t="s">
        <v>981</v>
      </c>
      <c r="F19" s="34" t="s">
        <v>1507</v>
      </c>
      <c r="G19" s="35" t="s">
        <v>1508</v>
      </c>
      <c r="H19" s="36" t="s">
        <v>1508</v>
      </c>
      <c r="I19" s="36" t="s">
        <v>1509</v>
      </c>
      <c r="J19" s="36" t="s">
        <v>1508</v>
      </c>
      <c r="K19" s="48" t="s">
        <v>1651</v>
      </c>
      <c r="L19" s="37" t="s">
        <v>1624</v>
      </c>
      <c r="M19" s="38" t="str">
        <f>韻母對照資料表[[#This Row],[十五音]]&amp;LEFT(韻母對照資料表[[#This Row],[舒促聲]],1)</f>
        <v>乖促</v>
      </c>
      <c r="N19" s="39">
        <v>8</v>
      </c>
      <c r="O19" s="40">
        <f>IF(韻母對照資料表[[#This Row],[台語音標]]="", 0, LEN(韻母對照資料表[[#This Row],[台語音標]]))</f>
        <v>4</v>
      </c>
      <c r="P19" s="21"/>
      <c r="Q19" s="29" t="str">
        <v>17</v>
      </c>
      <c r="R19" s="29" t="str">
        <v>情</v>
      </c>
      <c r="S19" s="29" t="str">
        <v>iŋ</v>
      </c>
      <c r="T19" s="29" t="str">
        <v>經</v>
      </c>
      <c r="U19" s="29" t="str">
        <v>ㄧㄥ</v>
      </c>
      <c r="V19" s="29" t="str">
        <v>ing</v>
      </c>
      <c r="W19" s="29" t="str">
        <v>ing</v>
      </c>
      <c r="X19" s="29" t="str">
        <v>eng</v>
      </c>
      <c r="Y19" s="29" t="str">
        <v>ing</v>
      </c>
      <c r="Z19" s="29" t="str">
        <v>ing</v>
      </c>
      <c r="AA19" s="29" t="str">
        <v>舒聲
（平/上/去）</v>
      </c>
      <c r="AB19" s="29" t="str">
        <v>經舒</v>
      </c>
      <c r="AC19" s="29" t="str">
        <v>9</v>
      </c>
      <c r="AD19" s="21"/>
      <c r="AE19" s="21"/>
      <c r="AF19" s="21" t="str">
        <f xml:space="preserve"> IF(AND(MOD(B19,2)&lt;&gt;1, G19&lt;&gt;""), "", _xlfn.CONCAT("""", 韻母對照資料表[[#This Row],[十五音]], """", " : [", """", 韻母對照資料表[[#This Row],[台語音標]], """", ", """, G20, """", "],"))</f>
        <v/>
      </c>
      <c r="AG19" s="21"/>
      <c r="AH19" s="21" t="str">
        <v>"巾" : ["in", "it"],</v>
      </c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</row>
    <row r="20" spans="2:45" ht="54" customHeight="1">
      <c r="B20" s="30">
        <v>17</v>
      </c>
      <c r="C20" s="31" t="s">
        <v>1347</v>
      </c>
      <c r="D20" s="32" t="s">
        <v>1652</v>
      </c>
      <c r="E20" s="33" t="s">
        <v>930</v>
      </c>
      <c r="F20" s="34" t="s">
        <v>1349</v>
      </c>
      <c r="G20" s="35" t="s">
        <v>610</v>
      </c>
      <c r="H20" s="36" t="s">
        <v>610</v>
      </c>
      <c r="I20" s="36" t="s">
        <v>1350</v>
      </c>
      <c r="J20" s="36" t="s">
        <v>610</v>
      </c>
      <c r="K20" s="36" t="s">
        <v>1653</v>
      </c>
      <c r="L20" s="37" t="s">
        <v>1621</v>
      </c>
      <c r="M20" s="38" t="str">
        <f>韻母對照資料表[[#This Row],[十五音]]&amp;LEFT(韻母對照資料表[[#This Row],[舒促聲]],1)</f>
        <v>經舒</v>
      </c>
      <c r="N20" s="39">
        <v>9</v>
      </c>
      <c r="O20" s="40">
        <f>IF(韻母對照資料表[[#This Row],[台語音標]]="", 0, LEN(韻母對照資料表[[#This Row],[台語音標]]))</f>
        <v>3</v>
      </c>
      <c r="P20" s="21"/>
      <c r="Q20" s="29" t="str">
        <v>18</v>
      </c>
      <c r="R20" s="29" t="str">
        <v>益</v>
      </c>
      <c r="S20" s="29" t="str">
        <v>ik̚</v>
      </c>
      <c r="T20" s="29" t="str">
        <v>經</v>
      </c>
      <c r="U20" s="29" t="str">
        <v>ㄧㆻ</v>
      </c>
      <c r="V20" s="29" t="str">
        <v>ik</v>
      </c>
      <c r="W20" s="29" t="str">
        <v>ik</v>
      </c>
      <c r="X20" s="29" t="str">
        <v>ek</v>
      </c>
      <c r="Y20" s="29" t="str">
        <v>ik</v>
      </c>
      <c r="Z20" s="29" t="str">
        <v>ik</v>
      </c>
      <c r="AA20" s="29" t="str">
        <v>促聲
（入）</v>
      </c>
      <c r="AB20" s="29" t="str">
        <v>經促</v>
      </c>
      <c r="AC20" s="29" t="str">
        <v>9</v>
      </c>
      <c r="AD20" s="21"/>
      <c r="AE20" s="21"/>
      <c r="AF20" s="21" t="str">
        <f xml:space="preserve"> IF(AND(MOD(B20,2)&lt;&gt;1, G20&lt;&gt;""), "", _xlfn.CONCAT("""", 韻母對照資料表[[#This Row],[十五音]], """", " : [", """", 韻母對照資料表[[#This Row],[台語音標]], """", ", """, G21, """", "],"))</f>
        <v>"經" : ["ing", "ik"],</v>
      </c>
      <c r="AG20" s="21"/>
      <c r="AH20" s="21" t="str">
        <v>"姜" : ["iang", "iak"],</v>
      </c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</row>
    <row r="21" spans="2:45" ht="54" customHeight="1">
      <c r="B21" s="30">
        <v>18</v>
      </c>
      <c r="C21" s="49" t="s">
        <v>1654</v>
      </c>
      <c r="D21" s="32" t="s">
        <v>1335</v>
      </c>
      <c r="E21" s="33" t="s">
        <v>930</v>
      </c>
      <c r="F21" s="34" t="s">
        <v>1336</v>
      </c>
      <c r="G21" s="35" t="s">
        <v>565</v>
      </c>
      <c r="H21" s="36" t="s">
        <v>565</v>
      </c>
      <c r="I21" s="36" t="s">
        <v>1337</v>
      </c>
      <c r="J21" s="36" t="s">
        <v>565</v>
      </c>
      <c r="K21" s="36" t="s">
        <v>1655</v>
      </c>
      <c r="L21" s="37" t="s">
        <v>1624</v>
      </c>
      <c r="M21" s="38" t="str">
        <f>韻母對照資料表[[#This Row],[十五音]]&amp;LEFT(韻母對照資料表[[#This Row],[舒促聲]],1)</f>
        <v>經促</v>
      </c>
      <c r="N21" s="39">
        <v>9</v>
      </c>
      <c r="O21" s="40">
        <f>IF(韻母對照資料表[[#This Row],[台語音標]]="", 0, LEN(韻母對照資料表[[#This Row],[台語音標]]))</f>
        <v>2</v>
      </c>
      <c r="P21" s="21"/>
      <c r="Q21" s="29" t="str">
        <v>19</v>
      </c>
      <c r="R21" s="29" t="str">
        <v>猿</v>
      </c>
      <c r="S21" s="29" t="str">
        <v>uan</v>
      </c>
      <c r="T21" s="29" t="str">
        <v>觀</v>
      </c>
      <c r="U21" s="29" t="str">
        <v>ㄨㄢ</v>
      </c>
      <c r="V21" s="29" t="str">
        <v>uan</v>
      </c>
      <c r="W21" s="29" t="str">
        <v>uan</v>
      </c>
      <c r="X21" s="29" t="str">
        <v>oan</v>
      </c>
      <c r="Y21" s="29" t="str">
        <v>uan</v>
      </c>
      <c r="Z21" s="29" t="str">
        <v>uan</v>
      </c>
      <c r="AA21" s="29" t="str">
        <v>舒聲
（平/上/去）</v>
      </c>
      <c r="AB21" s="29" t="str">
        <v>觀舒</v>
      </c>
      <c r="AC21" s="29" t="str">
        <v>10</v>
      </c>
      <c r="AD21" s="21"/>
      <c r="AE21" s="21"/>
      <c r="AF21" s="21" t="str">
        <f xml:space="preserve"> IF(AND(MOD(B21,2)&lt;&gt;1, G21&lt;&gt;""), "", _xlfn.CONCAT("""", 韻母對照資料表[[#This Row],[十五音]], """", " : [", """", 韻母對照資料表[[#This Row],[台語音標]], """", ", """, G22, """", "],"))</f>
        <v/>
      </c>
      <c r="AG21" s="21"/>
      <c r="AH21" s="21" t="str">
        <v>"甘" : ["am", "ap"],</v>
      </c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</row>
    <row r="22" spans="2:45" ht="54" customHeight="1">
      <c r="B22" s="30">
        <v>19</v>
      </c>
      <c r="C22" s="31" t="s">
        <v>1536</v>
      </c>
      <c r="D22" s="32" t="s">
        <v>603</v>
      </c>
      <c r="E22" s="33" t="s">
        <v>478</v>
      </c>
      <c r="F22" s="34" t="s">
        <v>1537</v>
      </c>
      <c r="G22" s="35" t="s">
        <v>603</v>
      </c>
      <c r="H22" s="36" t="s">
        <v>603</v>
      </c>
      <c r="I22" s="36" t="s">
        <v>1538</v>
      </c>
      <c r="J22" s="36" t="s">
        <v>603</v>
      </c>
      <c r="K22" s="36" t="s">
        <v>1656</v>
      </c>
      <c r="L22" s="37" t="s">
        <v>1621</v>
      </c>
      <c r="M22" s="38" t="str">
        <f>韻母對照資料表[[#This Row],[十五音]]&amp;LEFT(韻母對照資料表[[#This Row],[舒促聲]],1)</f>
        <v>觀舒</v>
      </c>
      <c r="N22" s="39">
        <v>10</v>
      </c>
      <c r="O22" s="40">
        <f>IF(韻母對照資料表[[#This Row],[台語音標]]="", 0, LEN(韻母對照資料表[[#This Row],[台語音標]]))</f>
        <v>3</v>
      </c>
      <c r="P22" s="21"/>
      <c r="Q22" s="29" t="str">
        <v>20</v>
      </c>
      <c r="R22" s="29" t="str">
        <v>說</v>
      </c>
      <c r="S22" s="29" t="str">
        <v>uat̚</v>
      </c>
      <c r="T22" s="29" t="str">
        <v>觀</v>
      </c>
      <c r="U22" s="29" t="str">
        <v>ㄨㄚㆵ</v>
      </c>
      <c r="V22" s="29" t="str">
        <v>uat</v>
      </c>
      <c r="W22" s="29" t="str">
        <v>uat</v>
      </c>
      <c r="X22" s="29" t="str">
        <v>oat</v>
      </c>
      <c r="Y22" s="29" t="str">
        <v>uat</v>
      </c>
      <c r="Z22" s="29" t="str">
        <v>uat</v>
      </c>
      <c r="AA22" s="29" t="str">
        <v>促聲
（入）</v>
      </c>
      <c r="AB22" s="29" t="str">
        <v>觀促</v>
      </c>
      <c r="AC22" s="29" t="str">
        <v>10</v>
      </c>
      <c r="AD22" s="21"/>
      <c r="AE22" s="21"/>
      <c r="AF22" s="21" t="str">
        <f xml:space="preserve"> IF(AND(MOD(B22,2)&lt;&gt;1, G22&lt;&gt;""), "", _xlfn.CONCAT("""", 韻母對照資料表[[#This Row],[十五音]], """", " : [", """", 韻母對照資料表[[#This Row],[台語音標]], """", ", """, G23, """", "],"))</f>
        <v>"觀" : ["uan", "uat"],</v>
      </c>
      <c r="AG22" s="21"/>
      <c r="AH22" s="21" t="str">
        <v>"瓜" : ["ua", "uah"],</v>
      </c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</row>
    <row r="23" spans="2:45" ht="54" customHeight="1">
      <c r="B23" s="30">
        <v>20</v>
      </c>
      <c r="C23" s="31" t="s">
        <v>1657</v>
      </c>
      <c r="D23" s="32" t="s">
        <v>1557</v>
      </c>
      <c r="E23" s="33" t="s">
        <v>478</v>
      </c>
      <c r="F23" s="34" t="s">
        <v>1558</v>
      </c>
      <c r="G23" s="35" t="s">
        <v>592</v>
      </c>
      <c r="H23" s="36" t="s">
        <v>592</v>
      </c>
      <c r="I23" s="36" t="s">
        <v>1559</v>
      </c>
      <c r="J23" s="36" t="s">
        <v>592</v>
      </c>
      <c r="K23" s="36" t="s">
        <v>1658</v>
      </c>
      <c r="L23" s="37" t="s">
        <v>1624</v>
      </c>
      <c r="M23" s="38" t="str">
        <f>韻母對照資料表[[#This Row],[十五音]]&amp;LEFT(韻母對照資料表[[#This Row],[舒促聲]],1)</f>
        <v>觀促</v>
      </c>
      <c r="N23" s="39">
        <v>10</v>
      </c>
      <c r="O23" s="40">
        <f>IF(韻母對照資料表[[#This Row],[台語音標]]="", 0, LEN(韻母對照資料表[[#This Row],[台語音標]]))</f>
        <v>3</v>
      </c>
      <c r="P23" s="21"/>
      <c r="Q23" s="29" t="str">
        <v>21</v>
      </c>
      <c r="R23" s="29" t="str">
        <v>捕</v>
      </c>
      <c r="S23" s="29" t="str">
        <v>ou</v>
      </c>
      <c r="T23" s="29" t="str">
        <v>沽</v>
      </c>
      <c r="U23" s="29" t="str">
        <v>ㆦ</v>
      </c>
      <c r="V23" s="29" t="str">
        <v>oo</v>
      </c>
      <c r="W23" s="29" t="str">
        <v>oo</v>
      </c>
      <c r="X23" s="29" t="str">
        <v>o͘</v>
      </c>
      <c r="Y23" s="29" t="str">
        <v>oo</v>
      </c>
      <c r="Z23" s="29" t="str">
        <v>oo</v>
      </c>
      <c r="AA23" s="29" t="str">
        <v>舒聲
（平/上/去）</v>
      </c>
      <c r="AB23" s="29" t="str">
        <v>沽舒</v>
      </c>
      <c r="AC23" s="29" t="str">
        <v>11</v>
      </c>
      <c r="AD23" s="21"/>
      <c r="AE23" s="21"/>
      <c r="AF23" s="21" t="str">
        <f xml:space="preserve"> IF(AND(MOD(B23,2)&lt;&gt;1, G23&lt;&gt;""), "", _xlfn.CONCAT("""", 韻母對照資料表[[#This Row],[十五音]], """", " : [", """", 韻母對照資料表[[#This Row],[台語音標]], """", ", """, G24, """", "],"))</f>
        <v/>
      </c>
      <c r="AG23" s="21"/>
      <c r="AH23" s="21" t="str">
        <v>"江" : ["ang", "ak"],</v>
      </c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</row>
    <row r="24" spans="2:45" ht="54" customHeight="1">
      <c r="B24" s="30">
        <v>21</v>
      </c>
      <c r="C24" s="31" t="s">
        <v>1659</v>
      </c>
      <c r="D24" s="32" t="s">
        <v>1660</v>
      </c>
      <c r="E24" s="33" t="s">
        <v>935</v>
      </c>
      <c r="F24" s="34" t="s">
        <v>1470</v>
      </c>
      <c r="G24" s="35" t="s">
        <v>577</v>
      </c>
      <c r="H24" s="36" t="s">
        <v>577</v>
      </c>
      <c r="I24" s="36" t="s">
        <v>1471</v>
      </c>
      <c r="J24" s="36" t="s">
        <v>577</v>
      </c>
      <c r="K24" s="36" t="s">
        <v>1661</v>
      </c>
      <c r="L24" s="37" t="s">
        <v>1621</v>
      </c>
      <c r="M24" s="38" t="str">
        <f>韻母對照資料表[[#This Row],[十五音]]&amp;LEFT(韻母對照資料表[[#This Row],[舒促聲]],1)</f>
        <v>沽舒</v>
      </c>
      <c r="N24" s="39">
        <v>11</v>
      </c>
      <c r="O24" s="40">
        <f>IF(韻母對照資料表[[#This Row],[台語音標]]="", 0, LEN(韻母對照資料表[[#This Row],[台語音標]]))</f>
        <v>2</v>
      </c>
      <c r="P24" s="21"/>
      <c r="Q24" s="29" t="str">
        <v>23</v>
      </c>
      <c r="R24" s="29" t="str">
        <v>遙</v>
      </c>
      <c r="S24" s="29" t="str">
        <v>iau</v>
      </c>
      <c r="T24" s="29" t="str">
        <v>嬌</v>
      </c>
      <c r="U24" s="29" t="str">
        <v>ㄧㄠ</v>
      </c>
      <c r="V24" s="29" t="str">
        <v>iau</v>
      </c>
      <c r="W24" s="29" t="str">
        <v>iau</v>
      </c>
      <c r="X24" s="29" t="str">
        <v>iau</v>
      </c>
      <c r="Y24" s="29" t="str">
        <v>iao</v>
      </c>
      <c r="Z24" s="29" t="str">
        <v>iau</v>
      </c>
      <c r="AA24" s="29" t="str">
        <v>舒聲
（平/上/去）</v>
      </c>
      <c r="AB24" s="29" t="str">
        <v>嬌舒</v>
      </c>
      <c r="AC24" s="29" t="str">
        <v>12</v>
      </c>
      <c r="AD24" s="21"/>
      <c r="AE24" s="21"/>
      <c r="AF24" s="21" t="str">
        <f xml:space="preserve"> IF(AND(MOD(B24,2)&lt;&gt;1, G24&lt;&gt;""), "", _xlfn.CONCAT("""", 韻母對照資料表[[#This Row],[十五音]], """", " : [", """", 韻母對照資料表[[#This Row],[台語音標]], """", ", """, G25, """", "],"))</f>
        <v>"沽" : ["oo", ""],</v>
      </c>
      <c r="AG24" s="21"/>
      <c r="AH24" s="21" t="str">
        <v>"兼" : ["iam", "iap"],</v>
      </c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</row>
    <row r="25" spans="2:45" ht="54" customHeight="1">
      <c r="B25" s="30">
        <v>22</v>
      </c>
      <c r="C25" s="44"/>
      <c r="D25" s="45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0">
        <f>IF(韻母對照資料表[[#This Row],[台語音標]]="", 0, LEN(韻母對照資料表[[#This Row],[台語音標]]))</f>
        <v>0</v>
      </c>
      <c r="P25" s="21"/>
      <c r="Q25" s="29" t="str">
        <v>24</v>
      </c>
      <c r="R25" s="29" t="str">
        <v>噭</v>
      </c>
      <c r="S25" s="29" t="str">
        <v>iau?</v>
      </c>
      <c r="T25" s="29" t="str">
        <v>嬌</v>
      </c>
      <c r="U25" s="29" t="str">
        <v>ㄧㄠㆷ</v>
      </c>
      <c r="V25" s="29" t="str">
        <v>iauh</v>
      </c>
      <c r="W25" s="29" t="str">
        <v>iauh</v>
      </c>
      <c r="X25" s="29" t="str">
        <v>iauh</v>
      </c>
      <c r="Y25" s="29" t="str">
        <v>iaoh</v>
      </c>
      <c r="Z25" s="29" t="str">
        <v>iauh</v>
      </c>
      <c r="AA25" s="29" t="str">
        <v>促聲
（入）</v>
      </c>
      <c r="AB25" s="29" t="str">
        <v>嬌促</v>
      </c>
      <c r="AC25" s="29" t="str">
        <v>12</v>
      </c>
      <c r="AD25" s="21"/>
      <c r="AE25" s="21"/>
      <c r="AF25" s="21"/>
      <c r="AG25" s="21"/>
      <c r="AH25" s="21" t="str">
        <v>"交" : ["au", "auh"],</v>
      </c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</row>
    <row r="26" spans="2:45" ht="54" customHeight="1">
      <c r="B26" s="30">
        <v>23</v>
      </c>
      <c r="C26" s="31" t="s">
        <v>1289</v>
      </c>
      <c r="D26" s="32" t="s">
        <v>633</v>
      </c>
      <c r="E26" s="33" t="s">
        <v>960</v>
      </c>
      <c r="F26" s="34" t="s">
        <v>1290</v>
      </c>
      <c r="G26" s="35" t="s">
        <v>633</v>
      </c>
      <c r="H26" s="36" t="s">
        <v>633</v>
      </c>
      <c r="I26" s="36" t="s">
        <v>633</v>
      </c>
      <c r="J26" s="36" t="s">
        <v>1291</v>
      </c>
      <c r="K26" s="36" t="s">
        <v>1662</v>
      </c>
      <c r="L26" s="37" t="s">
        <v>1621</v>
      </c>
      <c r="M26" s="38" t="str">
        <f>韻母對照資料表[[#This Row],[十五音]]&amp;LEFT(韻母對照資料表[[#This Row],[舒促聲]],1)</f>
        <v>嬌舒</v>
      </c>
      <c r="N26" s="39">
        <v>12</v>
      </c>
      <c r="O26" s="40">
        <f>IF(韻母對照資料表[[#This Row],[台語音標]]="", 0, LEN(韻母對照資料表[[#This Row],[台語音標]]))</f>
        <v>3</v>
      </c>
      <c r="P26" s="21"/>
      <c r="Q26" s="29" t="str">
        <v>25</v>
      </c>
      <c r="R26" s="29" t="str">
        <v>遞</v>
      </c>
      <c r="S26" s="29" t="str">
        <v>ei</v>
      </c>
      <c r="T26" s="29" t="str">
        <v>稽</v>
      </c>
      <c r="U26" s="29" t="str">
        <v>ㆤ</v>
      </c>
      <c r="V26" s="29" t="str">
        <v>ei</v>
      </c>
      <c r="W26" s="29" t="str">
        <v>e</v>
      </c>
      <c r="X26" s="29" t="str">
        <v>e</v>
      </c>
      <c r="Y26" s="29" t="str">
        <v>e</v>
      </c>
      <c r="Z26" s="29" t="str">
        <v>e</v>
      </c>
      <c r="AA26" s="29" t="str">
        <v>舒聲
（平/上/去）</v>
      </c>
      <c r="AB26" s="29" t="str">
        <v>稽舒</v>
      </c>
      <c r="AC26" s="29" t="str">
        <v>13</v>
      </c>
      <c r="AD26" s="21"/>
      <c r="AE26" s="21"/>
      <c r="AF26" s="21" t="str">
        <f xml:space="preserve"> IF(AND(MOD(B26,2)&lt;&gt;1, G26&lt;&gt;""), "", _xlfn.CONCAT("""", 韻母對照資料表[[#This Row],[十五音]], """", " : [", """", 韻母對照資料表[[#This Row],[台語音標]], """", ", """, G27, """", "],"))</f>
        <v>"嬌" : ["iau", "iauh"],</v>
      </c>
      <c r="AG26" s="21"/>
      <c r="AH26" s="21" t="str">
        <v>"迦" : ["ia", "iah"],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</row>
    <row r="27" spans="2:45" ht="54" customHeight="1">
      <c r="B27" s="30">
        <v>24</v>
      </c>
      <c r="C27" s="43" t="s">
        <v>1663</v>
      </c>
      <c r="D27" s="32" t="s">
        <v>1294</v>
      </c>
      <c r="E27" s="33" t="s">
        <v>960</v>
      </c>
      <c r="F27" s="34" t="s">
        <v>1295</v>
      </c>
      <c r="G27" s="35" t="s">
        <v>1296</v>
      </c>
      <c r="H27" s="36" t="s">
        <v>1296</v>
      </c>
      <c r="I27" s="36" t="s">
        <v>1296</v>
      </c>
      <c r="J27" s="36" t="s">
        <v>1297</v>
      </c>
      <c r="K27" s="36" t="s">
        <v>1664</v>
      </c>
      <c r="L27" s="37" t="s">
        <v>1624</v>
      </c>
      <c r="M27" s="38" t="str">
        <f>韻母對照資料表[[#This Row],[十五音]]&amp;LEFT(韻母對照資料表[[#This Row],[舒促聲]],1)</f>
        <v>嬌促</v>
      </c>
      <c r="N27" s="39">
        <v>12</v>
      </c>
      <c r="O27" s="40">
        <f>IF(韻母對照資料表[[#This Row],[台語音標]]="", 0, LEN(韻母對照資料表[[#This Row],[台語音標]]))</f>
        <v>4</v>
      </c>
      <c r="P27" s="21"/>
      <c r="Q27" s="29" t="str">
        <v>27</v>
      </c>
      <c r="R27" s="29" t="str">
        <v>中</v>
      </c>
      <c r="S27" s="29" t="str">
        <v>iɔŋ</v>
      </c>
      <c r="T27" s="29" t="str">
        <v>恭</v>
      </c>
      <c r="U27" s="29" t="str">
        <v>ㄧㆲ</v>
      </c>
      <c r="V27" s="29" t="str">
        <v>iong</v>
      </c>
      <c r="W27" s="29" t="str">
        <v>iong</v>
      </c>
      <c r="X27" s="29" t="str">
        <v>iong</v>
      </c>
      <c r="Y27" s="29" t="str">
        <v>iong</v>
      </c>
      <c r="Z27" s="29" t="str">
        <v>iong</v>
      </c>
      <c r="AA27" s="29" t="str">
        <v>舒聲
（平/上/去）</v>
      </c>
      <c r="AB27" s="29" t="str">
        <v>恭舒</v>
      </c>
      <c r="AC27" s="29" t="str">
        <v>14</v>
      </c>
      <c r="AD27" s="21"/>
      <c r="AE27" s="21"/>
      <c r="AF27" s="21" t="str">
        <f xml:space="preserve"> IF(AND(MOD(B27,2)&lt;&gt;1, G27&lt;&gt;""), "", _xlfn.CONCAT("""", 韻母對照資料表[[#This Row],[十五音]], """", " : [", """", 韻母對照資料表[[#This Row],[台語音標]], """", ", """, G28, """", "],"))</f>
        <v/>
      </c>
      <c r="AG27" s="21"/>
      <c r="AH27" s="21" t="str">
        <v>"檜" : ["ue", "ueh"],</v>
      </c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</row>
    <row r="28" spans="2:45" ht="54" customHeight="1">
      <c r="B28" s="30">
        <v>25</v>
      </c>
      <c r="C28" s="31" t="s">
        <v>1225</v>
      </c>
      <c r="D28" s="32" t="s">
        <v>699</v>
      </c>
      <c r="E28" s="33" t="s">
        <v>1007</v>
      </c>
      <c r="F28" s="34" t="s">
        <v>1665</v>
      </c>
      <c r="G28" s="41" t="s">
        <v>699</v>
      </c>
      <c r="H28" s="36" t="s">
        <v>1635</v>
      </c>
      <c r="I28" s="36" t="s">
        <v>1635</v>
      </c>
      <c r="J28" s="36" t="s">
        <v>1635</v>
      </c>
      <c r="K28" s="36" t="s">
        <v>1637</v>
      </c>
      <c r="L28" s="37" t="s">
        <v>1621</v>
      </c>
      <c r="M28" s="38" t="str">
        <f>韻母對照資料表[[#This Row],[十五音]]&amp;LEFT(韻母對照資料表[[#This Row],[舒促聲]],1)</f>
        <v>稽舒</v>
      </c>
      <c r="N28" s="39">
        <v>13</v>
      </c>
      <c r="O28" s="42">
        <f>IF(韻母對照資料表[[#This Row],[台語音標]]="", 0, LEN(韻母對照資料表[[#This Row],[台語音標]]))</f>
        <v>2</v>
      </c>
      <c r="P28" s="21"/>
      <c r="Q28" s="29" t="str">
        <v>28</v>
      </c>
      <c r="R28" s="29" t="str">
        <v>俗</v>
      </c>
      <c r="S28" s="29" t="str">
        <v>iɔk̚</v>
      </c>
      <c r="T28" s="29" t="str">
        <v>恭</v>
      </c>
      <c r="U28" s="29" t="str">
        <v>ㄧㆦㆻ</v>
      </c>
      <c r="V28" s="29" t="str">
        <v>iok</v>
      </c>
      <c r="W28" s="29" t="str">
        <v>iok</v>
      </c>
      <c r="X28" s="29" t="str">
        <v>iok</v>
      </c>
      <c r="Y28" s="29" t="str">
        <v>iok</v>
      </c>
      <c r="Z28" s="29" t="str">
        <v>iok</v>
      </c>
      <c r="AA28" s="29" t="str">
        <v>促聲
（入）</v>
      </c>
      <c r="AB28" s="29" t="str">
        <v>恭促</v>
      </c>
      <c r="AC28" s="29" t="str">
        <v>14</v>
      </c>
      <c r="AD28" s="21"/>
      <c r="AE28" s="21"/>
      <c r="AF28" s="21" t="str">
        <f xml:space="preserve"> IF(AND(MOD(B28,2)&lt;&gt;1, G28&lt;&gt;""), "", _xlfn.CONCAT("""", 韻母對照資料表[[#This Row],[十五音]], """", " : [", """", 韻母對照資料表[[#This Row],[台語音標]], """", ", """, G29, """", "],"))</f>
        <v>"稽" : ["ei", ""],</v>
      </c>
      <c r="AG28" s="21"/>
      <c r="AH28" s="21" t="str">
        <v>"監" : ["ann", "ahnn"],</v>
      </c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</row>
    <row r="29" spans="2:45" ht="54" customHeight="1">
      <c r="B29" s="30">
        <v>26</v>
      </c>
      <c r="C29" s="44"/>
      <c r="D29" s="45"/>
      <c r="E29" s="44"/>
      <c r="F29" s="50"/>
      <c r="G29" s="44"/>
      <c r="H29" s="44"/>
      <c r="I29" s="44"/>
      <c r="J29" s="44"/>
      <c r="K29" s="44"/>
      <c r="L29" s="44"/>
      <c r="M29" s="44"/>
      <c r="N29" s="44"/>
      <c r="O29" s="40">
        <f>IF(韻母對照資料表[[#This Row],[台語音標]]="", 0, LEN(韻母對照資料表[[#This Row],[台語音標]]))</f>
        <v>0</v>
      </c>
      <c r="P29" s="21"/>
      <c r="Q29" s="29" t="str">
        <v>29</v>
      </c>
      <c r="R29" s="29" t="str">
        <v>果</v>
      </c>
      <c r="S29" s="29" t="str">
        <v>o</v>
      </c>
      <c r="T29" s="29" t="str">
        <v>高</v>
      </c>
      <c r="U29" s="29" t="str">
        <v>ㄜ</v>
      </c>
      <c r="V29" s="29" t="str">
        <v>o</v>
      </c>
      <c r="W29" s="29" t="str">
        <v>o</v>
      </c>
      <c r="X29" s="29" t="str">
        <v>o</v>
      </c>
      <c r="Y29" s="29" t="str">
        <v>o</v>
      </c>
      <c r="Z29" s="29" t="str">
        <v>or</v>
      </c>
      <c r="AA29" s="29" t="str">
        <v>舒聲
（平/上/去）</v>
      </c>
      <c r="AB29" s="29" t="str">
        <v>高舒</v>
      </c>
      <c r="AC29" s="29" t="str">
        <v>15</v>
      </c>
      <c r="AD29" s="21"/>
      <c r="AE29" s="21"/>
      <c r="AF29" s="21"/>
      <c r="AG29" s="21"/>
      <c r="AH29" s="21" t="str">
        <v>"艍" : ["u", "uh"],</v>
      </c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</row>
    <row r="30" spans="2:45" ht="54" customHeight="1">
      <c r="B30" s="30">
        <v>27</v>
      </c>
      <c r="C30" s="31" t="s">
        <v>1666</v>
      </c>
      <c r="D30" s="32" t="s">
        <v>1667</v>
      </c>
      <c r="E30" s="33" t="s">
        <v>946</v>
      </c>
      <c r="F30" s="34" t="s">
        <v>1380</v>
      </c>
      <c r="G30" s="35" t="s">
        <v>612</v>
      </c>
      <c r="H30" s="36" t="s">
        <v>612</v>
      </c>
      <c r="I30" s="36" t="s">
        <v>612</v>
      </c>
      <c r="J30" s="36" t="s">
        <v>612</v>
      </c>
      <c r="K30" s="36" t="s">
        <v>1668</v>
      </c>
      <c r="L30" s="37" t="s">
        <v>1621</v>
      </c>
      <c r="M30" s="38" t="str">
        <f>韻母對照資料表[[#This Row],[十五音]]&amp;LEFT(韻母對照資料表[[#This Row],[舒促聲]],1)</f>
        <v>恭舒</v>
      </c>
      <c r="N30" s="39">
        <v>14</v>
      </c>
      <c r="O30" s="40">
        <f>IF(韻母對照資料表[[#This Row],[台語音標]]="", 0, LEN(韻母對照資料表[[#This Row],[台語音標]]))</f>
        <v>4</v>
      </c>
      <c r="P30" s="21"/>
      <c r="Q30" s="29" t="str">
        <v>30</v>
      </c>
      <c r="R30" s="29" t="str">
        <v>卜</v>
      </c>
      <c r="S30" s="29" t="str">
        <v>o?</v>
      </c>
      <c r="T30" s="29" t="str">
        <v>高</v>
      </c>
      <c r="U30" s="29" t="str">
        <v>ㄜㆷ</v>
      </c>
      <c r="V30" s="29" t="str">
        <v>oh</v>
      </c>
      <c r="W30" s="29" t="str">
        <v>oh</v>
      </c>
      <c r="X30" s="29" t="str">
        <v>oh</v>
      </c>
      <c r="Y30" s="29" t="str">
        <v>oh</v>
      </c>
      <c r="Z30" s="29" t="str">
        <v>orh</v>
      </c>
      <c r="AA30" s="29" t="str">
        <v>促聲
（入）</v>
      </c>
      <c r="AB30" s="29" t="str">
        <v>高促</v>
      </c>
      <c r="AC30" s="29" t="str">
        <v>15</v>
      </c>
      <c r="AD30" s="21"/>
      <c r="AE30" s="21"/>
      <c r="AF30" s="21" t="str">
        <f xml:space="preserve"> IF(AND(MOD(B30,2)&lt;&gt;1, G30&lt;&gt;""), "", _xlfn.CONCAT("""", 韻母對照資料表[[#This Row],[十五音]], """", " : [", """", 韻母對照資料表[[#This Row],[台語音標]], """", ", """, G31, """", "],"))</f>
        <v>"恭" : ["iong", "iok"],</v>
      </c>
      <c r="AG30" s="21"/>
      <c r="AH30" s="21" t="str">
        <v>"膠" : ["a", "ah"],</v>
      </c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</row>
    <row r="31" spans="2:45" ht="54" customHeight="1">
      <c r="B31" s="30">
        <v>28</v>
      </c>
      <c r="C31" s="31" t="s">
        <v>1669</v>
      </c>
      <c r="D31" s="32" t="s">
        <v>1670</v>
      </c>
      <c r="E31" s="33" t="s">
        <v>946</v>
      </c>
      <c r="F31" s="34" t="s">
        <v>1375</v>
      </c>
      <c r="G31" s="35" t="s">
        <v>627</v>
      </c>
      <c r="H31" s="36" t="s">
        <v>627</v>
      </c>
      <c r="I31" s="36" t="s">
        <v>627</v>
      </c>
      <c r="J31" s="36" t="s">
        <v>627</v>
      </c>
      <c r="K31" s="36" t="s">
        <v>1671</v>
      </c>
      <c r="L31" s="37" t="s">
        <v>1624</v>
      </c>
      <c r="M31" s="38" t="str">
        <f>韻母對照資料表[[#This Row],[十五音]]&amp;LEFT(韻母對照資料表[[#This Row],[舒促聲]],1)</f>
        <v>恭促</v>
      </c>
      <c r="N31" s="39">
        <v>14</v>
      </c>
      <c r="O31" s="40">
        <f>IF(韻母對照資料表[[#This Row],[台語音標]]="", 0, LEN(韻母對照資料表[[#This Row],[台語音標]]))</f>
        <v>3</v>
      </c>
      <c r="P31" s="21"/>
      <c r="Q31" s="29" t="str">
        <v>31</v>
      </c>
      <c r="R31" s="29" t="str">
        <v>埃</v>
      </c>
      <c r="S31" s="29" t="str">
        <v>ai</v>
      </c>
      <c r="T31" s="29" t="str">
        <v>皆</v>
      </c>
      <c r="U31" s="29" t="str">
        <v>ㄞ</v>
      </c>
      <c r="V31" s="29" t="str">
        <v>ai</v>
      </c>
      <c r="W31" s="29" t="str">
        <v>ai</v>
      </c>
      <c r="X31" s="29" t="str">
        <v>ai</v>
      </c>
      <c r="Y31" s="29" t="str">
        <v>ai</v>
      </c>
      <c r="Z31" s="29" t="str">
        <v>ai</v>
      </c>
      <c r="AA31" s="29" t="str">
        <v>舒聲
（平/上/去）</v>
      </c>
      <c r="AB31" s="29" t="str">
        <v>皆舒</v>
      </c>
      <c r="AC31" s="29" t="str">
        <v>16</v>
      </c>
      <c r="AD31" s="21"/>
      <c r="AE31" s="21"/>
      <c r="AF31" s="21" t="str">
        <f xml:space="preserve"> IF(AND(MOD(B31,2)&lt;&gt;1, G31&lt;&gt;""), "", _xlfn.CONCAT("""", 韻母對照資料表[[#This Row],[十五音]], """", " : [", """", 韻母對照資料表[[#This Row],[台語音標]], """", ", """, G32, """", "],"))</f>
        <v/>
      </c>
      <c r="AG31" s="21"/>
      <c r="AH31" s="21" t="str">
        <v>"居" : ["i", "ih"],</v>
      </c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</row>
    <row r="32" spans="2:45" ht="54" customHeight="1">
      <c r="B32" s="30">
        <v>29</v>
      </c>
      <c r="C32" s="31" t="s">
        <v>1423</v>
      </c>
      <c r="D32" s="32" t="s">
        <v>1672</v>
      </c>
      <c r="E32" s="33" t="s">
        <v>957</v>
      </c>
      <c r="F32" s="34" t="s">
        <v>1424</v>
      </c>
      <c r="G32" s="35" t="s">
        <v>621</v>
      </c>
      <c r="H32" s="36" t="s">
        <v>621</v>
      </c>
      <c r="I32" s="36" t="s">
        <v>621</v>
      </c>
      <c r="J32" s="36" t="s">
        <v>621</v>
      </c>
      <c r="K32" s="36" t="s">
        <v>1673</v>
      </c>
      <c r="L32" s="37" t="s">
        <v>1621</v>
      </c>
      <c r="M32" s="38" t="str">
        <f>韻母對照資料表[[#This Row],[十五音]]&amp;LEFT(韻母對照資料表[[#This Row],[舒促聲]],1)</f>
        <v>高舒</v>
      </c>
      <c r="N32" s="39">
        <v>15</v>
      </c>
      <c r="O32" s="40">
        <f>IF(韻母對照資料表[[#This Row],[台語音標]]="", 0, LEN(韻母對照資料表[[#This Row],[台語音標]]))</f>
        <v>1</v>
      </c>
      <c r="P32" s="21"/>
      <c r="Q32" s="29" t="str">
        <v>33</v>
      </c>
      <c r="R32" s="29" t="str">
        <v>恩</v>
      </c>
      <c r="S32" s="29" t="str">
        <v>in</v>
      </c>
      <c r="T32" s="29" t="str">
        <v>巾</v>
      </c>
      <c r="U32" s="29" t="str">
        <v>ㄧㄣ</v>
      </c>
      <c r="V32" s="29" t="str">
        <v>in</v>
      </c>
      <c r="W32" s="29" t="str">
        <v>in</v>
      </c>
      <c r="X32" s="29" t="str">
        <v>in</v>
      </c>
      <c r="Y32" s="29" t="str">
        <v>in</v>
      </c>
      <c r="Z32" s="29" t="str">
        <v>in</v>
      </c>
      <c r="AA32" s="29" t="str">
        <v>舒聲
（平/上/去）</v>
      </c>
      <c r="AB32" s="29" t="str">
        <v>巾舒</v>
      </c>
      <c r="AC32" s="29" t="str">
        <v>17</v>
      </c>
      <c r="AD32" s="21"/>
      <c r="AE32" s="21"/>
      <c r="AF32" s="21" t="str">
        <f xml:space="preserve"> IF(AND(MOD(B32,2)&lt;&gt;1, G32&lt;&gt;""), "", _xlfn.CONCAT("""", 韻母對照資料表[[#This Row],[十五音]], """", " : [", """", 韻母對照資料表[[#This Row],[台語音標]], """", ", """, G33, """", "],"))</f>
        <v>"高" : ["o", "oh"],</v>
      </c>
      <c r="AG32" s="21"/>
      <c r="AH32" s="21" t="str">
        <v>"丩" : ["iu", ""],</v>
      </c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</row>
    <row r="33" spans="2:45" ht="54" customHeight="1">
      <c r="B33" s="30">
        <v>30</v>
      </c>
      <c r="C33" s="47" t="s">
        <v>1674</v>
      </c>
      <c r="D33" s="32" t="s">
        <v>1675</v>
      </c>
      <c r="E33" s="33" t="s">
        <v>957</v>
      </c>
      <c r="F33" s="34" t="s">
        <v>1430</v>
      </c>
      <c r="G33" s="35" t="s">
        <v>1431</v>
      </c>
      <c r="H33" s="36" t="s">
        <v>1431</v>
      </c>
      <c r="I33" s="36" t="s">
        <v>1431</v>
      </c>
      <c r="J33" s="36" t="s">
        <v>1431</v>
      </c>
      <c r="K33" s="36" t="s">
        <v>1676</v>
      </c>
      <c r="L33" s="37" t="s">
        <v>1624</v>
      </c>
      <c r="M33" s="38" t="str">
        <f>韻母對照資料表[[#This Row],[十五音]]&amp;LEFT(韻母對照資料表[[#This Row],[舒促聲]],1)</f>
        <v>高促</v>
      </c>
      <c r="N33" s="39">
        <v>15</v>
      </c>
      <c r="O33" s="40">
        <f>IF(韻母對照資料表[[#This Row],[台語音標]]="", 0, LEN(韻母對照資料表[[#This Row],[台語音標]]))</f>
        <v>2</v>
      </c>
      <c r="P33" s="21"/>
      <c r="Q33" s="29" t="str">
        <v>34</v>
      </c>
      <c r="R33" s="29" t="str">
        <v>一</v>
      </c>
      <c r="S33" s="29" t="str">
        <v>it̚</v>
      </c>
      <c r="T33" s="29" t="str">
        <v>巾</v>
      </c>
      <c r="U33" s="29" t="str">
        <v>ㄧㆵ</v>
      </c>
      <c r="V33" s="29" t="str">
        <v>it</v>
      </c>
      <c r="W33" s="29" t="str">
        <v>it</v>
      </c>
      <c r="X33" s="29" t="str">
        <v>it</v>
      </c>
      <c r="Y33" s="29" t="str">
        <v>it</v>
      </c>
      <c r="Z33" s="29" t="str">
        <v>it</v>
      </c>
      <c r="AA33" s="29" t="str">
        <v>促聲
（入）</v>
      </c>
      <c r="AB33" s="29" t="str">
        <v>巾促</v>
      </c>
      <c r="AC33" s="29" t="str">
        <v>17</v>
      </c>
      <c r="AD33" s="21"/>
      <c r="AE33" s="21"/>
      <c r="AF33" s="21" t="str">
        <f xml:space="preserve"> IF(AND(MOD(B33,2)&lt;&gt;1, G33&lt;&gt;""), "", _xlfn.CONCAT("""", 韻母對照資料表[[#This Row],[十五音]], """", " : [", """", 韻母對照資料表[[#This Row],[台語音標]], """", ", """, G34, """", "],"))</f>
        <v/>
      </c>
      <c r="AG33" s="21"/>
      <c r="AH33" s="21" t="str">
        <v>"更" : ["enn", "ehnn"],</v>
      </c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</row>
    <row r="34" spans="2:45" ht="54" customHeight="1">
      <c r="B34" s="30">
        <v>31</v>
      </c>
      <c r="C34" s="31" t="s">
        <v>1114</v>
      </c>
      <c r="D34" s="32" t="s">
        <v>616</v>
      </c>
      <c r="E34" s="33" t="s">
        <v>492</v>
      </c>
      <c r="F34" s="34" t="s">
        <v>1115</v>
      </c>
      <c r="G34" s="35" t="s">
        <v>616</v>
      </c>
      <c r="H34" s="36" t="s">
        <v>616</v>
      </c>
      <c r="I34" s="36" t="s">
        <v>616</v>
      </c>
      <c r="J34" s="36" t="s">
        <v>616</v>
      </c>
      <c r="K34" s="36" t="s">
        <v>1677</v>
      </c>
      <c r="L34" s="37" t="s">
        <v>1621</v>
      </c>
      <c r="M34" s="38" t="str">
        <f>韻母對照資料表[[#This Row],[十五音]]&amp;LEFT(韻母對照資料表[[#This Row],[舒促聲]],1)</f>
        <v>皆舒</v>
      </c>
      <c r="N34" s="39">
        <v>16</v>
      </c>
      <c r="O34" s="40">
        <f>IF(韻母對照資料表[[#This Row],[台語音標]]="", 0, LEN(韻母對照資料表[[#This Row],[台語音標]]))</f>
        <v>2</v>
      </c>
      <c r="P34" s="21"/>
      <c r="Q34" s="29" t="str">
        <v>35</v>
      </c>
      <c r="R34" s="29" t="str">
        <v>將</v>
      </c>
      <c r="S34" s="29" t="str">
        <v>iaŋ</v>
      </c>
      <c r="T34" s="29" t="str">
        <v>姜</v>
      </c>
      <c r="U34" s="29" t="str">
        <v>ㄧㄤ</v>
      </c>
      <c r="V34" s="29" t="str">
        <v>iang</v>
      </c>
      <c r="W34" s="29" t="str">
        <v>iang</v>
      </c>
      <c r="X34" s="29" t="str">
        <v>iang</v>
      </c>
      <c r="Y34" s="29" t="str">
        <v>iang</v>
      </c>
      <c r="Z34" s="29" t="str">
        <v>iang</v>
      </c>
      <c r="AA34" s="29" t="str">
        <v>舒聲
（平/上/去）</v>
      </c>
      <c r="AB34" s="29" t="str">
        <v>姜舒</v>
      </c>
      <c r="AC34" s="29" t="str">
        <v>18</v>
      </c>
      <c r="AD34" s="21"/>
      <c r="AE34" s="21"/>
      <c r="AF34" s="21" t="str">
        <f xml:space="preserve"> IF(AND(MOD(B34,2)&lt;&gt;1, G34&lt;&gt;""), "", _xlfn.CONCAT("""", 韻母對照資料表[[#This Row],[十五音]], """", " : [", """", 韻母對照資料表[[#This Row],[台語音標]], """", ", """, G35, """", "],"))</f>
        <v>"皆" : ["ai", ""],</v>
      </c>
      <c r="AG34" s="21"/>
      <c r="AH34" s="21" t="str">
        <v>"褌" : ["uinn", ""],</v>
      </c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</row>
    <row r="35" spans="2:45" ht="54" customHeight="1">
      <c r="B35" s="30">
        <v>32</v>
      </c>
      <c r="C35" s="44"/>
      <c r="D35" s="45"/>
      <c r="E35" s="44"/>
      <c r="F35" s="50"/>
      <c r="G35" s="44"/>
      <c r="H35" s="44"/>
      <c r="I35" s="44"/>
      <c r="J35" s="44"/>
      <c r="K35" s="44"/>
      <c r="L35" s="44"/>
      <c r="M35" s="44"/>
      <c r="N35" s="44"/>
      <c r="O35" s="40">
        <f>IF(韻母對照資料表[[#This Row],[台語音標]]="", 0, LEN(韻母對照資料表[[#This Row],[台語音標]]))</f>
        <v>0</v>
      </c>
      <c r="P35" s="21"/>
      <c r="Q35" s="29" t="str">
        <v>36</v>
      </c>
      <c r="R35" s="29" t="str">
        <v>爆</v>
      </c>
      <c r="S35" s="29" t="str">
        <v>iak̚</v>
      </c>
      <c r="T35" s="29" t="str">
        <v>姜</v>
      </c>
      <c r="U35" s="29" t="str">
        <v>ㄧㄚㆻ</v>
      </c>
      <c r="V35" s="29" t="str">
        <v>iak</v>
      </c>
      <c r="W35" s="29" t="str">
        <v>iak</v>
      </c>
      <c r="X35" s="29" t="str">
        <v>iak</v>
      </c>
      <c r="Y35" s="29" t="str">
        <v>iak</v>
      </c>
      <c r="Z35" s="29" t="str">
        <v>iak</v>
      </c>
      <c r="AA35" s="29" t="str">
        <v>促聲
（入）</v>
      </c>
      <c r="AB35" s="29" t="str">
        <v>姜促</v>
      </c>
      <c r="AC35" s="29" t="str">
        <v>18</v>
      </c>
      <c r="AD35" s="21"/>
      <c r="AE35" s="21"/>
      <c r="AF35" s="21"/>
      <c r="AG35" s="21"/>
      <c r="AH35" s="21" t="str">
        <v>"茄" : ["io", "ioh"],</v>
      </c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</row>
    <row r="36" spans="2:45" ht="54" customHeight="1">
      <c r="B36" s="30">
        <v>33</v>
      </c>
      <c r="C36" s="47" t="s">
        <v>1343</v>
      </c>
      <c r="D36" s="32" t="s">
        <v>712</v>
      </c>
      <c r="E36" s="33" t="s">
        <v>941</v>
      </c>
      <c r="F36" s="34" t="s">
        <v>1344</v>
      </c>
      <c r="G36" s="35" t="s">
        <v>712</v>
      </c>
      <c r="H36" s="36" t="s">
        <v>712</v>
      </c>
      <c r="I36" s="36" t="s">
        <v>712</v>
      </c>
      <c r="J36" s="36" t="s">
        <v>712</v>
      </c>
      <c r="K36" s="36" t="s">
        <v>1678</v>
      </c>
      <c r="L36" s="37" t="s">
        <v>1621</v>
      </c>
      <c r="M36" s="38" t="str">
        <f>韻母對照資料表[[#This Row],[十五音]]&amp;LEFT(韻母對照資料表[[#This Row],[舒促聲]],1)</f>
        <v>巾舒</v>
      </c>
      <c r="N36" s="39">
        <v>17</v>
      </c>
      <c r="O36" s="40">
        <f>IF(韻母對照資料表[[#This Row],[台語音標]]="", 0, LEN(韻母對照資料表[[#This Row],[台語音標]]))</f>
        <v>2</v>
      </c>
      <c r="P36" s="21"/>
      <c r="Q36" s="29" t="str">
        <v>37</v>
      </c>
      <c r="R36" s="29" t="str">
        <v>堪</v>
      </c>
      <c r="S36" s="29" t="str">
        <v>am</v>
      </c>
      <c r="T36" s="29" t="str">
        <v>甘</v>
      </c>
      <c r="U36" s="29" t="str">
        <v>ㆰ</v>
      </c>
      <c r="V36" s="29" t="str">
        <v>am</v>
      </c>
      <c r="W36" s="29" t="str">
        <v>am</v>
      </c>
      <c r="X36" s="29" t="str">
        <v>am</v>
      </c>
      <c r="Y36" s="29" t="str">
        <v>am</v>
      </c>
      <c r="Z36" s="29" t="str">
        <v>am</v>
      </c>
      <c r="AA36" s="29" t="str">
        <v>舒聲
（平/上/去）</v>
      </c>
      <c r="AB36" s="29" t="str">
        <v>甘舒</v>
      </c>
      <c r="AC36" s="29" t="str">
        <v>19</v>
      </c>
      <c r="AD36" s="21"/>
      <c r="AE36" s="21"/>
      <c r="AF36" s="21" t="str">
        <f xml:space="preserve"> IF(AND(MOD(B36,2)&lt;&gt;1, G36&lt;&gt;""), "", _xlfn.CONCAT("""", 韻母對照資料表[[#This Row],[十五音]], """", " : [", """", 韻母對照資料表[[#This Row],[台語音標]], """", ", """, G37, """", "],"))</f>
        <v>"巾" : ["in", "it"],</v>
      </c>
      <c r="AG36" s="21"/>
      <c r="AH36" s="21" t="str">
        <v>"梔" : ["inn", "ihnn"],</v>
      </c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</row>
    <row r="37" spans="2:45" ht="54" customHeight="1">
      <c r="B37" s="30">
        <v>34</v>
      </c>
      <c r="C37" s="31" t="s">
        <v>1679</v>
      </c>
      <c r="D37" s="32" t="s">
        <v>1396</v>
      </c>
      <c r="E37" s="33" t="s">
        <v>941</v>
      </c>
      <c r="F37" s="34" t="s">
        <v>1397</v>
      </c>
      <c r="G37" s="35" t="s">
        <v>589</v>
      </c>
      <c r="H37" s="36" t="s">
        <v>589</v>
      </c>
      <c r="I37" s="36" t="s">
        <v>589</v>
      </c>
      <c r="J37" s="36" t="s">
        <v>589</v>
      </c>
      <c r="K37" s="36" t="s">
        <v>1680</v>
      </c>
      <c r="L37" s="37" t="s">
        <v>1624</v>
      </c>
      <c r="M37" s="38" t="str">
        <f>韻母對照資料表[[#This Row],[十五音]]&amp;LEFT(韻母對照資料表[[#This Row],[舒促聲]],1)</f>
        <v>巾促</v>
      </c>
      <c r="N37" s="39">
        <v>17</v>
      </c>
      <c r="O37" s="40">
        <f>IF(韻母對照資料表[[#This Row],[台語音標]]="", 0, LEN(韻母對照資料表[[#This Row],[台語音標]]))</f>
        <v>2</v>
      </c>
      <c r="P37" s="21"/>
      <c r="Q37" s="29" t="str">
        <v>38</v>
      </c>
      <c r="R37" s="29" t="str">
        <v>答</v>
      </c>
      <c r="S37" s="29" t="str">
        <v>ap̚</v>
      </c>
      <c r="T37" s="29" t="str">
        <v>甘</v>
      </c>
      <c r="U37" s="29" t="str">
        <v>ㄚㆴ</v>
      </c>
      <c r="V37" s="29" t="str">
        <v>ap</v>
      </c>
      <c r="W37" s="29" t="str">
        <v>ap</v>
      </c>
      <c r="X37" s="29" t="str">
        <v>ap</v>
      </c>
      <c r="Y37" s="29" t="str">
        <v>ap</v>
      </c>
      <c r="Z37" s="29" t="str">
        <v>ap</v>
      </c>
      <c r="AA37" s="29" t="str">
        <v>促聲
（入）</v>
      </c>
      <c r="AB37" s="29" t="str">
        <v>甘促</v>
      </c>
      <c r="AC37" s="29" t="str">
        <v>19</v>
      </c>
      <c r="AD37" s="21"/>
      <c r="AE37" s="21"/>
      <c r="AF37" s="21" t="str">
        <f xml:space="preserve"> IF(AND(MOD(B37,2)&lt;&gt;1, G37&lt;&gt;""), "", _xlfn.CONCAT("""", 韻母對照資料表[[#This Row],[十五音]], """", " : [", """", 韻母對照資料表[[#This Row],[台語音標]], """", ", """, G38, """", "],"))</f>
        <v/>
      </c>
      <c r="AG37" s="21"/>
      <c r="AH37" s="21" t="str">
        <v>"薑" : ["ionn", ""],</v>
      </c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</row>
    <row r="38" spans="2:45" ht="54" customHeight="1">
      <c r="B38" s="30">
        <v>35</v>
      </c>
      <c r="C38" s="43" t="s">
        <v>1681</v>
      </c>
      <c r="D38" s="32" t="s">
        <v>1682</v>
      </c>
      <c r="E38" s="33" t="s">
        <v>1253</v>
      </c>
      <c r="F38" s="34" t="s">
        <v>1270</v>
      </c>
      <c r="G38" s="35" t="s">
        <v>1271</v>
      </c>
      <c r="H38" s="36" t="s">
        <v>1271</v>
      </c>
      <c r="I38" s="36" t="s">
        <v>1271</v>
      </c>
      <c r="J38" s="36" t="s">
        <v>1271</v>
      </c>
      <c r="K38" s="36" t="s">
        <v>1683</v>
      </c>
      <c r="L38" s="37" t="s">
        <v>1621</v>
      </c>
      <c r="M38" s="38" t="str">
        <f>韻母對照資料表[[#This Row],[十五音]]&amp;LEFT(韻母對照資料表[[#This Row],[舒促聲]],1)</f>
        <v>姜舒</v>
      </c>
      <c r="N38" s="39">
        <v>18</v>
      </c>
      <c r="O38" s="40">
        <f>IF(韻母對照資料表[[#This Row],[台語音標]]="", 0, LEN(韻母對照資料表[[#This Row],[台語音標]]))</f>
        <v>4</v>
      </c>
      <c r="P38" s="21"/>
      <c r="Q38" s="29" t="str">
        <v>39</v>
      </c>
      <c r="R38" s="29" t="str">
        <v>花</v>
      </c>
      <c r="S38" s="29" t="str">
        <v>ua</v>
      </c>
      <c r="T38" s="29" t="str">
        <v>瓜</v>
      </c>
      <c r="U38" s="29" t="str">
        <v>ㄨㄚ</v>
      </c>
      <c r="V38" s="29" t="str">
        <v>ua</v>
      </c>
      <c r="W38" s="29" t="str">
        <v>ua</v>
      </c>
      <c r="X38" s="29" t="str">
        <v>oa</v>
      </c>
      <c r="Y38" s="29" t="str">
        <v>ua</v>
      </c>
      <c r="Z38" s="29" t="str">
        <v>ua</v>
      </c>
      <c r="AA38" s="29" t="str">
        <v>舒聲
（平/上/去）</v>
      </c>
      <c r="AB38" s="29" t="str">
        <v>瓜舒</v>
      </c>
      <c r="AC38" s="29" t="str">
        <v>20</v>
      </c>
      <c r="AD38" s="21"/>
      <c r="AE38" s="21"/>
      <c r="AF38" s="21" t="str">
        <f xml:space="preserve"> IF(AND(MOD(B38,2)&lt;&gt;1, G38&lt;&gt;""), "", _xlfn.CONCAT("""", 韻母對照資料表[[#This Row],[十五音]], """", " : [", """", 韻母對照資料表[[#This Row],[台語音標]], """", ", """, G39, """", "],"))</f>
        <v>"姜" : ["iang", "iak"],</v>
      </c>
      <c r="AG38" s="21"/>
      <c r="AH38" s="21" t="str">
        <v>"驚" : ["iann", ""],</v>
      </c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</row>
    <row r="39" spans="2:45" ht="54" customHeight="1">
      <c r="B39" s="30">
        <v>36</v>
      </c>
      <c r="C39" s="43" t="s">
        <v>1684</v>
      </c>
      <c r="D39" s="32" t="s">
        <v>1252</v>
      </c>
      <c r="E39" s="33" t="s">
        <v>1253</v>
      </c>
      <c r="F39" s="34" t="s">
        <v>1254</v>
      </c>
      <c r="G39" s="35" t="s">
        <v>1255</v>
      </c>
      <c r="H39" s="36" t="s">
        <v>1255</v>
      </c>
      <c r="I39" s="36" t="s">
        <v>1255</v>
      </c>
      <c r="J39" s="36" t="s">
        <v>1255</v>
      </c>
      <c r="K39" s="36" t="s">
        <v>1685</v>
      </c>
      <c r="L39" s="37" t="s">
        <v>1624</v>
      </c>
      <c r="M39" s="38" t="str">
        <f>韻母對照資料表[[#This Row],[十五音]]&amp;LEFT(韻母對照資料表[[#This Row],[舒促聲]],1)</f>
        <v>姜促</v>
      </c>
      <c r="N39" s="39">
        <v>18</v>
      </c>
      <c r="O39" s="40">
        <f>IF(韻母對照資料表[[#This Row],[台語音標]]="", 0, LEN(韻母對照資料表[[#This Row],[台語音標]]))</f>
        <v>3</v>
      </c>
      <c r="P39" s="21"/>
      <c r="Q39" s="29" t="str">
        <v>40</v>
      </c>
      <c r="R39" s="29" t="str">
        <v>缽</v>
      </c>
      <c r="S39" s="29" t="str">
        <v>ua?</v>
      </c>
      <c r="T39" s="29" t="str">
        <v>瓜</v>
      </c>
      <c r="U39" s="29" t="str">
        <v>ㄨㄚㆷ</v>
      </c>
      <c r="V39" s="29" t="str">
        <v>uah</v>
      </c>
      <c r="W39" s="29" t="str">
        <v>uah</v>
      </c>
      <c r="X39" s="29" t="str">
        <v>oah</v>
      </c>
      <c r="Y39" s="29" t="str">
        <v>uah</v>
      </c>
      <c r="Z39" s="29" t="str">
        <v>uah</v>
      </c>
      <c r="AA39" s="29" t="str">
        <v>促聲
（入）</v>
      </c>
      <c r="AB39" s="29" t="str">
        <v>瓜促</v>
      </c>
      <c r="AC39" s="29" t="str">
        <v>20</v>
      </c>
      <c r="AD39" s="21"/>
      <c r="AE39" s="21"/>
      <c r="AF39" s="21" t="str">
        <f xml:space="preserve"> IF(AND(MOD(B39,2)&lt;&gt;1, G39&lt;&gt;""), "", _xlfn.CONCAT("""", 韻母對照資料表[[#This Row],[十五音]], """", " : [", """", 韻母對照資料表[[#This Row],[台語音標]], """", ", """, G40, """", "],"))</f>
        <v/>
      </c>
      <c r="AG39" s="21"/>
      <c r="AH39" s="21" t="str">
        <v>"官" : ["uann", ""],</v>
      </c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</row>
    <row r="40" spans="2:45" ht="54" customHeight="1">
      <c r="B40" s="30">
        <v>37</v>
      </c>
      <c r="C40" s="31" t="s">
        <v>1136</v>
      </c>
      <c r="D40" s="32" t="s">
        <v>752</v>
      </c>
      <c r="E40" s="33" t="s">
        <v>993</v>
      </c>
      <c r="F40" s="34" t="s">
        <v>1137</v>
      </c>
      <c r="G40" s="35" t="s">
        <v>752</v>
      </c>
      <c r="H40" s="36" t="s">
        <v>752</v>
      </c>
      <c r="I40" s="36" t="s">
        <v>752</v>
      </c>
      <c r="J40" s="36" t="s">
        <v>752</v>
      </c>
      <c r="K40" s="36" t="s">
        <v>1686</v>
      </c>
      <c r="L40" s="37" t="s">
        <v>1621</v>
      </c>
      <c r="M40" s="38" t="str">
        <f>韻母對照資料表[[#This Row],[十五音]]&amp;LEFT(韻母對照資料表[[#This Row],[舒促聲]],1)</f>
        <v>甘舒</v>
      </c>
      <c r="N40" s="39">
        <v>19</v>
      </c>
      <c r="O40" s="40">
        <f>IF(韻母對照資料表[[#This Row],[台語音標]]="", 0, LEN(韻母對照資料表[[#This Row],[台語音標]]))</f>
        <v>2</v>
      </c>
      <c r="P40" s="21"/>
      <c r="Q40" s="29" t="str">
        <v>41</v>
      </c>
      <c r="R40" s="29" t="str">
        <v>邦</v>
      </c>
      <c r="S40" s="29" t="str">
        <v>aŋ</v>
      </c>
      <c r="T40" s="29" t="str">
        <v>江</v>
      </c>
      <c r="U40" s="29" t="str">
        <v>ㄤ</v>
      </c>
      <c r="V40" s="29" t="str">
        <v>ang</v>
      </c>
      <c r="W40" s="29" t="str">
        <v>ang</v>
      </c>
      <c r="X40" s="29" t="str">
        <v>ang</v>
      </c>
      <c r="Y40" s="29" t="str">
        <v>ang</v>
      </c>
      <c r="Z40" s="29" t="str">
        <v>ang</v>
      </c>
      <c r="AA40" s="29" t="str">
        <v>舒聲
（平/上/去）</v>
      </c>
      <c r="AB40" s="29" t="str">
        <v>江舒</v>
      </c>
      <c r="AC40" s="29" t="str">
        <v>21</v>
      </c>
      <c r="AD40" s="21"/>
      <c r="AE40" s="21"/>
      <c r="AF40" s="21" t="str">
        <f xml:space="preserve"> IF(AND(MOD(B40,2)&lt;&gt;1, G40&lt;&gt;""), "", _xlfn.CONCAT("""", 韻母對照資料表[[#This Row],[十五音]], """", " : [", """", 韻母對照資料表[[#This Row],[台語音標]], """", ", """, G41, """", "],"))</f>
        <v>"甘" : ["am", "ap"],</v>
      </c>
      <c r="AG40" s="21"/>
      <c r="AH40" s="21" t="str">
        <v>"鋼" : ["ng", ""],</v>
      </c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</row>
    <row r="41" spans="2:45" ht="54" customHeight="1">
      <c r="B41" s="30">
        <v>38</v>
      </c>
      <c r="C41" s="31" t="s">
        <v>1687</v>
      </c>
      <c r="D41" s="32" t="s">
        <v>1159</v>
      </c>
      <c r="E41" s="33" t="s">
        <v>993</v>
      </c>
      <c r="F41" s="34" t="s">
        <v>1160</v>
      </c>
      <c r="G41" s="35" t="s">
        <v>1161</v>
      </c>
      <c r="H41" s="36" t="s">
        <v>1161</v>
      </c>
      <c r="I41" s="36" t="s">
        <v>1161</v>
      </c>
      <c r="J41" s="36" t="s">
        <v>1161</v>
      </c>
      <c r="K41" s="36" t="s">
        <v>1688</v>
      </c>
      <c r="L41" s="37" t="s">
        <v>1624</v>
      </c>
      <c r="M41" s="38" t="str">
        <f>韻母對照資料表[[#This Row],[十五音]]&amp;LEFT(韻母對照資料表[[#This Row],[舒促聲]],1)</f>
        <v>甘促</v>
      </c>
      <c r="N41" s="39">
        <v>19</v>
      </c>
      <c r="O41" s="40">
        <f>IF(韻母對照資料表[[#This Row],[台語音標]]="", 0, LEN(韻母對照資料表[[#This Row],[台語音標]]))</f>
        <v>2</v>
      </c>
      <c r="P41" s="21"/>
      <c r="Q41" s="29" t="str">
        <v>42</v>
      </c>
      <c r="R41" s="29" t="str">
        <v>角</v>
      </c>
      <c r="S41" s="29" t="str">
        <v>ak̚</v>
      </c>
      <c r="T41" s="29" t="str">
        <v>江</v>
      </c>
      <c r="U41" s="29" t="str">
        <v>ㄚㆻ</v>
      </c>
      <c r="V41" s="29" t="str">
        <v>ak</v>
      </c>
      <c r="W41" s="29" t="str">
        <v>ak</v>
      </c>
      <c r="X41" s="29" t="str">
        <v>ak</v>
      </c>
      <c r="Y41" s="29" t="str">
        <v>ak</v>
      </c>
      <c r="Z41" s="29" t="str">
        <v>ak</v>
      </c>
      <c r="AA41" s="29" t="str">
        <v>促聲
（入）</v>
      </c>
      <c r="AB41" s="29" t="str">
        <v>江促</v>
      </c>
      <c r="AC41" s="29" t="str">
        <v>21</v>
      </c>
      <c r="AD41" s="21"/>
      <c r="AE41" s="21"/>
      <c r="AF41" s="21" t="str">
        <f xml:space="preserve"> IF(AND(MOD(B41,2)&lt;&gt;1, G41&lt;&gt;""), "", _xlfn.CONCAT("""", 韻母對照資料表[[#This Row],[十五音]], """", " : [", """", 韻母對照資料表[[#This Row],[台語音標]], """", ", """, G42, """", "],"))</f>
        <v/>
      </c>
      <c r="AG41" s="21"/>
      <c r="AH41" s="21" t="str">
        <v>"伽" : ["e", "eh"],</v>
      </c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</row>
    <row r="42" spans="2:45" ht="54" customHeight="1">
      <c r="B42" s="30">
        <v>39</v>
      </c>
      <c r="C42" s="47" t="s">
        <v>1490</v>
      </c>
      <c r="D42" s="32" t="s">
        <v>685</v>
      </c>
      <c r="E42" s="33" t="s">
        <v>975</v>
      </c>
      <c r="F42" s="34" t="s">
        <v>1491</v>
      </c>
      <c r="G42" s="35" t="s">
        <v>685</v>
      </c>
      <c r="H42" s="36" t="s">
        <v>685</v>
      </c>
      <c r="I42" s="36" t="s">
        <v>1492</v>
      </c>
      <c r="J42" s="36" t="s">
        <v>685</v>
      </c>
      <c r="K42" s="36" t="s">
        <v>1689</v>
      </c>
      <c r="L42" s="37" t="s">
        <v>1621</v>
      </c>
      <c r="M42" s="38" t="str">
        <f>韻母對照資料表[[#This Row],[十五音]]&amp;LEFT(韻母對照資料表[[#This Row],[舒促聲]],1)</f>
        <v>瓜舒</v>
      </c>
      <c r="N42" s="39">
        <v>20</v>
      </c>
      <c r="O42" s="40">
        <f>IF(韻母對照資料表[[#This Row],[台語音標]]="", 0, LEN(韻母對照資料表[[#This Row],[台語音標]]))</f>
        <v>2</v>
      </c>
      <c r="P42" s="21"/>
      <c r="Q42" s="29" t="str">
        <v>43</v>
      </c>
      <c r="R42" s="29" t="str">
        <v>尖</v>
      </c>
      <c r="S42" s="29" t="str">
        <v>iam</v>
      </c>
      <c r="T42" s="29" t="str">
        <v>兼</v>
      </c>
      <c r="U42" s="29" t="str">
        <v>ㄧㆰ</v>
      </c>
      <c r="V42" s="29" t="str">
        <v>iam</v>
      </c>
      <c r="W42" s="29" t="str">
        <v>iam</v>
      </c>
      <c r="X42" s="29" t="str">
        <v>iam</v>
      </c>
      <c r="Y42" s="29" t="str">
        <v>iam</v>
      </c>
      <c r="Z42" s="29" t="str">
        <v>iam</v>
      </c>
      <c r="AA42" s="29" t="str">
        <v>舒聲
（平/上/去）</v>
      </c>
      <c r="AB42" s="29" t="str">
        <v>兼舒</v>
      </c>
      <c r="AC42" s="29" t="str">
        <v>22</v>
      </c>
      <c r="AD42" s="21"/>
      <c r="AE42" s="21"/>
      <c r="AF42" s="21" t="str">
        <f xml:space="preserve"> IF(AND(MOD(B42,2)&lt;&gt;1, G42&lt;&gt;""), "", _xlfn.CONCAT("""", 韻母對照資料表[[#This Row],[十五音]], """", " : [", """", 韻母對照資料表[[#This Row],[台語音標]], """", ", """, G43, """", "],"))</f>
        <v>"瓜" : ["ua", "uah"],</v>
      </c>
      <c r="AG42" s="21"/>
      <c r="AH42" s="21" t="str">
        <v>"閒" : ["ainn", ""],</v>
      </c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</row>
    <row r="43" spans="2:45" ht="54" customHeight="1">
      <c r="B43" s="30">
        <v>40</v>
      </c>
      <c r="C43" s="31" t="s">
        <v>1690</v>
      </c>
      <c r="D43" s="32" t="s">
        <v>1496</v>
      </c>
      <c r="E43" s="33" t="s">
        <v>975</v>
      </c>
      <c r="F43" s="34" t="s">
        <v>1497</v>
      </c>
      <c r="G43" s="35" t="s">
        <v>1498</v>
      </c>
      <c r="H43" s="36" t="s">
        <v>1498</v>
      </c>
      <c r="I43" s="36" t="s">
        <v>1499</v>
      </c>
      <c r="J43" s="36" t="s">
        <v>1498</v>
      </c>
      <c r="K43" s="36" t="s">
        <v>1691</v>
      </c>
      <c r="L43" s="37" t="s">
        <v>1624</v>
      </c>
      <c r="M43" s="38" t="str">
        <f>韻母對照資料表[[#This Row],[十五音]]&amp;LEFT(韻母對照資料表[[#This Row],[舒促聲]],1)</f>
        <v>瓜促</v>
      </c>
      <c r="N43" s="39">
        <v>20</v>
      </c>
      <c r="O43" s="40">
        <f>IF(韻母對照資料表[[#This Row],[台語音標]]="", 0, LEN(韻母對照資料表[[#This Row],[台語音標]]))</f>
        <v>3</v>
      </c>
      <c r="P43" s="21"/>
      <c r="Q43" s="29" t="str">
        <v>44</v>
      </c>
      <c r="R43" s="29" t="str">
        <v>接</v>
      </c>
      <c r="S43" s="29" t="str">
        <v>iap̚</v>
      </c>
      <c r="T43" s="29" t="str">
        <v>兼</v>
      </c>
      <c r="U43" s="29" t="str">
        <v>ㄧㄚㆴ</v>
      </c>
      <c r="V43" s="29" t="str">
        <v>iap</v>
      </c>
      <c r="W43" s="29" t="str">
        <v>iap</v>
      </c>
      <c r="X43" s="29" t="str">
        <v>iap</v>
      </c>
      <c r="Y43" s="29" t="str">
        <v>iap</v>
      </c>
      <c r="Z43" s="29" t="str">
        <v>iap</v>
      </c>
      <c r="AA43" s="29" t="str">
        <v>促聲
（入）</v>
      </c>
      <c r="AB43" s="29" t="str">
        <v>兼促</v>
      </c>
      <c r="AC43" s="29" t="str">
        <v>22</v>
      </c>
      <c r="AD43" s="21"/>
      <c r="AE43" s="21"/>
      <c r="AF43" s="21" t="str">
        <f xml:space="preserve"> IF(AND(MOD(B43,2)&lt;&gt;1, G43&lt;&gt;""), "", _xlfn.CONCAT("""", 韻母對照資料表[[#This Row],[十五音]], """", " : [", """", 韻母對照資料表[[#This Row],[台語音標]], """", ", """, G44, """", "],"))</f>
        <v/>
      </c>
      <c r="AG43" s="21"/>
      <c r="AH43" s="21" t="str">
        <v>"姑" : ["oonn", ""],</v>
      </c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 spans="2:45" ht="54" customHeight="1">
      <c r="B44" s="30">
        <v>41</v>
      </c>
      <c r="C44" s="31" t="s">
        <v>1692</v>
      </c>
      <c r="D44" s="32" t="s">
        <v>1693</v>
      </c>
      <c r="E44" s="33" t="s">
        <v>118</v>
      </c>
      <c r="F44" s="34" t="s">
        <v>1147</v>
      </c>
      <c r="G44" s="35" t="s">
        <v>655</v>
      </c>
      <c r="H44" s="36" t="s">
        <v>655</v>
      </c>
      <c r="I44" s="36" t="s">
        <v>655</v>
      </c>
      <c r="J44" s="36" t="s">
        <v>655</v>
      </c>
      <c r="K44" s="36" t="s">
        <v>1694</v>
      </c>
      <c r="L44" s="37" t="s">
        <v>1621</v>
      </c>
      <c r="M44" s="38" t="str">
        <f>韻母對照資料表[[#This Row],[十五音]]&amp;LEFT(韻母對照資料表[[#This Row],[舒促聲]],1)</f>
        <v>江舒</v>
      </c>
      <c r="N44" s="39">
        <v>21</v>
      </c>
      <c r="O44" s="40">
        <f>IF(韻母對照資料表[[#This Row],[台語音標]]="", 0, LEN(韻母對照資料表[[#This Row],[台語音標]]))</f>
        <v>3</v>
      </c>
      <c r="P44" s="21"/>
      <c r="Q44" s="29" t="str">
        <v>45</v>
      </c>
      <c r="R44" s="29" t="str">
        <v>鬧</v>
      </c>
      <c r="S44" s="29" t="str">
        <v>au</v>
      </c>
      <c r="T44" s="29" t="str">
        <v>交</v>
      </c>
      <c r="U44" s="29" t="str">
        <v>ㄠ</v>
      </c>
      <c r="V44" s="29" t="str">
        <v>au</v>
      </c>
      <c r="W44" s="29" t="str">
        <v>au</v>
      </c>
      <c r="X44" s="29" t="str">
        <v>au</v>
      </c>
      <c r="Y44" s="29" t="str">
        <v>ao</v>
      </c>
      <c r="Z44" s="29" t="str">
        <v>au</v>
      </c>
      <c r="AA44" s="29" t="str">
        <v>舒聲
（平/上/去）</v>
      </c>
      <c r="AB44" s="29" t="str">
        <v>交舒</v>
      </c>
      <c r="AC44" s="29" t="str">
        <v>23</v>
      </c>
      <c r="AD44" s="21"/>
      <c r="AE44" s="21"/>
      <c r="AF44" s="21" t="str">
        <f xml:space="preserve"> IF(AND(MOD(B44,2)&lt;&gt;1, G44&lt;&gt;""), "", _xlfn.CONCAT("""", 韻母對照資料表[[#This Row],[十五音]], """", " : [", """", 韻母對照資料表[[#This Row],[台語音標]], """", ", """, G45, """", "],"))</f>
        <v>"江" : ["ang", "ak"],</v>
      </c>
      <c r="AG44" s="21"/>
      <c r="AH44" s="21" t="str">
        <v>"姆" : ["m", ""],</v>
      </c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 spans="2:45" ht="54" customHeight="1">
      <c r="B45" s="30">
        <v>42</v>
      </c>
      <c r="C45" s="31" t="s">
        <v>1695</v>
      </c>
      <c r="D45" s="32" t="s">
        <v>1130</v>
      </c>
      <c r="E45" s="33" t="s">
        <v>118</v>
      </c>
      <c r="F45" s="34" t="s">
        <v>1131</v>
      </c>
      <c r="G45" s="35" t="s">
        <v>1132</v>
      </c>
      <c r="H45" s="36" t="s">
        <v>1132</v>
      </c>
      <c r="I45" s="36" t="s">
        <v>1132</v>
      </c>
      <c r="J45" s="36" t="s">
        <v>1132</v>
      </c>
      <c r="K45" s="36" t="s">
        <v>1696</v>
      </c>
      <c r="L45" s="37" t="s">
        <v>1624</v>
      </c>
      <c r="M45" s="38" t="str">
        <f>韻母對照資料表[[#This Row],[十五音]]&amp;LEFT(韻母對照資料表[[#This Row],[舒促聲]],1)</f>
        <v>江促</v>
      </c>
      <c r="N45" s="39">
        <v>21</v>
      </c>
      <c r="O45" s="40">
        <f>IF(韻母對照資料表[[#This Row],[台語音標]]="", 0, LEN(韻母對照資料表[[#This Row],[台語音標]]))</f>
        <v>2</v>
      </c>
      <c r="P45" s="21"/>
      <c r="Q45" s="29" t="str">
        <v>46</v>
      </c>
      <c r="R45" s="29" t="str">
        <v>暴</v>
      </c>
      <c r="S45" s="29" t="str">
        <v>au?</v>
      </c>
      <c r="T45" s="29" t="str">
        <v>交</v>
      </c>
      <c r="U45" s="29" t="str">
        <v>ㄠㆷ</v>
      </c>
      <c r="V45" s="29" t="str">
        <v>auh</v>
      </c>
      <c r="W45" s="29" t="str">
        <v>auh</v>
      </c>
      <c r="X45" s="29" t="str">
        <v>auh</v>
      </c>
      <c r="Y45" s="29" t="str">
        <v>aoh</v>
      </c>
      <c r="Z45" s="29" t="str">
        <v>auh</v>
      </c>
      <c r="AA45" s="29" t="str">
        <v>促聲
（入）</v>
      </c>
      <c r="AB45" s="29" t="str">
        <v>交促</v>
      </c>
      <c r="AC45" s="29" t="str">
        <v>23</v>
      </c>
      <c r="AD45" s="21"/>
      <c r="AE45" s="21"/>
      <c r="AF45" s="21" t="str">
        <f xml:space="preserve"> IF(AND(MOD(B45,2)&lt;&gt;1, G45&lt;&gt;""), "", _xlfn.CONCAT("""", 韻母對照資料表[[#This Row],[十五音]], """", " : [", """", 韻母對照資料表[[#This Row],[台語音標]], """", ", """, G46, """", "],"))</f>
        <v/>
      </c>
      <c r="AG45" s="21"/>
      <c r="AH45" s="21" t="str">
        <v>"光" : ["uang", "uak"],</v>
      </c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 spans="2:45" ht="54" customHeight="1">
      <c r="B46" s="30">
        <v>43</v>
      </c>
      <c r="C46" s="31" t="s">
        <v>1697</v>
      </c>
      <c r="D46" s="32" t="s">
        <v>735</v>
      </c>
      <c r="E46" s="33" t="s">
        <v>965</v>
      </c>
      <c r="F46" s="34" t="s">
        <v>1260</v>
      </c>
      <c r="G46" s="35" t="s">
        <v>735</v>
      </c>
      <c r="H46" s="36" t="s">
        <v>735</v>
      </c>
      <c r="I46" s="36" t="s">
        <v>735</v>
      </c>
      <c r="J46" s="36" t="s">
        <v>735</v>
      </c>
      <c r="K46" s="36" t="s">
        <v>1698</v>
      </c>
      <c r="L46" s="37" t="s">
        <v>1621</v>
      </c>
      <c r="M46" s="38" t="str">
        <f>韻母對照資料表[[#This Row],[十五音]]&amp;LEFT(韻母對照資料表[[#This Row],[舒促聲]],1)</f>
        <v>兼舒</v>
      </c>
      <c r="N46" s="39">
        <v>22</v>
      </c>
      <c r="O46" s="40">
        <f>IF(韻母對照資料表[[#This Row],[台語音標]]="", 0, LEN(韻母對照資料表[[#This Row],[台語音標]]))</f>
        <v>3</v>
      </c>
      <c r="P46" s="21"/>
      <c r="Q46" s="29" t="str">
        <v>47</v>
      </c>
      <c r="R46" s="29" t="str">
        <v>名</v>
      </c>
      <c r="S46" s="29" t="str">
        <v>ia</v>
      </c>
      <c r="T46" s="29" t="str">
        <v>迦</v>
      </c>
      <c r="U46" s="29" t="str">
        <v>ㄧㄚ</v>
      </c>
      <c r="V46" s="29" t="str">
        <v>ia</v>
      </c>
      <c r="W46" s="29" t="str">
        <v>ia</v>
      </c>
      <c r="X46" s="29" t="str">
        <v>ia</v>
      </c>
      <c r="Y46" s="29" t="str">
        <v>ia</v>
      </c>
      <c r="Z46" s="29" t="str">
        <v>ia</v>
      </c>
      <c r="AA46" s="29" t="str">
        <v>舒聲
（平/上/去）</v>
      </c>
      <c r="AB46" s="29" t="str">
        <v>迦舒</v>
      </c>
      <c r="AC46" s="29" t="str">
        <v>24</v>
      </c>
      <c r="AD46" s="21"/>
      <c r="AE46" s="21"/>
      <c r="AF46" s="21" t="str">
        <f xml:space="preserve"> IF(AND(MOD(B46,2)&lt;&gt;1, G46&lt;&gt;""), "", _xlfn.CONCAT("""", 韻母對照資料表[[#This Row],[十五音]], """", " : [", """", 韻母對照資料表[[#This Row],[台語音標]], """", ", """, G47, """", "],"))</f>
        <v>"兼" : ["iam", "iap"],</v>
      </c>
      <c r="AG46" s="21"/>
      <c r="AH46" s="21" t="str">
        <v>"閂" : ["uainn", "uaihnn"],</v>
      </c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 spans="2:45" ht="54" customHeight="1">
      <c r="B47" s="30">
        <v>44</v>
      </c>
      <c r="C47" s="31" t="s">
        <v>1699</v>
      </c>
      <c r="D47" s="32" t="s">
        <v>1281</v>
      </c>
      <c r="E47" s="33" t="s">
        <v>965</v>
      </c>
      <c r="F47" s="34" t="s">
        <v>1282</v>
      </c>
      <c r="G47" s="35" t="s">
        <v>658</v>
      </c>
      <c r="H47" s="36" t="s">
        <v>658</v>
      </c>
      <c r="I47" s="36" t="s">
        <v>658</v>
      </c>
      <c r="J47" s="36" t="s">
        <v>658</v>
      </c>
      <c r="K47" s="36" t="s">
        <v>1700</v>
      </c>
      <c r="L47" s="37" t="s">
        <v>1624</v>
      </c>
      <c r="M47" s="38" t="str">
        <f>韻母對照資料表[[#This Row],[十五音]]&amp;LEFT(韻母對照資料表[[#This Row],[舒促聲]],1)</f>
        <v>兼促</v>
      </c>
      <c r="N47" s="39">
        <v>22</v>
      </c>
      <c r="O47" s="40">
        <f>IF(韻母對照資料表[[#This Row],[台語音標]]="", 0, LEN(韻母對照資料表[[#This Row],[台語音標]]))</f>
        <v>3</v>
      </c>
      <c r="P47" s="21"/>
      <c r="Q47" s="29" t="str">
        <v>48</v>
      </c>
      <c r="R47" s="29" t="str">
        <v>壁</v>
      </c>
      <c r="S47" s="29" t="str">
        <v>ia?</v>
      </c>
      <c r="T47" s="29" t="str">
        <v>迦</v>
      </c>
      <c r="U47" s="29" t="str">
        <v>ㄧㄚㆷ</v>
      </c>
      <c r="V47" s="29" t="str">
        <v>iah</v>
      </c>
      <c r="W47" s="29" t="str">
        <v>iah</v>
      </c>
      <c r="X47" s="29" t="str">
        <v>iah</v>
      </c>
      <c r="Y47" s="29" t="str">
        <v>iah</v>
      </c>
      <c r="Z47" s="29" t="str">
        <v>iah</v>
      </c>
      <c r="AA47" s="29" t="str">
        <v>促聲
（入）</v>
      </c>
      <c r="AB47" s="29" t="str">
        <v>迦促</v>
      </c>
      <c r="AC47" s="29" t="str">
        <v>24</v>
      </c>
      <c r="AD47" s="21"/>
      <c r="AE47" s="21"/>
      <c r="AF47" s="21" t="str">
        <f xml:space="preserve"> IF(AND(MOD(B47,2)&lt;&gt;1, G47&lt;&gt;""), "", _xlfn.CONCAT("""", 韻母對照資料表[[#This Row],[十五音]], """", " : [", """", 韻母對照資料表[[#This Row],[台語音標]], """", ", """, G48, """", "],"))</f>
        <v/>
      </c>
      <c r="AG47" s="21"/>
      <c r="AH47" s="21" t="str">
        <v>"糜" : ["uenn", ""],</v>
      </c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 spans="2:45" ht="54" customHeight="1">
      <c r="B48" s="30">
        <v>45</v>
      </c>
      <c r="C48" s="31" t="s">
        <v>1170</v>
      </c>
      <c r="D48" s="32" t="s">
        <v>697</v>
      </c>
      <c r="E48" s="33" t="s">
        <v>978</v>
      </c>
      <c r="F48" s="34" t="s">
        <v>1171</v>
      </c>
      <c r="G48" s="35" t="s">
        <v>697</v>
      </c>
      <c r="H48" s="36" t="s">
        <v>697</v>
      </c>
      <c r="I48" s="36" t="s">
        <v>697</v>
      </c>
      <c r="J48" s="36" t="s">
        <v>1172</v>
      </c>
      <c r="K48" s="36" t="s">
        <v>1701</v>
      </c>
      <c r="L48" s="37" t="s">
        <v>1621</v>
      </c>
      <c r="M48" s="38" t="str">
        <f>韻母對照資料表[[#This Row],[十五音]]&amp;LEFT(韻母對照資料表[[#This Row],[舒促聲]],1)</f>
        <v>交舒</v>
      </c>
      <c r="N48" s="39">
        <v>23</v>
      </c>
      <c r="O48" s="40">
        <f>IF(韻母對照資料表[[#This Row],[台語音標]]="", 0, LEN(韻母對照資料表[[#This Row],[台語音標]]))</f>
        <v>2</v>
      </c>
      <c r="P48" s="21"/>
      <c r="Q48" s="29" t="str">
        <v>49</v>
      </c>
      <c r="R48" s="29" t="str">
        <v>話</v>
      </c>
      <c r="S48" s="29" t="str">
        <v>uei</v>
      </c>
      <c r="T48" s="29" t="str">
        <v>檜</v>
      </c>
      <c r="U48" s="29" t="str">
        <v>ㄨㆤ</v>
      </c>
      <c r="V48" s="29" t="str">
        <v>ue</v>
      </c>
      <c r="W48" s="29" t="str">
        <v>ue</v>
      </c>
      <c r="X48" s="29" t="str">
        <v>oe</v>
      </c>
      <c r="Y48" s="29" t="str">
        <v>ue</v>
      </c>
      <c r="Z48" s="29" t="str">
        <v>ue</v>
      </c>
      <c r="AA48" s="29" t="str">
        <v>舒聲
（平/上/去）</v>
      </c>
      <c r="AB48" s="29" t="str">
        <v>檜舒</v>
      </c>
      <c r="AC48" s="29" t="str">
        <v>25</v>
      </c>
      <c r="AD48" s="21"/>
      <c r="AE48" s="21"/>
      <c r="AF48" s="21" t="str">
        <f xml:space="preserve"> IF(AND(MOD(B48,2)&lt;&gt;1, G48&lt;&gt;""), "", _xlfn.CONCAT("""", 韻母對照資料表[[#This Row],[十五音]], """", " : [", """", 韻母對照資料表[[#This Row],[台語音標]], """", ", """, G49, """", "],"))</f>
        <v>"交" : ["au", "auh"],</v>
      </c>
      <c r="AG48" s="21"/>
      <c r="AH48" s="21" t="str">
        <v>"嘄" : ["iaunn", "iauhnn"],</v>
      </c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 spans="2:45" ht="54" customHeight="1">
      <c r="B49" s="30">
        <v>46</v>
      </c>
      <c r="C49" s="51" t="s">
        <v>1702</v>
      </c>
      <c r="D49" s="32" t="s">
        <v>1177</v>
      </c>
      <c r="E49" s="33" t="s">
        <v>978</v>
      </c>
      <c r="F49" s="34" t="s">
        <v>1178</v>
      </c>
      <c r="G49" s="35" t="s">
        <v>1179</v>
      </c>
      <c r="H49" s="36" t="s">
        <v>1179</v>
      </c>
      <c r="I49" s="36" t="s">
        <v>1179</v>
      </c>
      <c r="J49" s="36" t="s">
        <v>1180</v>
      </c>
      <c r="K49" s="36" t="s">
        <v>1703</v>
      </c>
      <c r="L49" s="37" t="s">
        <v>1624</v>
      </c>
      <c r="M49" s="38" t="str">
        <f>韻母對照資料表[[#This Row],[十五音]]&amp;LEFT(韻母對照資料表[[#This Row],[舒促聲]],1)</f>
        <v>交促</v>
      </c>
      <c r="N49" s="39">
        <v>23</v>
      </c>
      <c r="O49" s="40">
        <f>IF(韻母對照資料表[[#This Row],[台語音標]]="", 0, LEN(韻母對照資料表[[#This Row],[台語音標]]))</f>
        <v>3</v>
      </c>
      <c r="P49" s="21"/>
      <c r="Q49" s="29" t="str">
        <v>50</v>
      </c>
      <c r="R49" s="29" t="str">
        <v>拔</v>
      </c>
      <c r="S49" s="29" t="str">
        <v>uei?</v>
      </c>
      <c r="T49" s="29" t="str">
        <v>檜</v>
      </c>
      <c r="U49" s="29" t="str">
        <v>ㄨㆤㆷ</v>
      </c>
      <c r="V49" s="29" t="str">
        <v>ueh</v>
      </c>
      <c r="W49" s="29" t="str">
        <v>ueh</v>
      </c>
      <c r="X49" s="29" t="str">
        <v>oeh</v>
      </c>
      <c r="Y49" s="29" t="str">
        <v>ueh</v>
      </c>
      <c r="Z49" s="29" t="str">
        <v>ueh</v>
      </c>
      <c r="AA49" s="29" t="str">
        <v>促聲
（入）</v>
      </c>
      <c r="AB49" s="29" t="str">
        <v>檜促</v>
      </c>
      <c r="AC49" s="29" t="str">
        <v>25</v>
      </c>
      <c r="AD49" s="21"/>
      <c r="AE49" s="21"/>
      <c r="AF49" s="21" t="str">
        <f xml:space="preserve"> IF(AND(MOD(B49,2)&lt;&gt;1, G49&lt;&gt;""), "", _xlfn.CONCAT("""", 韻母對照資料表[[#This Row],[十五音]], """", " : [", """", 韻母對照資料表[[#This Row],[台語音標]], """", ", """, G50, """", "],"))</f>
        <v/>
      </c>
      <c r="AG49" s="21"/>
      <c r="AH49" s="21" t="str">
        <v>"箴" : ["om", "op"],</v>
      </c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 spans="2:45" ht="54" customHeight="1">
      <c r="B50" s="30">
        <v>47</v>
      </c>
      <c r="C50" s="31" t="s">
        <v>1704</v>
      </c>
      <c r="D50" s="32" t="s">
        <v>719</v>
      </c>
      <c r="E50" s="33" t="s">
        <v>984</v>
      </c>
      <c r="F50" s="34" t="s">
        <v>1243</v>
      </c>
      <c r="G50" s="35" t="s">
        <v>719</v>
      </c>
      <c r="H50" s="36" t="s">
        <v>719</v>
      </c>
      <c r="I50" s="36" t="s">
        <v>719</v>
      </c>
      <c r="J50" s="36" t="s">
        <v>719</v>
      </c>
      <c r="K50" s="36" t="s">
        <v>1705</v>
      </c>
      <c r="L50" s="37" t="s">
        <v>1621</v>
      </c>
      <c r="M50" s="38" t="str">
        <f>韻母對照資料表[[#This Row],[十五音]]&amp;LEFT(韻母對照資料表[[#This Row],[舒促聲]],1)</f>
        <v>迦舒</v>
      </c>
      <c r="N50" s="39">
        <v>24</v>
      </c>
      <c r="O50" s="40">
        <f>IF(韻母對照資料表[[#This Row],[台語音標]]="", 0, LEN(韻母對照資料表[[#This Row],[台語音標]]))</f>
        <v>2</v>
      </c>
      <c r="P50" s="21"/>
      <c r="Q50" s="29" t="str">
        <v>51</v>
      </c>
      <c r="R50" s="29" t="str">
        <v>聽</v>
      </c>
      <c r="S50" s="29" t="str">
        <v>ã</v>
      </c>
      <c r="T50" s="29" t="str">
        <v>監</v>
      </c>
      <c r="U50" s="29" t="str">
        <v>ㆩ</v>
      </c>
      <c r="V50" s="29" t="str">
        <v>ann</v>
      </c>
      <c r="W50" s="29" t="str">
        <v>ann</v>
      </c>
      <c r="X50" s="29" t="str">
        <v>aⁿ</v>
      </c>
      <c r="Y50" s="29" t="str">
        <v>na</v>
      </c>
      <c r="Z50" s="29" t="str">
        <v>ann</v>
      </c>
      <c r="AA50" s="29" t="str">
        <v>舒聲
（平/上/去）</v>
      </c>
      <c r="AB50" s="29" t="str">
        <v>監舒</v>
      </c>
      <c r="AC50" s="29" t="str">
        <v>26</v>
      </c>
      <c r="AD50" s="21"/>
      <c r="AE50" s="21"/>
      <c r="AF50" s="21" t="str">
        <f xml:space="preserve"> IF(AND(MOD(B50,2)&lt;&gt;1, G50&lt;&gt;""), "", _xlfn.CONCAT("""", 韻母對照資料表[[#This Row],[十五音]], """", " : [", """", 韻母對照資料表[[#This Row],[台語音標]], """", ", """, G51, """", "],"))</f>
        <v>"迦" : ["ia", "iah"],</v>
      </c>
      <c r="AG50" s="21"/>
      <c r="AH50" s="21" t="str">
        <v>"爻" : ["aunn", ""],</v>
      </c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 spans="2:45" ht="54" customHeight="1">
      <c r="B51" s="30">
        <v>48</v>
      </c>
      <c r="C51" s="31" t="s">
        <v>1706</v>
      </c>
      <c r="D51" s="32" t="s">
        <v>1246</v>
      </c>
      <c r="E51" s="33" t="s">
        <v>984</v>
      </c>
      <c r="F51" s="34" t="s">
        <v>1247</v>
      </c>
      <c r="G51" s="35" t="s">
        <v>1248</v>
      </c>
      <c r="H51" s="36" t="s">
        <v>1248</v>
      </c>
      <c r="I51" s="36" t="s">
        <v>1248</v>
      </c>
      <c r="J51" s="36" t="s">
        <v>1248</v>
      </c>
      <c r="K51" s="36" t="s">
        <v>1707</v>
      </c>
      <c r="L51" s="37" t="s">
        <v>1624</v>
      </c>
      <c r="M51" s="38" t="str">
        <f>韻母對照資料表[[#This Row],[十五音]]&amp;LEFT(韻母對照資料表[[#This Row],[舒促聲]],1)</f>
        <v>迦促</v>
      </c>
      <c r="N51" s="39">
        <v>24</v>
      </c>
      <c r="O51" s="40">
        <f>IF(韻母對照資料表[[#This Row],[台語音標]]="", 0, LEN(韻母對照資料表[[#This Row],[台語音標]]))</f>
        <v>3</v>
      </c>
      <c r="P51" s="21"/>
      <c r="Q51" s="29" t="str">
        <v>52</v>
      </c>
      <c r="R51" s="29" t="str">
        <v>含</v>
      </c>
      <c r="S51" s="29" t="str">
        <v>ã?</v>
      </c>
      <c r="T51" s="29" t="str">
        <v>監</v>
      </c>
      <c r="U51" s="29" t="str">
        <v>ㆩㆷ</v>
      </c>
      <c r="V51" s="29" t="str">
        <v>ahnn</v>
      </c>
      <c r="W51" s="29" t="str">
        <v>annh</v>
      </c>
      <c r="X51" s="29" t="str">
        <v>aⁿh</v>
      </c>
      <c r="Y51" s="29" t="str">
        <v>nah</v>
      </c>
      <c r="Z51" s="29" t="str">
        <v>annh</v>
      </c>
      <c r="AA51" s="29" t="str">
        <v>促聲
（入）</v>
      </c>
      <c r="AB51" s="29" t="str">
        <v>監促</v>
      </c>
      <c r="AC51" s="29" t="str">
        <v>26</v>
      </c>
      <c r="AD51" s="21"/>
      <c r="AE51" s="21"/>
      <c r="AF51" s="21" t="str">
        <f xml:space="preserve"> IF(AND(MOD(B51,2)&lt;&gt;1, G51&lt;&gt;""), "", _xlfn.CONCAT("""", 韻母對照資料表[[#This Row],[十五音]], """", " : [", """", 韻母對照資料表[[#This Row],[台語音標]], """", ", """, G52, """", "],"))</f>
        <v/>
      </c>
      <c r="AG51" s="21"/>
      <c r="AH51" s="21" t="str">
        <v>"扛" : ["onn", "ohnn"],</v>
      </c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 spans="2:45" ht="54" customHeight="1">
      <c r="B52" s="30">
        <v>49</v>
      </c>
      <c r="C52" s="31" t="s">
        <v>1708</v>
      </c>
      <c r="D52" s="32" t="s">
        <v>1709</v>
      </c>
      <c r="E52" s="33" t="s">
        <v>963</v>
      </c>
      <c r="F52" s="34" t="s">
        <v>1563</v>
      </c>
      <c r="G52" s="35" t="s">
        <v>646</v>
      </c>
      <c r="H52" s="36" t="s">
        <v>646</v>
      </c>
      <c r="I52" s="36" t="s">
        <v>1564</v>
      </c>
      <c r="J52" s="36" t="s">
        <v>646</v>
      </c>
      <c r="K52" s="36" t="s">
        <v>1710</v>
      </c>
      <c r="L52" s="37" t="s">
        <v>1621</v>
      </c>
      <c r="M52" s="38" t="str">
        <f>韻母對照資料表[[#This Row],[十五音]]&amp;LEFT(韻母對照資料表[[#This Row],[舒促聲]],1)</f>
        <v>檜舒</v>
      </c>
      <c r="N52" s="39">
        <v>25</v>
      </c>
      <c r="O52" s="40">
        <f>IF(韻母對照資料表[[#This Row],[台語音標]]="", 0, LEN(韻母對照資料表[[#This Row],[台語音標]]))</f>
        <v>2</v>
      </c>
      <c r="P52" s="21"/>
      <c r="Q52" s="29" t="str">
        <v>53</v>
      </c>
      <c r="R52" s="29" t="str">
        <v>夫</v>
      </c>
      <c r="S52" s="29" t="str">
        <v>u</v>
      </c>
      <c r="T52" s="29" t="str">
        <v>艍</v>
      </c>
      <c r="U52" s="29" t="str">
        <v>ㄨ</v>
      </c>
      <c r="V52" s="29" t="str">
        <v>u</v>
      </c>
      <c r="W52" s="29" t="str">
        <v>u</v>
      </c>
      <c r="X52" s="29" t="str">
        <v>u</v>
      </c>
      <c r="Y52" s="29" t="str">
        <v>u</v>
      </c>
      <c r="Z52" s="29" t="str">
        <v>u</v>
      </c>
      <c r="AA52" s="29" t="str">
        <v>舒聲
（平/上/去）</v>
      </c>
      <c r="AB52" s="29" t="str">
        <v>艍舒</v>
      </c>
      <c r="AC52" s="29" t="str">
        <v>27</v>
      </c>
      <c r="AD52" s="21"/>
      <c r="AE52" s="21"/>
      <c r="AF52" s="21" t="str">
        <f xml:space="preserve"> IF(AND(MOD(B52,2)&lt;&gt;1, G52&lt;&gt;""), "", _xlfn.CONCAT("""", 韻母對照資料表[[#This Row],[十五音]], """", " : [", """", 韻母對照資料表[[#This Row],[台語音標]], """", ", """, G53, """", "],"))</f>
        <v>"檜" : ["ue", "ueh"],</v>
      </c>
      <c r="AG52" s="21"/>
      <c r="AH52" s="21" t="str">
        <v>"牛" : ["iunn", ""],</v>
      </c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 spans="2:45" ht="54" customHeight="1">
      <c r="B53" s="30">
        <v>50</v>
      </c>
      <c r="C53" s="43" t="s">
        <v>1711</v>
      </c>
      <c r="D53" s="32" t="s">
        <v>1712</v>
      </c>
      <c r="E53" s="33" t="s">
        <v>963</v>
      </c>
      <c r="F53" s="34" t="s">
        <v>1568</v>
      </c>
      <c r="G53" s="35" t="s">
        <v>1569</v>
      </c>
      <c r="H53" s="36" t="s">
        <v>1569</v>
      </c>
      <c r="I53" s="36" t="s">
        <v>1570</v>
      </c>
      <c r="J53" s="36" t="s">
        <v>1569</v>
      </c>
      <c r="K53" s="36" t="s">
        <v>1713</v>
      </c>
      <c r="L53" s="37" t="s">
        <v>1624</v>
      </c>
      <c r="M53" s="38" t="str">
        <f>韻母對照資料表[[#This Row],[十五音]]&amp;LEFT(韻母對照資料表[[#This Row],[舒促聲]],1)</f>
        <v>檜促</v>
      </c>
      <c r="N53" s="39">
        <v>25</v>
      </c>
      <c r="O53" s="40">
        <f>IF(韻母對照資料表[[#This Row],[台語音標]]="", 0, LEN(韻母對照資料表[[#This Row],[台語音標]]))</f>
        <v>3</v>
      </c>
      <c r="P53" s="21"/>
      <c r="Q53" s="29" t="str">
        <v>54</v>
      </c>
      <c r="R53" s="29" t="str">
        <v>勃</v>
      </c>
      <c r="S53" s="29" t="str">
        <v>u?</v>
      </c>
      <c r="T53" s="29" t="str">
        <v>艍</v>
      </c>
      <c r="U53" s="29" t="str">
        <v>ㄨㆷ</v>
      </c>
      <c r="V53" s="29" t="str">
        <v>uh</v>
      </c>
      <c r="W53" s="29" t="str">
        <v>uh</v>
      </c>
      <c r="X53" s="29" t="str">
        <v>uh</v>
      </c>
      <c r="Y53" s="29" t="str">
        <v>uh</v>
      </c>
      <c r="Z53" s="29" t="str">
        <v>uh</v>
      </c>
      <c r="AA53" s="29" t="str">
        <v>促聲
（入）</v>
      </c>
      <c r="AB53" s="29" t="str">
        <v>艍促</v>
      </c>
      <c r="AC53" s="29" t="str">
        <v>27</v>
      </c>
      <c r="AD53" s="21"/>
      <c r="AE53" s="21"/>
      <c r="AF53" s="21" t="str">
        <f xml:space="preserve"> IF(AND(MOD(B53,2)&lt;&gt;1, G53&lt;&gt;""), "", _xlfn.CONCAT("""", 韻母對照資料表[[#This Row],[十五音]], """", " : [", """", 韻母對照資料表[[#This Row],[台語音標]], """", ", """, G54, """", "],"))</f>
        <v/>
      </c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 spans="2:45" ht="54" customHeight="1">
      <c r="B54" s="30">
        <v>51</v>
      </c>
      <c r="C54" s="43" t="s">
        <v>1714</v>
      </c>
      <c r="D54" s="32" t="s">
        <v>1151</v>
      </c>
      <c r="E54" s="33" t="s">
        <v>1105</v>
      </c>
      <c r="F54" s="34" t="s">
        <v>1152</v>
      </c>
      <c r="G54" s="35" t="s">
        <v>1153</v>
      </c>
      <c r="H54" s="36" t="s">
        <v>1153</v>
      </c>
      <c r="I54" s="36" t="s">
        <v>1715</v>
      </c>
      <c r="J54" s="36" t="s">
        <v>1155</v>
      </c>
      <c r="K54" s="36" t="s">
        <v>1716</v>
      </c>
      <c r="L54" s="37" t="s">
        <v>1621</v>
      </c>
      <c r="M54" s="38" t="str">
        <f>韻母對照資料表[[#This Row],[十五音]]&amp;LEFT(韻母對照資料表[[#This Row],[舒促聲]],1)</f>
        <v>監舒</v>
      </c>
      <c r="N54" s="39">
        <v>26</v>
      </c>
      <c r="O54" s="40">
        <f>IF(韻母對照資料表[[#This Row],[台語音標]]="", 0, LEN(韻母對照資料表[[#This Row],[台語音標]]))</f>
        <v>3</v>
      </c>
      <c r="P54" s="21"/>
      <c r="Q54" s="29" t="str">
        <v>55</v>
      </c>
      <c r="R54" s="29" t="str">
        <v>些</v>
      </c>
      <c r="S54" s="29" t="str">
        <v>a</v>
      </c>
      <c r="T54" s="29" t="str">
        <v>膠</v>
      </c>
      <c r="U54" s="29" t="str">
        <v>ㄚ</v>
      </c>
      <c r="V54" s="29" t="str">
        <v>a</v>
      </c>
      <c r="W54" s="29" t="str">
        <v>a</v>
      </c>
      <c r="X54" s="29" t="str">
        <v>a</v>
      </c>
      <c r="Y54" s="29" t="str">
        <v>a</v>
      </c>
      <c r="Z54" s="29" t="str">
        <v>a</v>
      </c>
      <c r="AA54" s="29" t="str">
        <v>舒聲
（平/上/去）</v>
      </c>
      <c r="AB54" s="29" t="str">
        <v>膠舒</v>
      </c>
      <c r="AC54" s="29" t="str">
        <v>28</v>
      </c>
      <c r="AD54" s="21"/>
      <c r="AE54" s="21"/>
      <c r="AF54" s="21" t="str">
        <f xml:space="preserve"> IF(AND(MOD(B54,2)&lt;&gt;1, G54&lt;&gt;""), "", _xlfn.CONCAT("""", 韻母對照資料表[[#This Row],[十五音]], """", " : [", """", 韻母對照資料表[[#This Row],[台語音標]], """", ", """, G55, """", "],"))</f>
        <v>"監" : ["ann", "ahnn"],</v>
      </c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 spans="2:45" ht="54" customHeight="1">
      <c r="B55" s="30">
        <v>52</v>
      </c>
      <c r="C55" s="52" t="s">
        <v>1717</v>
      </c>
      <c r="D55" s="32" t="s">
        <v>1104</v>
      </c>
      <c r="E55" s="33" t="s">
        <v>1105</v>
      </c>
      <c r="F55" s="34" t="s">
        <v>1106</v>
      </c>
      <c r="G55" s="35" t="s">
        <v>1107</v>
      </c>
      <c r="H55" s="36" t="s">
        <v>1108</v>
      </c>
      <c r="I55" s="36" t="s">
        <v>1718</v>
      </c>
      <c r="J55" s="36" t="s">
        <v>1110</v>
      </c>
      <c r="K55" s="36" t="s">
        <v>1719</v>
      </c>
      <c r="L55" s="37" t="s">
        <v>1624</v>
      </c>
      <c r="M55" s="38" t="str">
        <f>韻母對照資料表[[#This Row],[十五音]]&amp;LEFT(韻母對照資料表[[#This Row],[舒促聲]],1)</f>
        <v>監促</v>
      </c>
      <c r="N55" s="39">
        <v>26</v>
      </c>
      <c r="O55" s="40">
        <f>IF(韻母對照資料表[[#This Row],[台語音標]]="", 0, LEN(韻母對照資料表[[#This Row],[台語音標]]))</f>
        <v>4</v>
      </c>
      <c r="P55" s="21"/>
      <c r="Q55" s="29" t="str">
        <v>56</v>
      </c>
      <c r="R55" s="29" t="str">
        <v>百</v>
      </c>
      <c r="S55" s="29" t="str">
        <v>a?</v>
      </c>
      <c r="T55" s="29" t="str">
        <v>膠</v>
      </c>
      <c r="U55" s="29" t="str">
        <v>ㄚㆷ</v>
      </c>
      <c r="V55" s="29" t="str">
        <v>ah</v>
      </c>
      <c r="W55" s="29" t="str">
        <v>ah</v>
      </c>
      <c r="X55" s="29" t="str">
        <v>ah</v>
      </c>
      <c r="Y55" s="29" t="str">
        <v>ah</v>
      </c>
      <c r="Z55" s="29" t="str">
        <v>ah</v>
      </c>
      <c r="AA55" s="29" t="str">
        <v>促聲
（入）</v>
      </c>
      <c r="AB55" s="29" t="str">
        <v>膠促</v>
      </c>
      <c r="AC55" s="29" t="str">
        <v>28</v>
      </c>
      <c r="AD55" s="21"/>
      <c r="AE55" s="21"/>
      <c r="AF55" s="21" t="str">
        <f xml:space="preserve"> IF(AND(MOD(B55,2)&lt;&gt;1, G55&lt;&gt;""), "", _xlfn.CONCAT("""", 韻母對照資料表[[#This Row],[十五音]], """", " : [", """", 韻母對照資料表[[#This Row],[台語音標]], """", ", """, G56, """", "],"))</f>
        <v/>
      </c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 spans="2:45" ht="54" customHeight="1">
      <c r="B56" s="30">
        <v>53</v>
      </c>
      <c r="C56" s="31" t="s">
        <v>452</v>
      </c>
      <c r="D56" s="32" t="s">
        <v>570</v>
      </c>
      <c r="E56" s="33" t="s">
        <v>932</v>
      </c>
      <c r="F56" s="34" t="s">
        <v>1488</v>
      </c>
      <c r="G56" s="35" t="s">
        <v>570</v>
      </c>
      <c r="H56" s="36" t="s">
        <v>570</v>
      </c>
      <c r="I56" s="36" t="s">
        <v>570</v>
      </c>
      <c r="J56" s="36" t="s">
        <v>570</v>
      </c>
      <c r="K56" s="36" t="s">
        <v>1720</v>
      </c>
      <c r="L56" s="37" t="s">
        <v>1621</v>
      </c>
      <c r="M56" s="38" t="str">
        <f>韻母對照資料表[[#This Row],[十五音]]&amp;LEFT(韻母對照資料表[[#This Row],[舒促聲]],1)</f>
        <v>艍舒</v>
      </c>
      <c r="N56" s="39">
        <v>27</v>
      </c>
      <c r="O56" s="40">
        <f>IF(韻母對照資料表[[#This Row],[台語音標]]="", 0, LEN(韻母對照資料表[[#This Row],[台語音標]]))</f>
        <v>1</v>
      </c>
      <c r="P56" s="21"/>
      <c r="Q56" s="29" t="str">
        <v>57</v>
      </c>
      <c r="R56" s="29" t="str">
        <v>爾</v>
      </c>
      <c r="S56" s="29" t="str">
        <v>i</v>
      </c>
      <c r="T56" s="29" t="str">
        <v>居</v>
      </c>
      <c r="U56" s="29" t="str">
        <v>ㄧ</v>
      </c>
      <c r="V56" s="29" t="str">
        <v>i</v>
      </c>
      <c r="W56" s="29" t="str">
        <v>i</v>
      </c>
      <c r="X56" s="29" t="str">
        <v>i</v>
      </c>
      <c r="Y56" s="29" t="str">
        <v>i</v>
      </c>
      <c r="Z56" s="29" t="str">
        <v>i</v>
      </c>
      <c r="AA56" s="29" t="str">
        <v>舒聲
（平/上/去）</v>
      </c>
      <c r="AB56" s="29" t="str">
        <v>居舒</v>
      </c>
      <c r="AC56" s="29" t="str">
        <v>29</v>
      </c>
      <c r="AD56" s="21"/>
      <c r="AE56" s="21"/>
      <c r="AF56" s="21" t="str">
        <f xml:space="preserve"> IF(AND(MOD(B56,2)&lt;&gt;1, G56&lt;&gt;""), "", _xlfn.CONCAT("""", 韻母對照資料表[[#This Row],[十五音]], """", " : [", """", 韻母對照資料表[[#This Row],[台語音標]], """", ", """, G57, """", "],"))</f>
        <v>"艍" : ["u", "uh"],</v>
      </c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 spans="2:45" ht="54" customHeight="1">
      <c r="B57" s="30">
        <v>54</v>
      </c>
      <c r="C57" s="47" t="s">
        <v>1721</v>
      </c>
      <c r="D57" s="32" t="s">
        <v>1581</v>
      </c>
      <c r="E57" s="33" t="s">
        <v>932</v>
      </c>
      <c r="F57" s="34" t="s">
        <v>1582</v>
      </c>
      <c r="G57" s="35" t="s">
        <v>1583</v>
      </c>
      <c r="H57" s="36" t="s">
        <v>1583</v>
      </c>
      <c r="I57" s="36" t="s">
        <v>1583</v>
      </c>
      <c r="J57" s="36" t="s">
        <v>1583</v>
      </c>
      <c r="K57" s="36" t="s">
        <v>1722</v>
      </c>
      <c r="L57" s="37" t="s">
        <v>1624</v>
      </c>
      <c r="M57" s="38" t="str">
        <f>韻母對照資料表[[#This Row],[十五音]]&amp;LEFT(韻母對照資料表[[#This Row],[舒促聲]],1)</f>
        <v>艍促</v>
      </c>
      <c r="N57" s="39">
        <v>27</v>
      </c>
      <c r="O57" s="40">
        <f>IF(韻母對照資料表[[#This Row],[台語音標]]="", 0, LEN(韻母對照資料表[[#This Row],[台語音標]]))</f>
        <v>2</v>
      </c>
      <c r="P57" s="21"/>
      <c r="Q57" s="29" t="str">
        <v>58</v>
      </c>
      <c r="R57" s="29" t="str">
        <v>逼</v>
      </c>
      <c r="S57" s="29" t="str">
        <v>i?</v>
      </c>
      <c r="T57" s="29" t="str">
        <v>居</v>
      </c>
      <c r="U57" s="29" t="str">
        <v>ㄧㆷ</v>
      </c>
      <c r="V57" s="29" t="str">
        <v>ih</v>
      </c>
      <c r="W57" s="29" t="str">
        <v>ih</v>
      </c>
      <c r="X57" s="29" t="str">
        <v>ih</v>
      </c>
      <c r="Y57" s="29" t="str">
        <v>ih</v>
      </c>
      <c r="Z57" s="29" t="str">
        <v>ih</v>
      </c>
      <c r="AA57" s="29" t="str">
        <v>促聲
（入）</v>
      </c>
      <c r="AB57" s="29" t="str">
        <v>居促</v>
      </c>
      <c r="AC57" s="29" t="str">
        <v>29</v>
      </c>
      <c r="AD57" s="21"/>
      <c r="AE57" s="21"/>
      <c r="AF57" s="21" t="str">
        <f xml:space="preserve"> IF(AND(MOD(B57,2)&lt;&gt;1, G57&lt;&gt;""), "", _xlfn.CONCAT("""", 韻母對照資料表[[#This Row],[十五音]], """", " : [", """", 韻母對照資料表[[#This Row],[台語音標]], """", ", """, G58, """", "],"))</f>
        <v/>
      </c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 spans="2:45" ht="54" customHeight="1">
      <c r="B58" s="30">
        <v>55</v>
      </c>
      <c r="C58" s="31" t="s">
        <v>1089</v>
      </c>
      <c r="D58" s="32" t="s">
        <v>1090</v>
      </c>
      <c r="E58" s="33" t="s">
        <v>953</v>
      </c>
      <c r="F58" s="34" t="s">
        <v>1091</v>
      </c>
      <c r="G58" s="35" t="s">
        <v>1090</v>
      </c>
      <c r="H58" s="36" t="s">
        <v>1090</v>
      </c>
      <c r="I58" s="36" t="s">
        <v>1090</v>
      </c>
      <c r="J58" s="36" t="s">
        <v>1090</v>
      </c>
      <c r="K58" s="36" t="s">
        <v>1723</v>
      </c>
      <c r="L58" s="37" t="s">
        <v>1621</v>
      </c>
      <c r="M58" s="38" t="str">
        <f>韻母對照資料表[[#This Row],[十五音]]&amp;LEFT(韻母對照資料表[[#This Row],[舒促聲]],1)</f>
        <v>膠舒</v>
      </c>
      <c r="N58" s="39">
        <v>28</v>
      </c>
      <c r="O58" s="40">
        <f>IF(韻母對照資料表[[#This Row],[台語音標]]="", 0, LEN(韻母對照資料表[[#This Row],[台語音標]]))</f>
        <v>1</v>
      </c>
      <c r="P58" s="21"/>
      <c r="Q58" s="29" t="str">
        <v>59</v>
      </c>
      <c r="R58" s="29" t="str">
        <v>油</v>
      </c>
      <c r="S58" s="29" t="str">
        <v>iu</v>
      </c>
      <c r="T58" s="29" t="str">
        <v>丩</v>
      </c>
      <c r="U58" s="29" t="str">
        <v>ㄧㄨ</v>
      </c>
      <c r="V58" s="29" t="str">
        <v>iu</v>
      </c>
      <c r="W58" s="29" t="str">
        <v>iu</v>
      </c>
      <c r="X58" s="29" t="str">
        <v>iu</v>
      </c>
      <c r="Y58" s="29" t="str">
        <v>iu</v>
      </c>
      <c r="Z58" s="29" t="str">
        <v>iu</v>
      </c>
      <c r="AA58" s="29" t="str">
        <v>舒聲
（平/上/去）</v>
      </c>
      <c r="AB58" s="29" t="str">
        <v>丩舒</v>
      </c>
      <c r="AC58" s="29" t="str">
        <v>30</v>
      </c>
      <c r="AD58" s="21"/>
      <c r="AE58" s="21"/>
      <c r="AF58" s="21" t="str">
        <f xml:space="preserve"> IF(AND(MOD(B58,2)&lt;&gt;1, G58&lt;&gt;""), "", _xlfn.CONCAT("""", 韻母對照資料表[[#This Row],[十五音]], """", " : [", """", 韻母對照資料表[[#This Row],[台語音標]], """", ", """, G59, """", "],"))</f>
        <v>"膠" : ["a", "ah"],</v>
      </c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 spans="2:45" ht="54" customHeight="1">
      <c r="B59" s="30">
        <v>56</v>
      </c>
      <c r="C59" s="31" t="s">
        <v>1724</v>
      </c>
      <c r="D59" s="32" t="s">
        <v>1097</v>
      </c>
      <c r="E59" s="33" t="s">
        <v>953</v>
      </c>
      <c r="F59" s="34" t="s">
        <v>1098</v>
      </c>
      <c r="G59" s="35" t="s">
        <v>1099</v>
      </c>
      <c r="H59" s="36" t="s">
        <v>1099</v>
      </c>
      <c r="I59" s="36" t="s">
        <v>1099</v>
      </c>
      <c r="J59" s="36" t="s">
        <v>1099</v>
      </c>
      <c r="K59" s="36" t="s">
        <v>1725</v>
      </c>
      <c r="L59" s="37" t="s">
        <v>1624</v>
      </c>
      <c r="M59" s="38" t="str">
        <f>韻母對照資料表[[#This Row],[十五音]]&amp;LEFT(韻母對照資料表[[#This Row],[舒促聲]],1)</f>
        <v>膠促</v>
      </c>
      <c r="N59" s="39">
        <v>28</v>
      </c>
      <c r="O59" s="40">
        <f>IF(韻母對照資料表[[#This Row],[台語音標]]="", 0, LEN(韻母對照資料表[[#This Row],[台語音標]]))</f>
        <v>2</v>
      </c>
      <c r="P59" s="21"/>
      <c r="Q59" s="29" t="str">
        <v>61</v>
      </c>
      <c r="R59" s="29" t="str">
        <v>爭</v>
      </c>
      <c r="S59" s="29" t="str">
        <v>ɛ̃</v>
      </c>
      <c r="T59" s="29" t="str">
        <v>更</v>
      </c>
      <c r="U59" s="29" t="str">
        <v>ㆥ</v>
      </c>
      <c r="V59" s="29" t="str">
        <v>enn</v>
      </c>
      <c r="W59" s="29" t="str">
        <v>enn</v>
      </c>
      <c r="X59" s="29" t="str">
        <v>eⁿ</v>
      </c>
      <c r="Y59" s="29" t="str">
        <v>ne</v>
      </c>
      <c r="Z59" s="29" t="str">
        <v>enn</v>
      </c>
      <c r="AA59" s="29" t="str">
        <v>舒聲
（平/上/去）</v>
      </c>
      <c r="AB59" s="29" t="str">
        <v>更舒</v>
      </c>
      <c r="AC59" s="29" t="str">
        <v>31</v>
      </c>
      <c r="AD59" s="21"/>
      <c r="AE59" s="21"/>
      <c r="AF59" s="21" t="str">
        <f xml:space="preserve"> IF(AND(MOD(B59,2)&lt;&gt;1, G59&lt;&gt;""), "", _xlfn.CONCAT("""", 韻母對照資料表[[#This Row],[十五音]], """", " : [", """", 韻母對照資料表[[#This Row],[台語音標]], """", ", """, G60, """", "],"))</f>
        <v/>
      </c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 spans="2:45" ht="54" customHeight="1">
      <c r="B60" s="30">
        <v>57</v>
      </c>
      <c r="C60" s="31" t="s">
        <v>1726</v>
      </c>
      <c r="D60" s="32" t="s">
        <v>585</v>
      </c>
      <c r="E60" s="33" t="s">
        <v>939</v>
      </c>
      <c r="F60" s="34" t="s">
        <v>1238</v>
      </c>
      <c r="G60" s="35" t="s">
        <v>585</v>
      </c>
      <c r="H60" s="36" t="s">
        <v>585</v>
      </c>
      <c r="I60" s="36" t="s">
        <v>585</v>
      </c>
      <c r="J60" s="36" t="s">
        <v>585</v>
      </c>
      <c r="K60" s="36" t="s">
        <v>1727</v>
      </c>
      <c r="L60" s="37" t="s">
        <v>1621</v>
      </c>
      <c r="M60" s="38" t="str">
        <f>韻母對照資料表[[#This Row],[十五音]]&amp;LEFT(韻母對照資料表[[#This Row],[舒促聲]],1)</f>
        <v>居舒</v>
      </c>
      <c r="N60" s="39">
        <v>29</v>
      </c>
      <c r="O60" s="40">
        <f>IF(韻母對照資料表[[#This Row],[台語音標]]="", 0, LEN(韻母對照資料表[[#This Row],[台語音標]]))</f>
        <v>1</v>
      </c>
      <c r="P60" s="21"/>
      <c r="Q60" s="29" t="str">
        <v>62</v>
      </c>
      <c r="R60" s="29" t="str">
        <v>挾</v>
      </c>
      <c r="S60" s="29" t="str">
        <v>ɛ̃?</v>
      </c>
      <c r="T60" s="29" t="str">
        <v>更</v>
      </c>
      <c r="U60" s="29" t="str">
        <v>ㆥㆷ</v>
      </c>
      <c r="V60" s="29" t="str">
        <v>ehnn</v>
      </c>
      <c r="W60" s="29" t="str">
        <v>ennh</v>
      </c>
      <c r="X60" s="29" t="str">
        <v>eⁿh</v>
      </c>
      <c r="Y60" s="29" t="str">
        <v>neh</v>
      </c>
      <c r="Z60" s="29" t="str">
        <v>ennh</v>
      </c>
      <c r="AA60" s="29" t="str">
        <v>促聲
（入）</v>
      </c>
      <c r="AB60" s="29" t="str">
        <v>更促</v>
      </c>
      <c r="AC60" s="29" t="str">
        <v>31</v>
      </c>
      <c r="AD60" s="21"/>
      <c r="AE60" s="21"/>
      <c r="AF60" s="21" t="str">
        <f xml:space="preserve"> IF(AND(MOD(B60,2)&lt;&gt;1, G60&lt;&gt;""), "", _xlfn.CONCAT("""", 韻母對照資料表[[#This Row],[十五音]], """", " : [", """", 韻母對照資料表[[#This Row],[台語音標]], """", ", """, G61, """", "],"))</f>
        <v>"居" : ["i", "ih"],</v>
      </c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 spans="2:45" ht="54" customHeight="1">
      <c r="B61" s="30">
        <v>58</v>
      </c>
      <c r="C61" s="43" t="s">
        <v>1318</v>
      </c>
      <c r="D61" s="32" t="s">
        <v>1319</v>
      </c>
      <c r="E61" s="33" t="s">
        <v>939</v>
      </c>
      <c r="F61" s="34" t="s">
        <v>1320</v>
      </c>
      <c r="G61" s="35" t="s">
        <v>1321</v>
      </c>
      <c r="H61" s="36" t="s">
        <v>1321</v>
      </c>
      <c r="I61" s="36" t="s">
        <v>1321</v>
      </c>
      <c r="J61" s="36" t="s">
        <v>1321</v>
      </c>
      <c r="K61" s="36" t="s">
        <v>1728</v>
      </c>
      <c r="L61" s="37" t="s">
        <v>1624</v>
      </c>
      <c r="M61" s="38" t="str">
        <f>韻母對照資料表[[#This Row],[十五音]]&amp;LEFT(韻母對照資料表[[#This Row],[舒促聲]],1)</f>
        <v>居促</v>
      </c>
      <c r="N61" s="39">
        <v>29</v>
      </c>
      <c r="O61" s="40">
        <f>IF(韻母對照資料表[[#This Row],[台語音標]]="", 0, LEN(韻母對照資料表[[#This Row],[台語音標]]))</f>
        <v>2</v>
      </c>
      <c r="P61" s="21"/>
      <c r="Q61" s="29" t="str">
        <v>63</v>
      </c>
      <c r="R61" s="29" t="str">
        <v>荒</v>
      </c>
      <c r="S61" s="29" t="str">
        <v>uĩ</v>
      </c>
      <c r="T61" s="29" t="str">
        <v>褌</v>
      </c>
      <c r="U61" s="29" t="str">
        <v>ㄨㆪ</v>
      </c>
      <c r="V61" s="29" t="str">
        <v>uinn</v>
      </c>
      <c r="W61" s="29" t="str">
        <v>uinn</v>
      </c>
      <c r="X61" s="29" t="str">
        <v>uiⁿ</v>
      </c>
      <c r="Y61" s="29" t="str">
        <v>nui</v>
      </c>
      <c r="Z61" s="29" t="str">
        <v>uinn</v>
      </c>
      <c r="AA61" s="29" t="str">
        <v>舒聲
（平/上/去）</v>
      </c>
      <c r="AB61" s="29" t="str">
        <v>褌舒</v>
      </c>
      <c r="AC61" s="29" t="str">
        <v>32</v>
      </c>
      <c r="AD61" s="21"/>
      <c r="AE61" s="21"/>
      <c r="AF61" s="21" t="str">
        <f xml:space="preserve"> IF(AND(MOD(B61,2)&lt;&gt;1, G61&lt;&gt;""), "", _xlfn.CONCAT("""", 韻母對照資料表[[#This Row],[十五音]], """", " : [", """", 韻母對照資料表[[#This Row],[台語音標]], """", ", """, G62, """", "],"))</f>
        <v/>
      </c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 spans="2:45" ht="54" customHeight="1">
      <c r="B62" s="30">
        <v>59</v>
      </c>
      <c r="C62" s="31" t="s">
        <v>1729</v>
      </c>
      <c r="D62" s="32" t="s">
        <v>587</v>
      </c>
      <c r="E62" s="33" t="s">
        <v>940</v>
      </c>
      <c r="F62" s="34" t="s">
        <v>1401</v>
      </c>
      <c r="G62" s="35" t="s">
        <v>1730</v>
      </c>
      <c r="H62" s="36" t="s">
        <v>587</v>
      </c>
      <c r="I62" s="36" t="s">
        <v>587</v>
      </c>
      <c r="J62" s="36" t="s">
        <v>587</v>
      </c>
      <c r="K62" s="36" t="s">
        <v>1730</v>
      </c>
      <c r="L62" s="37" t="s">
        <v>1621</v>
      </c>
      <c r="M62" s="38" t="str">
        <f>韻母對照資料表[[#This Row],[十五音]]&amp;LEFT(韻母對照資料表[[#This Row],[舒促聲]],1)</f>
        <v>丩舒</v>
      </c>
      <c r="N62" s="39">
        <v>30</v>
      </c>
      <c r="O62" s="40">
        <f>IF(韻母對照資料表[[#This Row],[台語音標]]="", 0, LEN(韻母對照資料表[[#This Row],[台語音標]]))</f>
        <v>2</v>
      </c>
      <c r="P62" s="21"/>
      <c r="Q62" s="29" t="str">
        <v>65</v>
      </c>
      <c r="R62" s="29" t="str">
        <v>少</v>
      </c>
      <c r="S62" s="29" t="str">
        <v>io</v>
      </c>
      <c r="T62" s="29" t="str">
        <v>茄</v>
      </c>
      <c r="U62" s="29" t="str">
        <v>ㄧㄜ</v>
      </c>
      <c r="V62" s="29" t="str">
        <v>io</v>
      </c>
      <c r="W62" s="29" t="str">
        <v>io</v>
      </c>
      <c r="X62" s="29" t="str">
        <v>io</v>
      </c>
      <c r="Y62" s="29" t="str">
        <v>io</v>
      </c>
      <c r="Z62" s="29" t="str">
        <v>ior</v>
      </c>
      <c r="AA62" s="29" t="str">
        <v>舒聲
（平/上/去）</v>
      </c>
      <c r="AB62" s="29" t="str">
        <v>茄舒</v>
      </c>
      <c r="AC62" s="29" t="str">
        <v>33</v>
      </c>
      <c r="AD62" s="21"/>
      <c r="AE62" s="21"/>
      <c r="AF62" s="21" t="str">
        <f xml:space="preserve"> IF(AND(MOD(B62,2)&lt;&gt;1, G62&lt;&gt;""), "", _xlfn.CONCAT("""", 韻母對照資料表[[#This Row],[十五音]], """", " : [", """", 韻母對照資料表[[#This Row],[台語音標]], """", ", """, G63, """", "],"))</f>
        <v>"丩" : ["iu", ""],</v>
      </c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 spans="2:45" ht="54" customHeight="1">
      <c r="B63" s="30">
        <v>60</v>
      </c>
      <c r="C63" s="44"/>
      <c r="D63" s="45"/>
      <c r="E63" s="44"/>
      <c r="F63" s="50"/>
      <c r="G63" s="44"/>
      <c r="H63" s="44"/>
      <c r="I63" s="44"/>
      <c r="J63" s="44"/>
      <c r="K63" s="44"/>
      <c r="L63" s="44"/>
      <c r="M63" s="44"/>
      <c r="N63" s="44"/>
      <c r="O63" s="40">
        <f>IF(韻母對照資料表[[#This Row],[台語音標]]="", 0, LEN(韻母對照資料表[[#This Row],[台語音標]]))</f>
        <v>0</v>
      </c>
      <c r="P63" s="21"/>
      <c r="Q63" s="29" t="str">
        <v>66</v>
      </c>
      <c r="R63" s="29" t="str">
        <v>著</v>
      </c>
      <c r="S63" s="29" t="str">
        <v>io?</v>
      </c>
      <c r="T63" s="29" t="str">
        <v>茄</v>
      </c>
      <c r="U63" s="29" t="str">
        <v>ㄧㄜㆷ</v>
      </c>
      <c r="V63" s="29" t="str">
        <v>ioh</v>
      </c>
      <c r="W63" s="29" t="str">
        <v>ioh</v>
      </c>
      <c r="X63" s="29" t="str">
        <v>ioh</v>
      </c>
      <c r="Y63" s="29" t="str">
        <v>ioh</v>
      </c>
      <c r="Z63" s="29" t="str">
        <v>iorh</v>
      </c>
      <c r="AA63" s="29" t="str">
        <v>促聲
（入）</v>
      </c>
      <c r="AB63" s="29" t="str">
        <v>茄促</v>
      </c>
      <c r="AC63" s="29" t="str">
        <v>33</v>
      </c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 spans="2:45" ht="54" customHeight="1">
      <c r="B64" s="30">
        <v>61</v>
      </c>
      <c r="C64" s="31" t="s">
        <v>1731</v>
      </c>
      <c r="D64" s="32" t="s">
        <v>1732</v>
      </c>
      <c r="E64" s="33" t="s">
        <v>537</v>
      </c>
      <c r="F64" s="34" t="s">
        <v>1231</v>
      </c>
      <c r="G64" s="35" t="s">
        <v>1232</v>
      </c>
      <c r="H64" s="36" t="s">
        <v>1232</v>
      </c>
      <c r="I64" s="36" t="s">
        <v>1733</v>
      </c>
      <c r="J64" s="36" t="s">
        <v>1234</v>
      </c>
      <c r="K64" s="36" t="s">
        <v>1734</v>
      </c>
      <c r="L64" s="37" t="s">
        <v>1621</v>
      </c>
      <c r="M64" s="38" t="str">
        <f>韻母對照資料表[[#This Row],[十五音]]&amp;LEFT(韻母對照資料表[[#This Row],[舒促聲]],1)</f>
        <v>更舒</v>
      </c>
      <c r="N64" s="39">
        <v>31</v>
      </c>
      <c r="O64" s="40">
        <f>IF(韻母對照資料表[[#This Row],[台語音標]]="", 0, LEN(韻母對照資料表[[#This Row],[台語音標]]))</f>
        <v>3</v>
      </c>
      <c r="P64" s="21"/>
      <c r="Q64" s="29" t="str">
        <v>67</v>
      </c>
      <c r="R64" s="29" t="str">
        <v>庚</v>
      </c>
      <c r="S64" s="29" t="str">
        <v>ĩ</v>
      </c>
      <c r="T64" s="29" t="str">
        <v>梔</v>
      </c>
      <c r="U64" s="29" t="str">
        <v>ㆪ</v>
      </c>
      <c r="V64" s="29" t="str">
        <v>inn</v>
      </c>
      <c r="W64" s="29" t="str">
        <v>inn</v>
      </c>
      <c r="X64" s="29" t="str">
        <v>iⁿ</v>
      </c>
      <c r="Y64" s="29" t="str">
        <v>ni</v>
      </c>
      <c r="Z64" s="29" t="str">
        <v>inn</v>
      </c>
      <c r="AA64" s="29" t="str">
        <v>舒聲
（平/上/去）</v>
      </c>
      <c r="AB64" s="29" t="str">
        <v>梔舒</v>
      </c>
      <c r="AC64" s="29" t="str">
        <v>34</v>
      </c>
      <c r="AD64" s="21"/>
      <c r="AE64" s="21"/>
      <c r="AF64" s="21" t="str">
        <f xml:space="preserve"> IF(AND(MOD(B64,2)&lt;&gt;1, G64&lt;&gt;""), "", _xlfn.CONCAT("""", 韻母對照資料表[[#This Row],[十五音]], """", " : [", """", 韻母對照資料表[[#This Row],[台語音標]], """", ", """, G65, """", "],"))</f>
        <v>"更" : ["enn", "ehnn"],</v>
      </c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 spans="2:45" ht="54" customHeight="1">
      <c r="B65" s="30">
        <v>62</v>
      </c>
      <c r="C65" s="43" t="s">
        <v>1735</v>
      </c>
      <c r="D65" s="32" t="s">
        <v>1736</v>
      </c>
      <c r="E65" s="33" t="s">
        <v>537</v>
      </c>
      <c r="F65" s="34" t="s">
        <v>1218</v>
      </c>
      <c r="G65" s="35" t="s">
        <v>1219</v>
      </c>
      <c r="H65" s="36" t="s">
        <v>1220</v>
      </c>
      <c r="I65" s="36" t="s">
        <v>1737</v>
      </c>
      <c r="J65" s="36" t="s">
        <v>1222</v>
      </c>
      <c r="K65" s="36" t="s">
        <v>1738</v>
      </c>
      <c r="L65" s="37" t="s">
        <v>1624</v>
      </c>
      <c r="M65" s="38" t="str">
        <f>韻母對照資料表[[#This Row],[十五音]]&amp;LEFT(韻母對照資料表[[#This Row],[舒促聲]],1)</f>
        <v>更促</v>
      </c>
      <c r="N65" s="39">
        <v>31</v>
      </c>
      <c r="O65" s="40">
        <f>IF(韻母對照資料表[[#This Row],[台語音標]]="", 0, LEN(韻母對照資料表[[#This Row],[台語音標]]))</f>
        <v>4</v>
      </c>
      <c r="P65" s="21"/>
      <c r="Q65" s="29" t="str">
        <v>68</v>
      </c>
      <c r="R65" s="29" t="str">
        <v>欷</v>
      </c>
      <c r="S65" s="29" t="str">
        <v>ĩ?</v>
      </c>
      <c r="T65" s="29" t="str">
        <v>梔</v>
      </c>
      <c r="U65" s="29" t="str">
        <v>ㆪㆷ</v>
      </c>
      <c r="V65" s="29" t="str">
        <v>ihnn</v>
      </c>
      <c r="W65" s="29" t="str">
        <v>innh</v>
      </c>
      <c r="X65" s="29" t="str">
        <v>iⁿh</v>
      </c>
      <c r="Y65" s="29" t="str">
        <v>nih</v>
      </c>
      <c r="Z65" s="29" t="str">
        <v>innh</v>
      </c>
      <c r="AA65" s="29" t="str">
        <v>促聲
（入）</v>
      </c>
      <c r="AB65" s="29" t="str">
        <v>梔促</v>
      </c>
      <c r="AC65" s="29" t="str">
        <v>34</v>
      </c>
      <c r="AD65" s="21"/>
      <c r="AE65" s="21"/>
      <c r="AF65" s="21" t="str">
        <f xml:space="preserve"> IF(AND(MOD(B65,2)&lt;&gt;1, G65&lt;&gt;""), "", _xlfn.CONCAT("""", 韻母對照資料表[[#This Row],[十五音]], """", " : [", """", 韻母對照資料表[[#This Row],[台語音標]], """", ", """, G66, """", "],"))</f>
        <v/>
      </c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 spans="2:45" ht="54" customHeight="1">
      <c r="B66" s="30">
        <v>63</v>
      </c>
      <c r="C66" s="43" t="s">
        <v>1589</v>
      </c>
      <c r="D66" s="32" t="s">
        <v>1590</v>
      </c>
      <c r="E66" s="33" t="s">
        <v>1591</v>
      </c>
      <c r="F66" s="34" t="s">
        <v>1592</v>
      </c>
      <c r="G66" s="35" t="s">
        <v>1593</v>
      </c>
      <c r="H66" s="36" t="s">
        <v>1593</v>
      </c>
      <c r="I66" s="36" t="s">
        <v>1739</v>
      </c>
      <c r="J66" s="36" t="s">
        <v>1595</v>
      </c>
      <c r="K66" s="36" t="s">
        <v>1740</v>
      </c>
      <c r="L66" s="37" t="s">
        <v>1621</v>
      </c>
      <c r="M66" s="38" t="str">
        <f>韻母對照資料表[[#This Row],[十五音]]&amp;LEFT(韻母對照資料表[[#This Row],[舒促聲]],1)</f>
        <v>褌舒</v>
      </c>
      <c r="N66" s="39">
        <v>32</v>
      </c>
      <c r="O66" s="40">
        <f>IF(韻母對照資料表[[#This Row],[台語音標]]="", 0, LEN(韻母對照資料表[[#This Row],[台語音標]]))</f>
        <v>4</v>
      </c>
      <c r="P66" s="21"/>
      <c r="Q66" s="29" t="str">
        <v>69</v>
      </c>
      <c r="R66" s="29" t="str">
        <v>腔</v>
      </c>
      <c r="S66" s="29" t="str">
        <v>iɔ̃</v>
      </c>
      <c r="T66" s="29" t="str">
        <v>薑</v>
      </c>
      <c r="U66" s="29" t="str">
        <v>ㄧㆧ</v>
      </c>
      <c r="V66" s="29" t="str">
        <v>ionn</v>
      </c>
      <c r="W66" s="29" t="str">
        <v>ionn</v>
      </c>
      <c r="X66" s="29" t="str">
        <v>ioⁿ</v>
      </c>
      <c r="Y66" s="29" t="str">
        <v>nioo</v>
      </c>
      <c r="Z66" s="29" t="str">
        <v>ioonn</v>
      </c>
      <c r="AA66" s="29" t="str">
        <v>舒聲
（平/上/去）</v>
      </c>
      <c r="AB66" s="29" t="str">
        <v>薑舒</v>
      </c>
      <c r="AC66" s="29" t="str">
        <v>35</v>
      </c>
      <c r="AD66" s="21"/>
      <c r="AE66" s="21"/>
      <c r="AF66" s="21" t="str">
        <f xml:space="preserve"> IF(AND(MOD(B66,2)&lt;&gt;1, G66&lt;&gt;""), "", _xlfn.CONCAT("""", 韻母對照資料表[[#This Row],[十五音]], """", " : [", """", 韻母對照資料表[[#This Row],[台語音標]], """", ", """, G67, """", "],"))</f>
        <v>"褌" : ["uinn", ""],</v>
      </c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 spans="2:45" ht="54" customHeight="1">
      <c r="B67" s="30">
        <v>64</v>
      </c>
      <c r="C67" s="44"/>
      <c r="D67" s="45"/>
      <c r="E67" s="44"/>
      <c r="F67" s="50"/>
      <c r="G67" s="44"/>
      <c r="H67" s="44"/>
      <c r="I67" s="44"/>
      <c r="J67" s="44"/>
      <c r="K67" s="44"/>
      <c r="L67" s="44"/>
      <c r="M67" s="44"/>
      <c r="N67" s="44"/>
      <c r="O67" s="40">
        <f>IF(韻母對照資料表[[#This Row],[台語音標]]="", 0, LEN(韻母對照資料表[[#This Row],[台語音標]]))</f>
        <v>0</v>
      </c>
      <c r="P67" s="21"/>
      <c r="Q67" s="29" t="str">
        <v>71</v>
      </c>
      <c r="R67" s="29" t="str">
        <v>且</v>
      </c>
      <c r="S67" s="29" t="str">
        <v>iã</v>
      </c>
      <c r="T67" s="29" t="str">
        <v>驚</v>
      </c>
      <c r="U67" s="29" t="str">
        <v>ㄧㆩ</v>
      </c>
      <c r="V67" s="29" t="str">
        <v>iann</v>
      </c>
      <c r="W67" s="29" t="str">
        <v>iannh</v>
      </c>
      <c r="X67" s="29" t="str">
        <v>iaⁿ</v>
      </c>
      <c r="Y67" s="29" t="str">
        <v>nia</v>
      </c>
      <c r="Z67" s="29" t="str">
        <v>iann</v>
      </c>
      <c r="AA67" s="29" t="str">
        <v>舒聲
（平/上/去）</v>
      </c>
      <c r="AB67" s="29" t="str">
        <v>驚舒</v>
      </c>
      <c r="AC67" s="29" t="str">
        <v>36</v>
      </c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 spans="2:45" ht="54" customHeight="1">
      <c r="B68" s="30">
        <v>65</v>
      </c>
      <c r="C68" s="31" t="s">
        <v>91</v>
      </c>
      <c r="D68" s="32" t="s">
        <v>1741</v>
      </c>
      <c r="E68" s="33" t="s">
        <v>1362</v>
      </c>
      <c r="F68" s="34" t="s">
        <v>1363</v>
      </c>
      <c r="G68" s="35" t="s">
        <v>1361</v>
      </c>
      <c r="H68" s="36" t="s">
        <v>1361</v>
      </c>
      <c r="I68" s="36" t="s">
        <v>1361</v>
      </c>
      <c r="J68" s="36" t="s">
        <v>1361</v>
      </c>
      <c r="K68" s="36" t="s">
        <v>1742</v>
      </c>
      <c r="L68" s="37" t="s">
        <v>1621</v>
      </c>
      <c r="M68" s="38" t="str">
        <f>韻母對照資料表[[#This Row],[十五音]]&amp;LEFT(韻母對照資料表[[#This Row],[舒促聲]],1)</f>
        <v>茄舒</v>
      </c>
      <c r="N68" s="39">
        <v>33</v>
      </c>
      <c r="O68" s="40">
        <f>IF(韻母對照資料表[[#This Row],[台語音標]]="", 0, LEN(韻母對照資料表[[#This Row],[台語音標]]))</f>
        <v>2</v>
      </c>
      <c r="P68" s="21"/>
      <c r="Q68" s="29" t="str">
        <v>73</v>
      </c>
      <c r="R68" s="29" t="str">
        <v>肝</v>
      </c>
      <c r="S68" s="29" t="str">
        <v>uã</v>
      </c>
      <c r="T68" s="29" t="str">
        <v>官</v>
      </c>
      <c r="U68" s="29" t="str">
        <v>ㄨㆩ</v>
      </c>
      <c r="V68" s="29" t="str">
        <v>uann</v>
      </c>
      <c r="W68" s="29" t="str">
        <v>uann</v>
      </c>
      <c r="X68" s="29" t="str">
        <v>oaⁿ</v>
      </c>
      <c r="Y68" s="29" t="str">
        <v>nua</v>
      </c>
      <c r="Z68" s="29" t="str">
        <v>uann</v>
      </c>
      <c r="AA68" s="29" t="str">
        <v>舒聲
（平/上/去）</v>
      </c>
      <c r="AB68" s="29" t="str">
        <v>官舒</v>
      </c>
      <c r="AC68" s="29" t="str">
        <v>37</v>
      </c>
      <c r="AD68" s="21"/>
      <c r="AE68" s="21"/>
      <c r="AF68" s="21" t="str">
        <f xml:space="preserve"> IF(AND(MOD(B68,2)&lt;&gt;1, G68&lt;&gt;""), "", _xlfn.CONCAT("""", 韻母對照資料表[[#This Row],[十五音]], """", " : [", """", 韻母對照資料表[[#This Row],[台語音標]], """", ", """, G69, """", "],"))</f>
        <v>"茄" : ["io", "ioh"],</v>
      </c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 spans="2:45" ht="54" customHeight="1">
      <c r="B69" s="30">
        <v>66</v>
      </c>
      <c r="C69" s="47" t="s">
        <v>1743</v>
      </c>
      <c r="D69" s="32" t="s">
        <v>1744</v>
      </c>
      <c r="E69" s="33" t="s">
        <v>1362</v>
      </c>
      <c r="F69" s="34" t="s">
        <v>1369</v>
      </c>
      <c r="G69" s="35" t="s">
        <v>1370</v>
      </c>
      <c r="H69" s="36" t="s">
        <v>1370</v>
      </c>
      <c r="I69" s="36" t="s">
        <v>1370</v>
      </c>
      <c r="J69" s="36" t="s">
        <v>1370</v>
      </c>
      <c r="K69" s="36" t="s">
        <v>1745</v>
      </c>
      <c r="L69" s="37" t="s">
        <v>1624</v>
      </c>
      <c r="M69" s="38" t="str">
        <f>韻母對照資料表[[#This Row],[十五音]]&amp;LEFT(韻母對照資料表[[#This Row],[舒促聲]],1)</f>
        <v>茄促</v>
      </c>
      <c r="N69" s="39">
        <v>33</v>
      </c>
      <c r="O69" s="40">
        <f>IF(韻母對照資料表[[#This Row],[台語音標]]="", 0, LEN(韻母對照資料表[[#This Row],[台語音標]]))</f>
        <v>3</v>
      </c>
      <c r="P69" s="21"/>
      <c r="Q69" s="29" t="str">
        <v>75</v>
      </c>
      <c r="R69" s="29" t="str">
        <v>床</v>
      </c>
      <c r="S69" s="29" t="str">
        <v>ŋ̍</v>
      </c>
      <c r="T69" s="29" t="str">
        <v>鋼</v>
      </c>
      <c r="U69" s="29" t="str">
        <v>ㆭ</v>
      </c>
      <c r="V69" s="29" t="str">
        <v>ng</v>
      </c>
      <c r="W69" s="29" t="str">
        <v>ng</v>
      </c>
      <c r="X69" s="29" t="str">
        <v>ng</v>
      </c>
      <c r="Y69" s="29" t="str">
        <v>ng</v>
      </c>
      <c r="Z69" s="29" t="str">
        <v>ng</v>
      </c>
      <c r="AA69" s="29" t="str">
        <v>舒聲
（平/上/去）</v>
      </c>
      <c r="AB69" s="29" t="str">
        <v>鋼舒</v>
      </c>
      <c r="AC69" s="29" t="str">
        <v>38</v>
      </c>
      <c r="AD69" s="21"/>
      <c r="AE69" s="21"/>
      <c r="AF69" s="21" t="str">
        <f xml:space="preserve"> IF(AND(MOD(B69,2)&lt;&gt;1, G69&lt;&gt;""), "", _xlfn.CONCAT("""", 韻母對照資料表[[#This Row],[十五音]], """", " : [", """", 韻母對照資料表[[#This Row],[台語音標]], """", ", """, G70, """", "],"))</f>
        <v/>
      </c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 spans="2:45" ht="54" customHeight="1">
      <c r="B70" s="30">
        <v>67</v>
      </c>
      <c r="C70" s="31" t="s">
        <v>1746</v>
      </c>
      <c r="D70" s="32" t="s">
        <v>1354</v>
      </c>
      <c r="E70" s="33" t="s">
        <v>1326</v>
      </c>
      <c r="F70" s="34" t="s">
        <v>1355</v>
      </c>
      <c r="G70" s="35" t="s">
        <v>1356</v>
      </c>
      <c r="H70" s="36" t="s">
        <v>1356</v>
      </c>
      <c r="I70" s="36" t="s">
        <v>1747</v>
      </c>
      <c r="J70" s="36" t="s">
        <v>1358</v>
      </c>
      <c r="K70" s="36" t="s">
        <v>1748</v>
      </c>
      <c r="L70" s="37" t="s">
        <v>1621</v>
      </c>
      <c r="M70" s="38" t="str">
        <f>韻母對照資料表[[#This Row],[十五音]]&amp;LEFT(韻母對照資料表[[#This Row],[舒促聲]],1)</f>
        <v>梔舒</v>
      </c>
      <c r="N70" s="39">
        <v>34</v>
      </c>
      <c r="O70" s="40">
        <f>IF(韻母對照資料表[[#This Row],[台語音標]]="", 0, LEN(韻母對照資料表[[#This Row],[台語音標]]))</f>
        <v>3</v>
      </c>
      <c r="P70" s="21"/>
      <c r="Q70" s="29" t="str">
        <v>77</v>
      </c>
      <c r="R70" s="29" t="str">
        <v>會</v>
      </c>
      <c r="S70" s="29" t="str">
        <v>e</v>
      </c>
      <c r="T70" s="29" t="str">
        <v>伽</v>
      </c>
      <c r="U70" s="29" t="str">
        <v>ㆤ</v>
      </c>
      <c r="V70" s="29" t="str">
        <v>e</v>
      </c>
      <c r="W70" s="29" t="str">
        <v>e</v>
      </c>
      <c r="X70" s="29" t="str">
        <v>e</v>
      </c>
      <c r="Y70" s="29" t="str">
        <v>e</v>
      </c>
      <c r="Z70" s="29" t="str">
        <v>e</v>
      </c>
      <c r="AA70" s="29" t="str">
        <v>舒聲
（平/上/去）</v>
      </c>
      <c r="AB70" s="29" t="str">
        <v>伽舒</v>
      </c>
      <c r="AC70" s="29" t="str">
        <v>39</v>
      </c>
      <c r="AD70" s="21"/>
      <c r="AE70" s="21"/>
      <c r="AF70" s="21" t="str">
        <f xml:space="preserve"> IF(AND(MOD(B70,2)&lt;&gt;1, G70&lt;&gt;""), "", _xlfn.CONCAT("""", 韻母對照資料表[[#This Row],[十五音]], """", " : [", """", 韻母對照資料表[[#This Row],[台語音標]], """", ", """, G71, """", "],"))</f>
        <v>"梔" : ["inn", "ihnn"],</v>
      </c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 spans="2:45" ht="54" customHeight="1">
      <c r="B71" s="30">
        <v>68</v>
      </c>
      <c r="C71" s="47" t="s">
        <v>1324</v>
      </c>
      <c r="D71" s="32" t="s">
        <v>1325</v>
      </c>
      <c r="E71" s="33" t="s">
        <v>1326</v>
      </c>
      <c r="F71" s="34" t="s">
        <v>1327</v>
      </c>
      <c r="G71" s="35" t="s">
        <v>1328</v>
      </c>
      <c r="H71" s="36" t="s">
        <v>1329</v>
      </c>
      <c r="I71" s="36" t="s">
        <v>1749</v>
      </c>
      <c r="J71" s="36" t="s">
        <v>1331</v>
      </c>
      <c r="K71" s="36" t="s">
        <v>1750</v>
      </c>
      <c r="L71" s="37" t="s">
        <v>1624</v>
      </c>
      <c r="M71" s="38" t="str">
        <f>韻母對照資料表[[#This Row],[十五音]]&amp;LEFT(韻母對照資料表[[#This Row],[舒促聲]],1)</f>
        <v>梔促</v>
      </c>
      <c r="N71" s="39">
        <v>34</v>
      </c>
      <c r="O71" s="40">
        <f>IF(韻母對照資料表[[#This Row],[台語音標]]="", 0, LEN(韻母對照資料表[[#This Row],[台語音標]]))</f>
        <v>4</v>
      </c>
      <c r="P71" s="21"/>
      <c r="Q71" s="29" t="str">
        <v>78</v>
      </c>
      <c r="R71" s="29" t="str">
        <v>伯</v>
      </c>
      <c r="S71" s="29" t="str">
        <v>e?</v>
      </c>
      <c r="T71" s="29" t="str">
        <v>伽</v>
      </c>
      <c r="U71" s="29" t="str">
        <v>ㆤㆷ</v>
      </c>
      <c r="V71" s="29" t="str">
        <v>eh</v>
      </c>
      <c r="W71" s="29" t="str">
        <v>eh</v>
      </c>
      <c r="X71" s="29" t="str">
        <v>eh</v>
      </c>
      <c r="Y71" s="29" t="str">
        <v>eh</v>
      </c>
      <c r="Z71" s="29" t="str">
        <v>eh</v>
      </c>
      <c r="AA71" s="29" t="str">
        <v>促聲
（入）</v>
      </c>
      <c r="AB71" s="29" t="str">
        <v>伽促</v>
      </c>
      <c r="AC71" s="29" t="str">
        <v>39</v>
      </c>
      <c r="AD71" s="21"/>
      <c r="AE71" s="21"/>
      <c r="AF71" s="21" t="str">
        <f xml:space="preserve"> IF(AND(MOD(B71,2)&lt;&gt;1, G71&lt;&gt;""), "", _xlfn.CONCAT("""", 韻母對照資料表[[#This Row],[十五音]], """", " : [", """", 韻母對照資料表[[#This Row],[台語音標]], """", ", """, G72, """", "],"))</f>
        <v/>
      </c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 spans="2:45" ht="54" customHeight="1">
      <c r="B72" s="30">
        <v>69</v>
      </c>
      <c r="C72" s="53" t="s">
        <v>1751</v>
      </c>
      <c r="D72" s="32" t="s">
        <v>1752</v>
      </c>
      <c r="E72" s="33" t="s">
        <v>1385</v>
      </c>
      <c r="F72" s="34" t="s">
        <v>1386</v>
      </c>
      <c r="G72" s="35" t="s">
        <v>1387</v>
      </c>
      <c r="H72" s="36" t="s">
        <v>1387</v>
      </c>
      <c r="I72" s="36" t="s">
        <v>1753</v>
      </c>
      <c r="J72" s="36" t="s">
        <v>1389</v>
      </c>
      <c r="K72" s="36" t="s">
        <v>1754</v>
      </c>
      <c r="L72" s="37" t="s">
        <v>1621</v>
      </c>
      <c r="M72" s="38" t="str">
        <f>韻母對照資料表[[#This Row],[十五音]]&amp;LEFT(韻母對照資料表[[#This Row],[舒促聲]],1)</f>
        <v>薑舒</v>
      </c>
      <c r="N72" s="39">
        <v>35</v>
      </c>
      <c r="O72" s="40">
        <f>IF(韻母對照資料表[[#This Row],[台語音標]]="", 0, LEN(韻母對照資料表[[#This Row],[台語音標]]))</f>
        <v>4</v>
      </c>
      <c r="P72" s="21"/>
      <c r="Q72" s="29" t="str">
        <v>79</v>
      </c>
      <c r="R72" s="29" t="str">
        <v>挨</v>
      </c>
      <c r="S72" s="29" t="str">
        <v>ãi</v>
      </c>
      <c r="T72" s="29" t="str">
        <v>閒</v>
      </c>
      <c r="U72" s="29" t="str">
        <v>ㆮ</v>
      </c>
      <c r="V72" s="29" t="str">
        <v>ainn</v>
      </c>
      <c r="W72" s="29" t="str">
        <v>ainn</v>
      </c>
      <c r="X72" s="29" t="str">
        <v>aiⁿ</v>
      </c>
      <c r="Y72" s="29" t="str">
        <v>nai</v>
      </c>
      <c r="Z72" s="29" t="str">
        <v>ainn</v>
      </c>
      <c r="AA72" s="29" t="str">
        <v>舒聲
（平/上/去）</v>
      </c>
      <c r="AB72" s="29" t="str">
        <v>閒舒</v>
      </c>
      <c r="AC72" s="29" t="str">
        <v>40</v>
      </c>
      <c r="AD72" s="21"/>
      <c r="AE72" s="21"/>
      <c r="AF72" s="21" t="str">
        <f xml:space="preserve"> IF(AND(MOD(B72,2)&lt;&gt;1, G72&lt;&gt;""), "", _xlfn.CONCAT("""", 韻母對照資料表[[#This Row],[十五音]], """", " : [", """", 韻母對照資料表[[#This Row],[台語音標]], """", ", """, G73, """", "],"))</f>
        <v>"薑" : ["ionn", ""],</v>
      </c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 spans="2:45" ht="54" customHeight="1">
      <c r="B73" s="30">
        <v>70</v>
      </c>
      <c r="C73" s="44">
        <v>0</v>
      </c>
      <c r="D73" s="45">
        <v>0</v>
      </c>
      <c r="E73" s="44">
        <v>0</v>
      </c>
      <c r="F73" s="50">
        <v>0</v>
      </c>
      <c r="G73" s="44"/>
      <c r="H73" s="44">
        <v>0</v>
      </c>
      <c r="I73" s="44">
        <v>0</v>
      </c>
      <c r="J73" s="44">
        <v>0</v>
      </c>
      <c r="K73" s="44"/>
      <c r="L73" s="44">
        <v>0</v>
      </c>
      <c r="M73" s="44">
        <v>0</v>
      </c>
      <c r="N73" s="44">
        <v>0</v>
      </c>
      <c r="O73" s="40">
        <f>IF(韻母對照資料表[[#This Row],[台語音標]]="", 0, LEN(韻母對照資料表[[#This Row],[台語音標]]))</f>
        <v>0</v>
      </c>
      <c r="P73" s="21"/>
      <c r="Q73" s="29" t="str">
        <v>81</v>
      </c>
      <c r="R73" s="29" t="str">
        <v>張</v>
      </c>
      <c r="S73" s="29" t="str">
        <v>õu</v>
      </c>
      <c r="T73" s="29" t="str">
        <v>姑</v>
      </c>
      <c r="U73" s="29" t="str">
        <v>ㆧ</v>
      </c>
      <c r="V73" s="29" t="str">
        <v>oonn</v>
      </c>
      <c r="W73" s="29" t="str">
        <v>onn</v>
      </c>
      <c r="X73" s="29" t="str">
        <v>oⁿ</v>
      </c>
      <c r="Y73" s="29" t="str">
        <v>noo</v>
      </c>
      <c r="Z73" s="29" t="str">
        <v>oonn</v>
      </c>
      <c r="AA73" s="29" t="str">
        <v>舒聲
（平/上/去）</v>
      </c>
      <c r="AB73" s="29" t="str">
        <v>姑舒</v>
      </c>
      <c r="AC73" s="29" t="str">
        <v>41</v>
      </c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 spans="2:45" ht="54" customHeight="1">
      <c r="B74" s="30">
        <v>71</v>
      </c>
      <c r="C74" s="31" t="s">
        <v>498</v>
      </c>
      <c r="D74" s="32" t="s">
        <v>1274</v>
      </c>
      <c r="E74" s="33" t="s">
        <v>1011</v>
      </c>
      <c r="F74" s="34" t="s">
        <v>1275</v>
      </c>
      <c r="G74" s="35" t="s">
        <v>839</v>
      </c>
      <c r="H74" s="36" t="s">
        <v>1276</v>
      </c>
      <c r="I74" s="36" t="s">
        <v>1755</v>
      </c>
      <c r="J74" s="36" t="s">
        <v>1278</v>
      </c>
      <c r="K74" s="36" t="s">
        <v>1756</v>
      </c>
      <c r="L74" s="37" t="s">
        <v>1621</v>
      </c>
      <c r="M74" s="38" t="str">
        <f>韻母對照資料表[[#This Row],[十五音]]&amp;LEFT(韻母對照資料表[[#This Row],[舒促聲]],1)</f>
        <v>驚舒</v>
      </c>
      <c r="N74" s="39">
        <v>36</v>
      </c>
      <c r="O74" s="40">
        <f>IF(韻母對照資料表[[#This Row],[台語音標]]="", 0, LEN(韻母對照資料表[[#This Row],[台語音標]]))</f>
        <v>4</v>
      </c>
      <c r="P74" s="21"/>
      <c r="Q74" s="29" t="str">
        <v>83</v>
      </c>
      <c r="R74" s="29" t="str">
        <v>姆</v>
      </c>
      <c r="S74" s="29" t="str">
        <v>m̩</v>
      </c>
      <c r="T74" s="29" t="str">
        <v>姆</v>
      </c>
      <c r="U74" s="29" t="str">
        <v>ㆬ</v>
      </c>
      <c r="V74" s="29" t="str">
        <v>m</v>
      </c>
      <c r="W74" s="29" t="str">
        <v>m</v>
      </c>
      <c r="X74" s="29" t="str">
        <v>m</v>
      </c>
      <c r="Y74" s="29" t="str">
        <v>m</v>
      </c>
      <c r="Z74" s="29" t="str">
        <v>m</v>
      </c>
      <c r="AA74" s="29" t="str">
        <v>舒聲
（平/上/去）</v>
      </c>
      <c r="AB74" s="29" t="str">
        <v>姆舒</v>
      </c>
      <c r="AC74" s="29" t="str">
        <v>42</v>
      </c>
      <c r="AD74" s="21"/>
      <c r="AE74" s="21"/>
      <c r="AF74" s="21" t="str">
        <f xml:space="preserve"> IF(AND(MOD(B74,2)&lt;&gt;1, G74&lt;&gt;""), "", _xlfn.CONCAT("""", 韻母對照資料表[[#This Row],[十五音]], """", " : [", """", 韻母對照資料表[[#This Row],[台語音標]], """", ", """, G75, """", "],"))</f>
        <v>"驚" : ["iann", ""],</v>
      </c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 spans="2:45" ht="54" customHeight="1">
      <c r="B75" s="30">
        <v>72</v>
      </c>
      <c r="C75" s="44">
        <v>0</v>
      </c>
      <c r="D75" s="45">
        <v>0</v>
      </c>
      <c r="E75" s="44">
        <v>0</v>
      </c>
      <c r="F75" s="50">
        <v>0</v>
      </c>
      <c r="G75" s="44"/>
      <c r="H75" s="44">
        <v>0</v>
      </c>
      <c r="I75" s="44">
        <v>0</v>
      </c>
      <c r="J75" s="44">
        <v>0</v>
      </c>
      <c r="K75" s="44"/>
      <c r="L75" s="44">
        <v>0</v>
      </c>
      <c r="M75" s="44">
        <v>0</v>
      </c>
      <c r="N75" s="44">
        <v>0</v>
      </c>
      <c r="O75" s="40">
        <f>IF(韻母對照資料表[[#This Row],[台語音標]]="", 0, LEN(韻母對照資料表[[#This Row],[台語音標]]))</f>
        <v>0</v>
      </c>
      <c r="P75" s="21"/>
      <c r="Q75" s="29" t="str">
        <v>85</v>
      </c>
      <c r="R75" s="29" t="str">
        <v>闖</v>
      </c>
      <c r="S75" s="29" t="str">
        <v>uaŋ</v>
      </c>
      <c r="T75" s="29" t="str">
        <v>光</v>
      </c>
      <c r="U75" s="29" t="str">
        <v>ㄨㄤ</v>
      </c>
      <c r="V75" s="29" t="str">
        <v>uang</v>
      </c>
      <c r="W75" s="29" t="str">
        <v>uang</v>
      </c>
      <c r="X75" s="29" t="str">
        <v>oang</v>
      </c>
      <c r="Y75" s="29" t="str">
        <v>uang</v>
      </c>
      <c r="Z75" s="29" t="str">
        <v>uang</v>
      </c>
      <c r="AA75" s="29" t="str">
        <v>舒聲
（平/上/去）</v>
      </c>
      <c r="AB75" s="29" t="str">
        <v>光舒</v>
      </c>
      <c r="AC75" s="29" t="str">
        <v>43</v>
      </c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 spans="2:45" ht="54" customHeight="1">
      <c r="B76" s="30">
        <v>73</v>
      </c>
      <c r="C76" s="31" t="s">
        <v>1757</v>
      </c>
      <c r="D76" s="32" t="s">
        <v>1758</v>
      </c>
      <c r="E76" s="33" t="s">
        <v>1550</v>
      </c>
      <c r="F76" s="34" t="s">
        <v>1551</v>
      </c>
      <c r="G76" s="35" t="s">
        <v>1552</v>
      </c>
      <c r="H76" s="36" t="s">
        <v>1552</v>
      </c>
      <c r="I76" s="36" t="s">
        <v>1759</v>
      </c>
      <c r="J76" s="36" t="s">
        <v>1554</v>
      </c>
      <c r="K76" s="36" t="s">
        <v>1760</v>
      </c>
      <c r="L76" s="37" t="s">
        <v>1621</v>
      </c>
      <c r="M76" s="38" t="str">
        <f>韻母對照資料表[[#This Row],[十五音]]&amp;LEFT(韻母對照資料表[[#This Row],[舒促聲]],1)</f>
        <v>官舒</v>
      </c>
      <c r="N76" s="39">
        <v>37</v>
      </c>
      <c r="O76" s="40">
        <f>IF(韻母對照資料表[[#This Row],[台語音標]]="", 0, LEN(韻母對照資料表[[#This Row],[台語音標]]))</f>
        <v>4</v>
      </c>
      <c r="P76" s="21"/>
      <c r="Q76" s="29" t="str">
        <v>86</v>
      </c>
      <c r="R76" s="29" t="str">
        <v>伏</v>
      </c>
      <c r="S76" s="29" t="str">
        <v>uak̚</v>
      </c>
      <c r="T76" s="29" t="str">
        <v>光</v>
      </c>
      <c r="U76" s="29" t="str">
        <v>ㄨㄚㆻ</v>
      </c>
      <c r="V76" s="29" t="str">
        <v>uak</v>
      </c>
      <c r="W76" s="29" t="str">
        <v>uak</v>
      </c>
      <c r="X76" s="29" t="str">
        <v>oak</v>
      </c>
      <c r="Y76" s="29" t="str">
        <v>uak</v>
      </c>
      <c r="Z76" s="29" t="str">
        <v>uak</v>
      </c>
      <c r="AA76" s="29" t="str">
        <v>促聲
（入）</v>
      </c>
      <c r="AB76" s="29" t="str">
        <v>光促</v>
      </c>
      <c r="AC76" s="29" t="str">
        <v>43</v>
      </c>
      <c r="AD76" s="21"/>
      <c r="AE76" s="21"/>
      <c r="AF76" s="21" t="str">
        <f xml:space="preserve"> IF(AND(MOD(B76,2)&lt;&gt;1, G76&lt;&gt;""), "", _xlfn.CONCAT("""", 韻母對照資料表[[#This Row],[十五音]], """", " : [", """", 韻母對照資料表[[#This Row],[台語音標]], """", ", """, G77, """", "],"))</f>
        <v>"官" : ["uann", ""],</v>
      </c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 spans="2:45" ht="54" customHeight="1">
      <c r="B77" s="30">
        <v>74</v>
      </c>
      <c r="C77" s="44">
        <v>0</v>
      </c>
      <c r="D77" s="45">
        <v>0</v>
      </c>
      <c r="E77" s="44">
        <v>0</v>
      </c>
      <c r="F77" s="50">
        <v>0</v>
      </c>
      <c r="G77" s="44"/>
      <c r="H77" s="44">
        <v>0</v>
      </c>
      <c r="I77" s="44">
        <v>0</v>
      </c>
      <c r="J77" s="44">
        <v>0</v>
      </c>
      <c r="K77" s="44"/>
      <c r="L77" s="44">
        <v>0</v>
      </c>
      <c r="M77" s="44">
        <v>0</v>
      </c>
      <c r="N77" s="44">
        <v>0</v>
      </c>
      <c r="O77" s="40">
        <f>IF(韻母對照資料表[[#This Row],[台語音標]]="", 0, LEN(韻母對照資料表[[#This Row],[台語音標]]))</f>
        <v>0</v>
      </c>
      <c r="P77" s="21"/>
      <c r="Q77" s="29" t="str">
        <v>87</v>
      </c>
      <c r="R77" s="29" t="str">
        <v>檨</v>
      </c>
      <c r="S77" s="29" t="str">
        <v>uãi</v>
      </c>
      <c r="T77" s="29" t="str">
        <v>閂</v>
      </c>
      <c r="U77" s="29" t="str">
        <v>ㄨㆮ</v>
      </c>
      <c r="V77" s="29" t="str">
        <v>uainn</v>
      </c>
      <c r="W77" s="29" t="str">
        <v>uainn</v>
      </c>
      <c r="X77" s="29" t="str">
        <v>oaiⁿ</v>
      </c>
      <c r="Y77" s="29" t="str">
        <v>nuai</v>
      </c>
      <c r="Z77" s="29" t="str">
        <v>uainn</v>
      </c>
      <c r="AA77" s="29" t="str">
        <v>舒聲
（平/上/去）</v>
      </c>
      <c r="AB77" s="29" t="str">
        <v>閂舒</v>
      </c>
      <c r="AC77" s="29" t="str">
        <v>44</v>
      </c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 spans="2:45" ht="54" customHeight="1">
      <c r="B78" s="30">
        <v>75</v>
      </c>
      <c r="C78" s="31" t="s">
        <v>1418</v>
      </c>
      <c r="D78" s="32" t="s">
        <v>1761</v>
      </c>
      <c r="E78" s="33" t="s">
        <v>1420</v>
      </c>
      <c r="F78" s="34" t="s">
        <v>1421</v>
      </c>
      <c r="G78" s="35" t="s">
        <v>649</v>
      </c>
      <c r="H78" s="36" t="s">
        <v>649</v>
      </c>
      <c r="I78" s="36" t="s">
        <v>649</v>
      </c>
      <c r="J78" s="36" t="s">
        <v>649</v>
      </c>
      <c r="K78" s="36" t="s">
        <v>1762</v>
      </c>
      <c r="L78" s="37" t="s">
        <v>1621</v>
      </c>
      <c r="M78" s="38" t="str">
        <f>韻母對照資料表[[#This Row],[十五音]]&amp;LEFT(韻母對照資料表[[#This Row],[舒促聲]],1)</f>
        <v>鋼舒</v>
      </c>
      <c r="N78" s="39">
        <v>38</v>
      </c>
      <c r="O78" s="40">
        <f>IF(韻母對照資料表[[#This Row],[台語音標]]="", 0, LEN(韻母對照資料表[[#This Row],[台語音標]]))</f>
        <v>2</v>
      </c>
      <c r="P78" s="21"/>
      <c r="Q78" s="29" t="str">
        <v>88</v>
      </c>
      <c r="R78" s="29" t="str">
        <v>蹶</v>
      </c>
      <c r="S78" s="29" t="str">
        <v>uãi?</v>
      </c>
      <c r="T78" s="29" t="str">
        <v>閂</v>
      </c>
      <c r="U78" s="29" t="str">
        <v>ㄨㆮㆷ</v>
      </c>
      <c r="V78" s="29" t="str">
        <v>uaihnn</v>
      </c>
      <c r="W78" s="29" t="str">
        <v>uainnh</v>
      </c>
      <c r="X78" s="29" t="str">
        <v>oaiⁿh</v>
      </c>
      <c r="Y78" s="29" t="str">
        <v>nuaih</v>
      </c>
      <c r="Z78" s="29" t="str">
        <v>uainnh</v>
      </c>
      <c r="AA78" s="29" t="str">
        <v>促聲
（入）</v>
      </c>
      <c r="AB78" s="29" t="str">
        <v>閂促</v>
      </c>
      <c r="AC78" s="29" t="str">
        <v>44</v>
      </c>
      <c r="AD78" s="21"/>
      <c r="AE78" s="21"/>
      <c r="AF78" s="21" t="str">
        <f xml:space="preserve"> IF(AND(MOD(B78,2)&lt;&gt;1, G78&lt;&gt;""), "", _xlfn.CONCAT("""", 韻母對照資料表[[#This Row],[十五音]], """", " : [", """", 韻母對照資料表[[#This Row],[台語音標]], """", ", """, G79, """", "],"))</f>
        <v>"鋼" : ["ng", ""],</v>
      </c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 spans="2:45" ht="54" customHeight="1">
      <c r="B79" s="30">
        <v>76</v>
      </c>
      <c r="C79" s="44">
        <v>0</v>
      </c>
      <c r="D79" s="45">
        <v>0</v>
      </c>
      <c r="E79" s="44">
        <v>0</v>
      </c>
      <c r="F79" s="50">
        <v>0</v>
      </c>
      <c r="G79" s="44"/>
      <c r="H79" s="44">
        <v>0</v>
      </c>
      <c r="I79" s="44">
        <v>0</v>
      </c>
      <c r="J79" s="44">
        <v>0</v>
      </c>
      <c r="K79" s="44"/>
      <c r="L79" s="44">
        <v>0</v>
      </c>
      <c r="M79" s="44">
        <v>0</v>
      </c>
      <c r="N79" s="44">
        <v>0</v>
      </c>
      <c r="O79" s="40">
        <f>IF(韻母對照資料表[[#This Row],[台語音標]]="", 0, LEN(韻母對照資料表[[#This Row],[台語音標]]))</f>
        <v>0</v>
      </c>
      <c r="P79" s="21"/>
      <c r="Q79" s="29" t="str">
        <v>89</v>
      </c>
      <c r="R79" s="29" t="str">
        <v>◯</v>
      </c>
      <c r="S79" s="29" t="str">
        <v>uẽi</v>
      </c>
      <c r="T79" s="29" t="str">
        <v>糜</v>
      </c>
      <c r="U79" s="29" t="str">
        <v>ㄨㆥ</v>
      </c>
      <c r="V79" s="29" t="str">
        <v>uenn</v>
      </c>
      <c r="W79" s="29" t="str">
        <v>uenn</v>
      </c>
      <c r="X79" s="29" t="str">
        <v>oeⁿ</v>
      </c>
      <c r="Y79" s="29" t="str">
        <v>nue</v>
      </c>
      <c r="Z79" s="29" t="str">
        <v>uenn</v>
      </c>
      <c r="AA79" s="29" t="str">
        <v>舒聲
（平/上/去）</v>
      </c>
      <c r="AB79" s="29" t="str">
        <v>糜舒</v>
      </c>
      <c r="AC79" s="29" t="str">
        <v>45</v>
      </c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 spans="2:45" ht="54" customHeight="1">
      <c r="B80" s="30">
        <v>77</v>
      </c>
      <c r="C80" s="31" t="s">
        <v>1763</v>
      </c>
      <c r="D80" s="32" t="s">
        <v>759</v>
      </c>
      <c r="E80" s="33" t="s">
        <v>974</v>
      </c>
      <c r="F80" s="34" t="s">
        <v>1194</v>
      </c>
      <c r="G80" s="35" t="s">
        <v>759</v>
      </c>
      <c r="H80" s="36" t="s">
        <v>759</v>
      </c>
      <c r="I80" s="36" t="s">
        <v>759</v>
      </c>
      <c r="J80" s="36" t="s">
        <v>759</v>
      </c>
      <c r="K80" s="36" t="s">
        <v>1637</v>
      </c>
      <c r="L80" s="37" t="s">
        <v>1621</v>
      </c>
      <c r="M80" s="38" t="str">
        <f>韻母對照資料表[[#This Row],[十五音]]&amp;LEFT(韻母對照資料表[[#This Row],[舒促聲]],1)</f>
        <v>伽舒</v>
      </c>
      <c r="N80" s="39">
        <v>39</v>
      </c>
      <c r="O80" s="40">
        <f>IF(韻母對照資料表[[#This Row],[台語音標]]="", 0, LEN(韻母對照資料表[[#This Row],[台語音標]]))</f>
        <v>1</v>
      </c>
      <c r="P80" s="21"/>
      <c r="Q80" s="29" t="str">
        <v>91</v>
      </c>
      <c r="R80" s="29" t="str">
        <v>鳥</v>
      </c>
      <c r="S80" s="29" t="str">
        <v>iãu</v>
      </c>
      <c r="T80" s="29" t="str">
        <v>嘄</v>
      </c>
      <c r="U80" s="29" t="str">
        <v>ㄧㆯ</v>
      </c>
      <c r="V80" s="29" t="str">
        <v>iaunn</v>
      </c>
      <c r="W80" s="29" t="str">
        <v>iaunn</v>
      </c>
      <c r="X80" s="29" t="str">
        <v>iauⁿ</v>
      </c>
      <c r="Y80" s="29" t="str">
        <v>niao</v>
      </c>
      <c r="Z80" s="29" t="str">
        <v>iaunn</v>
      </c>
      <c r="AA80" s="29" t="str">
        <v>舒聲
（平/上/去）</v>
      </c>
      <c r="AB80" s="29" t="str">
        <v>嘄舒</v>
      </c>
      <c r="AC80" s="29" t="str">
        <v>46</v>
      </c>
      <c r="AD80" s="21"/>
      <c r="AE80" s="21"/>
      <c r="AF80" s="21" t="str">
        <f xml:space="preserve"> IF(AND(MOD(B80,2)&lt;&gt;1, G80&lt;&gt;""), "", _xlfn.CONCAT("""", 韻母對照資料表[[#This Row],[十五音]], """", " : [", """", 韻母對照資料表[[#This Row],[台語音標]], """", ", """, G81, """", "],"))</f>
        <v>"伽" : ["e", "eh"],</v>
      </c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 spans="2:45" ht="54" customHeight="1">
      <c r="B81" s="30">
        <v>78</v>
      </c>
      <c r="C81" s="31" t="s">
        <v>1764</v>
      </c>
      <c r="D81" s="32" t="s">
        <v>1213</v>
      </c>
      <c r="E81" s="33" t="s">
        <v>974</v>
      </c>
      <c r="F81" s="34" t="s">
        <v>1214</v>
      </c>
      <c r="G81" s="35" t="s">
        <v>1209</v>
      </c>
      <c r="H81" s="36" t="s">
        <v>1209</v>
      </c>
      <c r="I81" s="36" t="s">
        <v>1209</v>
      </c>
      <c r="J81" s="36" t="s">
        <v>1209</v>
      </c>
      <c r="K81" s="36" t="s">
        <v>1640</v>
      </c>
      <c r="L81" s="37" t="s">
        <v>1624</v>
      </c>
      <c r="M81" s="38" t="str">
        <f>韻母對照資料表[[#This Row],[十五音]]&amp;LEFT(韻母對照資料表[[#This Row],[舒促聲]],1)</f>
        <v>伽促</v>
      </c>
      <c r="N81" s="39">
        <v>39</v>
      </c>
      <c r="O81" s="40">
        <f>IF(韻母對照資料表[[#This Row],[台語音標]]="", 0, LEN(韻母對照資料表[[#This Row],[台語音標]]))</f>
        <v>2</v>
      </c>
      <c r="P81" s="21"/>
      <c r="Q81" s="29" t="str">
        <v>92</v>
      </c>
      <c r="R81" s="29" t="str">
        <v>◯</v>
      </c>
      <c r="S81" s="29" t="str">
        <v>iãu?</v>
      </c>
      <c r="T81" s="29" t="str">
        <v>嘄</v>
      </c>
      <c r="U81" s="29" t="str">
        <v>ㄧㆯㆷ</v>
      </c>
      <c r="V81" s="29" t="str">
        <v>iauhnn</v>
      </c>
      <c r="W81" s="29" t="str">
        <v>iaunnh</v>
      </c>
      <c r="X81" s="29" t="str">
        <v>iauⁿh</v>
      </c>
      <c r="Y81" s="29" t="str">
        <v>niaoh</v>
      </c>
      <c r="Z81" s="29" t="str">
        <v>iaunnh</v>
      </c>
      <c r="AA81" s="29" t="str">
        <v>促聲
（入）</v>
      </c>
      <c r="AB81" s="29" t="str">
        <v>嘄促</v>
      </c>
      <c r="AC81" s="29" t="str">
        <v>46</v>
      </c>
      <c r="AD81" s="21"/>
      <c r="AE81" s="21"/>
      <c r="AF81" s="21" t="str">
        <f xml:space="preserve"> IF(AND(MOD(B81,2)&lt;&gt;1, G81&lt;&gt;""), "", _xlfn.CONCAT("""", 韻母對照資料表[[#This Row],[十五音]], """", " : [", """", 韻母對照資料表[[#This Row],[台語音標]], """", ", """, G82, """", "],"))</f>
        <v/>
      </c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 spans="2:45" ht="54" customHeight="1">
      <c r="B82" s="30">
        <v>79</v>
      </c>
      <c r="C82" s="51" t="s">
        <v>1765</v>
      </c>
      <c r="D82" s="32" t="s">
        <v>1766</v>
      </c>
      <c r="E82" s="33" t="s">
        <v>1121</v>
      </c>
      <c r="F82" s="34" t="s">
        <v>1122</v>
      </c>
      <c r="G82" s="35" t="s">
        <v>1123</v>
      </c>
      <c r="H82" s="36" t="s">
        <v>1123</v>
      </c>
      <c r="I82" s="36" t="s">
        <v>1767</v>
      </c>
      <c r="J82" s="36" t="s">
        <v>1125</v>
      </c>
      <c r="K82" s="36" t="s">
        <v>1768</v>
      </c>
      <c r="L82" s="37" t="s">
        <v>1621</v>
      </c>
      <c r="M82" s="38" t="str">
        <f>韻母對照資料表[[#This Row],[十五音]]&amp;LEFT(韻母對照資料表[[#This Row],[舒促聲]],1)</f>
        <v>閒舒</v>
      </c>
      <c r="N82" s="39">
        <v>40</v>
      </c>
      <c r="O82" s="40">
        <f>IF(韻母對照資料表[[#This Row],[台語音標]]="", 0, LEN(韻母對照資料表[[#This Row],[台語音標]]))</f>
        <v>4</v>
      </c>
      <c r="P82" s="21"/>
      <c r="Q82" s="29" t="str">
        <v>93</v>
      </c>
      <c r="R82" s="29" t="str">
        <v>丼</v>
      </c>
      <c r="S82" s="29" t="str">
        <v>ɔm</v>
      </c>
      <c r="T82" s="29" t="str">
        <v>箴</v>
      </c>
      <c r="U82" s="29" t="str">
        <v>ㆱ</v>
      </c>
      <c r="V82" s="29" t="str">
        <v>om</v>
      </c>
      <c r="W82" s="29" t="str">
        <v>om</v>
      </c>
      <c r="X82" s="29" t="str">
        <v>om</v>
      </c>
      <c r="Y82" s="29" t="str">
        <v>om</v>
      </c>
      <c r="Z82" s="29" t="str">
        <v>oom</v>
      </c>
      <c r="AA82" s="29" t="str">
        <v>舒聲
（平/上/去）</v>
      </c>
      <c r="AB82" s="29" t="str">
        <v>箴舒</v>
      </c>
      <c r="AC82" s="29" t="str">
        <v>47</v>
      </c>
      <c r="AD82" s="21"/>
      <c r="AE82" s="21"/>
      <c r="AF82" s="21" t="str">
        <f xml:space="preserve"> IF(AND(MOD(B82,2)&lt;&gt;1, G82&lt;&gt;""), "", _xlfn.CONCAT("""", 韻母對照資料表[[#This Row],[十五音]], """", " : [", """", 韻母對照資料表[[#This Row],[台語音標]], """", ", """, G83, """", "],"))</f>
        <v>"閒" : ["ainn", ""],</v>
      </c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 spans="2:45" ht="54" customHeight="1">
      <c r="B83" s="30">
        <v>80</v>
      </c>
      <c r="C83" s="44">
        <v>0</v>
      </c>
      <c r="D83" s="45">
        <v>0</v>
      </c>
      <c r="E83" s="44">
        <v>0</v>
      </c>
      <c r="F83" s="44">
        <v>0</v>
      </c>
      <c r="G83" s="44"/>
      <c r="H83" s="44">
        <v>0</v>
      </c>
      <c r="I83" s="44">
        <v>0</v>
      </c>
      <c r="J83" s="44">
        <v>0</v>
      </c>
      <c r="K83" s="44"/>
      <c r="L83" s="44">
        <v>0</v>
      </c>
      <c r="M83" s="44">
        <v>0</v>
      </c>
      <c r="N83" s="44">
        <v>0</v>
      </c>
      <c r="O83" s="40">
        <f>IF(韻母對照資料表[[#This Row],[台語音標]]="", 0, LEN(韻母對照資料表[[#This Row],[台語音標]]))</f>
        <v>0</v>
      </c>
      <c r="P83" s="21"/>
      <c r="Q83" s="29" t="str">
        <v>94</v>
      </c>
      <c r="R83" s="29" t="str">
        <v>吷</v>
      </c>
      <c r="S83" s="29" t="str">
        <v>ɔp̚</v>
      </c>
      <c r="T83" s="29" t="str">
        <v>箴</v>
      </c>
      <c r="U83" s="29" t="str">
        <v>ㆦㆴ</v>
      </c>
      <c r="V83" s="29" t="str">
        <v>op</v>
      </c>
      <c r="W83" s="29" t="str">
        <v>op</v>
      </c>
      <c r="X83" s="29" t="str">
        <v>op</v>
      </c>
      <c r="Y83" s="29" t="str">
        <v>op</v>
      </c>
      <c r="Z83" s="29" t="str">
        <v>oop</v>
      </c>
      <c r="AA83" s="29" t="str">
        <v>促聲
（入）</v>
      </c>
      <c r="AB83" s="29" t="str">
        <v>箴促</v>
      </c>
      <c r="AC83" s="29" t="str">
        <v>47</v>
      </c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 spans="2:45" ht="54" customHeight="1">
      <c r="B84" s="30">
        <v>81</v>
      </c>
      <c r="C84" s="51" t="s">
        <v>1769</v>
      </c>
      <c r="D84" s="32" t="s">
        <v>1770</v>
      </c>
      <c r="E84" s="33" t="s">
        <v>1476</v>
      </c>
      <c r="F84" s="34" t="s">
        <v>1463</v>
      </c>
      <c r="G84" s="35" t="s">
        <v>1477</v>
      </c>
      <c r="H84" s="36" t="s">
        <v>1771</v>
      </c>
      <c r="I84" s="36" t="s">
        <v>1772</v>
      </c>
      <c r="J84" s="36" t="s">
        <v>1465</v>
      </c>
      <c r="K84" s="36" t="s">
        <v>1773</v>
      </c>
      <c r="L84" s="37" t="s">
        <v>1621</v>
      </c>
      <c r="M84" s="38" t="str">
        <f>韻母對照資料表[[#This Row],[十五音]]&amp;LEFT(韻母對照資料表[[#This Row],[舒促聲]],1)</f>
        <v>姑舒</v>
      </c>
      <c r="N84" s="39">
        <v>41</v>
      </c>
      <c r="O84" s="40">
        <f>IF(韻母對照資料表[[#This Row],[台語音標]]="", 0, LEN(韻母對照資料表[[#This Row],[台語音標]]))</f>
        <v>4</v>
      </c>
      <c r="P84" s="21"/>
      <c r="Q84" s="29" t="str">
        <v>95</v>
      </c>
      <c r="R84" s="29" t="str">
        <v>懸</v>
      </c>
      <c r="S84" s="29" t="str">
        <v>ãu</v>
      </c>
      <c r="T84" s="29" t="str">
        <v>爻</v>
      </c>
      <c r="U84" s="29" t="str">
        <v>ㆯ</v>
      </c>
      <c r="V84" s="29" t="str">
        <v>aunn</v>
      </c>
      <c r="W84" s="29" t="str">
        <v>aunn</v>
      </c>
      <c r="X84" s="29" t="str">
        <v>auⁿ</v>
      </c>
      <c r="Y84" s="29" t="str">
        <v>nao</v>
      </c>
      <c r="Z84" s="29" t="str">
        <v>aunn</v>
      </c>
      <c r="AA84" s="29" t="str">
        <v>舒聲
（平/上/去）</v>
      </c>
      <c r="AB84" s="29" t="str">
        <v>爻舒</v>
      </c>
      <c r="AC84" s="29" t="str">
        <v>48</v>
      </c>
      <c r="AD84" s="21"/>
      <c r="AE84" s="21"/>
      <c r="AF84" s="21" t="str">
        <f xml:space="preserve"> IF(AND(MOD(B84,2)&lt;&gt;1, G84&lt;&gt;""), "", _xlfn.CONCAT("""", 韻母對照資料表[[#This Row],[十五音]], """", " : [", """", 韻母對照資料表[[#This Row],[台語音標]], """", ", """, G85, """", "],"))</f>
        <v>"姑" : ["oonn", ""],</v>
      </c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 spans="2:45" ht="54" customHeight="1">
      <c r="B85" s="30">
        <v>82</v>
      </c>
      <c r="C85" s="44">
        <v>0</v>
      </c>
      <c r="D85" s="45">
        <v>0</v>
      </c>
      <c r="E85" s="44">
        <v>0</v>
      </c>
      <c r="F85" s="50">
        <v>0</v>
      </c>
      <c r="G85" s="44"/>
      <c r="H85" s="44">
        <v>0</v>
      </c>
      <c r="I85" s="44">
        <v>0</v>
      </c>
      <c r="J85" s="44">
        <v>0</v>
      </c>
      <c r="K85" s="44"/>
      <c r="L85" s="44">
        <v>0</v>
      </c>
      <c r="M85" s="44">
        <v>0</v>
      </c>
      <c r="N85" s="44">
        <v>0</v>
      </c>
      <c r="O85" s="40">
        <f>IF(韻母對照資料表[[#This Row],[台語音標]]="", 0, LEN(韻母對照資料表[[#This Row],[台語音標]]))</f>
        <v>0</v>
      </c>
      <c r="P85" s="21"/>
      <c r="Q85" s="29" t="str">
        <v>97</v>
      </c>
      <c r="R85" s="29" t="str">
        <v>呼</v>
      </c>
      <c r="S85" s="29" t="str">
        <v>õ</v>
      </c>
      <c r="T85" s="29" t="str">
        <v>扛</v>
      </c>
      <c r="U85" s="29" t="str">
        <v>ㆧ</v>
      </c>
      <c r="V85" s="29" t="str">
        <v>onn</v>
      </c>
      <c r="W85" s="29" t="str">
        <v>onn</v>
      </c>
      <c r="X85" s="29" t="str">
        <v>on</v>
      </c>
      <c r="Y85" s="29" t="str">
        <v>noo</v>
      </c>
      <c r="Z85" s="29" t="str">
        <v>ornn</v>
      </c>
      <c r="AA85" s="29" t="str">
        <v>舒聲
（平/上/去）</v>
      </c>
      <c r="AB85" s="29" t="str">
        <v>扛舒</v>
      </c>
      <c r="AC85" s="29" t="str">
        <v>49</v>
      </c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 spans="2:45" ht="54" customHeight="1">
      <c r="B86" s="30">
        <v>83</v>
      </c>
      <c r="C86" s="31" t="s">
        <v>1413</v>
      </c>
      <c r="D86" s="32" t="s">
        <v>1414</v>
      </c>
      <c r="E86" s="33" t="s">
        <v>1413</v>
      </c>
      <c r="F86" s="34" t="s">
        <v>1415</v>
      </c>
      <c r="G86" s="35" t="s">
        <v>1030</v>
      </c>
      <c r="H86" s="36" t="s">
        <v>1030</v>
      </c>
      <c r="I86" s="36" t="s">
        <v>1030</v>
      </c>
      <c r="J86" s="36" t="s">
        <v>1030</v>
      </c>
      <c r="K86" s="36" t="s">
        <v>1774</v>
      </c>
      <c r="L86" s="37" t="s">
        <v>1621</v>
      </c>
      <c r="M86" s="38" t="str">
        <f>韻母對照資料表[[#This Row],[十五音]]&amp;LEFT(韻母對照資料表[[#This Row],[舒促聲]],1)</f>
        <v>姆舒</v>
      </c>
      <c r="N86" s="39">
        <v>42</v>
      </c>
      <c r="O86" s="40">
        <f>IF(韻母對照資料表[[#This Row],[台語音標]]="", 0, LEN(韻母對照資料表[[#This Row],[台語音標]]))</f>
        <v>1</v>
      </c>
      <c r="P86" s="21"/>
      <c r="Q86" s="29" t="str">
        <v>98</v>
      </c>
      <c r="R86" s="29" t="str">
        <v>◯</v>
      </c>
      <c r="S86" s="29" t="str">
        <v>õʔ</v>
      </c>
      <c r="T86" s="29" t="str">
        <v>扛</v>
      </c>
      <c r="U86" s="29" t="str">
        <v>ㆧㆷ</v>
      </c>
      <c r="V86" s="29" t="str">
        <v>ohnn</v>
      </c>
      <c r="W86" s="29" t="str">
        <v>onnh</v>
      </c>
      <c r="X86" s="29" t="str">
        <v>onh</v>
      </c>
      <c r="Y86" s="29" t="str">
        <v>nooh</v>
      </c>
      <c r="Z86" s="29" t="str">
        <v>uenn</v>
      </c>
      <c r="AA86" s="29" t="str">
        <v>促聲
（入）</v>
      </c>
      <c r="AB86" s="29" t="str">
        <v>扛促</v>
      </c>
      <c r="AC86" s="29" t="str">
        <v>49</v>
      </c>
      <c r="AD86" s="21"/>
      <c r="AE86" s="21"/>
      <c r="AF86" s="21" t="str">
        <f xml:space="preserve"> IF(AND(MOD(B86,2)&lt;&gt;1, G86&lt;&gt;""), "", _xlfn.CONCAT("""", 韻母對照資料表[[#This Row],[十五音]], """", " : [", """", 韻母對照資料表[[#This Row],[台語音標]], """", ", """, G87, """", "],"))</f>
        <v>"姆" : ["m", ""],</v>
      </c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 spans="2:45" ht="54" customHeight="1">
      <c r="B87" s="30">
        <v>84</v>
      </c>
      <c r="C87" s="44">
        <v>0</v>
      </c>
      <c r="D87" s="45">
        <v>0</v>
      </c>
      <c r="E87" s="44">
        <v>0</v>
      </c>
      <c r="F87" s="44">
        <v>0</v>
      </c>
      <c r="G87" s="44"/>
      <c r="H87" s="44">
        <v>0</v>
      </c>
      <c r="I87" s="44">
        <v>0</v>
      </c>
      <c r="J87" s="44">
        <v>0</v>
      </c>
      <c r="K87" s="44"/>
      <c r="L87" s="44">
        <v>0</v>
      </c>
      <c r="M87" s="44">
        <v>0</v>
      </c>
      <c r="N87" s="44">
        <v>0</v>
      </c>
      <c r="O87" s="40">
        <f>IF(韻母對照資料表[[#This Row],[台語音標]]="", 0, LEN(韻母對照資料表[[#This Row],[台語音標]]))</f>
        <v>0</v>
      </c>
      <c r="P87" s="21"/>
      <c r="Q87" s="29" t="str">
        <v>99</v>
      </c>
      <c r="R87" s="29" t="str">
        <v>香</v>
      </c>
      <c r="S87" s="29" t="str">
        <v>ĩu</v>
      </c>
      <c r="T87" s="29" t="str">
        <v>牛</v>
      </c>
      <c r="U87" s="29" t="str">
        <v>ㄧㆫ</v>
      </c>
      <c r="V87" s="29" t="str">
        <v>iunn</v>
      </c>
      <c r="W87" s="29" t="str">
        <v>iunn</v>
      </c>
      <c r="X87" s="29" t="str">
        <v>iuⁿ</v>
      </c>
      <c r="Y87" s="29" t="str">
        <v>niu</v>
      </c>
      <c r="Z87" s="29" t="str">
        <v>iunn</v>
      </c>
      <c r="AA87" s="29" t="str">
        <v>舒聲
（平/上/去）</v>
      </c>
      <c r="AB87" s="29" t="str">
        <v>牛舒</v>
      </c>
      <c r="AC87" s="29" t="str">
        <v>50</v>
      </c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 spans="2:45" ht="54" customHeight="1">
      <c r="B88" s="30">
        <v>85</v>
      </c>
      <c r="C88" s="31" t="s">
        <v>1541</v>
      </c>
      <c r="D88" s="32" t="s">
        <v>1775</v>
      </c>
      <c r="E88" s="33" t="s">
        <v>120</v>
      </c>
      <c r="F88" s="34" t="s">
        <v>1543</v>
      </c>
      <c r="G88" s="35" t="s">
        <v>1544</v>
      </c>
      <c r="H88" s="36" t="s">
        <v>1544</v>
      </c>
      <c r="I88" s="36" t="s">
        <v>1545</v>
      </c>
      <c r="J88" s="36" t="s">
        <v>1544</v>
      </c>
      <c r="K88" s="36" t="s">
        <v>1776</v>
      </c>
      <c r="L88" s="37" t="s">
        <v>1621</v>
      </c>
      <c r="M88" s="38" t="str">
        <f>韻母對照資料表[[#This Row],[十五音]]&amp;LEFT(韻母對照資料表[[#This Row],[舒促聲]],1)</f>
        <v>光舒</v>
      </c>
      <c r="N88" s="39">
        <v>43</v>
      </c>
      <c r="O88" s="40">
        <f>IF(韻母對照資料表[[#This Row],[台語音標]]="", 0, LEN(韻母對照資料表[[#This Row],[台語音標]]))</f>
        <v>4</v>
      </c>
      <c r="P88" s="21"/>
      <c r="Q88" s="21"/>
      <c r="R88" s="21"/>
      <c r="S88" s="21"/>
      <c r="T88" s="21"/>
      <c r="U88" s="21"/>
      <c r="V88" s="21"/>
      <c r="W88" s="21"/>
      <c r="X88" s="21"/>
      <c r="Y88" s="21"/>
      <c r="AA88" s="21"/>
      <c r="AB88" s="21"/>
      <c r="AC88" s="21"/>
      <c r="AD88" s="21"/>
      <c r="AE88" s="21"/>
      <c r="AF88" s="21" t="str">
        <f xml:space="preserve"> IF(AND(MOD(B88,2)&lt;&gt;1, G88&lt;&gt;""), "", _xlfn.CONCAT("""", 韻母對照資料表[[#This Row],[十五音]], """", " : [", """", 韻母對照資料表[[#This Row],[台語音標]], """", ", """, G89, """", "],"))</f>
        <v>"光" : ["uang", "uak"],</v>
      </c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 spans="2:45" ht="54" customHeight="1">
      <c r="B89" s="30">
        <v>86</v>
      </c>
      <c r="C89" s="51" t="s">
        <v>1777</v>
      </c>
      <c r="D89" s="32" t="s">
        <v>1531</v>
      </c>
      <c r="E89" s="33" t="s">
        <v>120</v>
      </c>
      <c r="F89" s="34" t="s">
        <v>1532</v>
      </c>
      <c r="G89" s="35" t="s">
        <v>1533</v>
      </c>
      <c r="H89" s="36" t="s">
        <v>1533</v>
      </c>
      <c r="I89" s="36" t="s">
        <v>1534</v>
      </c>
      <c r="J89" s="36" t="s">
        <v>1533</v>
      </c>
      <c r="K89" s="36" t="s">
        <v>1778</v>
      </c>
      <c r="L89" s="37" t="s">
        <v>1624</v>
      </c>
      <c r="M89" s="38" t="str">
        <f>韻母對照資料表[[#This Row],[十五音]]&amp;LEFT(韻母對照資料表[[#This Row],[舒促聲]],1)</f>
        <v>光促</v>
      </c>
      <c r="N89" s="39">
        <v>43</v>
      </c>
      <c r="O89" s="40">
        <f>IF(韻母對照資料表[[#This Row],[台語音標]]="", 0, LEN(韻母對照資料表[[#This Row],[台語音標]]))</f>
        <v>3</v>
      </c>
      <c r="P89" s="21"/>
      <c r="Q89" s="21"/>
      <c r="R89" s="21"/>
      <c r="S89" s="21"/>
      <c r="T89" s="21"/>
      <c r="U89" s="21"/>
      <c r="V89" s="21"/>
      <c r="W89" s="21"/>
      <c r="X89" s="21"/>
      <c r="Y89" s="21"/>
      <c r="AA89" s="21"/>
      <c r="AB89" s="21"/>
      <c r="AC89" s="21"/>
      <c r="AD89" s="21"/>
      <c r="AE89" s="21"/>
      <c r="AF89" s="21" t="str">
        <f xml:space="preserve"> IF(AND(MOD(B89,2)&lt;&gt;1, G89&lt;&gt;""), "", _xlfn.CONCAT("""", 韻母對照資料表[[#This Row],[十五音]], """", " : [", """", 韻母對照資料表[[#This Row],[台語音標]], """", ", """, G90, """", "],"))</f>
        <v/>
      </c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 spans="2:45" ht="54" customHeight="1">
      <c r="B90" s="30">
        <v>87</v>
      </c>
      <c r="C90" s="31" t="s">
        <v>1522</v>
      </c>
      <c r="D90" s="32" t="s">
        <v>1779</v>
      </c>
      <c r="E90" s="33" t="s">
        <v>1514</v>
      </c>
      <c r="F90" s="34" t="s">
        <v>1524</v>
      </c>
      <c r="G90" s="35" t="s">
        <v>1525</v>
      </c>
      <c r="H90" s="36" t="s">
        <v>1525</v>
      </c>
      <c r="I90" s="36" t="s">
        <v>1780</v>
      </c>
      <c r="J90" s="36" t="s">
        <v>1527</v>
      </c>
      <c r="K90" s="36" t="s">
        <v>1781</v>
      </c>
      <c r="L90" s="37" t="s">
        <v>1621</v>
      </c>
      <c r="M90" s="38" t="str">
        <f>韻母對照資料表[[#This Row],[十五音]]&amp;LEFT(韻母對照資料表[[#This Row],[舒促聲]],1)</f>
        <v>閂舒</v>
      </c>
      <c r="N90" s="39">
        <v>44</v>
      </c>
      <c r="O90" s="40">
        <f>IF(韻母對照資料表[[#This Row],[台語音標]]="", 0, LEN(韻母對照資料表[[#This Row],[台語音標]]))</f>
        <v>5</v>
      </c>
      <c r="P90" s="21"/>
      <c r="Q90" s="21"/>
      <c r="R90" s="21"/>
      <c r="S90" s="21"/>
      <c r="T90" s="21"/>
      <c r="U90" s="21"/>
      <c r="V90" s="21"/>
      <c r="W90" s="21"/>
      <c r="X90" s="21"/>
      <c r="Y90" s="21"/>
      <c r="AA90" s="21"/>
      <c r="AB90" s="21"/>
      <c r="AC90" s="21"/>
      <c r="AD90" s="21"/>
      <c r="AE90" s="21"/>
      <c r="AF90" s="21" t="str">
        <f xml:space="preserve"> IF(AND(MOD(B90,2)&lt;&gt;1, G90&lt;&gt;""), "", _xlfn.CONCAT("""", 韻母對照資料表[[#This Row],[十五音]], """", " : [", """", 韻母對照資料表[[#This Row],[台語音標]], """", ", """, G91, """", "],"))</f>
        <v>"閂" : ["uainn", "uaihnn"],</v>
      </c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 spans="2:45" ht="54" customHeight="1">
      <c r="B91" s="30">
        <v>88</v>
      </c>
      <c r="C91" s="52" t="s">
        <v>1782</v>
      </c>
      <c r="D91" s="32" t="s">
        <v>1783</v>
      </c>
      <c r="E91" s="33" t="s">
        <v>1514</v>
      </c>
      <c r="F91" s="34" t="s">
        <v>1515</v>
      </c>
      <c r="G91" s="35" t="s">
        <v>1516</v>
      </c>
      <c r="H91" s="36" t="s">
        <v>1517</v>
      </c>
      <c r="I91" s="36" t="s">
        <v>1784</v>
      </c>
      <c r="J91" s="36" t="s">
        <v>1519</v>
      </c>
      <c r="K91" s="36" t="s">
        <v>1785</v>
      </c>
      <c r="L91" s="37" t="s">
        <v>1624</v>
      </c>
      <c r="M91" s="38" t="str">
        <f>韻母對照資料表[[#This Row],[十五音]]&amp;LEFT(韻母對照資料表[[#This Row],[舒促聲]],1)</f>
        <v>閂促</v>
      </c>
      <c r="N91" s="39">
        <v>44</v>
      </c>
      <c r="O91" s="40">
        <f>IF(韻母對照資料表[[#This Row],[台語音標]]="", 0, LEN(韻母對照資料表[[#This Row],[台語音標]]))</f>
        <v>6</v>
      </c>
      <c r="P91" s="21"/>
      <c r="Q91" s="21"/>
      <c r="R91" s="21"/>
      <c r="S91" s="21"/>
      <c r="T91" s="21"/>
      <c r="U91" s="21"/>
      <c r="V91" s="21"/>
      <c r="W91" s="21"/>
      <c r="X91" s="21"/>
      <c r="Y91" s="21"/>
      <c r="AA91" s="21"/>
      <c r="AB91" s="21"/>
      <c r="AC91" s="21"/>
      <c r="AD91" s="21"/>
      <c r="AE91" s="21"/>
      <c r="AF91" s="21" t="str">
        <f xml:space="preserve"> IF(AND(MOD(B91,2)&lt;&gt;1, G91&lt;&gt;""), "", _xlfn.CONCAT("""", 韻母對照資料表[[#This Row],[十五音]], """", " : [", """", 韻母對照資料表[[#This Row],[台語音標]], """", ", """, G92, """", "],"))</f>
        <v/>
      </c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 spans="2:45" ht="54" customHeight="1">
      <c r="B92" s="30">
        <v>89</v>
      </c>
      <c r="C92" s="51" t="s">
        <v>1300</v>
      </c>
      <c r="D92" s="32" t="s">
        <v>1786</v>
      </c>
      <c r="E92" s="33" t="s">
        <v>1574</v>
      </c>
      <c r="F92" s="34" t="s">
        <v>1575</v>
      </c>
      <c r="G92" s="35" t="s">
        <v>1441</v>
      </c>
      <c r="H92" s="36" t="s">
        <v>1441</v>
      </c>
      <c r="I92" s="36" t="s">
        <v>1787</v>
      </c>
      <c r="J92" s="36" t="s">
        <v>1577</v>
      </c>
      <c r="K92" s="54" t="s">
        <v>1788</v>
      </c>
      <c r="L92" s="37" t="s">
        <v>1621</v>
      </c>
      <c r="M92" s="38" t="str">
        <f>韻母對照資料表[[#This Row],[十五音]]&amp;LEFT(韻母對照資料表[[#This Row],[舒促聲]],1)</f>
        <v>糜舒</v>
      </c>
      <c r="N92" s="39">
        <v>45</v>
      </c>
      <c r="O92" s="40">
        <f>IF(韻母對照資料表[[#This Row],[台語音標]]="", 0, LEN(韻母對照資料表[[#This Row],[台語音標]]))</f>
        <v>4</v>
      </c>
      <c r="P92" s="21"/>
      <c r="Q92" s="21"/>
      <c r="R92" s="21"/>
      <c r="S92" s="21"/>
      <c r="T92" s="21"/>
      <c r="U92" s="21"/>
      <c r="V92" s="21"/>
      <c r="W92" s="21"/>
      <c r="X92" s="21"/>
      <c r="Y92" s="21"/>
      <c r="AA92" s="21"/>
      <c r="AB92" s="21"/>
      <c r="AC92" s="21"/>
      <c r="AD92" s="21"/>
      <c r="AE92" s="21"/>
      <c r="AF92" s="21" t="str">
        <f xml:space="preserve"> IF(AND(MOD(B92,2)&lt;&gt;1, G92&lt;&gt;""), "", _xlfn.CONCAT("""", 韻母對照資料表[[#This Row],[十五音]], """", " : [", """", 韻母對照資料表[[#This Row],[台語音標]], """", ", """, G93, """", "],"))</f>
        <v>"糜" : ["uenn", ""],</v>
      </c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 spans="2:45" ht="54" customHeight="1">
      <c r="B93" s="30">
        <v>90</v>
      </c>
      <c r="C93" s="44">
        <v>0</v>
      </c>
      <c r="D93" s="32" t="s">
        <v>1789</v>
      </c>
      <c r="E93" s="44">
        <v>0</v>
      </c>
      <c r="F93" s="50">
        <v>0</v>
      </c>
      <c r="G93" s="44"/>
      <c r="H93" s="44">
        <v>0</v>
      </c>
      <c r="I93" s="44">
        <v>0</v>
      </c>
      <c r="J93" s="44">
        <v>0</v>
      </c>
      <c r="K93" s="44"/>
      <c r="L93" s="44">
        <v>0</v>
      </c>
      <c r="M93" s="44">
        <v>0</v>
      </c>
      <c r="N93" s="44">
        <v>0</v>
      </c>
      <c r="O93" s="40">
        <f>IF(韻母對照資料表[[#This Row],[台語音標]]="", 0, LEN(韻母對照資料表[[#This Row],[台語音標]]))</f>
        <v>0</v>
      </c>
      <c r="P93" s="21"/>
      <c r="Q93" s="21"/>
      <c r="R93" s="21"/>
      <c r="S93" s="21"/>
      <c r="T93" s="21"/>
      <c r="U93" s="21"/>
      <c r="V93" s="21"/>
      <c r="W93" s="21"/>
      <c r="X93" s="21"/>
      <c r="Y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 spans="2:45" ht="54" customHeight="1">
      <c r="B94" s="30">
        <v>91</v>
      </c>
      <c r="C94" s="43" t="s">
        <v>1310</v>
      </c>
      <c r="D94" s="32" t="s">
        <v>1790</v>
      </c>
      <c r="E94" s="33" t="s">
        <v>1302</v>
      </c>
      <c r="F94" s="34" t="s">
        <v>1312</v>
      </c>
      <c r="G94" s="35" t="s">
        <v>1313</v>
      </c>
      <c r="H94" s="36" t="s">
        <v>1313</v>
      </c>
      <c r="I94" s="36" t="s">
        <v>1791</v>
      </c>
      <c r="J94" s="36" t="s">
        <v>1315</v>
      </c>
      <c r="K94" s="36" t="s">
        <v>1792</v>
      </c>
      <c r="L94" s="37" t="s">
        <v>1621</v>
      </c>
      <c r="M94" s="38" t="str">
        <f>韻母對照資料表[[#This Row],[十五音]]&amp;LEFT(韻母對照資料表[[#This Row],[舒促聲]],1)</f>
        <v>嘄舒</v>
      </c>
      <c r="N94" s="39">
        <v>46</v>
      </c>
      <c r="O94" s="40">
        <f>IF(韻母對照資料表[[#This Row],[台語音標]]="", 0, LEN(韻母對照資料表[[#This Row],[台語音標]]))</f>
        <v>5</v>
      </c>
      <c r="P94" s="21"/>
      <c r="Q94" s="21"/>
      <c r="R94" s="21"/>
      <c r="S94" s="21"/>
      <c r="T94" s="21"/>
      <c r="U94" s="21"/>
      <c r="V94" s="21"/>
      <c r="W94" s="21"/>
      <c r="X94" s="21"/>
      <c r="Y94" s="21"/>
      <c r="AA94" s="21"/>
      <c r="AB94" s="21"/>
      <c r="AC94" s="21"/>
      <c r="AD94" s="21"/>
      <c r="AE94" s="21"/>
      <c r="AF94" s="21" t="str">
        <f xml:space="preserve"> IF(AND(MOD(B94,2)&lt;&gt;1, G94&lt;&gt;""), "", _xlfn.CONCAT("""", 韻母對照資料表[[#This Row],[十五音]], """", " : [", """", 韻母對照資料表[[#This Row],[台語音標]], """", ", """, G95, """", "],"))</f>
        <v>"嘄" : ["iaunn", "iauhnn"],</v>
      </c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 spans="2:45" ht="54" customHeight="1">
      <c r="B95" s="30">
        <v>92</v>
      </c>
      <c r="C95" s="31" t="s">
        <v>1300</v>
      </c>
      <c r="D95" s="32" t="s">
        <v>1793</v>
      </c>
      <c r="E95" s="33" t="s">
        <v>1302</v>
      </c>
      <c r="F95" s="34" t="s">
        <v>1303</v>
      </c>
      <c r="G95" s="35" t="s">
        <v>1304</v>
      </c>
      <c r="H95" s="36" t="s">
        <v>1305</v>
      </c>
      <c r="I95" s="36" t="s">
        <v>1794</v>
      </c>
      <c r="J95" s="36" t="s">
        <v>1307</v>
      </c>
      <c r="K95" s="36" t="s">
        <v>1795</v>
      </c>
      <c r="L95" s="37" t="s">
        <v>1624</v>
      </c>
      <c r="M95" s="38" t="str">
        <f>韻母對照資料表[[#This Row],[十五音]]&amp;LEFT(韻母對照資料表[[#This Row],[舒促聲]],1)</f>
        <v>嘄促</v>
      </c>
      <c r="N95" s="39">
        <v>46</v>
      </c>
      <c r="O95" s="40">
        <f>IF(韻母對照資料表[[#This Row],[台語音標]]="", 0, LEN(韻母對照資料表[[#This Row],[台語音標]]))</f>
        <v>6</v>
      </c>
      <c r="P95" s="21"/>
      <c r="Q95" s="21"/>
      <c r="R95" s="21"/>
      <c r="S95" s="21"/>
      <c r="T95" s="21"/>
      <c r="U95" s="21"/>
      <c r="V95" s="21"/>
      <c r="W95" s="21"/>
      <c r="X95" s="21"/>
      <c r="Y95" s="21"/>
      <c r="AA95" s="21"/>
      <c r="AB95" s="21"/>
      <c r="AC95" s="21"/>
      <c r="AD95" s="21"/>
      <c r="AE95" s="21"/>
      <c r="AF95" s="21" t="str">
        <f xml:space="preserve"> IF(AND(MOD(B95,2)&lt;&gt;1, G95&lt;&gt;""), "", _xlfn.CONCAT("""", 韻母對照資料表[[#This Row],[十五音]], """", " : [", """", 韻母對照資料表[[#This Row],[台語音標]], """", ", """, G96, """", "],"))</f>
        <v/>
      </c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 spans="2:45" ht="54" customHeight="1">
      <c r="B96" s="30">
        <v>93</v>
      </c>
      <c r="C96" s="43" t="s">
        <v>1796</v>
      </c>
      <c r="D96" s="32" t="s">
        <v>1797</v>
      </c>
      <c r="E96" s="33" t="s">
        <v>1452</v>
      </c>
      <c r="F96" s="34" t="s">
        <v>1453</v>
      </c>
      <c r="G96" s="35" t="s">
        <v>1454</v>
      </c>
      <c r="H96" s="36" t="s">
        <v>1454</v>
      </c>
      <c r="I96" s="36" t="s">
        <v>1454</v>
      </c>
      <c r="J96" s="36" t="s">
        <v>1454</v>
      </c>
      <c r="K96" s="36" t="s">
        <v>1798</v>
      </c>
      <c r="L96" s="37" t="s">
        <v>1621</v>
      </c>
      <c r="M96" s="38" t="str">
        <f>韻母對照資料表[[#This Row],[十五音]]&amp;LEFT(韻母對照資料表[[#This Row],[舒促聲]],1)</f>
        <v>箴舒</v>
      </c>
      <c r="N96" s="39">
        <v>47</v>
      </c>
      <c r="O96" s="40">
        <f>IF(韻母對照資料表[[#This Row],[台語音標]]="", 0, LEN(韻母對照資料表[[#This Row],[台語音標]]))</f>
        <v>2</v>
      </c>
      <c r="P96" s="21"/>
      <c r="Q96" s="21"/>
      <c r="R96" s="21"/>
      <c r="S96" s="21"/>
      <c r="T96" s="21"/>
      <c r="U96" s="21"/>
      <c r="V96" s="21"/>
      <c r="W96" s="21"/>
      <c r="X96" s="21"/>
      <c r="Y96" s="21"/>
      <c r="AA96" s="21"/>
      <c r="AB96" s="21"/>
      <c r="AC96" s="21"/>
      <c r="AD96" s="21"/>
      <c r="AE96" s="21"/>
      <c r="AF96" s="21" t="str">
        <f xml:space="preserve"> IF(AND(MOD(B96,2)&lt;&gt;1, G96&lt;&gt;""), "", _xlfn.CONCAT("""", 韻母對照資料表[[#This Row],[十五音]], """", " : [", """", 韻母對照資料表[[#This Row],[台語音標]], """", ", """, G97, """", "],"))</f>
        <v>"箴" : ["om", "op"],</v>
      </c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 spans="2:45" ht="54" customHeight="1">
      <c r="B97" s="30">
        <v>94</v>
      </c>
      <c r="C97" s="31" t="s">
        <v>1799</v>
      </c>
      <c r="D97" s="32" t="s">
        <v>1800</v>
      </c>
      <c r="E97" s="33" t="s">
        <v>1452</v>
      </c>
      <c r="F97" s="34" t="s">
        <v>1483</v>
      </c>
      <c r="G97" s="35" t="s">
        <v>1484</v>
      </c>
      <c r="H97" s="36" t="s">
        <v>1484</v>
      </c>
      <c r="I97" s="36" t="s">
        <v>1484</v>
      </c>
      <c r="J97" s="36" t="s">
        <v>1484</v>
      </c>
      <c r="K97" s="36" t="s">
        <v>1801</v>
      </c>
      <c r="L97" s="37" t="s">
        <v>1624</v>
      </c>
      <c r="M97" s="38" t="str">
        <f>韻母對照資料表[[#This Row],[十五音]]&amp;LEFT(韻母對照資料表[[#This Row],[舒促聲]],1)</f>
        <v>箴促</v>
      </c>
      <c r="N97" s="39">
        <v>47</v>
      </c>
      <c r="O97" s="40">
        <f>IF(韻母對照資料表[[#This Row],[台語音標]]="", 0, LEN(韻母對照資料表[[#This Row],[台語音標]]))</f>
        <v>2</v>
      </c>
      <c r="P97" s="21"/>
      <c r="Q97" s="21"/>
      <c r="R97" s="21"/>
      <c r="S97" s="21"/>
      <c r="T97" s="21"/>
      <c r="U97" s="21"/>
      <c r="V97" s="21"/>
      <c r="W97" s="21"/>
      <c r="X97" s="21"/>
      <c r="Y97" s="21"/>
      <c r="AA97" s="21"/>
      <c r="AB97" s="21"/>
      <c r="AC97" s="21"/>
      <c r="AD97" s="21"/>
      <c r="AE97" s="21"/>
      <c r="AF97" s="21" t="str">
        <f xml:space="preserve"> IF(AND(MOD(B97,2)&lt;&gt;1, G97&lt;&gt;""), "", _xlfn.CONCAT("""", 韻母對照資料表[[#This Row],[十五音]], """", " : [", """", 韻母對照資料表[[#This Row],[台語音標]], """", ", """, G98, """", "],"))</f>
        <v/>
      </c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 spans="2:45" ht="54" customHeight="1">
      <c r="B98" s="30">
        <v>95</v>
      </c>
      <c r="C98" s="52" t="s">
        <v>1802</v>
      </c>
      <c r="D98" s="32" t="s">
        <v>1803</v>
      </c>
      <c r="E98" s="33" t="s">
        <v>1185</v>
      </c>
      <c r="F98" s="34" t="s">
        <v>1186</v>
      </c>
      <c r="G98" s="35" t="s">
        <v>1187</v>
      </c>
      <c r="H98" s="36" t="s">
        <v>1187</v>
      </c>
      <c r="I98" s="36" t="s">
        <v>1804</v>
      </c>
      <c r="J98" s="36" t="s">
        <v>1189</v>
      </c>
      <c r="K98" s="55" t="s">
        <v>1805</v>
      </c>
      <c r="L98" s="37" t="s">
        <v>1621</v>
      </c>
      <c r="M98" s="38" t="str">
        <f>韻母對照資料表[[#This Row],[十五音]]&amp;LEFT(韻母對照資料表[[#This Row],[舒促聲]],1)</f>
        <v>爻舒</v>
      </c>
      <c r="N98" s="39">
        <v>48</v>
      </c>
      <c r="O98" s="40">
        <f>IF(韻母對照資料表[[#This Row],[台語音標]]="", 0, LEN(韻母對照資料表[[#This Row],[台語音標]]))</f>
        <v>4</v>
      </c>
      <c r="P98" s="21"/>
      <c r="Q98" s="21"/>
      <c r="R98" s="21"/>
      <c r="S98" s="21"/>
      <c r="T98" s="21"/>
      <c r="U98" s="21"/>
      <c r="V98" s="21"/>
      <c r="W98" s="21"/>
      <c r="X98" s="21"/>
      <c r="Y98" s="21"/>
      <c r="AA98" s="21"/>
      <c r="AB98" s="21"/>
      <c r="AC98" s="21"/>
      <c r="AD98" s="21"/>
      <c r="AE98" s="21"/>
      <c r="AF98" s="21" t="str">
        <f xml:space="preserve"> IF(AND(MOD(B98,2)&lt;&gt;1, G98&lt;&gt;""), "", _xlfn.CONCAT("""", 韻母對照資料表[[#This Row],[十五音]], """", " : [", """", 韻母對照資料表[[#This Row],[台語音標]], """", ", """, G99, """", "],"))</f>
        <v>"爻" : ["aunn", ""],</v>
      </c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 spans="2:45" ht="54" customHeight="1">
      <c r="B99" s="30">
        <v>96</v>
      </c>
      <c r="C99" s="44"/>
      <c r="D99" s="45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0">
        <f>IF(韻母對照資料表[[#This Row],[台語音標]]="", 0, LEN(韻母對照資料表[[#This Row],[台語音標]]))</f>
        <v>0</v>
      </c>
      <c r="P99" s="21"/>
      <c r="Q99" s="21"/>
      <c r="R99" s="21"/>
      <c r="S99" s="21"/>
      <c r="T99" s="21"/>
      <c r="U99" s="21"/>
      <c r="V99" s="21"/>
      <c r="W99" s="21"/>
      <c r="X99" s="21"/>
      <c r="Y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 spans="2:45" ht="54" customHeight="1">
      <c r="B100" s="30">
        <v>97</v>
      </c>
      <c r="C100" s="43" t="s">
        <v>1806</v>
      </c>
      <c r="D100" s="56" t="s">
        <v>1462</v>
      </c>
      <c r="E100" s="33" t="s">
        <v>1009</v>
      </c>
      <c r="F100" s="54" t="s">
        <v>1807</v>
      </c>
      <c r="G100" s="54" t="s">
        <v>1808</v>
      </c>
      <c r="H100" s="54" t="s">
        <v>1808</v>
      </c>
      <c r="I100" s="48" t="s">
        <v>1809</v>
      </c>
      <c r="J100" s="54" t="s">
        <v>1810</v>
      </c>
      <c r="K100" s="54" t="s">
        <v>1811</v>
      </c>
      <c r="L100" s="37" t="s">
        <v>1621</v>
      </c>
      <c r="M100" s="38" t="str">
        <f>韻母對照資料表[[#This Row],[十五音]]&amp;LEFT(韻母對照資料表[[#This Row],[舒促聲]],1)</f>
        <v>扛舒</v>
      </c>
      <c r="N100" s="39">
        <v>49</v>
      </c>
      <c r="O100" s="40">
        <f>IF(韻母對照資料表[[#This Row],[台語音標]]="", 0, LEN(韻母對照資料表[[#This Row],[台語音標]]))</f>
        <v>3</v>
      </c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AA100" s="21"/>
      <c r="AB100" s="21"/>
      <c r="AC100" s="21"/>
      <c r="AD100" s="21"/>
      <c r="AE100" s="21"/>
      <c r="AF100" s="21" t="str">
        <f xml:space="preserve"> IF(AND(MOD(B100,2)&lt;&gt;1, G100&lt;&gt;""), "", _xlfn.CONCAT("""", 韻母對照資料表[[#This Row],[十五音]], """", " : [", """", 韻母對照資料表[[#This Row],[台語音標]], """", ", """, G101, """", "],"))</f>
        <v>"扛" : ["onn", "ohnn"],</v>
      </c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 spans="2:45" ht="54" customHeight="1">
      <c r="B101" s="30">
        <v>98</v>
      </c>
      <c r="C101" s="31" t="s">
        <v>1300</v>
      </c>
      <c r="D101" s="56" t="s">
        <v>1435</v>
      </c>
      <c r="E101" s="33" t="s">
        <v>1009</v>
      </c>
      <c r="F101" s="48" t="s">
        <v>1812</v>
      </c>
      <c r="G101" s="48" t="s">
        <v>1813</v>
      </c>
      <c r="H101" s="48" t="s">
        <v>1814</v>
      </c>
      <c r="I101" s="48" t="s">
        <v>1815</v>
      </c>
      <c r="J101" s="48" t="s">
        <v>1816</v>
      </c>
      <c r="K101" s="48" t="s">
        <v>1788</v>
      </c>
      <c r="L101" s="37" t="s">
        <v>1624</v>
      </c>
      <c r="M101" s="38" t="str">
        <f>韻母對照資料表[[#This Row],[十五音]]&amp;LEFT(韻母對照資料表[[#This Row],[舒促聲]],1)</f>
        <v>扛促</v>
      </c>
      <c r="N101" s="39">
        <v>49</v>
      </c>
      <c r="O101" s="40">
        <f>IF(韻母對照資料表[[#This Row],[台語音標]]="", 0, LEN(韻母對照資料表[[#This Row],[台語音標]]))</f>
        <v>4</v>
      </c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AA101" s="21"/>
      <c r="AB101" s="21"/>
      <c r="AC101" s="21"/>
      <c r="AD101" s="21"/>
      <c r="AE101" s="21"/>
      <c r="AF101" s="21" t="str">
        <f xml:space="preserve"> IF(AND(MOD(B101,2)&lt;&gt;1, G101&lt;&gt;""), "", _xlfn.CONCAT("""", 韻母對照資料表[[#This Row],[十五音]], """", " : [", """", 韻母對照資料表[[#This Row],[台語音標]], """", ", """, G102, """", "],"))</f>
        <v/>
      </c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 spans="2:45" ht="54" customHeight="1">
      <c r="B102" s="30">
        <v>99</v>
      </c>
      <c r="C102" s="31" t="s">
        <v>1817</v>
      </c>
      <c r="D102" s="32" t="s">
        <v>1818</v>
      </c>
      <c r="E102" s="33" t="s">
        <v>109</v>
      </c>
      <c r="F102" s="34" t="s">
        <v>1407</v>
      </c>
      <c r="G102" s="35" t="s">
        <v>650</v>
      </c>
      <c r="H102" s="36" t="s">
        <v>650</v>
      </c>
      <c r="I102" s="36" t="s">
        <v>1819</v>
      </c>
      <c r="J102" s="36" t="s">
        <v>1409</v>
      </c>
      <c r="K102" s="36" t="s">
        <v>1820</v>
      </c>
      <c r="L102" s="37" t="s">
        <v>1621</v>
      </c>
      <c r="M102" s="38" t="str">
        <f>韻母對照資料表[[#This Row],[十五音]]&amp;LEFT(韻母對照資料表[[#This Row],[舒促聲]],1)</f>
        <v>牛舒</v>
      </c>
      <c r="N102" s="39">
        <v>50</v>
      </c>
      <c r="O102" s="40">
        <f>IF(韻母對照資料表[[#This Row],[台語音標]]="", 0, LEN(韻母對照資料表[[#This Row],[台語音標]]))</f>
        <v>4</v>
      </c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AA102" s="21"/>
      <c r="AB102" s="21"/>
      <c r="AC102" s="21"/>
      <c r="AD102" s="21"/>
      <c r="AE102" s="21"/>
      <c r="AF102" s="21" t="str">
        <f xml:space="preserve"> IF(AND(MOD(B102,2)&lt;&gt;1, G102&lt;&gt;""), "", _xlfn.CONCAT("""", 韻母對照資料表[[#This Row],[十五音]], """", " : [", """", 韻母對照資料表[[#This Row],[台語音標]], """", ", """, G103, """", "],"))</f>
        <v>"牛" : ["iunn", ""],</v>
      </c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 spans="2:45" ht="54" customHeight="1">
      <c r="B103" s="30">
        <v>100</v>
      </c>
      <c r="C103" s="44"/>
      <c r="D103" s="45"/>
      <c r="E103" s="44"/>
      <c r="F103" s="50"/>
      <c r="G103" s="44"/>
      <c r="H103" s="44"/>
      <c r="I103" s="44"/>
      <c r="J103" s="44"/>
      <c r="K103" s="44"/>
      <c r="L103" s="44"/>
      <c r="M103" s="44"/>
      <c r="N103" s="44"/>
      <c r="O103" s="57">
        <f>IF(韻母對照資料表[[#This Row],[台語音標]]="", 0, LEN(韻母對照資料表[[#This Row],[台語音標]]))</f>
        <v>0</v>
      </c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</sheetData>
  <phoneticPr fontId="1" type="noConversion"/>
  <conditionalFormatting sqref="B4:N103">
    <cfRule type="expression" dxfId="18" priority="1">
      <formula>LEFT($L4,2)="舒聲"</formula>
    </cfRule>
    <cfRule type="expression" priority="2">
      <formula>LEFT($L4,2)="促聲"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網頁匯入 (有Bug)</vt:lpstr>
      <vt:lpstr>十五音轉台語音標字典</vt:lpstr>
      <vt:lpstr>網頁匯入</vt:lpstr>
      <vt:lpstr>聲母對照表</vt:lpstr>
      <vt:lpstr>韻母對照表</vt:lpstr>
      <vt:lpstr>十五音韻母對照表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2026-02-21T12:42:03Z</dcterms:created>
  <dcterms:modified xsi:type="dcterms:W3CDTF">2026-02-22T08:50:26Z</dcterms:modified>
</cp:coreProperties>
</file>