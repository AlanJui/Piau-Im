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10CB991C-4ED8-4BFE-9CCB-73245652360A}" xr6:coauthVersionLast="47" xr6:coauthVersionMax="47" xr10:uidLastSave="{00000000-0000-0000-0000-000000000000}"/>
  <bookViews>
    <workbookView xWindow="28680" yWindow="-195" windowWidth="38640" windowHeight="15720" activeTab="4" xr2:uid="{25A76161-EFED-4AC8-8EAA-A42737AE1909}"/>
  </bookViews>
  <sheets>
    <sheet name="env" sheetId="8" r:id="rId1"/>
    <sheet name="缺字表" sheetId="288" r:id="rId2"/>
    <sheet name="標音字庫" sheetId="287" r:id="rId3"/>
    <sheet name="人工標音字庫" sheetId="286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9" l="1"/>
  <c r="H41" i="9"/>
  <c r="H33" i="9"/>
  <c r="E25" i="9"/>
  <c r="L17" i="9"/>
  <c r="P5" i="9"/>
  <c r="A1" i="9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B465" i="9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<sst xmlns="http://schemas.openxmlformats.org/spreadsheetml/2006/main" count="27713" uniqueCount="9036">
  <si>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</si>
  <si>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</si>
  <si>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</si>
  <si>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</si>
  <si>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</si>
  <si>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</si>
  <si>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</si>
  <si>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</si>
  <si>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</si>
  <si>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</si>
  <si>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</si>
  <si>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</si>
  <si>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</si>
  <si>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</si>
  <si>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</si>
  <si>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</si>
  <si>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</si>
  <si>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</si>
  <si>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</si>
  <si>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</si>
  <si>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</si>
  <si>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</si>
  <si>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</si>
  <si>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</si>
  <si>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</si>
  <si>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</si>
  <si>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</si>
  <si>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</si>
  <si>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</si>
  <si>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</si>
  <si>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</si>
  <si>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</si>
  <si>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</si>
  <si>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</si>
  <si>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</si>
  <si>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</si>
  <si>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</si>
  <si>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</si>
  <si>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</si>
  <si>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</si>
  <si>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</si>
  <si>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</si>
  <si>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</si>
  <si>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</si>
  <si>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</si>
  <si>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</si>
  <si>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</si>
  <si>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</si>
  <si>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</si>
  <si>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</si>
  <si>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</si>
  <si>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</si>
  <si>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</si>
  <si>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</si>
  <si>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</si>
  <si>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</si>
  <si>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</si>
  <si>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</si>
  <si>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</si>
  <si>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</si>
  <si>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</si>
  <si>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</si>
  <si>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</si>
  <si>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</si>
  <si>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</si>
  <si>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</si>
  <si>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</si>
  <si>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</si>
  <si>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</si>
  <si>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</si>
  <si>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</si>
  <si>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</si>
  <si>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</si>
  <si>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</si>
  <si>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</si>
  <si>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</si>
  <si>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</si>
  <si>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</si>
  <si>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</si>
  <si>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</si>
  <si>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</si>
  <si>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</si>
  <si>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</si>
  <si>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</si>
  <si>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</si>
  <si>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</si>
  <si>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</si>
  <si>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</si>
  <si>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</si>
  <si>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</si>
  <si>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</si>
  <si>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</si>
  <si>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</si>
  <si>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</si>
  <si>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</si>
  <si>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</si>
  <si>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</si>
  <si>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</si>
  <si>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</si>
  <si>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</si>
  <si>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</si>
  <si>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</si>
  <si>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</si>
  <si>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</si>
  <si>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</si>
  <si>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</si>
  <si>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</si>
  <si>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</si>
  <si>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</si>
  <si>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</si>
  <si>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</si>
  <si>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</si>
  <si>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</si>
  <si>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</si>
  <si>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</si>
  <si>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</si>
  <si>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</si>
  <si>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</si>
  <si>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</si>
  <si>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</si>
  <si>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</si>
  <si>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</si>
  <si>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</si>
  <si>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</si>
  <si>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</si>
  <si>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</si>
  <si>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</si>
  <si>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</si>
  <si>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</si>
  <si>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</si>
  <si>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</si>
  <si>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</si>
  <si>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</si>
  <si>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</si>
  <si>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</si>
  <si>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</si>
  <si>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</si>
  <si>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</si>
  <si>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</si>
  <si>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</si>
  <si>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</si>
  <si>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</si>
  <si>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</si>
  <si>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</si>
  <si>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</si>
  <si>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</si>
  <si>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</si>
  <si>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</si>
  <si>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</si>
  <si>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</si>
  <si>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</si>
  <si>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</si>
  <si>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</si>
  <si>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</si>
  <si>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</si>
  <si>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</si>
  <si>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</si>
  <si>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</si>
  <si>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</si>
  <si>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</si>
  <si>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</si>
  <si>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</si>
  <si>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</si>
  <si>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</si>
  <si>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</si>
  <si>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</si>
  <si>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</si>
  <si>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</si>
  <si>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</si>
  <si>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</si>
  <si>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</si>
  <si>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</si>
  <si>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</si>
  <si>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</si>
  <si>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</si>
  <si>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</si>
  <si>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</si>
  <si>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</si>
  <si>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</si>
  <si>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</si>
  <si>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</si>
  <si>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</si>
  <si>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</si>
  <si>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</si>
  <si>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</si>
  <si>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</si>
  <si>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</si>
  <si>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</si>
  <si>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</si>
  <si>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</si>
  <si>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</si>
  <si>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</si>
  <si>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</si>
  <si>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</si>
  <si>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</si>
  <si>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</si>
  <si>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</si>
  <si>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</si>
  <si>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</si>
  <si>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</si>
  <si>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</si>
  <si>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</si>
  <si>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</si>
  <si>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</si>
  <si>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</si>
  <si>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</si>
  <si>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</si>
  <si>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</si>
  <si>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</si>
  <si>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</si>
  <si>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</si>
  <si>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</si>
  <si>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</si>
  <si>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</si>
  <si>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</si>
  <si>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</si>
  <si>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</si>
  <si>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</si>
  <si>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</si>
  <si>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</si>
  <si>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</si>
  <si>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</si>
  <si>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</si>
  <si>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</si>
  <si>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</si>
  <si>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</si>
  <si>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</si>
  <si>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</si>
  <si>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</si>
  <si>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</si>
  <si>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</si>
  <si>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</si>
  <si>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</si>
  <si>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</si>
  <si>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</si>
  <si>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</si>
  <si>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</si>
  <si>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</si>
  <si>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</si>
  <si>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</si>
  <si>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</si>
  <si>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</si>
  <si>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</si>
  <si>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</si>
  <si>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</si>
  <si>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</si>
  <si>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</si>
  <si>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</si>
  <si>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</si>
  <si>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</si>
  <si>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</si>
  <si>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</si>
  <si>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</si>
  <si>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</si>
  <si>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</si>
  <si>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</si>
  <si>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</si>
  <si>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</si>
  <si>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</si>
  <si>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</si>
  <si>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</si>
  <si>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</si>
  <si>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</si>
  <si>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</si>
  <si>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</si>
  <si>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</si>
  <si>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</si>
  <si>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</si>
  <si>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</si>
  <si>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</si>
  <si>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</si>
  <si>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</si>
  <si>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</si>
  <si>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</si>
  <si>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</si>
  <si>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</si>
  <si>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</si>
  <si>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</si>
  <si>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</si>
  <si>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</si>
  <si>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</si>
  <si>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</si>
  <si>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</si>
  <si>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</si>
  <si>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</si>
  <si>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</si>
  <si>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</si>
  <si>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</si>
  <si>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</si>
  <si>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</si>
  <si>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</si>
  <si>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</si>
  <si>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</si>
  <si>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</si>
  <si>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</si>
  <si>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</si>
  <si>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</si>
  <si>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</si>
  <si>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</si>
  <si>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</si>
  <si>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</si>
  <si>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</si>
  <si>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</si>
  <si>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</si>
  <si>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</si>
  <si>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</si>
  <si>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</si>
  <si>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</si>
  <si>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</si>
  <si>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</si>
  <si>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</si>
  <si>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</si>
  <si>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</si>
  <si>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</si>
  <si>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</si>
  <si>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</si>
  <si>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</si>
  <si>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</si>
  <si>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</si>
  <si>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</si>
  <si>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</si>
  <si>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</si>
  <si>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</si>
  <si>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</si>
  <si>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</si>
  <si>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</si>
  <si>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</si>
  <si>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</si>
  <si>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</si>
  <si>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</si>
  <si>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</si>
  <si>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</si>
  <si>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</si>
  <si>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</si>
  <si>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</si>
  <si>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</si>
  <si>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</si>
  <si>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</si>
  <si>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</si>
  <si>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</si>
  <si>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</si>
  <si>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</si>
  <si>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</si>
  <si>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</si>
  <si>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</si>
  <si>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</si>
  <si>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</si>
  <si>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</si>
  <si>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</si>
  <si>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</si>
  <si>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</si>
  <si>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</si>
  <si>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</si>
  <si>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</si>
  <si>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</si>
  <si>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</si>
  <si>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</si>
  <si>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</si>
  <si>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</si>
  <si>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</si>
  <si>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</si>
  <si>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</si>
  <si>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</si>
  <si>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</si>
  <si>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</si>
  <si>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</si>
  <si>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</si>
  <si>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</si>
  <si>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</si>
  <si>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</si>
  <si>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</si>
  <si>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</si>
  <si>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</si>
  <si>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</si>
  <si>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</si>
  <si>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</si>
  <si>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</si>
  <si>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</si>
  <si>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</si>
  <si>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</si>
  <si>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</si>
  <si>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</si>
  <si>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</si>
  <si>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</si>
  <si>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</si>
  <si>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</si>
  <si>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</si>
  <si>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</si>
  <si>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</si>
  <si>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</si>
  <si>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</si>
  <si>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</si>
  <si>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</si>
  <si>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</si>
  <si>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</si>
  <si>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</si>
  <si>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</si>
  <si>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</si>
  <si>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</si>
  <si>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</si>
  <si>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</si>
  <si>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</si>
  <si>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</si>
  <si>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</si>
  <si>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</si>
  <si>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</si>
  <si>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</si>
  <si>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</si>
  <si>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</si>
  <si>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</si>
  <si>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</si>
  <si>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</si>
  <si>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</si>
  <si>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</si>
  <si>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</si>
  <si>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</si>
  <si>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</si>
  <si>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</si>
  <si>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</si>
  <si>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</si>
  <si>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</si>
  <si>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</si>
  <si>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</si>
  <si>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</si>
  <si>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</si>
  <si>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</si>
  <si>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</si>
  <si>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</si>
  <si>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</si>
  <si>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</si>
  <si>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</si>
  <si>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</si>
  <si>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</si>
  <si>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</si>
  <si>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</si>
  <si>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</si>
  <si>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</si>
  <si>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</si>
  <si>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</si>
  <si>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</si>
  <si>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</si>
  <si>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</si>
  <si>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</si>
  <si>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</si>
  <si>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</si>
  <si>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</si>
  <si>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</si>
  <si>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</si>
  <si>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</si>
  <si>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</si>
  <si>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</si>
  <si>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</si>
  <si>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</si>
  <si>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</si>
  <si>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</si>
  <si>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</si>
  <si>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</si>
  <si>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</si>
  <si>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</si>
  <si>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</si>
  <si>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</si>
  <si>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</si>
  <si>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</si>
  <si>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</si>
  <si>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</si>
  <si>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</si>
  <si>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</si>
  <si>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</si>
  <si>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</si>
  <si>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</si>
  <si>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</si>
  <si>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</si>
  <si>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</si>
  <si>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</si>
  <si>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</si>
  <si>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</si>
  <si>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</si>
  <si>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</si>
  <si>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</si>
  <si>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</si>
  <si>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</si>
  <si>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</si>
  <si>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</si>
  <si>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</si>
  <si>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</si>
  <si>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</si>
  <si>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</si>
  <si>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</si>
  <si>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</si>
  <si>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</si>
  <si>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</si>
  <si>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</si>
  <si>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</si>
  <si>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</si>
  <si>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</si>
  <si>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</si>
  <si>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</si>
  <si>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</si>
  <si>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</si>
  <si>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</si>
  <si>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</si>
  <si>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</si>
  <si>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</si>
  <si>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</si>
  <si>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</si>
  <si>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</si>
  <si>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</si>
  <si>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</si>
  <si>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</si>
  <si>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</si>
  <si>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</si>
  <si>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</si>
  <si>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</si>
  <si>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</si>
  <si>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</si>
  <si>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</si>
  <si>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</si>
  <si>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</si>
  <si>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</si>
  <si>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</si>
  <si>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</si>
  <si>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</si>
  <si>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</si>
  <si>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</si>
  <si>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</si>
  <si>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</si>
  <si>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</si>
  <si>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</si>
  <si>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</si>
  <si>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</si>
  <si>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</si>
  <si>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</si>
  <si>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</si>
  <si>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</si>
  <si>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</si>
  <si>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</si>
  <si>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</si>
  <si>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</si>
  <si>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</si>
  <si>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</si>
  <si>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</si>
  <si>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</si>
  <si>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</si>
  <si>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</si>
  <si>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</si>
  <si>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</si>
  <si>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</si>
  <si>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</si>
  <si>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</si>
  <si>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</si>
  <si>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</si>
  <si>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</si>
  <si>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</si>
  <si>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</si>
  <si>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</si>
  <si>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</si>
  <si>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</si>
  <si>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</si>
  <si>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</si>
  <si>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</si>
  <si>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</si>
  <si>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</si>
  <si>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</si>
  <si>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</si>
  <si>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</si>
  <si>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</si>
  <si>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</si>
  <si>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</si>
  <si>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</si>
  <si>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</si>
  <si>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</si>
  <si>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</si>
  <si>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</si>
  <si>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</si>
  <si>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</si>
  <si>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</si>
  <si>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</si>
  <si>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</si>
  <si>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</si>
  <si>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</si>
  <si>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</si>
  <si>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</si>
  <si>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</si>
  <si>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</si>
  <si>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</si>
  <si>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</si>
  <si>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</si>
  <si>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</si>
  <si>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</si>
  <si>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</si>
  <si>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</si>
  <si>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</si>
  <si>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</si>
  <si>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</si>
  <si>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</si>
  <si>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</si>
  <si>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</si>
  <si>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</si>
  <si>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</si>
  <si>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</si>
  <si>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</si>
  <si>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</si>
  <si>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</si>
  <si>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</si>
  <si>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</si>
  <si>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</si>
  <si>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</si>
  <si>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</si>
  <si>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</si>
  <si>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</si>
  <si>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</si>
  <si>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</si>
  <si>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</si>
  <si>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</si>
  <si>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</si>
  <si>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</si>
  <si>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</si>
  <si>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</si>
  <si>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</si>
  <si>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</si>
  <si>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</si>
  <si>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</si>
  <si>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</si>
  <si>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</si>
  <si>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</si>
  <si>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</si>
  <si>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</si>
  <si>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</si>
  <si>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</si>
  <si>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</si>
  <si>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</si>
  <si>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</si>
  <si>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</si>
  <si>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</si>
  <si>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</si>
  <si>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</si>
  <si>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</si>
  <si>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</si>
  <si>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</si>
  <si>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</si>
  <si>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</si>
  <si>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</si>
  <si>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</si>
  <si>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</si>
  <si>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</si>
  <si>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</si>
  <si>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</si>
  <si>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</si>
  <si>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</si>
  <si>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</si>
  <si>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</si>
  <si>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</si>
  <si>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</si>
  <si>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</si>
  <si>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</si>
  <si>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</si>
  <si>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</si>
  <si>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</si>
  <si>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</si>
  <si>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</si>
  <si>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</si>
  <si>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</si>
  <si>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</si>
  <si>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</si>
  <si>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</si>
  <si>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</si>
  <si>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</si>
  <si>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</si>
  <si>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</si>
  <si>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</si>
  <si>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</si>
  <si>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</si>
  <si>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</si>
  <si>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</si>
  <si>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</si>
  <si>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</si>
  <si>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</si>
  <si>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</si>
  <si>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</si>
  <si>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</si>
  <si>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</si>
  <si>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</si>
  <si>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</si>
  <si>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</si>
  <si>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</si>
  <si>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</si>
  <si>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</si>
  <si>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</si>
  <si>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</si>
  <si>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</si>
  <si>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</si>
  <si>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</si>
  <si>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</si>
  <si>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</si>
  <si>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</si>
  <si>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</si>
  <si>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</si>
  <si>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</si>
  <si>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</si>
  <si>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</si>
  <si>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</si>
  <si>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</si>
  <si>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</si>
  <si>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</si>
  <si>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</si>
  <si>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</si>
  <si>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</si>
  <si>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</si>
  <si>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</si>
  <si>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</si>
  <si>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</si>
  <si>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</si>
  <si>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</si>
  <si>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</si>
  <si>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</si>
  <si>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</si>
  <si>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</si>
  <si>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</si>
  <si>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</si>
  <si>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</si>
  <si>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</si>
  <si>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</si>
  <si>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</si>
  <si>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</si>
  <si>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</si>
  <si>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</si>
  <si>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</si>
  <si>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</si>
  <si>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</si>
  <si>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</si>
  <si>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</si>
  <si>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</si>
  <si>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</si>
  <si>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</si>
  <si>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</si>
  <si>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</si>
  <si>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</si>
  <si>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</si>
  <si>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</si>
  <si>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</si>
  <si>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</si>
  <si>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</si>
  <si>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</si>
  <si>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</si>
  <si>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</si>
  <si>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</si>
  <si>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</si>
  <si>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</si>
  <si>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</si>
  <si>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</si>
  <si>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</si>
  <si>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</si>
  <si>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</si>
  <si>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</si>
  <si>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</si>
  <si>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</si>
  <si>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</si>
  <si>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</si>
  <si>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</si>
  <si>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</si>
  <si>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</si>
  <si>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</si>
  <si>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</si>
  <si>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</si>
  <si>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</si>
  <si>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</si>
  <si>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</si>
  <si>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</si>
  <si>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</si>
  <si>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</si>
  <si>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</si>
  <si>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</si>
  <si>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</si>
  <si>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</si>
  <si>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</si>
  <si>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</si>
  <si>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</si>
  <si>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</si>
  <si>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</si>
  <si>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</si>
  <si>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</si>
  <si>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</si>
  <si>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</si>
  <si>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</si>
  <si>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</si>
  <si>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</si>
  <si>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</si>
  <si>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</si>
  <si>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</si>
  <si>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</si>
  <si>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</si>
  <si>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</si>
  <si>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</si>
  <si>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</si>
  <si>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</si>
  <si>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</si>
  <si>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</si>
  <si>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</si>
  <si>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</si>
  <si>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</si>
  <si>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</si>
  <si>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</si>
  <si>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</si>
  <si>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</si>
  <si>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</si>
  <si>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</si>
  <si>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</si>
  <si>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</si>
  <si>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</si>
  <si>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</si>
  <si>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</si>
  <si>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</si>
  <si>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</si>
  <si>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</si>
  <si>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</si>
  <si>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</si>
  <si>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</si>
  <si>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</si>
  <si>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</si>
  <si>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</si>
  <si>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</si>
  <si>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</si>
  <si>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</si>
  <si>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</si>
  <si>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</si>
  <si>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</si>
  <si>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</si>
  <si>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</si>
  <si>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</si>
  <si>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</si>
  <si>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</si>
  <si>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</si>
  <si>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</si>
  <si>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</si>
  <si>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</si>
  <si>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</si>
  <si>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</si>
  <si>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</si>
  <si>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</si>
  <si>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</si>
  <si>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</si>
  <si>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</si>
  <si>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</si>
  <si>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</si>
  <si>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</si>
  <si>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</si>
  <si>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</si>
  <si>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</si>
  <si>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</si>
  <si>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</si>
  <si>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</si>
  <si>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</si>
  <si>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</si>
  <si>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</si>
  <si>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</si>
  <si>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</si>
  <si>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</si>
  <si>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</si>
  <si>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</si>
  <si>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</si>
  <si>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</si>
  <si>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</si>
  <si>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</si>
  <si>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</si>
  <si>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</si>
  <si>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</si>
  <si>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</si>
  <si>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</si>
  <si>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</si>
  <si>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</si>
  <si>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</si>
  <si>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</si>
  <si>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</si>
  <si>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</si>
  <si>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</si>
  <si>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</si>
  <si>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</si>
  <si>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</si>
  <si>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</si>
  <si>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</si>
  <si>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</si>
  <si>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</si>
  <si>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</si>
  <si>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</si>
  <si>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</si>
  <si>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</si>
  <si>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</si>
  <si>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</si>
  <si>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</si>
  <si>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</si>
  <si>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</si>
  <si>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</si>
  <si>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</si>
  <si>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</si>
  <si>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</si>
  <si>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</si>
  <si>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</si>
  <si>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</si>
  <si>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</si>
  <si>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</si>
  <si>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</si>
  <si>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</si>
  <si>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</si>
  <si>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</si>
  <si>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</si>
  <si>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</si>
  <si>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</si>
  <si>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</si>
  <si>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</si>
  <si>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</si>
  <si>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</si>
  <si>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</si>
  <si>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</si>
  <si>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</si>
  <si>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</si>
  <si>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</si>
  <si>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</si>
  <si>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</si>
  <si>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</si>
  <si>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</si>
  <si>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</si>
  <si>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</si>
  <si>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</si>
  <si>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</si>
  <si>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</si>
  <si>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</si>
  <si>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</si>
  <si>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</si>
  <si>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</si>
  <si>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</si>
  <si>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</si>
  <si>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</si>
  <si>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</si>
  <si>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</si>
  <si>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</si>
  <si>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</si>
  <si>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</si>
  <si>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</si>
  <si>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</si>
  <si>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</si>
  <si>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</si>
  <si>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</si>
  <si>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</si>
  <si>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</si>
  <si>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</si>
  <si>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</si>
  <si>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</si>
  <si>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</si>
  <si>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</si>
  <si>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</si>
  <si>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</si>
  <si>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</si>
  <si>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</si>
  <si>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</si>
  <si>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</si>
  <si>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</si>
  <si>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</si>
  <si>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</si>
  <si>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</si>
  <si>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</si>
  <si>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</si>
  <si>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</si>
  <si>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</si>
  <si>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</si>
  <si>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</si>
  <si>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</si>
  <si>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</si>
  <si>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</si>
  <si>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</si>
  <si>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</si>
  <si>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</si>
  <si>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</si>
  <si>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</si>
  <si>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</si>
  <si>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</si>
  <si>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</si>
  <si>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</si>
  <si>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</si>
  <si>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</si>
  <si>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</si>
  <si>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</si>
  <si>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</si>
  <si>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</si>
  <si>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</si>
  <si>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</si>
  <si>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</si>
  <si>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</si>
  <si>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</si>
  <si>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</si>
  <si>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</si>
  <si>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</si>
  <si>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</si>
  <si>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</si>
  <si>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</si>
  <si>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</si>
  <si>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</si>
  <si>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</si>
  <si>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</si>
  <si>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</si>
  <si>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</si>
  <si>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</si>
  <si>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</si>
  <si>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</si>
  <si>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</si>
  <si>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</si>
  <si>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</si>
  <si>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</si>
  <si>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</si>
  <si>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</si>
  <si>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</si>
  <si>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</si>
  <si>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</si>
  <si>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</si>
  <si>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</si>
  <si>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</si>
  <si>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</si>
  <si>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</si>
  <si>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</si>
  <si>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</si>
  <si>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</si>
  <si>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</si>
  <si>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</si>
  <si>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</si>
  <si>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</si>
  <si>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</si>
  <si>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</si>
  <si>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</si>
  <si>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</si>
  <si>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</si>
  <si>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</si>
  <si>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</si>
  <si>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</si>
  <si>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</si>
  <si>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</si>
  <si>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</si>
  <si>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</si>
  <si>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</si>
  <si>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</si>
  <si>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</si>
  <si>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</si>
  <si>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</si>
  <si>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</si>
  <si>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</si>
  <si>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</si>
  <si>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</si>
  <si>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</si>
  <si>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</si>
  <si>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</si>
  <si>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</si>
  <si>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</si>
  <si>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</si>
  <si>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</si>
  <si>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</si>
  <si>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</si>
  <si>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</si>
  <si>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</si>
  <si>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</si>
  <si>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</si>
  <si>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</si>
  <si>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</si>
  <si>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</si>
  <si>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</si>
  <si>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</si>
  <si>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</si>
  <si>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</si>
  <si>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</si>
  <si>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</si>
  <si>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</si>
  <si>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</si>
  <si>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</si>
  <si>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</si>
  <si>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</si>
  <si>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</si>
  <si>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</si>
  <si>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</si>
  <si>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</si>
  <si>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</si>
  <si>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</si>
  <si>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</si>
  <si>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</si>
  <si>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</si>
  <si>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</si>
  <si>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</si>
  <si>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</si>
  <si>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</si>
  <si>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</si>
  <si>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</si>
  <si>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</si>
  <si>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</si>
  <si>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</si>
  <si>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</si>
  <si>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</si>
  <si>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</si>
  <si>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</si>
  <si>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</si>
  <si>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</si>
  <si>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</si>
  <si>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</si>
  <si>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</si>
  <si>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</si>
  <si>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</si>
  <si>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</si>
  <si>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</si>
  <si>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</si>
  <si>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</si>
  <si>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</si>
  <si>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</si>
  <si>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</si>
  <si>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</si>
  <si>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</si>
  <si>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</si>
  <si>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</si>
  <si>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</si>
  <si>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</si>
  <si>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</si>
  <si>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</si>
  <si>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</si>
  <si>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</si>
  <si>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</si>
  <si>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</si>
  <si>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</si>
  <si>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</si>
  <si>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</si>
  <si>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</si>
  <si>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</si>
  <si>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</si>
  <si>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</si>
  <si>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</si>
  <si>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</si>
  <si>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</si>
  <si>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</si>
  <si>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</si>
  <si>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</si>
  <si>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</si>
  <si>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</si>
  <si>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</si>
  <si>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</si>
  <si>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</si>
  <si>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</si>
  <si>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</si>
  <si>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</si>
  <si>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</si>
  <si>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</si>
  <si>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</si>
  <si>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</si>
  <si>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</si>
  <si>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</si>
  <si>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</si>
  <si>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</si>
  <si>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</si>
  <si>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</si>
  <si>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</si>
  <si>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</si>
  <si>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</si>
  <si>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</si>
  <si>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</si>
  <si>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</si>
  <si>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</si>
  <si>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</si>
  <si>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</si>
  <si>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</si>
  <si>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</si>
  <si>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</si>
  <si>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</si>
  <si>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</si>
  <si>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</si>
  <si>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</si>
  <si>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</si>
  <si>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</si>
  <si>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</si>
  <si>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</si>
  <si>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</si>
  <si>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</si>
  <si>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</si>
  <si>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</si>
  <si>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</si>
  <si>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</si>
  <si>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</si>
  <si>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</si>
  <si>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</si>
  <si>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</si>
  <si>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</si>
  <si>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</si>
  <si>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</si>
  <si>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</si>
  <si>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</si>
  <si>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</si>
  <si>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</si>
  <si>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</si>
  <si>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</si>
  <si>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</si>
  <si>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</si>
  <si>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</si>
  <si>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</si>
  <si>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</si>
  <si>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</si>
  <si>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</si>
  <si>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</si>
  <si>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</si>
  <si>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</si>
  <si>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</si>
  <si>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</si>
  <si>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</si>
  <si>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</si>
  <si>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</si>
  <si>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</si>
  <si>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</si>
  <si>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</si>
  <si>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</si>
  <si>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</si>
  <si>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</si>
  <si>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</si>
  <si>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</si>
  <si>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</si>
  <si>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</si>
  <si>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</si>
  <si>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</si>
  <si>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</si>
  <si>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</si>
  <si>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</si>
  <si>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</si>
  <si>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</si>
  <si>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</si>
  <si>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</si>
  <si>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</si>
  <si>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</si>
  <si>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</si>
  <si>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</si>
  <si>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</si>
  <si>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</si>
  <si>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</si>
  <si>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</si>
  <si>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</si>
  <si>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</si>
  <si>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</si>
  <si>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</si>
  <si>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</si>
  <si>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</si>
  <si>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</si>
  <si>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</si>
  <si>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</si>
  <si>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</si>
  <si>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</si>
  <si>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</si>
  <si>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</si>
  <si>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</si>
  <si>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</si>
  <si>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</si>
  <si>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</si>
  <si>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</si>
  <si>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</si>
  <si>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</si>
  <si>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</si>
  <si>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</si>
  <si>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</si>
  <si>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</si>
  <si>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</si>
  <si>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</si>
  <si>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</si>
  <si>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</si>
  <si>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</si>
  <si>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</si>
  <si>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</si>
  <si>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</si>
  <si>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</si>
  <si>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</si>
  <si>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</si>
  <si>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</si>
  <si>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</si>
  <si>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</si>
  <si>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</si>
  <si>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</si>
  <si>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</si>
  <si>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</si>
  <si>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</si>
  <si>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</si>
  <si>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</si>
  <si>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</si>
  <si>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</si>
  <si>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</si>
  <si>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</si>
  <si>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</si>
  <si>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</si>
  <si>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</si>
  <si>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</si>
  <si>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</si>
  <si>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</si>
  <si>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</si>
  <si>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</si>
  <si>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</si>
  <si>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</si>
  <si>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</si>
  <si>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</si>
  <si>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</si>
  <si>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</si>
  <si>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</si>
  <si>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</si>
  <si>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</si>
  <si>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</si>
  <si>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</si>
  <si>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</si>
  <si>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</si>
  <si>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</si>
  <si>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</si>
  <si>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</si>
  <si>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</si>
  <si>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</si>
  <si>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</si>
  <si>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</si>
  <si>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</si>
  <si>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</si>
  <si>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</si>
  <si>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</si>
  <si>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</si>
  <si>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</si>
  <si>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</si>
  <si>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</si>
  <si>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</si>
  <si>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</si>
  <si>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</si>
  <si>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</si>
  <si>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</si>
  <si>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</si>
  <si>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</si>
  <si>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</si>
  <si>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</si>
  <si>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</si>
  <si>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</si>
  <si>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</si>
  <si>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</si>
  <si>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</si>
  <si>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</si>
  <si>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</si>
  <si>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</si>
  <si>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</si>
  <si>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</si>
  <si>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</si>
  <si>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</si>
  <si>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</si>
  <si>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</si>
  <si>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</si>
  <si>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</si>
  <si>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</si>
  <si>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</si>
  <si>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</si>
  <si>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</si>
  <si>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</si>
  <si>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</si>
  <si>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</si>
  <si>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</si>
  <si>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</si>
  <si>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</si>
  <si>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</si>
  <si>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</si>
  <si>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</si>
  <si>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</si>
  <si>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</si>
  <si>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</si>
  <si>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</si>
  <si>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</si>
  <si>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</si>
  <si>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</si>
  <si>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</si>
  <si>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</si>
  <si>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</si>
  <si>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</si>
  <si>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</si>
  <si>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</si>
  <si>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</si>
  <si>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</si>
  <si>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</si>
  <si>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</si>
  <si>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</si>
  <si>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</si>
  <si>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</si>
  <si>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</si>
  <si>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</si>
  <si>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</si>
  <si>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</si>
  <si>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</si>
  <si>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</si>
  <si>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</si>
  <si>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</si>
  <si>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</si>
  <si>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</si>
  <si>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</si>
  <si>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</si>
  <si>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</si>
  <si>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</si>
  <si>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</si>
  <si>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</si>
  <si>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</si>
  <si>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</si>
  <si>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</si>
  <si>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</si>
  <si>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</si>
  <si>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</si>
  <si>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</si>
  <si>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</si>
  <si>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</si>
  <si>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</si>
  <si>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</si>
  <si>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</si>
  <si>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</si>
  <si>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</si>
  <si>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</si>
  <si>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</si>
  <si>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</si>
  <si>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</si>
  <si>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</si>
  <si>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</si>
  <si>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</si>
  <si>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</si>
  <si>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</si>
  <si>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</si>
  <si>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</si>
  <si>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</si>
  <si>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</si>
  <si>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</si>
  <si>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</si>
  <si>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</si>
  <si>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</si>
  <si>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</si>
  <si>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</si>
  <si>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</si>
  <si>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</si>
  <si>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</si>
  <si>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</si>
  <si>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</si>
  <si>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</si>
  <si>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</si>
  <si>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</si>
  <si>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</si>
  <si>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</si>
  <si>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</si>
  <si>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</si>
  <si>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</si>
  <si>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</si>
  <si>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</si>
  <si>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</si>
  <si>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</si>
  <si>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</si>
  <si>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</si>
  <si>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</si>
  <si>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</si>
  <si>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</si>
  <si>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</si>
  <si>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</si>
  <si>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</si>
  <si>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</si>
  <si>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</si>
  <si>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</si>
  <si>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</si>
  <si>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</si>
  <si>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</si>
  <si>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</si>
  <si>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</si>
  <si>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</si>
  <si>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</si>
  <si>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</si>
  <si>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</si>
  <si>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</si>
  <si>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</si>
  <si>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</si>
  <si>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</si>
  <si>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</si>
  <si>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</si>
  <si>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</si>
  <si>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</si>
  <si>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</si>
  <si>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</si>
  <si>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</si>
  <si>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</si>
  <si>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</si>
  <si>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</si>
  <si>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</si>
  <si>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</si>
  <si>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</si>
  <si>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</si>
  <si>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</si>
  <si>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</si>
  <si>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</si>
  <si>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</si>
  <si>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</si>
  <si>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</si>
  <si>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</si>
  <si>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</si>
  <si>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</si>
  <si>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</si>
  <si>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</si>
  <si>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</si>
  <si>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</si>
  <si>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</si>
  <si>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</si>
  <si>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</si>
  <si>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</si>
  <si>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</si>
  <si>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</si>
  <si>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</si>
  <si>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</si>
  <si>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</si>
  <si>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</si>
  <si>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</si>
  <si>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</si>
  <si>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</si>
  <si>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</si>
  <si>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</si>
  <si>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</si>
  <si>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</si>
  <si>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</si>
  <si>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</si>
  <si>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</si>
  <si>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</si>
  <si>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</si>
  <si>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</si>
  <si>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</si>
  <si>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</si>
  <si>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</si>
  <si>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</si>
  <si>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</si>
  <si>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</si>
  <si>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</si>
  <si>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</si>
  <si>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</si>
  <si>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</si>
  <si>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</si>
  <si>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</si>
  <si>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</si>
  <si>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</si>
  <si>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</si>
  <si>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</si>
  <si>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</si>
  <si>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</si>
  <si>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</si>
  <si>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</si>
  <si>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</si>
  <si>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</si>
  <si>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</si>
  <si>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</si>
  <si>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</si>
  <si>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</si>
  <si>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</si>
  <si>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</si>
  <si>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</si>
  <si>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</si>
  <si>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</si>
  <si>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</si>
  <si>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</si>
  <si>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</si>
  <si>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</si>
  <si>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</si>
  <si>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</si>
  <si>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</si>
  <si>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</si>
  <si>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</si>
  <si>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</si>
  <si>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</si>
  <si>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</si>
  <si>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</si>
  <si>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</si>
  <si>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</si>
  <si>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</si>
  <si>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</si>
  <si>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</si>
  <si>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</si>
  <si>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</si>
  <si>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</si>
  <si>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</si>
  <si>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</si>
  <si>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</si>
  <si>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</si>
  <si>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</si>
  <si>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</si>
  <si>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</si>
  <si>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</si>
  <si>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</si>
  <si>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</si>
  <si>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</si>
  <si>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</si>
  <si>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</si>
  <si>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</si>
  <si>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</si>
  <si>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</si>
  <si>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</si>
  <si>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</si>
  <si>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</si>
  <si>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</si>
  <si>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</si>
  <si>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</si>
  <si>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</si>
  <si>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</si>
  <si>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</si>
  <si>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</si>
  <si>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</si>
  <si>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</si>
  <si>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</si>
  <si>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</si>
  <si>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</si>
  <si>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</si>
  <si>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</si>
  <si>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</si>
  <si>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</si>
  <si>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</si>
  <si>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</si>
  <si>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</si>
  <si>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</si>
  <si>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</si>
  <si>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</si>
  <si>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</si>
  <si>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</si>
  <si>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</si>
  <si>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</si>
  <si>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</si>
  <si>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</si>
  <si>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</si>
  <si>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</si>
  <si>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</si>
  <si>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</si>
  <si>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</si>
  <si>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</si>
  <si>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</si>
  <si>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</si>
  <si>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</si>
  <si>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</si>
  <si>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</si>
  <si>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</si>
  <si>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</si>
  <si>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</si>
  <si>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</si>
  <si>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</si>
  <si>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</si>
  <si>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</si>
  <si>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</si>
  <si>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</si>
  <si>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</si>
  <si>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</si>
  <si>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</si>
  <si>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</si>
  <si>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</si>
  <si>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</si>
  <si>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</si>
  <si>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</si>
  <si>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</si>
  <si>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</si>
  <si>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</si>
  <si>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</si>
  <si>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</si>
  <si>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</si>
  <si>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</si>
  <si>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</si>
  <si>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</si>
  <si>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</si>
  <si>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</si>
  <si>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</si>
  <si>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</si>
  <si>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</si>
  <si>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</si>
  <si>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</si>
  <si>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</si>
  <si>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</si>
  <si>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</si>
  <si>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</si>
  <si>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</si>
  <si>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</si>
  <si>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</si>
  <si>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</si>
  <si>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</si>
  <si>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</si>
  <si>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</si>
  <si>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</si>
  <si>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</si>
  <si>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</si>
  <si>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</si>
  <si>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</si>
  <si>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</si>
  <si>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</si>
  <si>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</si>
  <si>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</si>
  <si>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</si>
  <si>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</si>
  <si>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</si>
  <si>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</si>
  <si>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</si>
  <si>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</si>
  <si>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</si>
  <si>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</si>
  <si>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</si>
  <si>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</si>
  <si>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</si>
  <si>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</si>
  <si>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</si>
  <si>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</si>
  <si>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</si>
  <si>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</si>
  <si>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</si>
  <si>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</si>
  <si>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</si>
  <si>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</si>
  <si>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</si>
  <si>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</si>
  <si>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</si>
  <si>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</si>
  <si>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</si>
  <si>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</si>
  <si>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</si>
  <si>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</si>
  <si>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</si>
  <si>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</si>
  <si>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</si>
  <si>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</si>
  <si>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</si>
  <si>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</si>
  <si>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</si>
  <si>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</si>
  <si>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</si>
  <si>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</si>
  <si>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</si>
  <si>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</si>
  <si>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</si>
  <si>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</si>
  <si>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</si>
  <si>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</si>
  <si>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</si>
  <si>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</si>
  <si>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</si>
  <si>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</si>
  <si>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</si>
  <si>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</si>
  <si>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</si>
  <si>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</si>
  <si>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</si>
  <si>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</si>
  <si>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</si>
  <si>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</si>
  <si>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</si>
  <si>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</si>
  <si>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</si>
  <si>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</si>
  <si>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</si>
  <si>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</si>
  <si>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</si>
  <si>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</si>
  <si>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</si>
  <si>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</si>
  <si>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</si>
  <si>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</si>
  <si>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</si>
  <si>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</si>
  <si>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</si>
  <si>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</si>
  <si>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</si>
  <si>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</si>
  <si>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</si>
  <si>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</si>
  <si>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</si>
  <si>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</si>
  <si>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</si>
  <si>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</si>
  <si>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</si>
  <si>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</si>
  <si>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</si>
  <si>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</si>
  <si>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</si>
  <si>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</si>
  <si>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</si>
  <si>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</si>
  <si>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</si>
  <si>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</si>
  <si>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</si>
  <si>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</si>
  <si>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</si>
  <si>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</si>
  <si>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</si>
  <si>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</si>
  <si>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</si>
  <si>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</si>
  <si>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</si>
  <si>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</si>
  <si>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</si>
  <si>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</si>
  <si>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</si>
  <si>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</si>
  <si>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</si>
  <si>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</si>
  <si>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</si>
  <si>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</si>
  <si>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</si>
  <si>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</si>
  <si>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</si>
  <si>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</si>
  <si>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</si>
  <si>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</si>
  <si>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</si>
  <si>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</si>
  <si>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</si>
  <si>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</si>
  <si>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</si>
  <si>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</si>
  <si>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</si>
  <si>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</si>
  <si>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</si>
  <si>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</si>
  <si>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</si>
  <si>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</si>
  <si>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</si>
  <si>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</si>
  <si>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</si>
  <si>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</si>
  <si>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</si>
  <si>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</si>
  <si>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</si>
  <si>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</si>
  <si>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</si>
  <si>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</si>
  <si>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</si>
  <si>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</si>
  <si>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</si>
  <si>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</si>
  <si>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</si>
  <si>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</si>
  <si>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</si>
  <si>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</si>
  <si>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</si>
  <si>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</si>
  <si>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</si>
  <si>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</si>
  <si>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</si>
  <si>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</si>
  <si>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</si>
  <si>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</si>
  <si>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</si>
  <si>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</si>
  <si>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</si>
  <si>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</si>
  <si>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</si>
  <si>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</si>
  <si>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</si>
  <si>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</si>
  <si>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</si>
  <si>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</si>
  <si>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</si>
  <si>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</si>
  <si>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</si>
  <si>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</si>
  <si>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</si>
  <si>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</si>
  <si>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</si>
  <si>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</si>
  <si>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</si>
  <si>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</si>
  <si>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</si>
  <si>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</si>
  <si>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</si>
  <si>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</si>
  <si>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</si>
  <si>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</si>
  <si>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</si>
  <si>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</si>
  <si>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</si>
  <si>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</si>
  <si>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</si>
  <si>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</si>
  <si>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</si>
  <si>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</si>
  <si>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</si>
  <si>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</si>
  <si>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</si>
  <si>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</si>
  <si>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</si>
  <si>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</si>
  <si>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</si>
  <si>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</si>
  <si>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</si>
  <si>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</si>
  <si>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</si>
  <si>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</si>
  <si>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</si>
  <si>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</si>
  <si>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</si>
  <si>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</si>
  <si>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</si>
  <si>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</si>
  <si>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</si>
  <si>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</si>
  <si>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</si>
  <si>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</si>
  <si>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</si>
  <si>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</si>
  <si>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</si>
  <si>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</si>
  <si>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</si>
  <si>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</si>
  <si>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</si>
  <si>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</si>
  <si>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</si>
  <si>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</si>
  <si>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</si>
  <si>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</si>
  <si>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</si>
  <si>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</si>
  <si>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</si>
  <si>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</si>
  <si>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</si>
  <si>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</si>
  <si>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</si>
  <si>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</si>
  <si>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</si>
  <si>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</si>
  <si>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</si>
  <si>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</si>
  <si>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</si>
  <si>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</si>
  <si>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</si>
  <si>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</si>
  <si>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</si>
  <si>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</si>
  <si>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</si>
  <si>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</si>
  <si>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</si>
  <si>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</si>
  <si>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</si>
  <si>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</si>
  <si>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</si>
  <si>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</si>
  <si>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</si>
  <si>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</si>
  <si>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</si>
  <si>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</si>
  <si>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</si>
  <si>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</si>
  <si>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</si>
  <si>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</si>
  <si>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</si>
  <si>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</si>
  <si>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</si>
  <si>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</si>
  <si>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</si>
  <si>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</si>
  <si>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</si>
  <si>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</si>
  <si>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</si>
  <si>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</si>
  <si>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</si>
  <si>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</si>
  <si>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</si>
  <si>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</si>
  <si>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</si>
  <si>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</si>
  <si>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</si>
  <si>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</si>
  <si>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</si>
  <si>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</si>
  <si>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</si>
  <si>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</si>
  <si>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</si>
  <si>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</si>
  <si>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</si>
  <si>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</si>
  <si>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</si>
  <si>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</si>
  <si>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</si>
  <si>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</si>
  <si>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</si>
  <si>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</si>
  <si>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</si>
  <si>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</si>
  <si>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</si>
  <si>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</si>
  <si>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</si>
  <si>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</si>
  <si>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</si>
  <si>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</si>
  <si>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</si>
  <si>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</si>
  <si>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</si>
  <si>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</si>
  <si>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</si>
  <si>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</si>
  <si>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</si>
  <si>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</si>
  <si>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</si>
  <si>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</si>
  <si>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</si>
  <si>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</si>
  <si>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</si>
  <si>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</si>
  <si>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</si>
  <si>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</si>
  <si>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</si>
  <si>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</si>
  <si>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</si>
  <si>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</si>
  <si>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</si>
  <si>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</si>
  <si>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</si>
  <si>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</si>
  <si>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</si>
  <si>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</si>
  <si>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</si>
  <si>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</si>
  <si>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</si>
  <si>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</si>
  <si>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</si>
  <si>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</si>
  <si>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</si>
  <si>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</si>
  <si>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</si>
  <si>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</si>
  <si>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</si>
  <si>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</si>
  <si>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</si>
  <si>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</si>
  <si>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</si>
  <si>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</si>
  <si>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</si>
  <si>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</si>
  <si>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</si>
  <si>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</si>
  <si>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</si>
  <si>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</si>
  <si>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</si>
  <si>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</si>
  <si>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</si>
  <si>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</si>
  <si>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</si>
  <si>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</si>
  <si>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</si>
  <si>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</si>
  <si>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</si>
  <si>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</si>
  <si>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</si>
  <si>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</si>
  <si>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</si>
  <si>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</si>
  <si>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</si>
  <si>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</si>
  <si>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</si>
  <si>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</si>
  <si>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</si>
  <si>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</si>
  <si>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</si>
  <si>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</si>
  <si>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</si>
  <si>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</si>
  <si>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</si>
  <si>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</si>
  <si>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</si>
  <si>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</si>
  <si>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</si>
  <si>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</si>
  <si>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</si>
  <si>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</si>
  <si>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</si>
  <si>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</si>
  <si>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</si>
  <si>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</si>
  <si>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</si>
  <si>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</si>
  <si>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</si>
  <si>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</si>
  <si>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</si>
  <si>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</si>
  <si>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</si>
  <si>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</si>
  <si>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</si>
  <si>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</si>
  <si>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</si>
  <si>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</si>
  <si>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</si>
  <si>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</si>
  <si>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</si>
  <si>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</si>
  <si>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</si>
  <si>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</si>
  <si>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</si>
  <si>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</si>
  <si>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</si>
  <si>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</si>
  <si>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</si>
  <si>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</si>
  <si>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</si>
  <si>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</si>
  <si>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</si>
  <si>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</si>
  <si>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</si>
  <si>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</si>
  <si>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</si>
  <si>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</si>
  <si>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</si>
  <si>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</si>
  <si>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</si>
  <si>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</si>
  <si>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</si>
  <si>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</si>
  <si>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</si>
  <si>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</si>
  <si>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</si>
  <si>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</si>
  <si>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</si>
  <si>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</si>
  <si>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</si>
  <si>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</si>
  <si>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</si>
  <si>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</si>
  <si>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</si>
  <si>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</si>
  <si>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</si>
  <si>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</si>
  <si>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</si>
  <si>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</si>
  <si>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</si>
  <si>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</si>
  <si>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</si>
  <si>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</si>
  <si>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</si>
  <si>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</si>
  <si>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</si>
  <si>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</si>
  <si>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</si>
  <si>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</si>
  <si>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</si>
  <si>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</si>
  <si>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</si>
  <si>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</si>
  <si>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</si>
  <si>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</si>
  <si>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</si>
  <si>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</si>
  <si>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</si>
  <si>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</si>
  <si>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</si>
  <si>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</si>
  <si>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</si>
  <si>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</si>
  <si>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</si>
  <si>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</si>
  <si>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</si>
  <si>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</si>
  <si>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</si>
  <si>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</si>
  <si>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</si>
  <si>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</si>
  <si>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</si>
  <si>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</si>
  <si>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</si>
  <si>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</si>
  <si>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</si>
  <si>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</si>
  <si>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</si>
  <si>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</si>
  <si>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</si>
  <si>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</si>
  <si>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</si>
  <si>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</si>
  <si>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</si>
  <si>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</si>
  <si>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</si>
  <si>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</si>
  <si>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</si>
  <si>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</si>
  <si>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</si>
  <si>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</si>
  <si>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</si>
  <si>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</si>
  <si>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</si>
  <si>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</si>
  <si>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</si>
  <si>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</si>
  <si>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</si>
  <si>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</si>
  <si>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</si>
  <si>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</si>
  <si>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</si>
  <si>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</si>
  <si>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</si>
  <si>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</si>
  <si>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</si>
  <si>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</si>
  <si>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</si>
  <si>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</si>
  <si>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</si>
  <si>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</si>
  <si>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</si>
  <si>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</si>
  <si>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</si>
  <si>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</si>
  <si>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</si>
  <si>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</si>
  <si>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</si>
  <si>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</si>
  <si>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</si>
  <si>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</si>
  <si>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</si>
  <si>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</si>
  <si>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</si>
  <si>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</si>
  <si>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</si>
  <si>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</si>
  <si>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</si>
  <si>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</si>
  <si>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</si>
  <si>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</si>
  <si>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</si>
  <si>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</si>
  <si>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</si>
  <si>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</si>
  <si>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</si>
  <si>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</si>
  <si>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</si>
  <si>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</si>
  <si>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</si>
  <si>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</si>
  <si>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</si>
  <si>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</si>
  <si>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</si>
  <si>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</si>
  <si>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</si>
  <si>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</si>
  <si>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</si>
  <si>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</si>
  <si>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</si>
  <si>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</si>
  <si>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</si>
  <si>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</si>
  <si>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</si>
  <si>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</si>
  <si>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</si>
  <si>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</si>
  <si>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</si>
  <si>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</si>
  <si>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</si>
  <si>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</si>
  <si>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</si>
  <si>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</si>
  <si>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</si>
  <si>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</si>
  <si>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</si>
  <si>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</si>
  <si>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</si>
  <si>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</si>
  <si>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</si>
  <si>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</si>
  <si>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</si>
  <si>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</si>
  <si>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</si>
  <si>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</si>
  <si>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</si>
  <si>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</si>
  <si>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</si>
  <si>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</si>
  <si>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</si>
  <si>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</si>
  <si>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</si>
  <si>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</si>
  <si>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</si>
  <si>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</si>
  <si>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</si>
  <si>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</si>
  <si>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</si>
  <si>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</si>
  <si>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</si>
  <si>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</si>
  <si>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</si>
  <si>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</si>
  <si>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</si>
  <si>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</si>
  <si>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</si>
  <si>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</si>
  <si>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</si>
  <si>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</si>
  <si>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</si>
  <si>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</si>
  <si>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</si>
  <si>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</si>
  <si>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</si>
  <si>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</si>
  <si>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</si>
  <si>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</si>
  <si>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</si>
  <si>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</si>
  <si>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</si>
  <si>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</si>
  <si>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</si>
  <si>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</si>
  <si>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</si>
  <si>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</si>
  <si>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</si>
  <si>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</si>
  <si>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</si>
  <si>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</si>
  <si>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</si>
  <si>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</si>
  <si>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</si>
  <si>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</si>
  <si>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</si>
  <si>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</si>
  <si>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</si>
  <si>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</si>
  <si>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</si>
  <si>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</si>
  <si>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</si>
  <si>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</si>
  <si>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</si>
  <si>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</si>
  <si>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</si>
  <si>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</si>
  <si>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</si>
  <si>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</si>
  <si>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</si>
  <si>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</si>
  <si>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</si>
  <si>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</si>
  <si>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</si>
  <si>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</si>
  <si>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</si>
  <si>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</si>
  <si>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</si>
  <si>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</si>
  <si>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</si>
  <si>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</si>
  <si>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</si>
  <si>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</si>
  <si>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</si>
  <si>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</si>
  <si>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</si>
  <si>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</si>
  <si>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</si>
  <si>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</si>
  <si>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</si>
  <si>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</si>
  <si>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</si>
  <si>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</si>
  <si>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</si>
  <si>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</si>
  <si>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</si>
  <si>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</si>
  <si>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</si>
  <si>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</si>
  <si>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</si>
  <si>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</si>
  <si>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</si>
  <si>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</si>
  <si>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</si>
  <si>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</si>
  <si>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</si>
  <si>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</si>
  <si>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</si>
  <si>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</si>
  <si>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</si>
  <si>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</si>
  <si>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</si>
  <si>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</si>
  <si>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</si>
  <si>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</si>
  <si>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</si>
  <si>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</si>
  <si>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</si>
  <si>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</si>
  <si>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</si>
  <si>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</si>
  <si>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</si>
  <si>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</si>
  <si>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</si>
  <si>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</si>
  <si>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</si>
  <si>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</si>
  <si>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</si>
  <si>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</si>
  <si>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</si>
  <si>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</si>
  <si>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</si>
  <si>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</si>
  <si>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</si>
  <si>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</si>
  <si>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</si>
  <si>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</si>
  <si>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</si>
  <si>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</si>
  <si>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</si>
  <si>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</si>
  <si>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</si>
  <si>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</si>
  <si>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</si>
  <si>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</si>
  <si>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</si>
  <si>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</si>
  <si>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</si>
  <si>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</si>
  <si>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</si>
  <si>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</si>
  <si>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</si>
  <si>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</si>
  <si>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</si>
  <si>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</si>
  <si>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</si>
  <si>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</si>
  <si>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</si>
  <si>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</si>
  <si>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</si>
  <si>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</si>
  <si>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</si>
  <si>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</si>
  <si>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</si>
  <si>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</si>
  <si>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</si>
  <si>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</si>
  <si>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</si>
  <si>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</si>
  <si>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</si>
  <si>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</si>
  <si>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</si>
  <si>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</si>
  <si>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</si>
  <si>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</si>
  <si>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</si>
  <si>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</si>
  <si>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</si>
  <si>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</si>
  <si>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</si>
  <si>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</si>
  <si>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</si>
  <si>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</si>
  <si>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</si>
  <si>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</si>
  <si>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</si>
  <si>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</si>
  <si>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</si>
  <si>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</si>
  <si>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</si>
  <si>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</si>
  <si>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</si>
  <si>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</si>
  <si>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</si>
  <si>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</si>
  <si>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</si>
  <si>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</si>
  <si>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</si>
  <si>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</si>
  <si>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</si>
  <si>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</si>
  <si>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</si>
  <si>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</si>
  <si>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</si>
  <si>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</si>
  <si>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</si>
  <si>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</si>
  <si>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</si>
  <si>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</si>
  <si>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</si>
  <si>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</si>
  <si>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</si>
  <si>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</si>
  <si>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</si>
  <si>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</si>
  <si>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</si>
  <si>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</si>
  <si>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</si>
  <si>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</si>
  <si>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</si>
  <si>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</si>
  <si>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</si>
  <si>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</si>
  <si>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</si>
  <si>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</si>
  <si>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</si>
  <si>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</si>
  <si>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</si>
  <si>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</si>
  <si>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</si>
  <si>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</si>
  <si>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</si>
  <si>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</si>
  <si>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</si>
  <si>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</si>
  <si>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</si>
  <si>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</si>
  <si>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</si>
  <si>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</si>
  <si>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</si>
  <si>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</si>
  <si>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</si>
  <si>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</si>
  <si>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</si>
  <si>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</si>
  <si>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</si>
  <si>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</si>
  <si>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</si>
  <si>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</si>
  <si>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</si>
  <si>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</si>
  <si>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</si>
  <si>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</si>
  <si>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</si>
  <si>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</si>
  <si>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</si>
  <si>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</si>
  <si>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</si>
  <si>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</si>
  <si>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</si>
  <si>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</si>
  <si>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</si>
  <si>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</si>
  <si>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</si>
  <si>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</si>
  <si>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</si>
  <si>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</si>
  <si>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</si>
  <si>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</si>
  <si>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</si>
  <si>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</si>
  <si>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</si>
  <si>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</si>
  <si>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</si>
  <si>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</si>
  <si>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</si>
  <si>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</si>
  <si>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</si>
  <si>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</si>
  <si>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</si>
  <si>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</si>
  <si>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</si>
  <si>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</si>
  <si>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</si>
  <si>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</si>
  <si>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</si>
  <si>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</si>
  <si>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</si>
  <si>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</si>
  <si>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</si>
  <si>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</si>
  <si>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</si>
  <si>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</si>
  <si>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</si>
  <si>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</si>
  <si>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</si>
  <si>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</si>
  <si>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</si>
  <si>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</si>
  <si>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</si>
  <si>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</si>
  <si>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</si>
  <si>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</si>
  <si>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</si>
  <si>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</si>
  <si>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</si>
  <si>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</si>
  <si>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</si>
  <si>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</si>
  <si>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</si>
  <si>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</si>
  <si>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</si>
  <si>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</si>
  <si>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</si>
  <si>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</si>
  <si>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</si>
  <si>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</si>
  <si>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</si>
  <si>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</si>
  <si>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</si>
  <si>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</si>
  <si>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</si>
  <si>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</si>
  <si>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</si>
  <si>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</si>
  <si>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</si>
  <si>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</si>
  <si>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</si>
  <si>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</si>
  <si>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</si>
  <si>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</si>
  <si>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</si>
  <si>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</si>
  <si>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</si>
  <si>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</si>
  <si>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</si>
  <si>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</si>
  <si>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</si>
  <si>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</si>
  <si>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</si>
  <si>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</si>
  <si>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</si>
  <si>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</si>
  <si>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</si>
  <si>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</si>
  <si>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</si>
  <si>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</si>
  <si>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</si>
  <si>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</si>
  <si>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</si>
  <si>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</si>
  <si>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</si>
  <si>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</si>
  <si>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</si>
  <si>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</si>
  <si>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</si>
  <si>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</si>
  <si>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</si>
  <si>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</si>
  <si>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</si>
  <si>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</si>
  <si>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</si>
  <si>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</si>
  <si>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</si>
  <si>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</si>
  <si>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</si>
  <si>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</si>
  <si>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</si>
  <si>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</si>
  <si>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</si>
  <si>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</si>
  <si>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</si>
  <si>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</si>
  <si>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</si>
  <si>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</si>
  <si>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</si>
  <si>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</si>
  <si>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</si>
  <si>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</si>
  <si>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</si>
  <si>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</si>
  <si>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</si>
  <si>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</si>
  <si>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</si>
  <si>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</si>
  <si>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</si>
  <si>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</si>
  <si>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</si>
  <si>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</si>
  <si>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</si>
  <si>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</si>
  <si>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</si>
  <si>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</si>
  <si>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</si>
  <si>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</si>
  <si>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</si>
  <si>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</si>
  <si>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</si>
  <si>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</si>
  <si>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</si>
  <si>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</si>
  <si>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</si>
  <si>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</si>
  <si>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</si>
  <si>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</si>
  <si>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</si>
  <si>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</si>
  <si>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</si>
  <si>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</si>
  <si>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</si>
  <si>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</si>
  <si>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</si>
  <si>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</si>
  <si>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</si>
  <si>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</si>
  <si>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</si>
  <si>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</si>
  <si>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</si>
  <si>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</si>
  <si>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</si>
  <si>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</si>
  <si>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</si>
  <si>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</si>
  <si>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</si>
  <si>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</si>
  <si>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</si>
  <si>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</si>
  <si>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</si>
  <si>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</si>
  <si>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</si>
  <si>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</si>
  <si>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</si>
  <si>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</si>
  <si>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</si>
  <si>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</si>
  <si>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</si>
  <si>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</si>
  <si>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</si>
  <si>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</si>
  <si>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</si>
  <si>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</si>
  <si>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</si>
  <si>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</si>
  <si>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</si>
  <si>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</si>
  <si>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</si>
  <si>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</si>
  <si>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</si>
  <si>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</si>
  <si>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</si>
  <si>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</si>
  <si>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</si>
  <si>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</si>
  <si>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</si>
  <si>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</si>
  <si>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</si>
  <si>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</si>
  <si>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</si>
  <si>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</si>
  <si>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</si>
  <si>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</si>
  <si>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</si>
  <si>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</si>
  <si>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</si>
  <si>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</si>
  <si>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</si>
  <si>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</si>
  <si>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</si>
  <si>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</si>
  <si>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</si>
  <si>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</si>
  <si>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</si>
  <si>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</si>
  <si>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</si>
  <si>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</si>
  <si>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</si>
  <si>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</si>
  <si>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</si>
  <si>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</si>
  <si>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</si>
  <si>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</si>
  <si>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</si>
  <si>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</si>
  <si>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</si>
  <si>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</si>
  <si>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</si>
  <si>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</si>
  <si>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</si>
  <si>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</si>
  <si>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</si>
  <si>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</si>
  <si>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</si>
  <si>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</si>
  <si>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</si>
  <si>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</si>
  <si>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</si>
  <si>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</si>
  <si>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</si>
  <si>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</si>
  <si>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</si>
  <si>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</si>
  <si>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</si>
  <si>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</si>
  <si>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</si>
  <si>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</si>
  <si>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</si>
  <si>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</si>
  <si>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</si>
  <si>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</si>
  <si>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</si>
  <si>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</si>
  <si>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</si>
  <si>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</si>
  <si>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</si>
  <si>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</si>
  <si>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</si>
  <si>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</si>
  <si>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</si>
  <si>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</si>
  <si>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</si>
  <si>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</si>
  <si>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</si>
  <si>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</si>
  <si>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</si>
  <si>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</si>
  <si>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</si>
  <si>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</si>
  <si>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</si>
  <si>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</si>
  <si>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</si>
  <si>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</si>
  <si>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</si>
  <si>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</si>
  <si>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</si>
  <si>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</si>
  <si>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</si>
  <si>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</si>
  <si>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</si>
  <si>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</si>
  <si>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</si>
  <si>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</si>
  <si>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</si>
  <si>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</si>
  <si>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</si>
  <si>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</si>
  <si>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</si>
  <si>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</si>
  <si>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</si>
  <si>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</si>
  <si>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</si>
  <si>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</si>
  <si>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</si>
  <si>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</si>
  <si>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</si>
  <si>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</si>
  <si>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</si>
  <si>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</si>
  <si>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</si>
  <si>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</si>
  <si>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</si>
  <si>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</si>
  <si>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</si>
  <si>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</si>
  <si>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</si>
  <si>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</si>
  <si>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</si>
  <si>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</si>
  <si>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</si>
  <si>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</si>
  <si>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</si>
  <si>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</si>
  <si>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</si>
  <si>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</si>
  <si>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</si>
  <si>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</si>
  <si>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</si>
  <si>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</si>
  <si>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</si>
  <si>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</si>
  <si>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</si>
  <si>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</si>
  <si>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</si>
  <si>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</si>
  <si>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</si>
  <si>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</si>
  <si>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</si>
  <si>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</si>
  <si>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</si>
  <si>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</si>
  <si>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</si>
  <si>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</si>
  <si>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</si>
  <si>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</si>
  <si>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</si>
  <si>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</si>
  <si>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</si>
  <si>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</si>
  <si>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</si>
  <si>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</si>
  <si>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</si>
  <si>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</si>
  <si>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</si>
  <si>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</si>
  <si>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</si>
  <si>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</si>
  <si>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</si>
  <si>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</si>
  <si>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</si>
  <si>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</si>
  <si>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</si>
  <si>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</si>
  <si>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</si>
  <si>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</si>
  <si>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</si>
  <si>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</si>
  <si>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</si>
  <si>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</si>
  <si>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</si>
  <si>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</si>
  <si>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</si>
  <si>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</si>
  <si>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</si>
  <si>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</si>
  <si>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</si>
  <si>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</si>
  <si>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</si>
  <si>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</si>
  <si>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</si>
  <si>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</si>
  <si>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</si>
  <si>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</si>
  <si>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</si>
  <si>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</si>
  <si>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</si>
  <si>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</si>
  <si>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</si>
  <si>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</si>
  <si>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</si>
  <si>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</si>
  <si>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</si>
  <si>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</si>
  <si>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</si>
  <si>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</si>
  <si>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</si>
  <si>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</si>
  <si>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</si>
  <si>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</si>
  <si>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</si>
  <si>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</si>
  <si>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</si>
  <si>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</si>
  <si>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</si>
  <si>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</si>
  <si>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</si>
  <si>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</si>
  <si>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</si>
  <si>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</si>
  <si>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</si>
  <si>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</si>
  <si>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</si>
  <si>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</si>
  <si>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</si>
  <si>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</si>
  <si>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</si>
  <si>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</si>
  <si>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</si>
  <si>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</si>
  <si>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</si>
  <si>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</si>
  <si>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</si>
  <si>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</si>
  <si>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</si>
  <si>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</si>
  <si>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</si>
  <si>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</si>
  <si>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</si>
  <si>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</si>
  <si>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</si>
  <si>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</si>
  <si>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</si>
  <si>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</si>
  <si>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</si>
  <si>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</si>
  <si>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</si>
  <si>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</si>
  <si>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</si>
  <si>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</si>
  <si>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</si>
  <si>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</si>
  <si>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</si>
  <si>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</si>
  <si>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</si>
  <si>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</si>
  <si>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</si>
  <si>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</si>
  <si>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</si>
  <si>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</si>
  <si>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</si>
  <si>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</si>
  <si>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</si>
  <si>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</si>
  <si>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</si>
  <si>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</si>
  <si>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</si>
  <si>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</si>
  <si>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</si>
  <si>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</si>
  <si>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</si>
  <si>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</si>
  <si>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</si>
  <si>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</si>
  <si>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</si>
  <si>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</si>
  <si>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</si>
  <si>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</si>
  <si>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</si>
  <si>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</si>
  <si>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</si>
  <si>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</si>
  <si>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</si>
  <si>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</si>
  <si>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</si>
  <si>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</si>
  <si>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</si>
  <si>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</si>
  <si>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</si>
  <si>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</si>
  <si>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</si>
  <si>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</si>
  <si>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</si>
  <si>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</si>
  <si>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</si>
  <si>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</si>
  <si>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</si>
  <si>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</si>
  <si>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</si>
  <si>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</si>
  <si>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</si>
  <si>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</si>
  <si>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</si>
  <si>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</si>
  <si>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</si>
  <si>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</si>
  <si>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</si>
  <si>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</si>
  <si>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</si>
  <si>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</si>
  <si>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</si>
  <si>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</si>
  <si>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</si>
  <si>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</si>
  <si>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</si>
  <si>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</si>
  <si>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</si>
  <si>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</si>
  <si>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</si>
  <si>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</si>
  <si>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</si>
  <si>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</si>
  <si>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</si>
  <si>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</si>
  <si>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</si>
  <si>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</si>
  <si>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</si>
  <si>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</si>
  <si>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</si>
  <si>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</si>
  <si>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</si>
  <si>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</si>
  <si>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</si>
  <si>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</si>
  <si>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</si>
  <si>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</si>
  <si>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</si>
  <si>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</si>
  <si>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</si>
  <si>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</si>
  <si>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</si>
  <si>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</si>
  <si>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</si>
  <si>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</si>
  <si>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</si>
  <si>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</si>
  <si>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</si>
  <si>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</si>
  <si>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</si>
  <si>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</si>
  <si>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</si>
  <si>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</si>
  <si>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</si>
  <si>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</si>
  <si>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</si>
  <si>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</si>
  <si>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</si>
  <si>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</si>
  <si>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</si>
  <si>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</si>
  <si>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</si>
  <si>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</si>
  <si>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</si>
  <si>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</si>
  <si>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</si>
  <si>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</si>
  <si>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</si>
  <si>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</si>
  <si>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</si>
  <si>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</si>
  <si>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</si>
  <si>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</si>
  <si>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</si>
  <si>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</si>
  <si>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</si>
  <si>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</si>
  <si>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</si>
  <si>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</si>
  <si>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</si>
  <si>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</si>
  <si>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</si>
  <si>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</si>
  <si>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</si>
  <si>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</si>
  <si>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</si>
  <si>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</si>
  <si>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</si>
  <si>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</si>
  <si>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</si>
  <si>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</si>
  <si>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</si>
  <si>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</si>
  <si>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</si>
  <si>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</si>
  <si>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</si>
  <si>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</si>
  <si>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</si>
  <si>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</si>
  <si>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</si>
  <si>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</si>
  <si>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</si>
  <si>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</si>
  <si>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</si>
  <si>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</si>
  <si>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</si>
  <si>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</si>
  <si>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</si>
  <si>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</si>
  <si>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</si>
  <si>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</si>
  <si>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</si>
  <si>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</si>
  <si>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</si>
  <si>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</si>
  <si>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</si>
  <si>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</si>
  <si>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</si>
  <si>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</si>
  <si>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</si>
  <si>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</si>
  <si>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</si>
  <si>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</si>
  <si>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</si>
  <si>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</si>
  <si>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</si>
  <si>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</si>
  <si>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</si>
  <si>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</si>
  <si>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</si>
  <si>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</si>
  <si>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</si>
  <si>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</si>
  <si>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</si>
  <si>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</si>
  <si>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</si>
  <si>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</si>
  <si>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</si>
  <si>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</si>
  <si>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</si>
  <si>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</si>
  <si>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</si>
  <si>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</si>
  <si>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</si>
  <si>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</si>
  <si>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</si>
  <si>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</si>
  <si>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</si>
  <si>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</si>
  <si>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</si>
  <si>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</si>
  <si>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</si>
  <si>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</si>
  <si>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</si>
  <si>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</si>
  <si>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</si>
  <si>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</si>
  <si>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</si>
  <si>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</si>
  <si>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</si>
  <si>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</si>
  <si>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</si>
  <si>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</si>
  <si>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</si>
  <si>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</si>
  <si>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</si>
  <si>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</si>
  <si>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</si>
  <si>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</si>
  <si>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</si>
  <si>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</si>
  <si>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</si>
  <si>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</si>
  <si>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</si>
  <si>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</si>
  <si>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</si>
  <si>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</si>
  <si>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</si>
  <si>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</si>
  <si>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</si>
  <si>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</si>
  <si>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</si>
  <si>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</si>
  <si>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</si>
  <si>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</si>
  <si>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</si>
  <si>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</si>
  <si>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</si>
  <si>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</si>
  <si>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</si>
  <si>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</si>
  <si>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</si>
  <si>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</si>
  <si>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</si>
  <si>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</si>
  <si>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</si>
  <si>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</si>
  <si>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</si>
  <si>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</si>
  <si>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</si>
  <si>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</si>
  <si>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</si>
  <si>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</si>
  <si>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</si>
  <si>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</si>
  <si>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</si>
  <si>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</si>
  <si>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</si>
  <si>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</si>
  <si>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</si>
  <si>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</si>
  <si>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</si>
  <si>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</si>
  <si>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</si>
  <si>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</si>
  <si>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</si>
  <si>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</si>
  <si>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</si>
  <si>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</si>
  <si>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</si>
  <si>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</si>
  <si>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</si>
  <si>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</si>
  <si>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</si>
  <si>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</si>
  <si>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</si>
  <si>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</si>
  <si>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</si>
  <si>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</si>
  <si>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</si>
  <si>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</si>
  <si>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</si>
  <si>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</si>
  <si>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</si>
  <si>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</si>
  <si>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</si>
  <si>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</si>
  <si>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</si>
  <si>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</si>
  <si>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</si>
  <si>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</si>
  <si>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</si>
  <si>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</si>
  <si>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</si>
  <si>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</si>
  <si>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</si>
  <si>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</si>
  <si>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</si>
  <si>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</si>
  <si>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</si>
  <si>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</si>
  <si>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</si>
  <si>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</si>
  <si>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</si>
  <si>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</si>
  <si>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</si>
  <si>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</si>
  <si>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</si>
  <si>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</si>
  <si>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</si>
  <si>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</si>
  <si>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</si>
  <si>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</si>
  <si>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</si>
  <si>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</si>
  <si>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</si>
  <si>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</si>
  <si>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</si>
  <si>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</si>
  <si>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</si>
  <si>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</si>
  <si>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</si>
  <si>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</si>
  <si>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</si>
  <si>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</si>
  <si>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</si>
  <si>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</si>
  <si>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</si>
  <si>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</si>
  <si>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</si>
  <si>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</si>
  <si>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</si>
  <si>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</si>
  <si>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</si>
  <si>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</si>
  <si>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</si>
  <si>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</si>
  <si>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</si>
  <si>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</si>
  <si>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</si>
  <si>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</si>
  <si>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</si>
  <si>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</si>
  <si>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</si>
  <si>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</si>
  <si>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</si>
  <si>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</si>
  <si>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</si>
  <si>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</si>
  <si>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</si>
  <si>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</si>
  <si>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</si>
  <si>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</si>
  <si>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</si>
  <si>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</si>
  <si>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</si>
  <si>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</si>
  <si>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</si>
  <si>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</si>
  <si>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</si>
  <si>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</si>
  <si>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</si>
  <si>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</si>
  <si>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</si>
  <si>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</si>
  <si>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</si>
  <si>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</si>
  <si>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</si>
  <si>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</si>
  <si>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</si>
  <si>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</si>
  <si>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</si>
  <si>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</si>
  <si>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</si>
  <si>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</si>
  <si>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</si>
  <si>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</si>
  <si>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</si>
  <si>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</si>
  <si>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</si>
  <si>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</si>
  <si>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</si>
  <si>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</si>
  <si>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</si>
  <si>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</si>
  <si>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</si>
  <si>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</si>
  <si>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</si>
  <si>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</si>
  <si>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</si>
  <si>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</si>
  <si>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</si>
  <si>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</si>
  <si>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</si>
  <si>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</si>
  <si>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</si>
  <si>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</si>
  <si>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</si>
  <si>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</si>
  <si>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</si>
  <si>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</si>
  <si>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</si>
  <si>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</si>
  <si>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</si>
  <si>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</si>
  <si>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</si>
  <si>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</si>
  <si>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</si>
  <si>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</si>
  <si>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</si>
  <si>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</si>
  <si>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</si>
  <si>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</si>
  <si>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</si>
  <si>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</si>
  <si>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</si>
  <si>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</si>
  <si>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</si>
  <si>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</si>
  <si>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</si>
  <si>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</si>
  <si>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</si>
  <si>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</si>
  <si>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</si>
  <si>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</si>
  <si>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</si>
  <si>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</si>
  <si>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</si>
  <si>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</si>
  <si>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</si>
  <si>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</si>
  <si>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</si>
  <si>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</si>
  <si>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</si>
  <si>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</si>
  <si>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</si>
  <si>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</si>
  <si>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</si>
  <si>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</si>
  <si>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</si>
  <si>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</si>
  <si>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</si>
  <si>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</si>
  <si>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</si>
  <si>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</si>
  <si>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</si>
  <si>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</si>
  <si>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</si>
  <si>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</si>
  <si>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</si>
  <si>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</si>
  <si>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</si>
  <si>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</si>
  <si>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</si>
  <si>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</si>
  <si>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</si>
  <si>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</si>
  <si>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</si>
  <si>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</si>
  <si>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</si>
  <si>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</si>
  <si>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</si>
  <si>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</si>
  <si>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</si>
  <si>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</si>
  <si>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</si>
  <si>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</si>
  <si>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</si>
  <si>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</si>
  <si>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</si>
  <si>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</si>
  <si>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</si>
  <si>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</si>
  <si>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</si>
  <si>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</si>
  <si>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</si>
  <si>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</si>
  <si>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</si>
  <si>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</si>
  <si>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</si>
  <si>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</si>
  <si>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</si>
  <si>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</si>
  <si>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</si>
  <si>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</si>
  <si>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</si>
  <si>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</si>
  <si>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</si>
  <si>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</si>
  <si>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</si>
  <si>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</si>
  <si>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</si>
  <si>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</si>
  <si>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</si>
  <si>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</si>
  <si>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</si>
  <si>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</si>
  <si>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</si>
  <si>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</si>
  <si>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</si>
  <si>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</si>
  <si>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</si>
  <si>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</si>
  <si>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</si>
  <si>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</si>
  <si>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</si>
  <si>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</si>
  <si>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</si>
  <si>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</si>
  <si>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</si>
  <si>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</si>
  <si>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</si>
  <si>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</si>
  <si>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</si>
  <si>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</si>
  <si>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</si>
  <si>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</si>
  <si>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</si>
  <si>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</si>
  <si>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</si>
  <si>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</si>
  <si>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</si>
  <si>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</si>
  <si>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</si>
  <si>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</si>
  <si>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</si>
  <si>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</si>
  <si>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</si>
  <si>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</si>
  <si>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</si>
  <si>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</si>
  <si>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</si>
  <si>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</si>
  <si>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</si>
  <si>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</si>
  <si>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</si>
  <si>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</si>
  <si>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</si>
  <si>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</si>
  <si>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</si>
  <si>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</si>
  <si>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</si>
  <si>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</si>
  <si>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</si>
  <si>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</si>
  <si>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</si>
  <si>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</si>
  <si>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</si>
  <si>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</si>
  <si>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</si>
  <si>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</si>
  <si>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</si>
  <si>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</si>
  <si>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</si>
  <si>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</si>
  <si>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</si>
  <si>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</si>
  <si>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</si>
  <si>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</si>
  <si>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</si>
  <si>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</si>
  <si>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</si>
  <si>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</si>
  <si>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</si>
  <si>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</si>
  <si>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</si>
  <si>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</si>
  <si>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</si>
  <si>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</si>
  <si>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</si>
  <si>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</si>
  <si>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</si>
  <si>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</si>
  <si>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</si>
  <si>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</si>
  <si>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</si>
  <si>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</si>
  <si>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</si>
  <si>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</si>
  <si>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</si>
  <si>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</si>
  <si>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</si>
  <si>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</si>
  <si>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</si>
  <si>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</si>
  <si>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</si>
  <si>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</si>
  <si>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</si>
  <si>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</si>
  <si>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</si>
  <si>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</si>
  <si>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</si>
  <si>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</si>
  <si>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</si>
  <si>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</si>
  <si>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</si>
  <si>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</si>
  <si>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</si>
  <si>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</si>
  <si>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</si>
  <si>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</si>
  <si>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</si>
  <si>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</si>
  <si>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</si>
  <si>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</si>
  <si>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</si>
  <si>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</si>
  <si>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</si>
  <si>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</si>
  <si>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</si>
  <si>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</si>
  <si>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</si>
  <si>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</si>
  <si>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</si>
  <si>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</si>
  <si>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</si>
  <si>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</si>
  <si>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</si>
  <si>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</si>
  <si>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</si>
  <si>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</si>
  <si>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</si>
  <si>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</si>
  <si>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</si>
  <si>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</si>
  <si>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</si>
  <si>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</si>
  <si>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</si>
  <si>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</si>
  <si>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</si>
  <si>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</si>
  <si>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</si>
  <si>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</si>
  <si>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</si>
  <si>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</si>
  <si>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</si>
  <si>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</si>
  <si>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</si>
  <si>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</si>
  <si>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</si>
  <si>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</si>
  <si>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</si>
  <si>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</si>
  <si>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</si>
  <si>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</si>
  <si>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</si>
  <si>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</si>
  <si>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</si>
  <si>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</si>
  <si>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</si>
  <si>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</si>
  <si>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</si>
  <si>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</si>
  <si>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</si>
  <si>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</si>
  <si>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</si>
  <si>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</si>
  <si>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</si>
  <si>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</si>
  <si>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</si>
  <si>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</si>
  <si>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</si>
  <si>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</si>
  <si>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</si>
  <si>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</si>
  <si>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</si>
  <si>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</si>
  <si>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</si>
  <si>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</si>
  <si>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</si>
  <si>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</si>
  <si>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</si>
  <si>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</si>
  <si>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</si>
  <si>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</si>
  <si>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</si>
  <si>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</si>
  <si>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</si>
  <si>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</si>
  <si>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</si>
  <si>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</si>
  <si>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</si>
  <si>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</si>
  <si>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</si>
  <si>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</si>
  <si>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</si>
  <si>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</si>
  <si>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</si>
  <si>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</si>
  <si>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</si>
  <si>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</si>
  <si>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</si>
  <si>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</si>
  <si>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</si>
  <si>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</si>
  <si>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</si>
  <si>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</si>
  <si>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</si>
  <si>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</si>
  <si>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</si>
  <si>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</si>
  <si>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</si>
  <si>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</si>
  <si>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</si>
  <si>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</si>
  <si>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</si>
  <si>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</si>
  <si>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</si>
  <si>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</si>
  <si>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</si>
  <si>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</si>
  <si>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</si>
  <si>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</si>
  <si>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</si>
  <si>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</si>
  <si>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</si>
  <si>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</si>
  <si>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</si>
  <si>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</si>
  <si>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</si>
  <si>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</si>
  <si>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</si>
  <si>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</si>
  <si>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</si>
  <si>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</si>
  <si>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</si>
  <si>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</si>
  <si>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</si>
  <si>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</si>
  <si>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</si>
  <si>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</si>
  <si>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</si>
  <si>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</si>
  <si>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</si>
  <si>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</si>
  <si>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</si>
  <si>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</si>
  <si>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</si>
  <si>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</si>
  <si>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</si>
  <si>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</si>
  <si>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</si>
  <si>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</si>
  <si>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</si>
  <si>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</si>
  <si>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</si>
  <si>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</si>
  <si>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</si>
  <si>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</si>
  <si>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</si>
  <si>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</si>
  <si>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</si>
  <si>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</si>
  <si>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</si>
  <si>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</si>
  <si>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</si>
  <si>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</si>
  <si>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</si>
  <si>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</si>
  <si>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</si>
  <si>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</si>
  <si>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</si>
  <si>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</si>
  <si>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</si>
  <si>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</si>
  <si>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</si>
  <si>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</si>
  <si>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</si>
  <si>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</si>
  <si>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</si>
  <si>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</si>
  <si>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</si>
  <si>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</si>
  <si>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</si>
  <si>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</si>
  <si>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</si>
  <si>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</si>
  <si>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</si>
  <si>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</si>
  <si>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</si>
  <si>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</si>
  <si>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</si>
  <si>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</si>
  <si>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</si>
  <si>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</si>
  <si>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</si>
  <si>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</si>
  <si>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</si>
  <si>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</si>
  <si>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</si>
  <si>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</si>
  <si>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</si>
  <si>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</si>
  <si>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</si>
  <si>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</si>
  <si>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</si>
  <si>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</si>
  <si>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</si>
  <si>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</si>
  <si>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</si>
  <si>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</si>
  <si>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</si>
  <si>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</si>
  <si>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</si>
  <si>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</si>
  <si>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</si>
  <si>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</si>
  <si>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</si>
  <si>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</si>
  <si>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</si>
  <si>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</si>
  <si>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</si>
  <si>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</si>
  <si>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</si>
  <si>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</si>
  <si>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</si>
  <si>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</si>
  <si>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</si>
  <si>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</si>
  <si>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</si>
  <si>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</si>
  <si>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</si>
  <si>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</si>
  <si>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</si>
  <si>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</si>
  <si>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</si>
  <si>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</si>
  <si>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</si>
  <si>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</si>
  <si>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</si>
  <si>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</si>
  <si>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</si>
  <si>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</si>
  <si>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</si>
  <si>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</si>
  <si>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</si>
  <si>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</si>
  <si>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</si>
  <si>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</si>
  <si>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</si>
  <si>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</si>
  <si>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</si>
  <si>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</si>
  <si>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</si>
  <si>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</si>
  <si>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</si>
  <si>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</si>
  <si>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</si>
  <si>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</si>
  <si>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</si>
  <si>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</si>
  <si>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</si>
  <si>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</si>
  <si>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</si>
  <si>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</si>
  <si>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</si>
  <si>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</si>
  <si>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</si>
  <si>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</si>
  <si>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</si>
  <si>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</si>
  <si>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</si>
  <si>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</si>
  <si>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</si>
  <si>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</si>
  <si>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</si>
  <si>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</si>
  <si>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</si>
  <si>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</si>
  <si>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</si>
  <si>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</si>
  <si>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</si>
  <si>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</si>
  <si>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</si>
  <si>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</si>
  <si>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</si>
  <si>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</si>
  <si>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</si>
  <si>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</si>
  <si>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</si>
  <si>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</si>
  <si>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</si>
  <si>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</si>
  <si>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</si>
  <si>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</si>
  <si>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</si>
  <si>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</si>
  <si>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</si>
  <si>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</si>
  <si>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</si>
  <si>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</si>
  <si>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</si>
  <si>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</si>
  <si>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</si>
  <si>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</si>
  <si>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</si>
  <si>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</si>
  <si>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</si>
  <si>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</si>
  <si>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</si>
  <si>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</si>
  <si>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</si>
  <si>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</si>
  <si>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</si>
  <si>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</si>
  <si>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</si>
  <si>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</si>
  <si>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</si>
  <si>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</si>
  <si>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</si>
  <si>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</si>
  <si>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</si>
  <si>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</si>
  <si>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</si>
  <si>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</si>
  <si>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</si>
  <si>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</si>
  <si>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</si>
  <si>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</si>
  <si>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</si>
  <si>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</si>
  <si>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</si>
  <si>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</si>
  <si>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</si>
  <si>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</si>
  <si>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</si>
  <si>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</si>
  <si>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</si>
  <si>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</si>
  <si>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</si>
  <si>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</si>
  <si>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</si>
  <si>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</si>
  <si>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</si>
  <si>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</si>
  <si>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</si>
  <si>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</si>
  <si>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</si>
  <si>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</si>
  <si>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</si>
  <si>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</si>
  <si>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</si>
  <si>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</si>
  <si>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</si>
  <si>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</si>
  <si>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</si>
  <si>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</si>
  <si>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</si>
  <si>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</si>
  <si>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</si>
  <si>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</si>
  <si>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</si>
  <si>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</si>
  <si>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</si>
  <si>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</si>
  <si>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</si>
  <si>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</si>
  <si>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</si>
  <si>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</si>
  <si>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</si>
  <si>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</si>
  <si>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</si>
  <si>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</si>
  <si>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</si>
  <si>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</si>
  <si>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</si>
  <si>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</si>
  <si>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</si>
  <si>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</si>
  <si>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</si>
  <si>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</si>
  <si>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</si>
  <si>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</si>
  <si>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</si>
  <si>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</si>
  <si>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</si>
  <si>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</si>
  <si>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</si>
  <si>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</si>
  <si>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</si>
  <si>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</si>
  <si>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</si>
  <si>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</si>
  <si>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</si>
  <si>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</si>
  <si>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</si>
  <si>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</si>
  <si>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</si>
  <si>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</si>
  <si>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</si>
  <si>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</si>
  <si>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</si>
  <si>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</si>
  <si>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</si>
  <si>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</si>
  <si>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</si>
  <si>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</si>
  <si>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</si>
  <si>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</si>
  <si>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</si>
  <si>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</si>
  <si>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</si>
  <si>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</si>
  <si>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</si>
  <si>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</si>
  <si>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</si>
  <si>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</si>
  <si>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</si>
  <si>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</si>
  <si>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</si>
  <si>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</si>
  <si>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</si>
  <si>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</si>
  <si>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</si>
  <si>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</si>
  <si>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</si>
  <si>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</si>
  <si>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</si>
  <si>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</si>
  <si>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</si>
  <si>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</si>
  <si>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</si>
  <si>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</si>
  <si>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</si>
  <si>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</si>
  <si>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</si>
  <si>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</si>
  <si>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</si>
  <si>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</si>
  <si>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</si>
  <si>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</si>
  <si>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</si>
  <si>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</si>
  <si>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</si>
  <si>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</si>
  <si>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</si>
  <si>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</si>
  <si>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</si>
  <si>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</si>
  <si>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</si>
  <si>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</si>
  <si>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</si>
  <si>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</si>
  <si>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</si>
  <si>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</si>
  <si>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</si>
  <si>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</si>
  <si>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</si>
  <si>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</si>
  <si>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</si>
  <si>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</si>
  <si>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</si>
  <si>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</si>
  <si>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</si>
  <si>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</si>
  <si>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</si>
  <si>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</si>
  <si>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</si>
  <si>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</si>
  <si>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</si>
  <si>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</si>
  <si>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</si>
  <si>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</si>
  <si>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</si>
  <si>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</si>
  <si>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</si>
  <si>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</si>
  <si>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</si>
  <si>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</si>
  <si>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</si>
  <si>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</si>
  <si>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</si>
  <si>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</si>
  <si>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</si>
  <si>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</si>
  <si>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</si>
  <si>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</si>
  <si>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</si>
  <si>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</si>
  <si>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</si>
  <si>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</si>
  <si>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</si>
  <si>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</si>
  <si>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</si>
  <si>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</si>
  <si>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</si>
  <si>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</si>
  <si>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</si>
  <si>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</si>
  <si>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</si>
  <si>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</si>
  <si>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</si>
  <si>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</si>
  <si>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</si>
  <si>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</si>
  <si>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</si>
  <si>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</si>
  <si>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</si>
  <si>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</si>
  <si>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</si>
  <si>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</si>
  <si>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</si>
  <si>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</si>
  <si>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</si>
  <si>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</si>
  <si>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</si>
  <si>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</si>
  <si>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</si>
  <si>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</si>
  <si>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</si>
  <si>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</si>
  <si>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</si>
  <si>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</si>
  <si>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</si>
  <si>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</si>
  <si>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</si>
  <si>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</si>
  <si>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</si>
  <si>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</si>
  <si>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</si>
  <si>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</si>
  <si>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</si>
  <si>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</si>
  <si>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</si>
  <si>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</si>
  <si>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</si>
  <si>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</si>
  <si>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</si>
  <si>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</si>
  <si>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</si>
  <si>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</si>
  <si>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</si>
  <si>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</si>
  <si>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</si>
  <si>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</si>
  <si>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</si>
  <si>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</si>
  <si>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</si>
  <si>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</si>
  <si>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</si>
  <si>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</si>
  <si>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</si>
  <si>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</si>
  <si>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</si>
  <si>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</si>
  <si>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</si>
  <si>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</si>
  <si>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</si>
  <si>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</si>
  <si>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</si>
  <si>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</si>
  <si>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</si>
  <si>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</si>
  <si>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</si>
  <si>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</si>
  <si>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</si>
  <si>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</si>
  <si>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</si>
  <si>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</si>
  <si>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</si>
  <si>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</si>
  <si>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</si>
  <si>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</si>
  <si>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</si>
  <si>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</si>
  <si>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</si>
  <si>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</si>
  <si>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</si>
  <si>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</si>
  <si>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</si>
  <si>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</si>
  <si>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</si>
  <si>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</si>
  <si>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</si>
  <si>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</si>
  <si>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</si>
  <si>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</si>
  <si>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</si>
  <si>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</si>
  <si>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</si>
  <si>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</si>
  <si>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</si>
  <si>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</si>
  <si>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</si>
  <si>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</si>
  <si>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</si>
  <si>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</si>
  <si>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</si>
  <si>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</si>
  <si>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</si>
  <si>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</si>
  <si>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</si>
  <si>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</si>
  <si>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</si>
  <si>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</si>
  <si>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</si>
  <si>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</si>
  <si>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</si>
  <si>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</si>
  <si>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</si>
  <si>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</si>
  <si>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</si>
  <si>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</si>
  <si>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</si>
  <si>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</si>
  <si>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</si>
  <si>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</si>
  <si>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</si>
  <si>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</si>
  <si>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</si>
  <si>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</si>
  <si>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</si>
  <si>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</si>
  <si>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</si>
  <si>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</si>
  <si>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</si>
  <si>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</si>
  <si>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</si>
  <si>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</si>
  <si>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</si>
  <si>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</si>
  <si>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</si>
  <si>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</si>
  <si>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</si>
  <si>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</si>
  <si>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</si>
  <si>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</si>
  <si>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</si>
  <si>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</si>
  <si>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</si>
  <si>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</si>
  <si>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</si>
  <si>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</si>
  <si>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</si>
  <si>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</si>
  <si>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</si>
  <si>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</si>
  <si>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</si>
  <si>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</si>
  <si>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</si>
  <si>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</si>
  <si>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</si>
  <si>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</si>
  <si>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</si>
  <si>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</si>
  <si>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</si>
  <si>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</si>
  <si>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</si>
  <si>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</si>
  <si>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</si>
  <si>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</si>
  <si>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</si>
  <si>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</si>
  <si>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</si>
  <si>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</si>
  <si>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</si>
  <si>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</si>
  <si>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</si>
  <si>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</si>
  <si>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</si>
  <si>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</si>
  <si>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</si>
  <si>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</si>
  <si>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</si>
  <si>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</si>
  <si>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</si>
  <si>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</si>
  <si>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</si>
  <si>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</si>
  <si>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</si>
  <si>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</si>
  <si>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</si>
  <si>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</si>
  <si>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</si>
  <si>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</si>
  <si>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</si>
  <si>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</si>
  <si>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</si>
  <si>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</si>
  <si>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</si>
  <si>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</si>
  <si>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</si>
  <si>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</si>
  <si>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</si>
  <si>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</si>
  <si>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</si>
  <si>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</si>
  <si>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</si>
  <si>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</si>
  <si>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</si>
  <si>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</si>
  <si>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</si>
  <si>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</si>
  <si>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</si>
  <si>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</si>
  <si>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</si>
  <si>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</si>
  <si>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</si>
  <si>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</si>
  <si>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</si>
  <si>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</si>
  <si>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</si>
  <si>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</si>
  <si>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</si>
  <si>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</si>
  <si>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</si>
  <si>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</si>
  <si>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</si>
  <si>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</si>
  <si>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</si>
  <si>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</si>
  <si>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</si>
  <si>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</si>
  <si>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</si>
  <si>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</si>
  <si>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</si>
  <si>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</si>
  <si>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</si>
  <si>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</si>
  <si>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</si>
  <si>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</si>
  <si>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</si>
  <si>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</si>
  <si>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</si>
  <si>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</si>
  <si>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</si>
  <si>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</si>
  <si>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</si>
  <si>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</si>
  <si>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</si>
  <si>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</si>
  <si>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</si>
  <si>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</si>
  <si>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</si>
  <si>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</si>
  <si>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</si>
  <si>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</si>
  <si>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</si>
  <si>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</si>
  <si>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</si>
  <si>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</si>
  <si>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</si>
  <si>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</si>
  <si>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</si>
  <si>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</si>
  <si>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</si>
  <si>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</si>
  <si>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</si>
  <si>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</si>
  <si>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</si>
  <si>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</si>
  <si>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</si>
  <si>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</si>
  <si>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</si>
  <si>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</si>
  <si>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</si>
  <si>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</si>
  <si>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</si>
  <si>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</si>
  <si>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</si>
  <si>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</si>
  <si>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</si>
  <si>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</si>
  <si>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</si>
  <si>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</si>
  <si>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</si>
  <si>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</si>
  <si>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</si>
  <si>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</si>
  <si>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</si>
  <si>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</si>
  <si>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</si>
  <si>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</si>
  <si>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</si>
  <si>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</si>
  <si>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</si>
  <si>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</si>
  <si>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</si>
  <si>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</si>
  <si>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</si>
  <si>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</si>
  <si>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</si>
  <si>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</si>
  <si>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</si>
  <si>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</si>
  <si>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</si>
  <si>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</si>
  <si>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</si>
  <si>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</si>
  <si>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</si>
  <si>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</si>
  <si>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</si>
  <si>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</si>
  <si>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</si>
  <si>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</si>
  <si>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</si>
  <si>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</si>
  <si>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</si>
  <si>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</si>
  <si>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</si>
  <si>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</si>
  <si>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</si>
  <si>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</si>
  <si>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</si>
  <si>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</si>
  <si>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</si>
  <si>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</si>
  <si>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</si>
  <si>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</si>
  <si>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</si>
  <si>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</si>
  <si>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</si>
  <si>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</si>
  <si>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</si>
  <si>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</si>
  <si>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</si>
  <si>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</si>
  <si>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</si>
  <si>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</si>
  <si>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</si>
  <si>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</si>
  <si>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</si>
  <si>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</si>
  <si>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</si>
  <si>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</si>
  <si>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</si>
  <si>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</si>
  <si>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</si>
  <si>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</si>
  <si>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</si>
  <si>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</si>
  <si>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</si>
  <si>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</si>
  <si>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</si>
  <si>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</si>
  <si>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</si>
  <si>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</si>
  <si>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</si>
  <si>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</si>
  <si>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</si>
  <si>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</si>
  <si>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</si>
  <si>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</si>
  <si>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</si>
  <si>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</si>
  <si>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</si>
  <si>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</si>
  <si>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</si>
  <si>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</si>
  <si>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</si>
  <si>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</si>
  <si>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</si>
  <si>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</si>
  <si>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</si>
  <si>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</si>
  <si>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</si>
  <si>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</si>
  <si>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</si>
  <si>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</si>
  <si>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</si>
  <si>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</si>
  <si>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</si>
  <si>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</si>
  <si>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</si>
  <si>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</si>
  <si>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</si>
  <si>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</si>
  <si>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</si>
  <si>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</si>
  <si>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</si>
  <si>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</si>
  <si>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</si>
  <si>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</si>
  <si>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</si>
  <si>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</si>
  <si>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</si>
  <si>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</si>
  <si>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</si>
  <si>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</si>
  <si>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</si>
  <si>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</si>
  <si>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</si>
  <si>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</si>
  <si>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</si>
  <si>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</si>
  <si>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</si>
  <si>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</si>
  <si>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</si>
  <si>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</si>
  <si>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</si>
  <si>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</si>
  <si>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</si>
  <si>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</si>
  <si>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</si>
  <si>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</si>
  <si>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</si>
  <si>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</si>
  <si>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</si>
  <si>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</si>
  <si>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</si>
  <si>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</si>
  <si>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</si>
  <si>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</si>
  <si>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</si>
  <si>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</si>
  <si>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</si>
  <si>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</si>
  <si>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</si>
  <si>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</si>
  <si>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</si>
  <si>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</si>
  <si>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</si>
  <si>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</si>
  <si>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</si>
  <si>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</si>
  <si>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</si>
  <si>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</si>
  <si>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</si>
  <si>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</si>
  <si>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</si>
  <si>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</si>
  <si>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</si>
  <si>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</si>
  <si>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</si>
  <si>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</si>
  <si>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</si>
  <si>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</si>
  <si>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</si>
  <si>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</si>
  <si>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</si>
  <si>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</si>
  <si>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</si>
  <si>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</si>
  <si>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</si>
  <si>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</si>
  <si>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</si>
  <si>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</si>
  <si>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</si>
  <si>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</si>
  <si>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</si>
  <si>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</si>
  <si>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</si>
  <si>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</si>
  <si>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</si>
  <si>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</si>
  <si>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</si>
  <si>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</si>
  <si>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</si>
  <si>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</si>
  <si>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</si>
  <si>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</si>
  <si>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</si>
  <si>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</si>
  <si>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</si>
  <si>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</si>
  <si>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</si>
  <si>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</si>
  <si>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</si>
  <si>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</si>
  <si>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</si>
  <si>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</si>
  <si>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</si>
  <si>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</si>
  <si>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</si>
  <si>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</si>
  <si>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</si>
  <si>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</si>
  <si>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</si>
  <si>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</si>
  <si>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</si>
  <si>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</si>
  <si>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</si>
  <si>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</si>
  <si>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</si>
  <si>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</si>
  <si>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</si>
  <si>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</si>
  <si>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</si>
  <si>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</si>
  <si>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</si>
  <si>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</si>
  <si>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</si>
  <si>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</si>
  <si>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</si>
  <si>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</si>
  <si>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</si>
  <si>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</si>
  <si>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</si>
  <si>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</si>
  <si>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</si>
  <si>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</si>
  <si>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</si>
  <si>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</si>
  <si>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</si>
  <si>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</si>
  <si>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</si>
  <si>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</si>
  <si>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</si>
  <si>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</si>
  <si>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</si>
  <si>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</si>
  <si>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</si>
  <si>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</si>
  <si>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</si>
  <si>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</si>
  <si>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</si>
  <si>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</si>
  <si>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</si>
  <si>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</si>
  <si>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</si>
  <si>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</si>
  <si>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</si>
  <si>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</si>
  <si>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</si>
  <si>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</si>
  <si>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</si>
  <si>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</si>
  <si>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</si>
  <si>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</si>
  <si>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</si>
  <si>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</si>
  <si>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</si>
  <si>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</si>
  <si>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</si>
  <si>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</si>
  <si>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</si>
  <si>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</si>
  <si>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</si>
  <si>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</si>
  <si>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</si>
  <si>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</si>
  <si>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</si>
  <si>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</si>
  <si>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</si>
  <si>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</si>
  <si>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</si>
  <si>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</si>
  <si>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</si>
  <si>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</si>
  <si>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</si>
  <si>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</si>
  <si>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</si>
  <si>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</si>
  <si>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</si>
  <si>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</si>
  <si>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</si>
  <si>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</si>
  <si>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</si>
  <si>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</si>
  <si>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</si>
  <si>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</si>
  <si>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</si>
  <si>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</si>
  <si>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</si>
  <si>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</si>
  <si>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</si>
  <si>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</si>
  <si>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</si>
  <si>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</si>
  <si>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</si>
  <si>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</si>
  <si>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</si>
  <si>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</si>
  <si>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</si>
  <si>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</si>
  <si>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</si>
  <si>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</si>
  <si>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</si>
  <si>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</si>
  <si>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</si>
  <si>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</si>
  <si>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</si>
  <si>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</si>
  <si>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</si>
  <si>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</si>
  <si>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</si>
  <si>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</si>
  <si>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</si>
  <si>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</si>
  <si>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</si>
  <si>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</si>
  <si>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</si>
  <si>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</si>
  <si>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</si>
  <si>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</si>
  <si>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</si>
  <si>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</si>
  <si>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</si>
  <si>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</si>
  <si>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</si>
  <si>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</si>
  <si>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</si>
  <si>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</si>
  <si>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</si>
  <si>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</si>
  <si>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</si>
  <si>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</si>
  <si>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</si>
  <si>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</si>
  <si>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</si>
  <si>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</si>
  <si>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</si>
  <si>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</si>
  <si>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</si>
  <si>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</si>
  <si>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</si>
  <si>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</si>
  <si>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</si>
  <si>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</si>
  <si>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</si>
  <si>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</si>
  <si>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</si>
  <si>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</si>
  <si>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</si>
  <si>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</si>
  <si>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</si>
  <si>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</si>
  <si>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</si>
  <si>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</si>
  <si>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</si>
  <si>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</si>
  <si>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</si>
  <si>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</si>
  <si>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</si>
  <si>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</si>
  <si>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</si>
  <si>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</si>
  <si>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</si>
  <si>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</si>
  <si>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</si>
  <si>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</si>
  <si>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</si>
  <si>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</si>
  <si>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</si>
  <si>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</si>
  <si>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</si>
  <si>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</si>
  <si>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</si>
  <si>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</si>
  <si>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</si>
  <si>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</si>
  <si>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</si>
  <si>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</si>
  <si>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</si>
  <si>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</si>
  <si>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</si>
  <si>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</si>
  <si>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</si>
  <si>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</si>
  <si>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</si>
  <si>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</si>
  <si>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</si>
  <si>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</si>
  <si>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</si>
  <si>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</si>
  <si>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</si>
  <si>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</si>
  <si>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</si>
  <si>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</si>
  <si>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</si>
  <si>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</si>
  <si>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</si>
  <si>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</si>
  <si>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</si>
  <si>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</si>
  <si>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</si>
  <si>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</si>
  <si>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</si>
  <si>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</si>
  <si>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</si>
  <si>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</si>
  <si>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</si>
  <si>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</si>
  <si>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</si>
  <si>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</si>
  <si>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</si>
  <si>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</si>
  <si>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</si>
  <si>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</si>
  <si>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</si>
  <si>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</si>
  <si>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</si>
  <si>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</si>
  <si>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</si>
  <si>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</si>
  <si>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</si>
  <si>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</si>
  <si>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</si>
  <si>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</si>
  <si>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</si>
  <si>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</si>
  <si>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</si>
  <si>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</si>
  <si>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</si>
  <si>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</si>
  <si>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</si>
  <si>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</si>
  <si>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</si>
  <si>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</si>
  <si>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</si>
  <si>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</si>
  <si>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</si>
  <si>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</si>
  <si>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</si>
  <si>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</si>
  <si>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</si>
  <si>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</si>
  <si>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</si>
  <si>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</si>
  <si>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</si>
  <si>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</si>
  <si>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</si>
  <si>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</si>
  <si>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</si>
  <si>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</si>
  <si>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</si>
  <si>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</si>
  <si>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</si>
  <si>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</si>
  <si>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</si>
  <si>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</si>
  <si>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</si>
  <si>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</si>
  <si>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</si>
  <si>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</si>
  <si>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</si>
  <si>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</si>
  <si>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</si>
  <si>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</si>
  <si>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</si>
  <si>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</si>
  <si>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</si>
  <si>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</si>
  <si>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</si>
  <si>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</si>
  <si>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</si>
  <si>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</si>
  <si>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</si>
  <si>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</si>
  <si>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</si>
  <si>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</si>
  <si>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</si>
  <si>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</si>
  <si>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</si>
  <si>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</si>
  <si>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</si>
  <si>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</si>
  <si>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</si>
  <si>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</si>
  <si>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</si>
  <si>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</si>
  <si>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</si>
  <si>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</si>
  <si>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</si>
  <si>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</si>
  <si>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</si>
  <si>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</si>
  <si>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</si>
  <si>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</si>
  <si>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</si>
  <si>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</si>
  <si>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</si>
  <si>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</si>
  <si>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</si>
  <si>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</si>
  <si>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</si>
  <si>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</si>
  <si>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</si>
  <si>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</si>
  <si>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</si>
  <si>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</si>
  <si>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</si>
  <si>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</si>
  <si>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</si>
  <si>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</si>
  <si>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</si>
  <si>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</si>
  <si>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</si>
  <si>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</si>
  <si>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</si>
  <si>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</si>
  <si>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</si>
  <si>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</si>
  <si>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</si>
  <si>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</si>
  <si>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</si>
  <si>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</si>
  <si>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</si>
  <si>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</si>
  <si>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</si>
  <si>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</si>
  <si>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</si>
  <si>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</si>
  <si>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</si>
  <si>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</si>
  <si>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</si>
  <si>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</si>
  <si>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</si>
  <si>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</si>
  <si>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</si>
  <si>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</si>
  <si>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</si>
  <si>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</si>
  <si>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</si>
  <si>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</si>
  <si>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</si>
  <si>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</si>
  <si>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</si>
  <si>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</si>
  <si>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</si>
  <si>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</si>
  <si>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</si>
  <si>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</si>
  <si>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</si>
  <si>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</si>
  <si>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</si>
  <si>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</si>
  <si>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</si>
  <si>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</si>
  <si>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</si>
  <si>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</si>
  <si>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</si>
  <si>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</si>
  <si>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</si>
  <si>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</si>
  <si>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</si>
  <si>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</si>
  <si>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</si>
  <si>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</si>
  <si>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</si>
  <si>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</si>
  <si>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</si>
  <si>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</si>
  <si>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</si>
  <si>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</si>
  <si>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</si>
  <si>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</si>
  <si>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</si>
  <si>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</si>
  <si>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</si>
  <si>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</si>
  <si>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</si>
  <si>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</si>
  <si>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</si>
  <si>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</si>
  <si>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</si>
  <si>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</si>
  <si>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</si>
  <si>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</si>
  <si>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</si>
  <si>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</si>
  <si>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</si>
  <si>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</si>
  <si>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</si>
  <si>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</si>
  <si>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</si>
  <si>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</si>
  <si>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</si>
  <si>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</si>
  <si>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</si>
  <si>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</si>
  <si>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</si>
  <si>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</si>
  <si>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</si>
  <si>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</si>
  <si>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</si>
  <si>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</si>
  <si>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</si>
  <si>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</si>
  <si>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</si>
  <si>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</si>
  <si>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</si>
  <si>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</si>
  <si>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</si>
  <si>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</si>
  <si>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</si>
  <si>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</si>
  <si>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</si>
  <si>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</si>
  <si>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</si>
  <si>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</si>
  <si>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</si>
  <si>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</si>
  <si>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</si>
  <si>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</si>
  <si>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</si>
  <si>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</si>
  <si>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</si>
  <si>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</si>
  <si>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</si>
  <si>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</si>
  <si>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</si>
  <si>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</si>
  <si>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</si>
  <si>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</si>
  <si>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</si>
  <si>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</si>
  <si>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</si>
  <si>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</si>
  <si>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</si>
  <si>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</si>
  <si>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</si>
  <si>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</si>
  <si>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</si>
  <si>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</si>
  <si>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</si>
  <si>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</si>
  <si>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</si>
  <si>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</si>
  <si>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</si>
  <si>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</si>
  <si>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</si>
  <si>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</si>
  <si>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</si>
  <si>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</si>
  <si>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</si>
  <si>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</si>
  <si>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</si>
  <si>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</si>
  <si>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</si>
  <si>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</si>
  <si>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</si>
  <si>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</si>
  <si>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</si>
  <si>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</si>
  <si>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</si>
  <si>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</si>
  <si>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</si>
  <si>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</si>
  <si>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</si>
  <si>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</si>
  <si>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</si>
  <si>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</si>
  <si>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</si>
  <si>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</si>
  <si>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</si>
  <si>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</si>
  <si>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</si>
  <si>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</si>
  <si>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</si>
  <si>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</si>
  <si>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</si>
  <si>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</si>
  <si>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</si>
  <si>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</si>
  <si>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</si>
  <si>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</si>
  <si>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</si>
  <si>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</si>
  <si>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</si>
  <si>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</si>
  <si>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</si>
  <si>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</si>
  <si>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</si>
  <si>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</si>
  <si>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</si>
  <si>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</si>
  <si>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</si>
  <si>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</si>
  <si>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</si>
  <si>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</si>
  <si>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</si>
  <si>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</si>
  <si>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</si>
  <si>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</si>
  <si>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</si>
  <si>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</si>
  <si>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</si>
  <si>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</si>
  <si>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</si>
  <si>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</si>
  <si>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</si>
  <si>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</si>
  <si>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</si>
  <si>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</si>
  <si>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</si>
  <si>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</si>
  <si>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</si>
  <si>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</si>
  <si>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</si>
  <si>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</si>
  <si>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</si>
  <si>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</si>
  <si>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</si>
  <si>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</si>
  <si>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</si>
  <si>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</si>
  <si>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</si>
  <si>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</si>
  <si>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</si>
  <si>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</si>
  <si>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</si>
  <si>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</si>
  <si>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</si>
  <si>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</si>
  <si>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</si>
  <si>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</si>
  <si>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</si>
  <si>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</si>
  <si>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</si>
  <si>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</si>
  <si>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</si>
  <si>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</si>
  <si>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</si>
  <si>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</si>
  <si>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</si>
  <si>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</si>
  <si>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</si>
  <si>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</si>
  <si>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</si>
  <si>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</si>
  <si>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</si>
  <si>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</si>
  <si>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</si>
  <si>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</si>
  <si>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</si>
  <si>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</si>
  <si>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</si>
  <si>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</si>
  <si>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</si>
  <si>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</si>
  <si>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</si>
  <si>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</si>
  <si>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</si>
  <si>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</si>
  <si>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</si>
  <si>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</si>
  <si>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</si>
  <si>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</si>
  <si>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</si>
  <si>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</si>
  <si>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</si>
  <si>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</si>
  <si>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</si>
  <si>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</si>
  <si>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</si>
  <si>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</si>
  <si>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</si>
  <si>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</si>
  <si>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</si>
  <si>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</si>
  <si>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</si>
  <si>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</si>
  <si>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</si>
  <si>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</si>
  <si>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</si>
  <si>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</si>
  <si>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</si>
  <si>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</si>
  <si>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</si>
  <si>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</si>
  <si>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</si>
  <si>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</si>
  <si>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</si>
  <si>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</si>
  <si>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</si>
  <si>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</si>
  <si>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</si>
  <si>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</si>
  <si>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</si>
  <si>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</si>
  <si>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</si>
  <si>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</si>
  <si>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</si>
  <si>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</si>
  <si>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</si>
  <si>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</si>
  <si>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</si>
  <si>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</si>
  <si>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</si>
  <si>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</si>
  <si>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</si>
  <si>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</si>
  <si>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</si>
  <si>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</si>
  <si>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</si>
  <si>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</si>
  <si>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</si>
  <si>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</si>
  <si>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</si>
  <si>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</si>
  <si>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</si>
  <si>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</si>
  <si>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</si>
  <si>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</si>
  <si>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</si>
  <si>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</si>
  <si>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</si>
  <si>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</si>
  <si>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</si>
  <si>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</si>
  <si>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</si>
  <si>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</si>
  <si>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</si>
  <si>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</si>
  <si>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</si>
  <si>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</si>
  <si>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</si>
  <si>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</si>
  <si>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</si>
  <si>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</si>
  <si>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</si>
  <si>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</si>
  <si>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</si>
  <si>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</si>
  <si>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</si>
  <si>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</si>
  <si>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</si>
  <si>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</si>
  <si>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</si>
  <si>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</si>
  <si>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</si>
  <si>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</si>
  <si>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</si>
  <si>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</si>
  <si>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</si>
  <si>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</si>
  <si>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</si>
  <si>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</si>
  <si>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</si>
  <si>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</si>
  <si>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</si>
  <si>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</si>
  <si>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</si>
  <si>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</si>
  <si>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</si>
  <si>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</si>
  <si>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</si>
  <si>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</si>
  <si>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</si>
  <si>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</si>
  <si>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</si>
  <si>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</si>
  <si>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</si>
  <si>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</si>
  <si>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</si>
  <si>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</si>
  <si>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</si>
  <si>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</si>
  <si>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</si>
  <si>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</si>
  <si>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</si>
  <si>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</si>
  <si>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</si>
  <si>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</si>
  <si>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</si>
  <si>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</si>
  <si>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</si>
  <si>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</si>
  <si>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</si>
  <si>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</si>
  <si>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</si>
  <si>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</si>
  <si>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</si>
  <si>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</si>
  <si>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</si>
  <si>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</si>
  <si>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</si>
  <si>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</si>
  <si>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</si>
  <si>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</si>
  <si>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</si>
  <si>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</si>
  <si>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</si>
  <si>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</si>
  <si>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</si>
  <si>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</si>
  <si>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</si>
  <si>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</si>
  <si>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</si>
  <si>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</si>
  <si>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</si>
  <si>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</si>
  <si>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</si>
  <si>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</si>
  <si>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</si>
  <si>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</si>
  <si>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</si>
  <si>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</si>
  <si>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</si>
  <si>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</si>
  <si>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</si>
  <si>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</si>
  <si>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</si>
  <si>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</si>
  <si>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</si>
  <si>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</si>
  <si>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</si>
  <si>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</si>
  <si>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</si>
  <si>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</si>
  <si>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</si>
  <si>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</si>
  <si>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</si>
  <si>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</si>
  <si>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</si>
  <si>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</si>
  <si>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</si>
  <si>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</si>
  <si>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</si>
  <si>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</si>
  <si>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</si>
  <si>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</si>
  <si>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</si>
  <si>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</si>
  <si>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</si>
  <si>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</si>
  <si>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</si>
  <si>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</si>
  <si>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</si>
  <si>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</si>
  <si>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</si>
  <si>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</si>
  <si>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</si>
  <si>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</si>
  <si>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</si>
  <si>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</si>
  <si>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</si>
  <si>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</si>
  <si>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</si>
  <si>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</si>
  <si>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</si>
  <si>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</si>
  <si>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</si>
  <si>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</si>
  <si>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</si>
  <si>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</si>
  <si>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</si>
  <si>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</si>
  <si>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</si>
  <si>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</si>
  <si>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</si>
  <si>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</si>
  <si>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</si>
  <si>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</si>
  <si>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</si>
  <si>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</si>
  <si>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</si>
  <si>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</si>
  <si>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</si>
  <si>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</si>
  <si>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</si>
  <si>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</si>
  <si>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</si>
  <si>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</si>
  <si>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</si>
  <si>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</si>
  <si>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</si>
  <si>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</si>
  <si>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</si>
  <si>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</si>
  <si>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</si>
  <si>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</si>
  <si>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</si>
  <si>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</si>
  <si>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</si>
  <si>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</si>
  <si>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</si>
  <si>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</si>
  <si>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</si>
  <si>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</si>
  <si>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</si>
  <si>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</si>
  <si>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</si>
  <si>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</si>
  <si>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</si>
  <si>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</si>
  <si>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</si>
  <si>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</si>
  <si>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</si>
  <si>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</si>
  <si>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</si>
  <si>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</si>
  <si>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</si>
  <si>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</si>
  <si>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</si>
  <si>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</si>
  <si>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</si>
  <si>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</si>
  <si>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</si>
  <si>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</si>
  <si>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</si>
  <si>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</si>
  <si>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</si>
  <si>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</si>
  <si>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</si>
  <si>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</si>
  <si>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</si>
  <si>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</si>
  <si>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</si>
  <si>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</si>
  <si>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</si>
  <si>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</si>
  <si>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</si>
  <si>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</si>
  <si>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</si>
  <si>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</si>
  <si>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</si>
  <si>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</si>
  <si>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</si>
  <si>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</si>
  <si>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</si>
  <si>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</si>
  <si>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</si>
  <si>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</si>
  <si>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</si>
  <si>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</si>
  <si>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</si>
  <si>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</si>
  <si>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</si>
  <si>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</si>
  <si>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</si>
  <si>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</si>
  <si>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</si>
  <si>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</si>
  <si>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</si>
  <si>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</si>
  <si>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</si>
  <si>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</si>
  <si>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</si>
  <si>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</si>
  <si>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</si>
  <si>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</si>
  <si>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</si>
  <si>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</si>
  <si>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</si>
  <si>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</si>
  <si>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</si>
  <si>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</si>
  <si>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</si>
  <si>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</si>
  <si>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</si>
  <si>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</si>
  <si>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</si>
  <si>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</si>
  <si>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</si>
  <si>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</si>
  <si>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</si>
  <si>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</si>
  <si>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</si>
  <si>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</si>
  <si>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</si>
  <si>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</si>
  <si>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</si>
  <si>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</si>
  <si>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</si>
  <si>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</si>
  <si>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</si>
  <si>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</si>
  <si>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</si>
  <si>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</si>
  <si>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</si>
  <si>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</si>
  <si>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</si>
  <si>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</si>
  <si>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</si>
  <si>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</si>
  <si>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</si>
  <si>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</si>
  <si>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</si>
  <si>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</si>
  <si>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</si>
  <si>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</si>
  <si>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</si>
  <si>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</si>
  <si>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</si>
  <si>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</si>
  <si>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</si>
  <si>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</si>
  <si>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</si>
  <si>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</si>
  <si>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</si>
  <si>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</si>
  <si>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</si>
  <si>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</si>
  <si>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</si>
  <si>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</si>
  <si>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</si>
  <si>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</si>
  <si>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</si>
  <si>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</si>
  <si>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</si>
  <si>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</si>
  <si>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</si>
  <si>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</si>
  <si>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</si>
  <si>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</si>
  <si>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</si>
  <si>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</si>
  <si>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</si>
  <si>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</si>
  <si>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</si>
  <si>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</si>
  <si>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</si>
  <si>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</si>
  <si>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</si>
  <si>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</si>
  <si>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</si>
  <si>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</si>
  <si>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</si>
  <si>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</si>
  <si>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</si>
  <si>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</si>
  <si>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</si>
  <si>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</si>
  <si>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</si>
  <si>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</si>
  <si>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</si>
  <si>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</si>
  <si>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</si>
  <si>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</si>
  <si>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</si>
  <si>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</si>
  <si>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</si>
  <si>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</si>
  <si>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</si>
  <si>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</si>
  <si>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</si>
  <si>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</si>
  <si>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</si>
  <si>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</si>
  <si>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</si>
  <si>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</si>
  <si>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</si>
  <si>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</si>
  <si>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</si>
  <si>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</si>
  <si>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</si>
  <si>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</si>
  <si>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</si>
  <si>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</si>
  <si>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</si>
  <si>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</si>
  <si>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</si>
  <si>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</si>
  <si>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</si>
  <si>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</si>
  <si>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</si>
  <si>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</si>
  <si>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</si>
  <si>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</si>
  <si>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</si>
  <si>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</si>
  <si>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</si>
  <si>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</si>
  <si>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</si>
  <si>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</si>
  <si>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</si>
  <si>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</si>
  <si>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</si>
  <si>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</si>
  <si>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</si>
  <si>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</si>
  <si>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</si>
  <si>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</si>
  <si>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</si>
  <si>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</si>
  <si>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</si>
  <si>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</si>
  <si>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</si>
  <si>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</si>
  <si>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</si>
  <si>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</si>
  <si>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</si>
  <si>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</si>
  <si>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</si>
  <si>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</si>
  <si>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</si>
  <si>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</si>
  <si>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</si>
  <si>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</si>
  <si>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</si>
  <si>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</si>
  <si>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</si>
  <si>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</si>
  <si>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</si>
  <si>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</si>
  <si>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</si>
  <si>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</si>
  <si>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</si>
  <si>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</si>
  <si>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</si>
  <si>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</si>
  <si>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</si>
  <si>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</si>
  <si>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</si>
  <si>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</si>
  <si>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</si>
  <si>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</si>
  <si>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</si>
  <si>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</si>
  <si>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</si>
  <si>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</si>
  <si>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</si>
  <si>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</si>
  <si>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</si>
  <si>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</si>
  <si>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</si>
  <si>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</si>
  <si>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</si>
  <si>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</si>
  <si>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</si>
  <si>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</si>
  <si>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</si>
  <si>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</si>
  <si>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</si>
  <si>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</si>
  <si>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</si>
  <si>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</si>
  <si>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</si>
  <si>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</si>
  <si>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</si>
  <si>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</si>
  <si>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</si>
  <si>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</si>
  <si>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</si>
  <si>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</si>
  <si>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</si>
  <si>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</si>
  <si>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</si>
  <si>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</si>
  <si>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</si>
  <si>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</si>
  <si>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</si>
  <si>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</si>
  <si>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</si>
  <si>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</si>
  <si>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</si>
  <si>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</si>
  <si>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</si>
  <si>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</si>
  <si>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</si>
  <si>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</si>
  <si>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</si>
  <si>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</si>
  <si>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</si>
  <si>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</si>
  <si>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</si>
  <si>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</si>
  <si>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</si>
  <si>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</si>
  <si>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</si>
  <si>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</si>
  <si>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</si>
  <si>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</si>
  <si>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</si>
  <si>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</si>
  <si>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</si>
  <si>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</si>
  <si>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</si>
  <si>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</si>
  <si>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</si>
  <si>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</si>
  <si>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</si>
  <si>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</si>
  <si>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</si>
  <si>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</si>
  <si>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</si>
  <si>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</si>
  <si>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</si>
  <si>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</si>
  <si>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</si>
  <si>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</si>
  <si>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</si>
  <si>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</si>
  <si>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</si>
  <si>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</si>
  <si>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</si>
  <si>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</si>
  <si>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</si>
  <si>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</si>
  <si>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</si>
  <si>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</si>
  <si>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</si>
  <si>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</si>
  <si>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</si>
  <si>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</si>
  <si>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</si>
  <si>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</si>
  <si>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</si>
  <si>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</si>
  <si>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</si>
  <si>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</si>
  <si>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</si>
  <si>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</si>
  <si>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</si>
  <si>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</si>
  <si>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</si>
  <si>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</si>
  <si>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</si>
  <si>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</si>
  <si>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</si>
  <si>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</si>
  <si>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</si>
  <si>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</si>
  <si>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</si>
  <si>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</si>
  <si>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</si>
  <si>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</si>
  <si>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</si>
  <si>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</si>
  <si>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</si>
  <si>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</si>
  <si>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</si>
  <si>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</si>
  <si>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</si>
  <si>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</si>
  <si>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</si>
  <si>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</si>
  <si>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</si>
  <si>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</si>
  <si>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</si>
  <si>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</si>
  <si>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</si>
  <si>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</si>
  <si>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</si>
  <si>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</si>
  <si>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</si>
  <si>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</si>
  <si>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</si>
  <si>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</si>
  <si>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</si>
  <si>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</si>
  <si>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</si>
  <si>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</si>
  <si>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</si>
  <si>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</si>
  <si>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</si>
  <si>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</si>
  <si>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</si>
  <si>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</si>
  <si>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</si>
  <si>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</si>
  <si>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</si>
  <si>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</si>
  <si>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</si>
  <si>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</si>
  <si>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</si>
  <si>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</si>
  <si>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</si>
  <si>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</si>
  <si>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</si>
  <si>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</si>
  <si>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</si>
  <si>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</si>
  <si>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</si>
  <si>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</si>
  <si>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</si>
  <si>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</si>
  <si>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</si>
  <si>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</si>
  <si>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</si>
  <si>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</si>
  <si>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</si>
  <si>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</si>
  <si>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</si>
  <si>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</si>
  <si>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</si>
  <si>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</si>
  <si>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</si>
  <si>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</si>
  <si>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</si>
  <si>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</si>
  <si>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</si>
  <si>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</si>
  <si>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</si>
  <si>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</si>
  <si>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</si>
  <si>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</si>
  <si>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</si>
  <si>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</si>
  <si>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</si>
  <si>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</si>
  <si>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</si>
  <si>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</si>
  <si>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</si>
  <si>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</si>
  <si>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</si>
  <si>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</si>
  <si>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</si>
  <si>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</si>
  <si>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</si>
  <si>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</si>
  <si>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</si>
  <si>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</si>
  <si>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</si>
  <si>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</si>
  <si>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</si>
  <si>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</si>
  <si>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</si>
  <si>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</si>
  <si>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</si>
  <si>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</si>
  <si>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</si>
  <si>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</si>
  <si>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</si>
  <si>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</si>
  <si>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</si>
  <si>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</si>
  <si>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</si>
  <si>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</si>
  <si>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</si>
  <si>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</si>
  <si>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</si>
  <si>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</si>
  <si>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</si>
  <si>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</si>
  <si>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</si>
  <si>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</si>
  <si>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</si>
  <si>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</si>
  <si>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</si>
  <si>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</si>
  <si>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</si>
  <si>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</si>
  <si>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</si>
  <si>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</si>
  <si>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</si>
  <si>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</si>
  <si>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</si>
  <si>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</si>
  <si>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</si>
  <si>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</si>
  <si>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</si>
  <si>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</si>
  <si>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</si>
  <si>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</si>
  <si>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</si>
  <si>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</si>
  <si>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</si>
  <si>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</si>
  <si>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</si>
  <si>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</si>
  <si>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</si>
  <si>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</si>
  <si>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</si>
  <si>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</si>
  <si>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</si>
  <si>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</si>
  <si>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</si>
  <si>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</si>
  <si>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</si>
  <si>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</si>
  <si>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</si>
  <si>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</si>
  <si>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</si>
  <si>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</si>
  <si>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</si>
  <si>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</si>
  <si>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</si>
  <si>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</si>
  <si>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</si>
  <si>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</si>
  <si>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</si>
  <si>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</si>
  <si>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</si>
  <si>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</si>
  <si>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</si>
  <si>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</si>
  <si>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</si>
  <si>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</si>
  <si>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</si>
  <si>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</si>
  <si>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</si>
  <si>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</si>
  <si>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</si>
  <si>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</si>
  <si>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</si>
  <si>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</si>
  <si>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</si>
  <si>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</si>
  <si>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</si>
  <si>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</si>
  <si>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</si>
  <si>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</si>
  <si>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</si>
  <si>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</si>
  <si>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</si>
  <si>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</si>
  <si>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</si>
  <si>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</si>
  <si>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</si>
  <si>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</si>
  <si>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</si>
  <si>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</si>
  <si>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</si>
  <si>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</si>
  <si>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</si>
  <si>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</si>
  <si>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</si>
  <si>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</si>
  <si>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</si>
  <si>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</si>
  <si>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</si>
  <si>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</si>
  <si>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</si>
  <si>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</si>
  <si>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</si>
  <si>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</si>
  <si>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</si>
  <si>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</si>
  <si>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</si>
  <si>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</si>
  <si>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</si>
  <si>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</si>
  <si>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</si>
  <si>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</si>
  <si>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</si>
  <si>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</si>
  <si>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</si>
  <si>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</si>
  <si>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</si>
  <si>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</si>
  <si>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</si>
  <si>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</si>
  <si>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</si>
  <si>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</si>
  <si>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</si>
  <si>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</si>
  <si>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</si>
  <si>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</si>
  <si>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</si>
  <si>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</si>
  <si>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</si>
  <si>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</si>
  <si>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</si>
  <si>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</si>
  <si>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</si>
  <si>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</si>
  <si>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</si>
  <si>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</si>
  <si>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</si>
  <si>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</si>
  <si>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</si>
  <si>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</si>
  <si>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</si>
  <si>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</si>
  <si>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</si>
  <si>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</si>
  <si>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</si>
  <si>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</si>
  <si>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</si>
  <si>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</si>
  <si>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</si>
  <si>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</si>
  <si>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</si>
  <si>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</si>
  <si>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</si>
  <si>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</si>
  <si>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</si>
  <si>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</si>
  <si>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</si>
  <si>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</si>
  <si>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</si>
  <si>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</si>
  <si>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</si>
  <si>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</si>
  <si>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</si>
  <si>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</si>
  <si>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</si>
  <si>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</si>
  <si>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</si>
  <si>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</si>
  <si>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</si>
  <si>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</si>
  <si>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</si>
  <si>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</si>
  <si>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</si>
  <si>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</si>
  <si>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</si>
  <si>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</si>
  <si>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</si>
  <si>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</si>
  <si>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</si>
  <si>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</si>
  <si>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</si>
  <si>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</si>
  <si>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</si>
  <si>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</si>
  <si>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</si>
  <si>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</si>
  <si>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</si>
  <si>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</si>
  <si>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</si>
  <si>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</si>
  <si>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</si>
  <si>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</si>
  <si>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</si>
  <si>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</si>
  <si>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</si>
  <si>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</si>
  <si>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</si>
  <si>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</si>
  <si>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</si>
  <si>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</si>
  <si>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</si>
  <si>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</si>
  <si>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</si>
  <si>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</si>
  <si>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</si>
  <si>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</si>
  <si>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</si>
  <si>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</si>
  <si>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</si>
  <si>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</si>
  <si>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</si>
  <si>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</si>
  <si>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</si>
  <si>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</si>
  <si>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</si>
  <si>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</si>
  <si>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</si>
  <si>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</si>
  <si>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</si>
  <si>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</si>
  <si>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</si>
  <si>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</si>
  <si>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</si>
  <si>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</si>
  <si>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</si>
  <si>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</si>
  <si>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</si>
  <si>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</si>
  <si>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</si>
  <si>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</si>
  <si>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</si>
  <si>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</si>
  <si>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</si>
  <si>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</si>
  <si>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</si>
  <si>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</si>
  <si>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</si>
  <si>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</si>
  <si>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</si>
  <si>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</si>
  <si>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</si>
  <si>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</si>
  <si>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</si>
  <si>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</si>
  <si>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</si>
  <si>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</si>
  <si>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</si>
  <si>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</si>
  <si>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</si>
  <si>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</si>
  <si>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</si>
  <si>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</si>
  <si>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</si>
  <si>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</si>
  <si>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</si>
  <si>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</si>
  <si>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</si>
  <si>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</si>
  <si>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</si>
  <si>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</si>
  <si>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</si>
  <si>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</si>
  <si>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</si>
  <si>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</si>
  <si>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</si>
  <si>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</si>
  <si>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</si>
  <si>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</si>
  <si>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</si>
  <si>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</si>
  <si>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</si>
  <si>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</si>
  <si>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</si>
  <si>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</si>
  <si>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</si>
  <si>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</si>
  <si>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</si>
  <si>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</si>
  <si>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</si>
  <si>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</si>
  <si>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</si>
  <si>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</si>
  <si>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</si>
  <si>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</si>
  <si>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</si>
  <si>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</si>
  <si>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</si>
  <si>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</si>
  <si>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</si>
  <si>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</si>
  <si>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</si>
  <si>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</si>
  <si>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</si>
  <si>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</si>
  <si>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</si>
  <si>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</si>
  <si>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</si>
  <si>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</si>
  <si>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</si>
  <si>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</si>
  <si>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</si>
  <si>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</si>
  <si>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</si>
  <si>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</si>
  <si>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</si>
  <si>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</si>
  <si>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</si>
  <si>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</si>
  <si>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</si>
  <si>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</si>
  <si>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</si>
  <si>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</si>
  <si>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</si>
  <si>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</si>
  <si>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</si>
  <si>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</si>
  <si>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</si>
  <si>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</si>
  <si>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</si>
  <si>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</si>
  <si>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</si>
  <si>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</si>
  <si>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</si>
  <si>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</si>
  <si>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</si>
  <si>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</si>
  <si>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</si>
  <si>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</si>
  <si>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</si>
  <si>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</si>
  <si>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</si>
  <si>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</si>
  <si>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</si>
  <si>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</si>
  <si>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</si>
  <si>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</si>
  <si>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</si>
  <si>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</si>
  <si>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</si>
  <si>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</si>
  <si>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</si>
  <si>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</si>
  <si>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</si>
  <si>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</si>
  <si>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</si>
  <si>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</si>
  <si>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</si>
  <si>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</si>
  <si>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</si>
  <si>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</si>
  <si>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</si>
  <si>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</si>
  <si>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</si>
  <si>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</si>
  <si>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</si>
  <si>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</si>
  <si>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</si>
  <si>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</si>
  <si>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</si>
  <si>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</si>
  <si>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</si>
  <si>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</si>
  <si>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</si>
  <si>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</si>
  <si>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</si>
  <si>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</si>
  <si>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</si>
  <si>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</si>
  <si>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</si>
  <si>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</si>
  <si>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</si>
  <si>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</si>
  <si>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</si>
  <si>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</si>
  <si>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</si>
  <si>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</si>
  <si>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</si>
  <si>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</si>
  <si>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</si>
  <si>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</si>
  <si>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</si>
  <si>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</si>
  <si>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</si>
  <si>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</si>
  <si>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</si>
  <si>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</si>
  <si>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</si>
  <si>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</si>
  <si>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</si>
  <si>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</si>
  <si>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</si>
  <si>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</si>
  <si>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</si>
  <si>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</si>
  <si>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</si>
  <si>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</si>
  <si>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</si>
  <si>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</si>
  <si>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</si>
  <si>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</si>
  <si>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</si>
  <si>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</si>
  <si>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</si>
  <si>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</si>
  <si>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</si>
  <si>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</si>
  <si>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</si>
  <si>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</si>
  <si>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</si>
  <si>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</si>
  <si>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</si>
  <si>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</si>
  <si>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</si>
  <si>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</si>
  <si>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</si>
  <si>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</si>
  <si>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</si>
  <si>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</si>
  <si>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</si>
  <si>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</si>
  <si>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</si>
  <si>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</si>
  <si>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</si>
  <si>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</si>
  <si>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</si>
  <si>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</si>
  <si>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</si>
  <si>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</si>
  <si>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</si>
  <si>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</si>
  <si>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</si>
  <si>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</si>
  <si>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</si>
  <si>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</si>
  <si>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</si>
  <si>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</si>
  <si>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</si>
  <si>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</si>
  <si>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</si>
  <si>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</si>
  <si>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</si>
  <si>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</si>
  <si>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</si>
  <si>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</si>
  <si>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</si>
  <si>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</si>
  <si>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</si>
  <si>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</si>
  <si>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</si>
  <si>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</si>
  <si>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</si>
  <si>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</si>
  <si>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</si>
  <si>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</si>
  <si>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</si>
  <si>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</si>
  <si>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</si>
  <si>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</si>
  <si>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</si>
  <si>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</si>
  <si>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</si>
  <si>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</si>
  <si>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</si>
  <si>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</si>
  <si>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</si>
  <si>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</si>
  <si>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</si>
  <si>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</si>
  <si>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</si>
  <si>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</si>
  <si>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</si>
  <si>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</si>
  <si>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</si>
  <si>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</si>
  <si>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</si>
  <si>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</si>
  <si>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</si>
  <si>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</si>
  <si>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</si>
  <si>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</si>
  <si>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</si>
  <si>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</si>
  <si>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</si>
  <si>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</si>
  <si>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</si>
  <si>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</si>
  <si>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</si>
  <si>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</si>
  <si>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</si>
  <si>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</si>
  <si>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</si>
  <si>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</si>
  <si>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</si>
  <si>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</si>
  <si>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</si>
  <si>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</si>
  <si>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</si>
  <si>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</si>
  <si>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</si>
  <si>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</si>
  <si>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</si>
  <si>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</si>
  <si>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</si>
  <si>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</si>
  <si>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</si>
  <si>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</si>
  <si>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</si>
  <si>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</si>
  <si>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</si>
  <si>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</si>
  <si>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</si>
  <si>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</si>
  <si>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</si>
  <si>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</si>
  <si>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</si>
  <si>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</si>
  <si>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</si>
  <si>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</si>
  <si>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</si>
  <si>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</si>
  <si>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</si>
  <si>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</si>
  <si>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</si>
  <si>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</si>
  <si>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</si>
  <si>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</si>
  <si>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</si>
  <si>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</si>
  <si>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</si>
  <si>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</si>
  <si>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</si>
  <si>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</si>
  <si>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</si>
  <si>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</si>
  <si>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</si>
  <si>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</si>
  <si>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</si>
  <si>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</si>
  <si>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</si>
  <si>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</si>
  <si>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</si>
  <si>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</si>
  <si>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</si>
  <si>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</si>
  <si>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</si>
  <si>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</si>
  <si>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</si>
  <si>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</si>
  <si>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</si>
  <si>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</si>
  <si>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</si>
  <si>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</si>
  <si>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</si>
  <si>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</si>
  <si>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</si>
  <si>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</si>
  <si>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</si>
  <si>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</si>
  <si>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</si>
  <si>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</si>
  <si>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</si>
  <si>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</si>
  <si>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</si>
  <si>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</si>
  <si>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</si>
  <si>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</si>
  <si>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</si>
  <si>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</si>
  <si>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</si>
  <si>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</si>
  <si>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</si>
  <si>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</si>
  <si>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</si>
  <si>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</si>
  <si>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</si>
  <si>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</si>
  <si>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</si>
  <si>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</si>
  <si>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</si>
  <si>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</si>
  <si>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</si>
  <si>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</si>
  <si>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</si>
  <si>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</si>
  <si>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</si>
  <si>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</si>
  <si>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</si>
  <si>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</si>
  <si>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</si>
  <si>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</si>
  <si>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</si>
  <si>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</si>
  <si>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</si>
  <si>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</si>
  <si>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</si>
  <si>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</si>
  <si>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</si>
  <si>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</si>
  <si>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</si>
  <si>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</si>
  <si>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</si>
  <si>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</si>
  <si>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</si>
  <si>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</si>
  <si>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</si>
  <si>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</si>
  <si>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</si>
  <si>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</si>
  <si>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</si>
  <si>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</si>
  <si>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</si>
  <si>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</si>
  <si>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</si>
  <si>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</si>
  <si>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</si>
  <si>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</si>
  <si>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</si>
  <si>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</si>
  <si>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</si>
  <si>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</si>
  <si>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</si>
  <si>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</si>
  <si>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</si>
  <si>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</si>
  <si>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</si>
  <si>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</si>
  <si>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</si>
  <si>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</si>
  <si>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</si>
  <si>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</si>
  <si>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</si>
  <si>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</si>
  <si>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</si>
  <si>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</si>
  <si>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</si>
  <si>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</si>
  <si>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</si>
  <si>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</si>
  <si>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</si>
  <si>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</si>
  <si>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</si>
  <si>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</si>
  <si>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</si>
  <si>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</si>
  <si>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</si>
  <si>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</si>
  <si>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</si>
  <si>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</si>
  <si>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</si>
  <si>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</si>
  <si>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</si>
  <si>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</si>
  <si>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</si>
  <si>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</si>
  <si>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</si>
  <si>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</si>
  <si>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</si>
  <si>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</si>
  <si>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</si>
  <si>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</si>
  <si>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</si>
  <si>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</si>
  <si>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</si>
  <si>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</si>
  <si>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</si>
  <si>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</si>
  <si>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</si>
  <si>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</si>
  <si>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</si>
  <si>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</si>
  <si>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</si>
  <si>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</si>
  <si>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</si>
  <si>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</si>
  <si>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</si>
  <si>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</si>
  <si>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</si>
  <si>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</si>
  <si>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</si>
  <si>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</si>
  <si>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</si>
  <si>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</si>
  <si>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</si>
  <si>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</si>
  <si>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</si>
  <si>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</si>
  <si>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</si>
  <si>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</si>
  <si>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</si>
  <si>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</si>
  <si>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</si>
  <si>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</si>
  <si>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</si>
  <si>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</si>
  <si>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</si>
  <si>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</si>
  <si>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</si>
  <si>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</si>
  <si>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</si>
  <si>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</si>
  <si>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</si>
  <si>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</si>
  <si>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</si>
  <si>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</si>
  <si>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</si>
  <si>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</si>
  <si>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</si>
  <si>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</si>
  <si>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</si>
  <si>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</si>
  <si>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</si>
  <si>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</si>
  <si>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</si>
  <si>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</si>
  <si>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</si>
  <si>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</si>
  <si>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</si>
  <si>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</si>
  <si>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</si>
  <si>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</si>
  <si>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</si>
  <si>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</si>
  <si>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</si>
  <si>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</si>
  <si>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</si>
  <si>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</si>
  <si>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</si>
  <si>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</si>
  <si>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</si>
  <si>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</si>
  <si>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</si>
  <si>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</si>
  <si>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</si>
  <si>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</si>
  <si>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</si>
  <si>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</si>
  <si>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</si>
  <si>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</si>
  <si>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</si>
  <si>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</si>
  <si>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</si>
  <si>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</si>
  <si>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</si>
  <si>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</si>
  <si>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</si>
  <si>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</si>
  <si>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</si>
  <si>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</si>
  <si>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</si>
  <si>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</si>
  <si>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</si>
  <si>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</si>
  <si>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</si>
  <si>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</si>
  <si>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</si>
  <si>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</si>
  <si>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</si>
  <si>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</si>
  <si>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</si>
  <si>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</si>
  <si>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</si>
  <si>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</si>
  <si>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</si>
  <si>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</si>
  <si>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</si>
  <si>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</si>
  <si>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</si>
  <si>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</si>
  <si>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</si>
  <si>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</si>
  <si>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</si>
  <si>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</si>
  <si>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</si>
  <si>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</si>
  <si>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</si>
  <si>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</si>
  <si>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</si>
  <si>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</si>
  <si>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</si>
  <si>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</si>
  <si>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</si>
  <si>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</si>
  <si>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</si>
  <si>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</si>
  <si>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</si>
  <si>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</si>
  <si>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</si>
  <si>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</si>
  <si>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</si>
  <si>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</si>
  <si>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</si>
  <si>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</si>
  <si>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</si>
  <si>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</si>
  <si>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</si>
  <si>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</si>
  <si>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</si>
  <si>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</si>
  <si>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</si>
  <si>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</si>
  <si>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</si>
  <si>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</si>
  <si>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</si>
  <si>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</si>
  <si>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</si>
  <si>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</si>
  <si>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</si>
  <si>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</si>
  <si>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</si>
  <si>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</si>
  <si>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</si>
  <si>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</si>
  <si>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</si>
  <si>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</si>
  <si>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</si>
  <si>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</si>
  <si>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</si>
  <si>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</si>
  <si>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</si>
  <si>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</si>
  <si>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</si>
  <si>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</si>
  <si>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</si>
  <si>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</si>
  <si>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</si>
  <si>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</si>
  <si>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</si>
  <si>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</si>
  <si>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</si>
  <si>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</si>
  <si>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</si>
  <si>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</si>
  <si>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</si>
  <si>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</si>
  <si>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</si>
  <si>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</si>
  <si>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</si>
  <si>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</si>
  <si>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</si>
  <si>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</si>
  <si>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</si>
  <si>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</si>
  <si>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</si>
  <si>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</si>
  <si>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</si>
  <si>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</si>
  <si>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</si>
  <si>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</si>
  <si>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</si>
  <si>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</si>
  <si>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</si>
  <si>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</si>
  <si>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</si>
  <si>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</si>
  <si>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</si>
  <si>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</si>
  <si>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</si>
  <si>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</si>
  <si>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</si>
  <si>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</si>
  <si>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</si>
  <si>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</si>
  <si>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</si>
  <si>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</si>
  <si>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</si>
  <si>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</si>
  <si>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</si>
  <si>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</si>
  <si>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</si>
  <si>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</si>
  <si>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</si>
  <si>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</si>
  <si>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</si>
  <si>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</si>
  <si>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</si>
  <si>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</si>
  <si>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</si>
  <si>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</si>
  <si>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</si>
  <si>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</si>
  <si>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</si>
  <si>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</si>
  <si>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</si>
  <si>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</si>
  <si>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</si>
  <si>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</si>
  <si>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</si>
  <si>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</si>
  <si>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</si>
  <si>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</si>
  <si>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</si>
  <si>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</si>
  <si>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</si>
  <si>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</si>
  <si>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</si>
  <si>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</si>
  <si>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</si>
  <si>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</si>
  <si>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</si>
  <si>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</si>
  <si>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</si>
  <si>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</si>
  <si>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</si>
  <si>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</si>
  <si>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</si>
  <si>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</si>
  <si>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</si>
  <si>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</si>
  <si>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</si>
  <si>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</si>
  <si>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</si>
  <si>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</si>
  <si>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</si>
  <si>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</si>
  <si>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</si>
  <si>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</si>
  <si>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</si>
  <si>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</si>
  <si>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</si>
  <si>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</si>
  <si>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</si>
  <si>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</si>
  <si>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</si>
  <si>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</si>
  <si>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</si>
  <si>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</si>
  <si>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</si>
  <si>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</si>
  <si>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</si>
  <si>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</si>
  <si>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</si>
  <si>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</si>
  <si>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</si>
  <si>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</si>
  <si>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</si>
  <si>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</si>
  <si>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</si>
  <si>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</si>
  <si>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</si>
  <si>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</si>
  <si>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</si>
  <si>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</si>
  <si>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</si>
  <si>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</si>
  <si>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</si>
  <si>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</si>
  <si>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</si>
  <si>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</si>
  <si>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</si>
  <si>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</si>
  <si>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</si>
  <si>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</si>
  <si>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</si>
  <si>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</si>
  <si>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</si>
  <si>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</si>
  <si>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</si>
  <si>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</si>
  <si>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</si>
  <si>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</si>
  <si>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</si>
  <si>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</si>
  <si>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</si>
  <si>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</si>
  <si>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</si>
  <si>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</si>
  <si>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</si>
  <si>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</si>
  <si>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</si>
  <si>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</si>
  <si>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</si>
  <si>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</si>
  <si>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</si>
  <si>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</si>
  <si>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</si>
  <si>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</si>
  <si>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</si>
  <si>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</si>
  <si>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</si>
  <si>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</si>
  <si>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</si>
  <si>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</si>
  <si>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</si>
  <si>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</si>
  <si>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</si>
  <si>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</si>
  <si>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</si>
  <si>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</si>
  <si>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</si>
  <si>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</si>
  <si>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</si>
  <si>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</si>
  <si>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</si>
  <si>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</si>
  <si>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</si>
  <si>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</si>
  <si>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</si>
  <si>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</si>
  <si>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</si>
  <si>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</si>
  <si>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</si>
  <si>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</si>
  <si>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</si>
  <si>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</si>
  <si>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</si>
  <si>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</si>
  <si>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</si>
  <si>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</si>
  <si>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</si>
  <si>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</si>
  <si>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</si>
  <si>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</si>
  <si>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</si>
  <si>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</si>
  <si>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</si>
  <si>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</si>
  <si>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</si>
  <si>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</si>
  <si>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</si>
  <si>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</si>
  <si>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</si>
  <si>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</si>
  <si>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</si>
  <si>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</si>
  <si>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</si>
  <si>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</si>
  <si>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</si>
  <si>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</si>
  <si>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</si>
  <si>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</si>
  <si>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</si>
  <si>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</si>
  <si>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</si>
  <si>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</si>
  <si>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</si>
  <si>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</si>
  <si>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</si>
  <si>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</si>
  <si>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</si>
  <si>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</si>
  <si>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</si>
  <si>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</si>
  <si>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</si>
  <si>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</si>
  <si>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</si>
  <si>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</si>
  <si>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</si>
  <si>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</si>
  <si>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</si>
  <si>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</si>
  <si>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</si>
  <si>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</si>
  <si>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</si>
  <si>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</si>
  <si>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</si>
  <si>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</si>
  <si>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</si>
  <si>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</si>
  <si>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</si>
  <si>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</si>
  <si>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</si>
  <si>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</si>
  <si>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</si>
  <si>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</si>
  <si>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</si>
  <si>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</si>
  <si>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</si>
  <si>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</si>
  <si>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</si>
  <si>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</si>
  <si>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</si>
  <si>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</si>
  <si>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</si>
  <si>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</si>
  <si>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</si>
  <si>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</si>
  <si>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</si>
  <si>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</si>
  <si>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</si>
  <si>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</si>
  <si>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</si>
  <si>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</si>
  <si>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</si>
  <si>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</si>
  <si>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</si>
  <si>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</si>
  <si>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</si>
  <si>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</si>
  <si>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</si>
  <si>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</si>
  <si>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</si>
  <si>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</si>
  <si>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</si>
  <si>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</si>
  <si>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</si>
  <si>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</si>
  <si>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</si>
  <si>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</si>
  <si>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</si>
  <si>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</si>
  <si>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</si>
  <si>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</si>
  <si>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</si>
  <si>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</si>
  <si>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</si>
  <si>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</si>
  <si>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</si>
  <si>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</si>
  <si>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</si>
  <si>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</si>
  <si>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</si>
  <si>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</si>
  <si>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</si>
  <si>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</si>
  <si>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</si>
  <si>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</si>
  <si>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</si>
  <si>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</si>
  <si>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</si>
  <si>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</si>
  <si>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</si>
  <si>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</si>
  <si>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</si>
  <si>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</si>
  <si>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</si>
  <si>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</si>
  <si>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</si>
  <si>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</si>
  <si>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</si>
  <si>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</si>
  <si>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</si>
  <si>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</si>
  <si>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</si>
  <si>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</si>
  <si>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</si>
  <si>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</si>
  <si>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</si>
  <si>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</si>
  <si>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</si>
  <si>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</si>
  <si>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</si>
  <si>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</si>
  <si>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</si>
  <si>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</si>
  <si>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</si>
  <si>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</si>
  <si>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</si>
  <si>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</si>
  <si>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</si>
  <si>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</si>
  <si>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</si>
  <si>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</si>
  <si>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</si>
  <si>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</si>
  <si>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</si>
  <si>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</si>
  <si>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</si>
  <si>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</si>
  <si>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</si>
  <si>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</si>
  <si>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</si>
  <si>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</si>
  <si>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</si>
  <si>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</si>
  <si>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</si>
  <si>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</si>
  <si>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</si>
  <si>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</si>
  <si>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</si>
  <si>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</si>
  <si>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</si>
  <si>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</si>
  <si>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</si>
  <si>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</si>
  <si>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</si>
  <si>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</si>
  <si>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</si>
  <si>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</si>
  <si>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</si>
  <si>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</si>
  <si>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</si>
  <si>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</si>
  <si>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</si>
  <si>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</si>
  <si>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</si>
  <si>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</si>
  <si>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</si>
  <si>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</si>
  <si>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</si>
  <si>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</si>
  <si>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</si>
  <si>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</si>
  <si>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</si>
  <si>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</si>
  <si>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</si>
  <si>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</si>
  <si>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</si>
  <si>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</si>
  <si>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</si>
  <si>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</si>
  <si>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</si>
  <si>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</si>
  <si>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</si>
  <si>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</si>
  <si>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</si>
  <si>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</si>
  <si>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</si>
  <si>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</si>
  <si>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</si>
  <si>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</si>
  <si>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</si>
  <si>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</si>
  <si>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</si>
  <si>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</si>
  <si>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</si>
  <si>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</si>
  <si>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</si>
  <si>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</si>
  <si>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</si>
  <si>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</si>
  <si>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</si>
  <si>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</si>
  <si>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</si>
  <si>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</si>
  <si>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</si>
  <si>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</si>
  <si>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</si>
  <si>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</si>
  <si>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</si>
  <si>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</si>
  <si>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</si>
  <si>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</si>
  <si>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</si>
  <si>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</si>
  <si>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</si>
  <si>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</si>
  <si>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</si>
  <si>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</si>
  <si>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</si>
  <si>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</si>
  <si>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</si>
  <si>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</si>
  <si>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</si>
  <si>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</si>
  <si>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</si>
  <si>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</si>
  <si>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</si>
  <si>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</si>
  <si>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</si>
  <si>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</si>
  <si>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</si>
  <si>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</si>
  <si>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</si>
  <si>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</si>
  <si>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</si>
  <si>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</si>
  <si>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</si>
  <si>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</si>
  <si>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</si>
  <si>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</si>
  <si>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</si>
  <si>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</si>
  <si>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</si>
  <si>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</si>
  <si>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</si>
  <si>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</si>
  <si>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</si>
  <si>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</si>
  <si>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</si>
  <si>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</si>
  <si>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</si>
  <si>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</si>
  <si>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</si>
  <si>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</si>
  <si>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</si>
  <si>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</si>
  <si>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</si>
  <si>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</si>
  <si>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</si>
  <si>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</si>
  <si>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</si>
  <si>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</si>
  <si>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</si>
  <si>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</si>
  <si>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</si>
  <si>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</si>
  <si>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</si>
  <si>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</si>
  <si>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</si>
  <si>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</si>
  <si>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</si>
  <si>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</si>
  <si>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</si>
  <si>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</si>
  <si>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</si>
  <si>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</si>
  <si>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</si>
  <si>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</si>
  <si>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</si>
  <si>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</si>
  <si>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</si>
  <si>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</si>
  <si>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</si>
  <si>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</si>
  <si>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</si>
  <si>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</si>
  <si>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</si>
  <si>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</si>
  <si>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</si>
  <si>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</si>
  <si>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</si>
  <si>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</si>
  <si>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</si>
  <si>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</si>
  <si>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</si>
  <si>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</si>
  <si>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</si>
  <si>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</si>
  <si>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</si>
  <si>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</si>
  <si>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</si>
  <si>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</si>
  <si>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</si>
  <si>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</si>
  <si>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</si>
  <si>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</si>
  <si>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</si>
  <si>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</si>
  <si>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</si>
  <si>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</si>
  <si>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</si>
  <si>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</si>
  <si>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</si>
  <si>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</si>
  <si>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</si>
  <si>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</si>
  <si>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</si>
  <si>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</si>
  <si>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</si>
  <si>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</si>
  <si>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</si>
  <si>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</si>
  <si>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</si>
  <si>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</si>
  <si>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</si>
  <si>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</si>
  <si>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</si>
  <si>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</si>
  <si>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</si>
  <si>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</si>
  <si>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</si>
  <si>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</si>
  <si>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</si>
  <si>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</si>
  <si>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</si>
  <si>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</si>
  <si>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</si>
  <si>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</si>
  <si>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</si>
  <si>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</si>
  <si>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</si>
  <si>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</si>
  <si>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</si>
  <si>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</si>
  <si>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</si>
  <si>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</si>
  <si>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</si>
  <si>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</si>
  <si>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</si>
  <si>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</si>
  <si>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</si>
  <si>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</si>
  <si>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</si>
  <si>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</si>
  <si>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</si>
  <si>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</si>
  <si>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</si>
  <si>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</si>
  <si>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</si>
  <si>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</si>
  <si>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</si>
  <si>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</si>
  <si>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</si>
  <si>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</si>
  <si>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</si>
  <si>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</si>
  <si>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</si>
  <si>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</si>
  <si>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</si>
  <si>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</si>
  <si>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</si>
  <si>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</si>
  <si>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</si>
  <si>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</si>
  <si>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</si>
  <si>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</si>
  <si>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</si>
  <si>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</si>
  <si>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</si>
  <si>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</si>
  <si>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</si>
  <si>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</si>
  <si>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</si>
  <si>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</si>
  <si>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</si>
  <si>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</si>
  <si>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</si>
  <si>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</si>
  <si>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</si>
  <si>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</si>
  <si>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</si>
  <si>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</si>
  <si>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</si>
  <si>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</si>
  <si>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</si>
  <si>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</si>
  <si>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</si>
  <si>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</si>
  <si>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</si>
  <si>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</si>
  <si>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</si>
  <si>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</si>
  <si>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</si>
  <si>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</si>
  <si>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</si>
  <si>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</si>
  <si>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</si>
  <si>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</si>
  <si>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</si>
  <si>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</si>
  <si>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</si>
  <si>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</si>
  <si>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</si>
  <si>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</si>
  <si>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</si>
  <si>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</si>
  <si>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</si>
  <si>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</si>
  <si>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</si>
  <si>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</si>
  <si>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</si>
  <si>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</si>
  <si>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</si>
  <si>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</si>
  <si>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</si>
  <si>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</si>
  <si>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</si>
  <si>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</si>
  <si>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</si>
  <si>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</si>
  <si>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</si>
  <si>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</si>
  <si>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</si>
  <si>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</si>
  <si>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</si>
  <si>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</si>
  <si>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</si>
  <si>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</si>
  <si>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</si>
  <si>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</si>
  <si>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</si>
  <si>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</si>
  <si>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</si>
  <si>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</si>
  <si>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</si>
  <si>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</si>
  <si>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</si>
  <si>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</si>
  <si>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</si>
  <si>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</si>
  <si>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</si>
  <si>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</si>
  <si>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</si>
  <si>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</si>
  <si>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</si>
  <si>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</si>
  <si>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</si>
  <si>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</si>
  <si>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</si>
  <si>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</si>
  <si>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</si>
  <si>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</si>
  <si>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</si>
  <si>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</si>
  <si>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</si>
  <si>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</si>
  <si>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</si>
  <si>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</si>
  <si>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</si>
  <si>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</si>
  <si>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</si>
  <si>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</si>
  <si>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</si>
  <si>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</si>
  <si>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</si>
  <si>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</si>
  <si>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</si>
  <si>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</si>
  <si>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</si>
  <si>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</si>
  <si>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</si>
  <si>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</si>
  <si>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</si>
  <si>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</si>
  <si>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</si>
  <si>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</si>
  <si>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</si>
  <si>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</si>
  <si>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</si>
  <si>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</si>
  <si>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</si>
  <si>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</si>
  <si>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</si>
  <si>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</si>
  <si>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</si>
  <si>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</si>
  <si>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</si>
  <si>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</si>
  <si>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</si>
  <si>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</si>
  <si>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</si>
  <si>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</si>
  <si>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</si>
  <si>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</si>
  <si>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</si>
  <si>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</si>
  <si>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</si>
  <si>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</si>
  <si>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</si>
  <si>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</si>
  <si>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</si>
  <si>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</si>
  <si>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</si>
  <si>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</si>
  <si>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</si>
  <si>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</si>
  <si>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</si>
  <si>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</si>
  <si>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</si>
  <si>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</si>
  <si>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</si>
  <si>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</si>
  <si>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</si>
  <si>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</si>
  <si>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</si>
  <si>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</si>
  <si>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</si>
  <si>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</si>
  <si>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</si>
  <si>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</si>
  <si>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</si>
  <si>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</si>
  <si>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</si>
  <si>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</si>
  <si>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</si>
  <si>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</si>
  <si>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</si>
  <si>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</si>
  <si>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</si>
  <si>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</si>
  <si>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</si>
  <si>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</si>
  <si>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</si>
  <si>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</si>
  <si>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</si>
  <si>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</si>
  <si>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</si>
  <si>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</si>
  <si>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</si>
  <si>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</si>
  <si>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</si>
  <si>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</si>
  <si>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</si>
  <si>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</si>
  <si>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</si>
  <si>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</si>
  <si>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</si>
  <si>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</si>
  <si>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</si>
  <si>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</si>
  <si>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</si>
  <si>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</si>
  <si>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</si>
  <si>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</si>
  <si>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</si>
  <si>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</si>
  <si>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</si>
  <si>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</si>
  <si>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</si>
  <si>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</si>
  <si>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</si>
  <si>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</si>
  <si>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</si>
  <si>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</si>
  <si>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</si>
  <si>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</si>
  <si>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</si>
  <si>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</si>
  <si>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</si>
  <si>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</si>
  <si>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</si>
  <si>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</si>
  <si>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</si>
  <si>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</si>
  <si>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</si>
  <si>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</si>
  <si>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</si>
  <si>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</si>
  <si>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</si>
  <si>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</si>
  <si>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</si>
  <si>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</si>
  <si>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</si>
  <si>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</si>
  <si>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</si>
  <si>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</si>
  <si>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</si>
  <si>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</si>
  <si>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</si>
  <si>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</si>
  <si>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</si>
  <si>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</si>
  <si>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</si>
  <si>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</si>
  <si>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</si>
  <si>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</si>
  <si>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</si>
  <si>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</si>
  <si>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</si>
  <si>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</si>
  <si>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</si>
  <si>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</si>
  <si>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</si>
  <si>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</si>
  <si>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</si>
  <si>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</si>
  <si>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</si>
  <si>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</si>
  <si>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</si>
  <si>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</si>
  <si>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</si>
  <si>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</si>
  <si>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</si>
  <si>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</si>
  <si>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</si>
  <si>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</si>
  <si>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</si>
  <si>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</si>
  <si>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</si>
  <si>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</si>
  <si>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</si>
  <si>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</si>
  <si>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</si>
  <si>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</si>
  <si>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</si>
  <si>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</si>
  <si>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</si>
  <si>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</si>
  <si>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</si>
  <si>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</si>
  <si>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</si>
  <si>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</si>
  <si>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</si>
  <si>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</si>
  <si>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</si>
  <si>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</si>
  <si>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</si>
  <si>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</si>
  <si>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</si>
  <si>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</si>
  <si>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</si>
  <si>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</si>
  <si>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</si>
  <si>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</si>
  <si>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</si>
  <si>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</si>
  <si>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</si>
  <si>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</si>
  <si>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</si>
  <si>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</si>
  <si>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</si>
  <si>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</si>
  <si>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</si>
  <si>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</si>
  <si>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</si>
  <si>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</si>
  <si>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</si>
  <si>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</si>
  <si>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</si>
  <si>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</si>
  <si>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</si>
  <si>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</si>
  <si>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</si>
  <si>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</si>
  <si>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</si>
  <si>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</si>
  <si>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</si>
  <si>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</si>
  <si>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</si>
  <si>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</si>
  <si>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</si>
  <si>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</si>
  <si>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</si>
  <si>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</si>
  <si>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</si>
  <si>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</si>
  <si>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</si>
  <si>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</si>
  <si>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</si>
  <si>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</si>
  <si>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</si>
  <si>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</si>
  <si>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</si>
  <si>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</si>
  <si>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</si>
  <si>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</si>
  <si>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</si>
  <si>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</si>
  <si>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</si>
  <si>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</si>
  <si>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</si>
  <si>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</si>
  <si>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</si>
  <si>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</si>
  <si>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</si>
  <si>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</si>
  <si>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</si>
  <si>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</si>
  <si>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</si>
  <si>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</si>
  <si>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</si>
  <si>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</si>
  <si>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</si>
  <si>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</si>
  <si>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</si>
  <si>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</si>
  <si>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</si>
  <si>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</si>
  <si>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</si>
  <si>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</si>
  <si>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</si>
  <si>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</si>
  <si>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</si>
  <si>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</si>
  <si>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</si>
  <si>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</si>
  <si>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</si>
  <si>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</si>
  <si>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</si>
  <si>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</si>
  <si>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</si>
  <si>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</si>
  <si>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</si>
  <si>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</si>
  <si>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</si>
  <si>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</si>
  <si>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</si>
  <si>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</si>
  <si>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</si>
  <si>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</si>
  <si>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</si>
  <si>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</si>
  <si>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</si>
  <si>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</si>
  <si>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</si>
  <si>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</si>
  <si>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</si>
  <si>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</si>
  <si>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</si>
  <si>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</si>
  <si>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</si>
  <si>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</si>
  <si>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</si>
  <si>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</si>
  <si>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</si>
  <si>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</si>
  <si>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</si>
  <si>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</si>
  <si>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</si>
  <si>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</si>
  <si>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</si>
  <si>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</si>
  <si>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</si>
  <si>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</si>
  <si>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</si>
  <si>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</si>
  <si>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</si>
  <si>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</si>
  <si>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</si>
  <si>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</si>
  <si>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</si>
  <si>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</si>
  <si>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</si>
  <si>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</si>
  <si>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</si>
  <si>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</si>
  <si>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</si>
  <si>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</si>
  <si>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</si>
  <si>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</si>
  <si>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</si>
  <si>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</si>
  <si>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</si>
  <si>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</si>
  <si>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</si>
  <si>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</si>
  <si>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</si>
  <si>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</si>
  <si>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</si>
  <si>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</si>
  <si>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</si>
  <si>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</si>
  <si>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</si>
  <si>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</si>
  <si>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</si>
  <si>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</si>
  <si>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</si>
  <si>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</si>
  <si>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</si>
  <si>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</si>
  <si>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</si>
  <si>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</si>
  <si>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</si>
  <si>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</si>
  <si>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</si>
  <si>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</si>
  <si>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</si>
  <si>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</si>
  <si>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</si>
  <si>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</si>
  <si>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</si>
  <si>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</si>
  <si>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</si>
  <si>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</si>
  <si>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</si>
  <si>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</si>
  <si>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</si>
  <si>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</si>
  <si>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</si>
  <si>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</si>
  <si>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</si>
  <si>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</si>
  <si>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</si>
  <si>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</si>
  <si>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</si>
  <si>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</si>
  <si>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</si>
  <si>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</si>
  <si>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</si>
  <si>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</si>
  <si>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</si>
  <si>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</si>
  <si>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</si>
  <si>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</si>
  <si>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</si>
  <si>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</si>
  <si>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</si>
  <si>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</si>
  <si>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</si>
  <si>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</si>
  <si>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</si>
  <si>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</si>
  <si>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</si>
  <si>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</si>
  <si>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</si>
  <si>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</si>
  <si>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</si>
  <si>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</si>
  <si>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</si>
  <si>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</si>
  <si>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</si>
  <si>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</si>
  <si>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</si>
  <si>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</si>
  <si>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</si>
  <si>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</si>
  <si>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</si>
  <si>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</si>
  <si>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</si>
  <si>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</si>
  <si>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</si>
  <si>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</si>
  <si>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</si>
  <si>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</si>
  <si>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</si>
  <si>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</si>
  <si>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</si>
  <si>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</si>
  <si>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</si>
  <si>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</si>
  <si>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</si>
  <si>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</si>
  <si>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</si>
  <si>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</si>
  <si>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</si>
  <si>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</si>
  <si>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</si>
  <si>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</si>
  <si>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</si>
  <si>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</si>
  <si>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</si>
  <si>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</si>
  <si>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</si>
  <si>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</si>
  <si>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</si>
  <si>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</si>
  <si>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</si>
  <si>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</si>
  <si>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</si>
  <si>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</si>
  <si>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</si>
  <si>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</si>
  <si>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</si>
  <si>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</si>
  <si>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</si>
  <si>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</si>
  <si>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</si>
  <si>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</si>
  <si>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</si>
  <si>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</si>
  <si>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</si>
  <si>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</si>
  <si>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</si>
  <si>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</si>
  <si>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</si>
  <si>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</si>
  <si>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</si>
  <si>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</si>
  <si>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</si>
  <si>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</si>
  <si>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</si>
  <si>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</si>
  <si>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</si>
  <si>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</si>
  <si>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</si>
  <si>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</si>
  <si>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</si>
  <si>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</si>
  <si>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</si>
  <si>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</si>
  <si>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</si>
  <si>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</si>
  <si>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</si>
  <si>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</si>
  <si>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</si>
  <si>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</si>
  <si>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</si>
  <si>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</si>
  <si>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</si>
  <si>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</si>
  <si>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</si>
  <si>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</si>
  <si>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</si>
  <si>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</si>
  <si>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</si>
  <si>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</si>
  <si>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</si>
  <si>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</si>
  <si>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</si>
  <si>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</si>
  <si>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</si>
  <si>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</si>
  <si>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</si>
  <si>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</si>
  <si>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</si>
  <si>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</si>
  <si>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</si>
  <si>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</si>
  <si>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</si>
  <si>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</si>
  <si>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</si>
  <si>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</si>
  <si>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</si>
  <si>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</si>
  <si>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</si>
  <si>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</si>
  <si>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</si>
  <si>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</si>
  <si>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</si>
  <si>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</si>
  <si>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</si>
  <si>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</si>
  <si>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</si>
  <si>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</si>
  <si>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</si>
  <si>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</si>
  <si>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</si>
  <si>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</si>
  <si>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</si>
  <si>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</si>
  <si>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</si>
  <si>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</si>
  <si>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</si>
  <si>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</si>
  <si>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</si>
  <si>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</si>
  <si>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</si>
  <si>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</si>
  <si>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</si>
  <si>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</si>
  <si>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</si>
  <si>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</si>
  <si>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</si>
  <si>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</si>
  <si>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</si>
  <si>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</si>
  <si>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</si>
  <si>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</si>
  <si>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</si>
  <si>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</si>
  <si>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</si>
  <si>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</si>
  <si>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</si>
  <si>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</si>
  <si>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</si>
  <si>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</si>
  <si>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</si>
  <si>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</si>
  <si>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</si>
  <si>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</si>
  <si>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</si>
  <si>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</si>
  <si>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</si>
  <si>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</si>
  <si>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</si>
  <si>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</si>
  <si>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</si>
  <si>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</si>
  <si>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</si>
  <si>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</si>
  <si>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</si>
  <si>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</si>
  <si>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</si>
  <si>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</si>
  <si>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</si>
  <si>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</si>
  <si>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</si>
  <si>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</si>
  <si>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</si>
  <si>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</si>
  <si>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</si>
  <si>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</si>
  <si>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</si>
  <si>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</si>
  <si>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</si>
  <si>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</si>
  <si>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</si>
  <si>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</si>
  <si>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</si>
  <si>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</si>
  <si>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</si>
  <si>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</si>
  <si>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</si>
  <si>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</si>
  <si>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</si>
  <si>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</si>
  <si>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</si>
  <si>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</si>
  <si>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</si>
  <si>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</si>
  <si>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</si>
  <si>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</si>
  <si>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</si>
  <si>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</si>
  <si>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</si>
  <si>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</si>
  <si>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</si>
  <si>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</si>
  <si>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</si>
  <si>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</si>
  <si>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</si>
  <si>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</si>
  <si>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</si>
  <si>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</si>
  <si>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</si>
  <si>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</si>
  <si>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</si>
  <si>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</si>
  <si>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</si>
  <si>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</si>
  <si>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</si>
  <si>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</si>
  <si>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</si>
  <si>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</si>
  <si>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</si>
  <si>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</si>
  <si>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</si>
  <si>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</si>
  <si>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</si>
  <si>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</si>
  <si>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</si>
  <si>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</si>
  <si>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</si>
  <si>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</si>
  <si>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</si>
  <si>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</si>
  <si>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</si>
  <si>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</si>
  <si>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</si>
  <si>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</si>
  <si>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</si>
  <si>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</si>
  <si>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</si>
  <si>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</si>
  <si>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</si>
  <si>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</si>
  <si>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</si>
  <si>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</si>
  <si>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</si>
  <si>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</si>
  <si>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</si>
  <si>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</si>
  <si>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</si>
  <si>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</si>
  <si>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</si>
  <si>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</si>
  <si>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</si>
  <si>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</si>
  <si>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</si>
  <si>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</si>
  <si>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</si>
  <si>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</si>
  <si>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</si>
  <si>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</si>
  <si>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</si>
  <si>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</si>
  <si>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</si>
  <si>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</si>
  <si>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</si>
  <si>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</si>
  <si>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</si>
  <si>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</si>
  <si>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</si>
  <si>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</si>
  <si>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</si>
  <si>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</si>
  <si>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</si>
  <si>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</si>
  <si>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</si>
  <si>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</si>
  <si>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</si>
  <si>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</si>
  <si>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</si>
  <si>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</si>
  <si>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</si>
  <si>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</si>
  <si>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</si>
  <si>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</si>
  <si>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</si>
  <si>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</si>
  <si>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</si>
  <si>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</si>
  <si>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</si>
  <si>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</si>
  <si>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</si>
  <si>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</si>
  <si>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</si>
  <si>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</si>
  <si>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</si>
  <si>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</si>
  <si>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</si>
  <si>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</si>
  <si>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</si>
  <si>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</si>
  <si>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</si>
  <si>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</si>
  <si>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</si>
  <si>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</si>
  <si>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</si>
  <si>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</si>
  <si>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</si>
  <si>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</si>
  <si>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</si>
  <si>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</si>
  <si>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</si>
  <si>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</si>
  <si>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</si>
  <si>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</si>
  <si>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</si>
  <si>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</si>
  <si>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</si>
  <si>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</si>
  <si>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</si>
  <si>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</si>
  <si>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</si>
  <si>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</si>
  <si>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</si>
  <si>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</si>
  <si>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</si>
  <si>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</si>
  <si>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</si>
  <si>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</si>
  <si>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</si>
  <si>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</si>
  <si>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</si>
  <si>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</si>
  <si>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</si>
  <si>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</si>
  <si>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</si>
  <si>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</si>
  <si>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</si>
  <si>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</si>
  <si>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</si>
  <si>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</si>
  <si>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</si>
  <si>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</si>
  <si>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</si>
  <si>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</si>
  <si>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</si>
  <si>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</si>
  <si>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</si>
  <si>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</si>
  <si>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</si>
  <si>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</si>
  <si>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</si>
  <si>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</si>
  <si>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</si>
  <si>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</si>
  <si>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</si>
  <si>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</si>
  <si>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</si>
  <si>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</si>
  <si>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</si>
  <si>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</si>
  <si>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</si>
  <si>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</si>
  <si>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</si>
  <si>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</si>
  <si>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</si>
  <si>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</si>
  <si>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</si>
  <si>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</si>
  <si>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</si>
  <si>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</si>
  <si>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</si>
  <si>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</si>
  <si>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</si>
  <si>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</si>
  <si>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</si>
  <si>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</si>
  <si>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</si>
  <si>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</si>
  <si>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</si>
  <si>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</si>
  <si>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</si>
  <si>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</si>
  <si>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</si>
  <si>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</si>
  <si>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</si>
  <si>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</si>
  <si>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</si>
  <si>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</si>
  <si>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</si>
  <si>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</si>
  <si>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</si>
  <si>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</si>
  <si>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</si>
  <si>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</si>
  <si>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</si>
  <si>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</si>
  <si>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</si>
  <si>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</si>
  <si>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</si>
  <si>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</si>
  <si>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</si>
  <si>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</si>
  <si>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</si>
  <si>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</si>
  <si>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</si>
  <si>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</si>
  <si>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</si>
  <si>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</si>
  <si>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</si>
  <si>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</si>
  <si>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</si>
  <si>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</si>
  <si>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</si>
  <si>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</si>
  <si>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</si>
  <si>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</si>
  <si>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</si>
  <si>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</si>
  <si>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</si>
  <si>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</si>
  <si>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</si>
  <si>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</si>
  <si>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</si>
  <si>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</si>
  <si>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</si>
  <si>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</si>
  <si>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</si>
  <si>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</si>
  <si>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</si>
  <si>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</si>
  <si>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</si>
  <si>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</si>
  <si>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</si>
  <si>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</si>
  <si>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</si>
  <si>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</si>
  <si>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</si>
  <si>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</si>
  <si>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</si>
  <si>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</si>
  <si>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</si>
  <si>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</si>
  <si>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</si>
  <si>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</si>
  <si>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</si>
  <si>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</si>
  <si>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</si>
  <si>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</si>
  <si>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</si>
  <si>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</si>
  <si>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</si>
  <si>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</si>
  <si>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</si>
  <si>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</si>
  <si>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</si>
  <si>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</si>
  <si>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</si>
  <si>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</si>
  <si>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</si>
  <si>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</si>
  <si>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</si>
  <si>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</si>
  <si>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</si>
  <si>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</si>
  <si>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</si>
  <si>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</si>
  <si>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</si>
  <si>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</si>
  <si>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</si>
  <si>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</si>
  <si>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</si>
  <si>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</si>
  <si>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</si>
  <si>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</si>
  <si>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</si>
  <si>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</si>
  <si>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</si>
  <si>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</si>
  <si>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</si>
  <si>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</si>
  <si>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</si>
  <si>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</si>
  <si>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</si>
  <si>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</si>
  <si>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</si>
  <si>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</si>
  <si>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</si>
  <si>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</si>
  <si>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</si>
  <si>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</si>
  <si>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</si>
  <si>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</si>
  <si>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</si>
  <si>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</si>
  <si>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</si>
  <si>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</si>
  <si>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</si>
  <si>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</si>
  <si>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</si>
  <si>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</si>
  <si>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</si>
  <si>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</si>
  <si>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</si>
  <si>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</si>
  <si>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</si>
  <si>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</si>
  <si>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</si>
  <si>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</si>
  <si>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</si>
  <si>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</si>
  <si>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</si>
  <si>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</si>
  <si>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</si>
  <si>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</si>
  <si>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</si>
  <si>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</si>
  <si>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</si>
  <si>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</si>
  <si>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</si>
  <si>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</si>
  <si>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</si>
  <si>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</si>
  <si>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</si>
  <si>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</si>
  <si>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</si>
  <si>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</si>
  <si>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</si>
  <si>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</si>
  <si>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</si>
  <si>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</si>
  <si>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</si>
  <si>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</si>
  <si>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</si>
  <si>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</si>
  <si>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</si>
  <si>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</si>
  <si>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</si>
  <si>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</si>
  <si>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</si>
  <si>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</si>
  <si>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</si>
  <si>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</si>
  <si>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</si>
  <si>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</si>
  <si>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</si>
  <si>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</si>
  <si>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</si>
  <si>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</si>
  <si>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</si>
  <si>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</si>
  <si>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</si>
  <si>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</si>
  <si>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</si>
  <si>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</si>
  <si>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</si>
  <si>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</si>
  <si>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</si>
  <si>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</si>
  <si>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</si>
  <si>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</si>
  <si>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</si>
  <si>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</si>
  <si>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</si>
  <si>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</si>
  <si>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</si>
  <si>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</si>
  <si>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</si>
  <si>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</si>
  <si>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</si>
  <si>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</si>
  <si>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</si>
  <si>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</si>
  <si>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</si>
  <si>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</si>
  <si>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</si>
  <si>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</si>
  <si>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</si>
  <si>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</si>
  <si>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</si>
  <si>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</si>
  <si>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</si>
  <si>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</si>
  <si>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</si>
  <si>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</si>
  <si>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</si>
  <si>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</si>
  <si>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</si>
  <si>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</si>
  <si>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</si>
  <si>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</si>
  <si>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</si>
  <si>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</si>
  <si>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</si>
  <si>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</si>
  <si>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</si>
  <si>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</si>
  <si>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</si>
  <si>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</si>
  <si>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</si>
  <si>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</si>
  <si>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</si>
  <si>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</si>
  <si>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</si>
  <si>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</si>
  <si>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</si>
  <si>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</si>
  <si>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</si>
  <si>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</si>
  <si>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</si>
  <si>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</si>
  <si>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</si>
  <si>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</si>
  <si>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</si>
  <si>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</si>
  <si>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</si>
  <si>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</si>
  <si>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</si>
  <si>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</si>
  <si>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</si>
  <si>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</si>
  <si>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</si>
  <si>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</si>
  <si>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</si>
  <si>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</si>
  <si>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</si>
  <si>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</si>
  <si>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</si>
  <si>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</si>
  <si>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</si>
  <si>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</si>
  <si>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</si>
  <si>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</si>
  <si>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</si>
  <si>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</si>
  <si>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</si>
  <si>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</si>
  <si>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</si>
  <si>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</si>
  <si>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</si>
  <si>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</si>
  <si>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</si>
  <si>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</si>
  <si>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</si>
  <si>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</si>
  <si>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</si>
  <si>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</si>
  <si>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</si>
  <si>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</si>
  <si>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</si>
  <si>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</si>
  <si>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</si>
  <si>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</si>
  <si>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</si>
  <si>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</si>
  <si>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</si>
  <si>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</si>
  <si>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</si>
  <si>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</si>
  <si>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</si>
  <si>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</si>
  <si>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</si>
  <si>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</si>
  <si>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</si>
  <si>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</si>
  <si>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</si>
  <si>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</si>
  <si>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</si>
  <si>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</si>
  <si>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</si>
  <si>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</si>
  <si>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</si>
  <si>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</si>
  <si>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</si>
  <si>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</si>
  <si>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</si>
  <si>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</si>
  <si>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</si>
  <si>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</si>
  <si>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</si>
  <si>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</si>
  <si>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</si>
  <si>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</si>
  <si>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</si>
  <si>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</si>
  <si>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</si>
  <si>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</si>
  <si>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</si>
  <si>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</si>
  <si>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</si>
  <si>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</si>
  <si>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</si>
  <si>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</si>
  <si>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</si>
  <si>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</si>
  <si>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</si>
  <si>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</si>
  <si>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</si>
  <si>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</si>
  <si>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</si>
  <si>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</si>
  <si>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</si>
  <si>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</si>
  <si>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</si>
  <si>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</si>
  <si>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</si>
  <si>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</si>
  <si>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</si>
  <si>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</si>
  <si>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</si>
  <si>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</si>
  <si>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</si>
  <si>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</si>
  <si>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</si>
  <si>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</si>
  <si>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</si>
  <si>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</si>
  <si>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</si>
  <si>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</si>
  <si>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</si>
  <si>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</si>
  <si>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</si>
  <si>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</si>
  <si>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</si>
  <si>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</si>
  <si>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</si>
  <si>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</si>
  <si>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</si>
  <si>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</si>
  <si>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</si>
  <si>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</si>
  <si>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</si>
  <si>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</si>
  <si>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</si>
  <si>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</si>
  <si>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</si>
  <si>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</si>
  <si>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</si>
  <si>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</si>
  <si>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</si>
  <si>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</si>
  <si>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</si>
  <si>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</si>
  <si>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</si>
  <si>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</si>
  <si>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</si>
  <si>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</si>
  <si>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</si>
  <si>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</si>
  <si>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</si>
  <si>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</si>
  <si>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</si>
  <si>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</si>
  <si>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</si>
  <si>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</si>
  <si>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</si>
  <si>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</si>
  <si>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</si>
  <si>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</si>
  <si>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</si>
  <si>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</si>
  <si>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</si>
  <si>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</si>
  <si>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</si>
  <si>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</si>
  <si>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</si>
  <si>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</si>
  <si>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</si>
  <si>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</si>
  <si>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</si>
  <si>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</si>
  <si>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</si>
  <si>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</si>
  <si>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</si>
  <si>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</si>
  <si>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</si>
  <si>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</si>
  <si>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</si>
  <si>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</si>
  <si>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</si>
  <si>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</si>
  <si>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</si>
  <si>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</si>
  <si>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</si>
  <si>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</si>
  <si>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</si>
  <si>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</si>
  <si>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</si>
  <si>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</si>
  <si>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</si>
  <si>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</si>
  <si>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</si>
  <si>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</si>
  <si>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</si>
  <si>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</si>
  <si>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</si>
  <si>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</si>
  <si>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</si>
  <si>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</si>
  <si>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</si>
  <si>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</si>
  <si>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</si>
  <si>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</si>
  <si>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</si>
  <si>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</si>
  <si>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</si>
  <si>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</si>
  <si>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</si>
  <si>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</si>
  <si>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</si>
  <si>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</si>
  <si>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</si>
  <si>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</si>
  <si>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</si>
  <si>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</si>
  <si>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</si>
  <si>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</si>
  <si>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</si>
  <si>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</si>
  <si>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</si>
  <si>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</si>
  <si>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</si>
  <si>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</si>
  <si>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</si>
  <si>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</si>
  <si>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</si>
  <si>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</si>
  <si>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</si>
  <si>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</si>
  <si>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</si>
  <si>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</si>
  <si>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</si>
  <si>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</si>
  <si>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</si>
  <si>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</si>
  <si>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</si>
  <si>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</si>
  <si>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</si>
  <si>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</si>
  <si>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</si>
  <si>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</si>
  <si>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</si>
  <si>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</si>
  <si>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</si>
  <si>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</si>
  <si>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</si>
  <si>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</si>
  <si>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</si>
  <si>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</si>
  <si>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</si>
  <si>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</si>
  <si>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</si>
  <si>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</si>
  <si>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</si>
  <si>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</si>
  <si>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</si>
  <si>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</si>
  <si>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</si>
  <si>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</si>
  <si>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</si>
  <si>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</si>
  <si>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</si>
  <si>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</si>
  <si>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</si>
  <si>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</si>
  <si>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</si>
  <si>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</si>
  <si>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</si>
  <si>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</si>
  <si>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</si>
  <si>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</si>
  <si>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</si>
  <si>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</si>
  <si>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</si>
  <si>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</si>
  <si>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</si>
  <si>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</si>
  <si>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</si>
  <si>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</si>
  <si>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</si>
  <si>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</si>
  <si>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</si>
  <si>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</si>
  <si>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</si>
  <si>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</si>
  <si>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</si>
  <si>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</si>
  <si>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</si>
  <si>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</si>
  <si>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</si>
  <si>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</si>
  <si>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</si>
  <si>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</si>
  <si>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</si>
  <si>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</si>
  <si>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</si>
  <si>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</si>
  <si>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</si>
  <si>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</si>
  <si>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</si>
  <si>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</si>
  <si>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</si>
  <si>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</si>
  <si>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</si>
  <si>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</si>
  <si>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</si>
  <si>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</si>
  <si>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</si>
  <si>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</si>
  <si>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</si>
  <si>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</si>
  <si>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</si>
  <si>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</si>
  <si>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</si>
  <si>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</si>
  <si>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</si>
  <si>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</si>
  <si>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</si>
  <si>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</si>
  <si>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</si>
  <si>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</si>
  <si>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</si>
  <si>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</si>
  <si>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</si>
  <si>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</si>
  <si>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</si>
  <si>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</si>
  <si>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</si>
  <si>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</si>
  <si>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</si>
  <si>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</si>
  <si>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</si>
  <si>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</si>
  <si>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</si>
  <si>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</si>
  <si>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</si>
  <si>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</si>
  <si>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</si>
  <si>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</si>
  <si>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</si>
  <si>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</si>
  <si>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</si>
  <si>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</si>
  <si>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</si>
  <si>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</si>
  <si>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</si>
  <si>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</si>
  <si>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</si>
  <si>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</si>
  <si>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</si>
  <si>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</si>
  <si>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</si>
  <si>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</si>
  <si>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</si>
  <si>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</si>
  <si>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</si>
  <si>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</si>
  <si>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</si>
  <si>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</si>
  <si>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</si>
  <si>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</si>
  <si>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</si>
  <si>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</si>
  <si>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</si>
  <si>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</si>
  <si>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</si>
  <si>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</si>
  <si>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</si>
  <si>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</si>
  <si>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</si>
  <si>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</si>
  <si>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</si>
  <si>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</si>
  <si>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</si>
  <si>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</si>
  <si>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</si>
  <si>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</si>
  <si>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</si>
  <si>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</si>
  <si>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</si>
  <si>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</si>
  <si>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</si>
  <si>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</si>
  <si>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</si>
  <si>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</si>
  <si>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</si>
  <si>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</si>
  <si>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</si>
  <si>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</si>
  <si>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</si>
  <si>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</si>
  <si>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</si>
  <si>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</si>
  <si>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</si>
  <si>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</si>
  <si>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</si>
  <si>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</si>
  <si>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</si>
  <si>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</si>
  <si>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</si>
  <si>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</si>
  <si>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</si>
  <si>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</si>
  <si>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</si>
  <si>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</si>
  <si>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</si>
  <si>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</si>
  <si>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</si>
  <si>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</si>
  <si>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</si>
  <si>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</si>
  <si>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</si>
  <si>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</si>
  <si>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</si>
  <si>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</si>
  <si>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</si>
  <si>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</si>
  <si>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</si>
  <si>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</si>
  <si>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</si>
  <si>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</si>
  <si>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</si>
  <si>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</si>
  <si>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</si>
  <si>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</si>
  <si>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</si>
  <si>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</si>
  <si>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</si>
  <si>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</si>
  <si>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</si>
  <si>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</si>
  <si>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</si>
  <si>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</si>
  <si>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</si>
  <si>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</si>
  <si>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</si>
  <si>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</si>
  <si>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</si>
  <si>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</si>
  <si>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</si>
  <si>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</si>
  <si>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</si>
  <si>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</si>
  <si>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</si>
  <si>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</si>
  <si>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</si>
  <si>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</si>
  <si>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</si>
  <si>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</si>
  <si>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</si>
  <si>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</si>
  <si>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</si>
  <si>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</si>
  <si>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</si>
  <si>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</si>
  <si>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</si>
  <si>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</si>
  <si>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</si>
  <si>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</si>
  <si>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</si>
  <si>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</si>
  <si>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</si>
  <si>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</si>
  <si>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</si>
  <si>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</si>
  <si>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</si>
  <si>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</si>
  <si>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</si>
  <si>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</si>
  <si>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</si>
  <si>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</si>
  <si>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</si>
  <si>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</si>
  <si>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</si>
  <si>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</si>
  <si>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</si>
  <si>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</si>
  <si>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</si>
  <si>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</si>
  <si>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</si>
  <si>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</si>
  <si>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</si>
  <si>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</si>
  <si>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</si>
  <si>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</si>
  <si>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</si>
  <si>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</si>
  <si>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</si>
  <si>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</si>
  <si>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</si>
  <si>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</si>
  <si>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</si>
  <si>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</si>
  <si>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</si>
  <si>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</si>
  <si>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</si>
  <si>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</si>
  <si>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</si>
  <si>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</si>
  <si>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</si>
  <si>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</si>
  <si>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</si>
  <si>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</si>
  <si>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</si>
  <si>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</si>
  <si>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</si>
  <si>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</si>
  <si>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</si>
  <si>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</si>
  <si>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</si>
  <si>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</si>
  <si>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</si>
  <si>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</si>
  <si>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</si>
  <si>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</si>
  <si>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</si>
  <si>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</si>
  <si>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</si>
  <si>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</si>
  <si>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</si>
  <si>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</si>
  <si>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</si>
  <si>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</si>
  <si>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</si>
  <si>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</si>
  <si>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</si>
  <si>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</si>
  <si>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</si>
  <si>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</si>
  <si>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</si>
  <si>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</si>
  <si>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</si>
  <si>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</si>
  <si>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</si>
  <si>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</si>
  <si>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</si>
  <si>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</si>
  <si>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</si>
  <si>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</si>
  <si>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</si>
  <si>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</si>
  <si>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</si>
  <si>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</si>
  <si>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</si>
  <si>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</si>
  <si>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</si>
  <si>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</si>
  <si>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</si>
  <si>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</si>
  <si>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</si>
  <si>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</si>
  <si>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</si>
  <si>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</si>
  <si>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</si>
  <si>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</si>
  <si>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</si>
  <si>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</si>
  <si>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</si>
  <si>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</si>
  <si>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</si>
  <si>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</si>
  <si>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</si>
  <si>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</si>
  <si>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</si>
  <si>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</si>
  <si>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</si>
  <si>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</si>
  <si>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</si>
  <si>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</si>
  <si>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</si>
  <si>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</si>
  <si>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</si>
  <si>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</si>
  <si>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</si>
  <si>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</si>
  <si>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</si>
  <si>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</si>
  <si>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</si>
  <si>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</si>
  <si>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</si>
  <si>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</si>
  <si>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</si>
  <si>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</si>
  <si>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</si>
  <si>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</si>
  <si>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</si>
  <si>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</si>
  <si>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</si>
  <si>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</si>
  <si>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</si>
  <si>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</si>
  <si>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</si>
  <si>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</si>
  <si>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</si>
  <si>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</si>
  <si>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</si>
  <si>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</si>
  <si>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</si>
  <si>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</si>
  <si>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</si>
  <si>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</si>
  <si>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</si>
  <si>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</si>
  <si>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</si>
  <si>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</si>
  <si>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</si>
  <si>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</si>
  <si>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</si>
  <si>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</si>
  <si>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</si>
  <si>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</si>
  <si>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</si>
  <si>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</si>
  <si>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</si>
  <si>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</si>
  <si>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</si>
  <si>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</si>
  <si>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</si>
  <si>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</si>
  <si>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</si>
  <si>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</si>
  <si>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</si>
  <si>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</si>
  <si>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</si>
  <si>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</si>
  <si>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</si>
  <si>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</si>
  <si>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</si>
  <si>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</si>
  <si>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</si>
  <si>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</si>
  <si>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</si>
  <si>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</si>
  <si>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</si>
  <si>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</si>
  <si>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</si>
  <si>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</si>
  <si>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</si>
  <si>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</si>
  <si>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</si>
  <si>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</si>
  <si>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</si>
  <si>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</si>
  <si>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</si>
  <si>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</si>
  <si>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</si>
  <si>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</si>
  <si>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</si>
  <si>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</si>
  <si>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</si>
  <si>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</si>
  <si>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</si>
  <si>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</si>
  <si>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</si>
  <si>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</si>
  <si>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</si>
  <si>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</si>
  <si>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</si>
  <si>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</si>
  <si>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</si>
  <si>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</si>
  <si>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</si>
  <si>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</si>
  <si>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</si>
  <si>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</si>
  <si>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</si>
  <si>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</si>
  <si>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</si>
  <si>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</si>
  <si>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</si>
  <si>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</si>
  <si>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</si>
  <si>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</si>
  <si>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</si>
  <si>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</si>
  <si>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</si>
  <si>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</si>
  <si>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</si>
  <si>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</si>
  <si>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</si>
  <si>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</si>
  <si>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</si>
  <si>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</si>
  <si>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</si>
  <si>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</si>
  <si>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</si>
  <si>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定風波</t>
    <phoneticPr fontId="1" type="noConversion"/>
  </si>
  <si>
    <t>方音符號</t>
  </si>
  <si>
    <t>文讀音</t>
  </si>
  <si>
    <t>檔案版本</t>
    <phoneticPr fontId="1" type="noConversion"/>
  </si>
  <si>
    <t>雅俗通</t>
  </si>
  <si>
    <t>(5, 7)</t>
  </si>
  <si>
    <t>(9, 5)</t>
  </si>
  <si>
    <t>(9, 9)</t>
  </si>
  <si>
    <t>(9, 10)</t>
  </si>
  <si>
    <t>(9, 11)</t>
  </si>
  <si>
    <t>(9, 17)</t>
  </si>
  <si>
    <t>(13, 6)</t>
  </si>
  <si>
    <t>(17, 4)</t>
  </si>
  <si>
    <t>(17, 7)</t>
  </si>
  <si>
    <t>(17, 10)</t>
  </si>
  <si>
    <t>(21, 4)</t>
  </si>
  <si>
    <t>(21, 6)</t>
  </si>
  <si>
    <t>(21, 7)</t>
  </si>
  <si>
    <t>(29, 4)</t>
  </si>
  <si>
    <t>(29, 5)</t>
  </si>
  <si>
    <t>(29, 6)</t>
  </si>
  <si>
    <t>(29, 7)</t>
  </si>
  <si>
    <t>(33, 6)</t>
  </si>
  <si>
    <t>(37, 5)</t>
  </si>
  <si>
    <t>(45, 6)</t>
  </si>
  <si>
    <t>閩拼調符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</si>
  <si>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</si>
  <si>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</si>
  <si>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</si>
  <si>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</si>
  <si>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【河洛文讀注音-閩拼調符】《定風波》.xlsx</t>
    <phoneticPr fontId="1" type="noConversion"/>
  </si>
  <si>
    <t xml:space="preserve"> </t>
  </si>
  <si>
    <t xml:space="preserve">《定風波》  北宋：蘇軾
三月七日，沙湖道中遇雨，雨具先去，同行皆狼狽，余獨不覺。已而遂晴，故作此詞。
莫聽穿林打葉聲，何妨吟嘯且徐行；
竹杖芒鞋輕勝馬，誰怕？一蓑煙雨任平生。
料峭春風吹酒醒，微冷、山頭斜照卻相迎；
回首向來蕭瑟處，歸去、也無風雨也無晴。
</t>
  </si>
  <si>
    <t>dîng</t>
  </si>
  <si>
    <t>hōng</t>
  </si>
  <si>
    <t>pō</t>
  </si>
  <si>
    <t>bōk</t>
  </si>
  <si>
    <t>sòng</t>
  </si>
  <si>
    <t>sōo</t>
  </si>
  <si>
    <t>sīk</t>
  </si>
  <si>
    <t>(5, 15)</t>
  </si>
  <si>
    <t>sām</t>
  </si>
  <si>
    <t>gguát</t>
  </si>
  <si>
    <t>cit4</t>
  </si>
  <si>
    <t>cīt</t>
  </si>
  <si>
    <t>zzít</t>
  </si>
  <si>
    <t>sā</t>
  </si>
  <si>
    <t>óo</t>
  </si>
  <si>
    <t>dô</t>
  </si>
  <si>
    <t>diōng</t>
  </si>
  <si>
    <t>ggû</t>
  </si>
  <si>
    <t>wǔ</t>
  </si>
  <si>
    <t>gû</t>
  </si>
  <si>
    <t>siān</t>
  </si>
  <si>
    <t>(9, 6)</t>
  </si>
  <si>
    <t>(9, 7)</t>
  </si>
  <si>
    <t>(9, 12)</t>
  </si>
  <si>
    <t>kù</t>
  </si>
  <si>
    <t>dóng</t>
  </si>
  <si>
    <t>híng</t>
  </si>
  <si>
    <t>gāi</t>
  </si>
  <si>
    <t>lóng</t>
  </si>
  <si>
    <t>buê</t>
  </si>
  <si>
    <t>wú</t>
  </si>
  <si>
    <t>dók</t>
  </si>
  <si>
    <t>būt</t>
  </si>
  <si>
    <t>gāk</t>
  </si>
  <si>
    <t>yǐ</t>
  </si>
  <si>
    <t>zzí</t>
  </si>
  <si>
    <t>(13, 8)</t>
  </si>
  <si>
    <t>(13, 9)</t>
  </si>
  <si>
    <t>(13, 14)</t>
  </si>
  <si>
    <t>sûi</t>
  </si>
  <si>
    <t>zíng</t>
  </si>
  <si>
    <t>gòo</t>
  </si>
  <si>
    <t>zōk</t>
  </si>
  <si>
    <t>cǔ</t>
  </si>
  <si>
    <t>sú</t>
  </si>
  <si>
    <t>(17, 8)</t>
  </si>
  <si>
    <t>(17, 9)</t>
  </si>
  <si>
    <t>bbók</t>
  </si>
  <si>
    <t>tīng</t>
  </si>
  <si>
    <t>cuan1</t>
  </si>
  <si>
    <t>cuān</t>
  </si>
  <si>
    <t>lím</t>
  </si>
  <si>
    <t>pāh</t>
  </si>
  <si>
    <t>yáp</t>
  </si>
  <si>
    <t>sīng</t>
  </si>
  <si>
    <t>hó</t>
  </si>
  <si>
    <t>hóng</t>
  </si>
  <si>
    <t>ggím</t>
  </si>
  <si>
    <t>siào</t>
  </si>
  <si>
    <t>cia2</t>
  </si>
  <si>
    <t>ciǎ</t>
  </si>
  <si>
    <t>(13, 7); (21, 18)</t>
  </si>
  <si>
    <t>(21, 5)</t>
  </si>
  <si>
    <t>(21, 8)</t>
  </si>
  <si>
    <t>(21, 9)</t>
  </si>
  <si>
    <t>(21, 10)</t>
  </si>
  <si>
    <t>(21, 12)</t>
  </si>
  <si>
    <t>(21, 13)</t>
  </si>
  <si>
    <t>(21, 14)</t>
  </si>
  <si>
    <t>(21, 15)</t>
  </si>
  <si>
    <t>(21, 16)</t>
  </si>
  <si>
    <t>(21, 17)</t>
  </si>
  <si>
    <t>diōk</t>
  </si>
  <si>
    <t>diông</t>
  </si>
  <si>
    <t>bbóng</t>
  </si>
  <si>
    <t>hái</t>
  </si>
  <si>
    <t>kīng</t>
  </si>
  <si>
    <t>sìng</t>
  </si>
  <si>
    <t>bbnǎ</t>
  </si>
  <si>
    <t>súi</t>
  </si>
  <si>
    <t>pà</t>
  </si>
  <si>
    <t>yīt</t>
  </si>
  <si>
    <t>sūi</t>
  </si>
  <si>
    <t>yān</t>
  </si>
  <si>
    <t>(29, 8)</t>
  </si>
  <si>
    <t>(29, 15)</t>
  </si>
  <si>
    <t>(29, 16)</t>
  </si>
  <si>
    <t>(29, 17)</t>
  </si>
  <si>
    <t>zzîm</t>
  </si>
  <si>
    <t>píng</t>
  </si>
  <si>
    <t>(33, 4)</t>
  </si>
  <si>
    <t>(33, 5)</t>
  </si>
  <si>
    <t>liâo</t>
  </si>
  <si>
    <t>ciào</t>
  </si>
  <si>
    <t>cūn</t>
  </si>
  <si>
    <t>cūi</t>
  </si>
  <si>
    <t>zǐu</t>
  </si>
  <si>
    <t>sǐng</t>
  </si>
  <si>
    <t>bbí</t>
  </si>
  <si>
    <t>lǐng</t>
  </si>
  <si>
    <t>sān</t>
  </si>
  <si>
    <t>tió</t>
  </si>
  <si>
    <t>siá</t>
  </si>
  <si>
    <t>ziào</t>
  </si>
  <si>
    <t>(37, 9)</t>
  </si>
  <si>
    <t>(37, 10)</t>
  </si>
  <si>
    <t>(37, 13)</t>
  </si>
  <si>
    <t>(37, 15)</t>
  </si>
  <si>
    <t>(37, 16)</t>
  </si>
  <si>
    <t>(37, 17)</t>
  </si>
  <si>
    <t>(37, 18)</t>
  </si>
  <si>
    <t>kiōk</t>
  </si>
  <si>
    <t>siōng</t>
  </si>
  <si>
    <t>ggíng</t>
  </si>
  <si>
    <t>(41, 4)</t>
  </si>
  <si>
    <t>(41, 5)</t>
  </si>
  <si>
    <t>(41, 6)</t>
  </si>
  <si>
    <t>hué</t>
  </si>
  <si>
    <t>sǐu</t>
  </si>
  <si>
    <t>hiòng</t>
  </si>
  <si>
    <t>lái</t>
  </si>
  <si>
    <t>siāo</t>
  </si>
  <si>
    <t>gūi</t>
  </si>
  <si>
    <t>yǎ</t>
  </si>
  <si>
    <t>bbú</t>
  </si>
  <si>
    <t>(5, 6); (37, 7); (45, 17)</t>
  </si>
  <si>
    <t>(9, 14); (9, 16); (29, 18); (45, 18)</t>
  </si>
  <si>
    <t>(13, 4); (45, 13)</t>
  </si>
  <si>
    <t>(45, 4)</t>
  </si>
  <si>
    <t>(45, 9)</t>
  </si>
  <si>
    <t>(17, 5); (49, 6)</t>
  </si>
  <si>
    <t>(45, 15); (49, 4)</t>
  </si>
  <si>
    <t>(45, 16); (49, 5)</t>
  </si>
  <si>
    <t xml:space="preserve"> Ding2-Hong1-Pho1.jpg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</si>
</sst>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42" fillId="2" borderId="3" xfId="3" applyFont="1" applyFill="1" applyBorder="1" applyAlignment="1" applyProtection="1">
      <alignment horizontal="center" vertical="center" wrapText="1" readingOrder="1"/>
      <protection locked="0"/>
    </xf>
    <xf numFmtId="0" fontId="23" fillId="2" borderId="0" xfId="3" applyFont="1" applyFill="1" applyAlignment="1">
      <alignment horizontal="center" shrinkToFit="1" readingOrder="1"/>
    </xf>
    <xf numFmtId="0" fontId="23" fillId="2" borderId="0" xfId="3" applyFont="1" applyFill="1" applyAlignment="1">
      <alignment horizontal="center" vertical="center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C19" sqref="C19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8872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8899</v>
      </c>
    </row>
    <row r="5" spans="2:11">
      <c r="B5" s="4" t="s">
        <v>4</v>
      </c>
      <c r="C5" s="3" t="s">
        <v>8869</v>
      </c>
    </row>
    <row r="6" spans="2:11">
      <c r="B6" s="4" t="s">
        <v>5</v>
      </c>
      <c r="C6" s="56" t="s">
        <v>9035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13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8871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8894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8873</v>
      </c>
    </row>
    <row r="18" spans="2:3" ht="30">
      <c r="B18" s="47" t="s">
        <v>17</v>
      </c>
      <c r="C18" s="49" t="s">
        <v>8870</v>
      </c>
    </row>
    <row r="19" spans="2:3" ht="30">
      <c r="B19" s="47" t="s">
        <v>8863</v>
      </c>
      <c r="C19" s="59">
        <v>0</v>
      </c>
    </row>
  </sheetData>
  <phoneticPr fontId="1" type="noConversion"/>
  <dataValidations count="6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 C14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0C22-CB44-4F54-9F91-3ED12E238C37}">
  <dimension ref="A1:D1"/>
  <sheetViews>
    <sheetView workbookViewId="0"/>
  </sheetViews>
  <sheetFormatPr defaultRowHeight="16.5"/>
  <sheetData>
    <row r="1" spans="1:4">
      <c r="A1" t="s">
        <v>8895</v>
      </c>
      <c r="B1" t="s">
        <v>8896</v>
      </c>
      <c r="C1" t="s">
        <v>8897</v>
      </c>
      <c r="D1" t="s">
        <v>8898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B32F-F96D-47E1-9B97-8E4349D79944}">
  <dimension ref="A1:D91"/>
  <sheetViews>
    <sheetView workbookViewId="0"/>
  </sheetViews>
  <sheetFormatPr defaultRowHeight="16.5"/>
  <sheetData>
    <row r="1" spans="1:4">
      <c r="A1" t="s">
        <v>8895</v>
      </c>
      <c r="B1" t="s">
        <v>8896</v>
      </c>
      <c r="C1" t="s">
        <v>8897</v>
      </c>
      <c r="D1" t="s">
        <v>8898</v>
      </c>
    </row>
    <row r="2" spans="1:4">
      <c r="A2" t="s">
        <v>1875</v>
      </c>
      <c r="B2" t="s">
        <v>4478</v>
      </c>
      <c r="C2" t="s">
        <v>501</v>
      </c>
      <c r="D2" t="s">
        <v>921</v>
      </c>
    </row>
    <row r="3" spans="1:4">
      <c r="A3" t="s">
        <v>172</v>
      </c>
      <c r="B3" t="s">
        <v>391</v>
      </c>
      <c r="C3" t="s">
        <v>501</v>
      </c>
      <c r="D3" t="s">
        <v>9027</v>
      </c>
    </row>
    <row r="4" spans="1:4">
      <c r="A4" t="s">
        <v>216</v>
      </c>
      <c r="B4" t="s">
        <v>426</v>
      </c>
      <c r="C4" t="s">
        <v>501</v>
      </c>
      <c r="D4" t="s">
        <v>8874</v>
      </c>
    </row>
    <row r="5" spans="1:4">
      <c r="A5" t="s">
        <v>146</v>
      </c>
      <c r="B5" t="s">
        <v>371</v>
      </c>
      <c r="C5" t="s">
        <v>501</v>
      </c>
      <c r="D5" t="s">
        <v>926</v>
      </c>
    </row>
    <row r="6" spans="1:4">
      <c r="A6" t="s">
        <v>4153</v>
      </c>
      <c r="B6" t="s">
        <v>4154</v>
      </c>
      <c r="C6" t="s">
        <v>501</v>
      </c>
      <c r="D6" t="s">
        <v>927</v>
      </c>
    </row>
    <row r="7" spans="1:4">
      <c r="A7" t="s">
        <v>7979</v>
      </c>
      <c r="B7" t="s">
        <v>5291</v>
      </c>
      <c r="C7" t="s">
        <v>501</v>
      </c>
      <c r="D7" t="s">
        <v>929</v>
      </c>
    </row>
    <row r="8" spans="1:4">
      <c r="A8" t="s">
        <v>6676</v>
      </c>
      <c r="B8" t="s">
        <v>1343</v>
      </c>
      <c r="C8" t="s">
        <v>501</v>
      </c>
      <c r="D8" t="s">
        <v>8909</v>
      </c>
    </row>
    <row r="9" spans="1:4">
      <c r="A9" t="s">
        <v>1233</v>
      </c>
      <c r="B9" t="s">
        <v>1347</v>
      </c>
      <c r="C9" t="s">
        <v>501</v>
      </c>
      <c r="D9" t="s">
        <v>933</v>
      </c>
    </row>
    <row r="10" spans="1:4">
      <c r="A10" t="s">
        <v>169</v>
      </c>
      <c r="B10" t="s">
        <v>3640</v>
      </c>
      <c r="C10" t="s">
        <v>501</v>
      </c>
      <c r="D10" t="s">
        <v>8875</v>
      </c>
    </row>
    <row r="11" spans="1:4">
      <c r="A11" t="s">
        <v>3480</v>
      </c>
      <c r="B11" t="s">
        <v>8912</v>
      </c>
      <c r="C11" t="s">
        <v>501</v>
      </c>
      <c r="D11" t="s">
        <v>8923</v>
      </c>
    </row>
    <row r="12" spans="1:4">
      <c r="A12" t="s">
        <v>20</v>
      </c>
      <c r="B12" t="s">
        <v>397</v>
      </c>
      <c r="C12" t="s">
        <v>501</v>
      </c>
      <c r="D12" t="s">
        <v>8924</v>
      </c>
    </row>
    <row r="13" spans="1:4">
      <c r="A13" t="s">
        <v>224</v>
      </c>
      <c r="B13" t="s">
        <v>434</v>
      </c>
      <c r="C13" t="s">
        <v>501</v>
      </c>
      <c r="D13" t="s">
        <v>8876</v>
      </c>
    </row>
    <row r="14" spans="1:4">
      <c r="A14" t="s">
        <v>118</v>
      </c>
      <c r="B14" t="s">
        <v>348</v>
      </c>
      <c r="C14" t="s">
        <v>501</v>
      </c>
      <c r="D14" t="s">
        <v>8877</v>
      </c>
    </row>
    <row r="15" spans="1:4">
      <c r="A15" t="s">
        <v>6686</v>
      </c>
      <c r="B15" t="s">
        <v>5657</v>
      </c>
      <c r="C15" t="s">
        <v>501</v>
      </c>
      <c r="D15" t="s">
        <v>8878</v>
      </c>
    </row>
    <row r="16" spans="1:4">
      <c r="A16" t="s">
        <v>1278</v>
      </c>
      <c r="B16" t="s">
        <v>1381</v>
      </c>
      <c r="C16" t="s">
        <v>501</v>
      </c>
      <c r="D16" t="s">
        <v>8925</v>
      </c>
    </row>
    <row r="17" spans="1:4">
      <c r="A17" t="s">
        <v>6681</v>
      </c>
      <c r="B17" t="s">
        <v>6014</v>
      </c>
      <c r="C17" t="s">
        <v>501</v>
      </c>
      <c r="D17" t="s">
        <v>939</v>
      </c>
    </row>
    <row r="18" spans="1:4">
      <c r="A18" t="s">
        <v>166</v>
      </c>
      <c r="B18" t="s">
        <v>336</v>
      </c>
      <c r="C18" t="s">
        <v>501</v>
      </c>
      <c r="D18" t="s">
        <v>9028</v>
      </c>
    </row>
    <row r="19" spans="1:4">
      <c r="A19" t="s">
        <v>86</v>
      </c>
      <c r="B19" t="s">
        <v>327</v>
      </c>
      <c r="C19" t="s">
        <v>501</v>
      </c>
      <c r="D19" t="s">
        <v>8879</v>
      </c>
    </row>
    <row r="20" spans="1:4">
      <c r="A20" t="s">
        <v>293</v>
      </c>
      <c r="B20" t="s">
        <v>482</v>
      </c>
      <c r="C20" t="s">
        <v>501</v>
      </c>
      <c r="D20" t="s">
        <v>943</v>
      </c>
    </row>
    <row r="21" spans="1:4">
      <c r="A21" t="s">
        <v>201</v>
      </c>
      <c r="B21" t="s">
        <v>3700</v>
      </c>
      <c r="C21" t="s">
        <v>501</v>
      </c>
      <c r="D21" t="s">
        <v>9029</v>
      </c>
    </row>
    <row r="22" spans="1:4">
      <c r="A22" t="s">
        <v>1665</v>
      </c>
      <c r="B22" t="s">
        <v>474</v>
      </c>
      <c r="C22" t="s">
        <v>501</v>
      </c>
      <c r="D22" t="s">
        <v>8880</v>
      </c>
    </row>
    <row r="23" spans="1:4">
      <c r="A23" t="s">
        <v>187</v>
      </c>
      <c r="B23" t="s">
        <v>355</v>
      </c>
      <c r="C23" t="s">
        <v>501</v>
      </c>
      <c r="D23" t="s">
        <v>8963</v>
      </c>
    </row>
    <row r="24" spans="1:4">
      <c r="A24" t="s">
        <v>261</v>
      </c>
      <c r="B24" t="s">
        <v>459</v>
      </c>
      <c r="C24" t="s">
        <v>501</v>
      </c>
      <c r="D24" t="s">
        <v>8938</v>
      </c>
    </row>
    <row r="25" spans="1:4">
      <c r="A25" t="s">
        <v>5332</v>
      </c>
      <c r="B25" t="s">
        <v>5053</v>
      </c>
      <c r="C25" t="s">
        <v>501</v>
      </c>
      <c r="D25" t="s">
        <v>8939</v>
      </c>
    </row>
    <row r="26" spans="1:4">
      <c r="A26" t="s">
        <v>5333</v>
      </c>
      <c r="B26" t="s">
        <v>4357</v>
      </c>
      <c r="C26" t="s">
        <v>501</v>
      </c>
      <c r="D26" t="s">
        <v>949</v>
      </c>
    </row>
    <row r="27" spans="1:4">
      <c r="A27" t="s">
        <v>1158</v>
      </c>
      <c r="B27" t="s">
        <v>1300</v>
      </c>
      <c r="C27" t="s">
        <v>501</v>
      </c>
      <c r="D27" t="s">
        <v>951</v>
      </c>
    </row>
    <row r="28" spans="1:4">
      <c r="A28" t="s">
        <v>3089</v>
      </c>
      <c r="B28" t="s">
        <v>4838</v>
      </c>
      <c r="C28" t="s">
        <v>501</v>
      </c>
      <c r="D28" t="s">
        <v>952</v>
      </c>
    </row>
    <row r="29" spans="1:4">
      <c r="A29" t="s">
        <v>170</v>
      </c>
      <c r="B29" t="s">
        <v>389</v>
      </c>
      <c r="C29" t="s">
        <v>501</v>
      </c>
      <c r="D29" t="s">
        <v>8940</v>
      </c>
    </row>
    <row r="30" spans="1:4">
      <c r="A30" t="s">
        <v>3365</v>
      </c>
      <c r="B30" t="s">
        <v>1812</v>
      </c>
      <c r="C30" t="s">
        <v>501</v>
      </c>
      <c r="D30" t="s">
        <v>953</v>
      </c>
    </row>
    <row r="31" spans="1:4">
      <c r="A31" t="s">
        <v>3552</v>
      </c>
      <c r="B31" t="s">
        <v>338</v>
      </c>
      <c r="C31" t="s">
        <v>501</v>
      </c>
      <c r="D31" t="s">
        <v>955</v>
      </c>
    </row>
    <row r="32" spans="1:4">
      <c r="A32" t="s">
        <v>212</v>
      </c>
      <c r="B32" t="s">
        <v>423</v>
      </c>
      <c r="C32" t="s">
        <v>501</v>
      </c>
      <c r="D32" t="s">
        <v>956</v>
      </c>
    </row>
    <row r="33" spans="1:4">
      <c r="A33" t="s">
        <v>1213</v>
      </c>
      <c r="B33" t="s">
        <v>1333</v>
      </c>
      <c r="C33" t="s">
        <v>501</v>
      </c>
      <c r="D33" t="s">
        <v>8881</v>
      </c>
    </row>
    <row r="34" spans="1:4">
      <c r="A34" t="s">
        <v>6091</v>
      </c>
      <c r="B34" t="s">
        <v>382</v>
      </c>
      <c r="C34" t="s">
        <v>501</v>
      </c>
      <c r="D34" t="s">
        <v>9032</v>
      </c>
    </row>
    <row r="35" spans="1:4">
      <c r="A35" t="s">
        <v>4887</v>
      </c>
      <c r="B35" t="s">
        <v>1353</v>
      </c>
      <c r="C35" t="s">
        <v>501</v>
      </c>
      <c r="D35" t="s">
        <v>8882</v>
      </c>
    </row>
    <row r="36" spans="1:4">
      <c r="A36" t="s">
        <v>107</v>
      </c>
      <c r="B36" t="s">
        <v>337</v>
      </c>
      <c r="C36" t="s">
        <v>501</v>
      </c>
      <c r="D36" t="s">
        <v>8947</v>
      </c>
    </row>
    <row r="37" spans="1:4">
      <c r="A37" t="s">
        <v>138</v>
      </c>
      <c r="B37" t="s">
        <v>364</v>
      </c>
      <c r="C37" t="s">
        <v>501</v>
      </c>
      <c r="D37" t="s">
        <v>8948</v>
      </c>
    </row>
    <row r="38" spans="1:4">
      <c r="A38" t="s">
        <v>6289</v>
      </c>
      <c r="B38" t="s">
        <v>5297</v>
      </c>
      <c r="C38" t="s">
        <v>501</v>
      </c>
      <c r="D38" t="s">
        <v>8883</v>
      </c>
    </row>
    <row r="39" spans="1:4">
      <c r="A39" t="s">
        <v>5872</v>
      </c>
      <c r="B39" t="s">
        <v>422</v>
      </c>
      <c r="C39" t="s">
        <v>501</v>
      </c>
      <c r="D39" t="s">
        <v>8884</v>
      </c>
    </row>
    <row r="40" spans="1:4">
      <c r="A40" t="s">
        <v>3410</v>
      </c>
      <c r="B40" t="s">
        <v>494</v>
      </c>
      <c r="C40" t="s">
        <v>501</v>
      </c>
      <c r="D40" t="s">
        <v>8964</v>
      </c>
    </row>
    <row r="41" spans="1:4">
      <c r="A41" t="s">
        <v>4994</v>
      </c>
      <c r="B41" t="s">
        <v>8951</v>
      </c>
      <c r="C41" t="s">
        <v>501</v>
      </c>
      <c r="D41" t="s">
        <v>8885</v>
      </c>
    </row>
    <row r="42" spans="1:4">
      <c r="A42" t="s">
        <v>1935</v>
      </c>
      <c r="B42" t="s">
        <v>463</v>
      </c>
      <c r="C42" t="s">
        <v>501</v>
      </c>
      <c r="D42" t="s">
        <v>8886</v>
      </c>
    </row>
    <row r="43" spans="1:4">
      <c r="A43" t="s">
        <v>1626</v>
      </c>
      <c r="B43" t="s">
        <v>1918</v>
      </c>
      <c r="C43" t="s">
        <v>501</v>
      </c>
      <c r="D43" t="s">
        <v>8965</v>
      </c>
    </row>
    <row r="44" spans="1:4">
      <c r="A44" t="s">
        <v>2737</v>
      </c>
      <c r="B44" t="s">
        <v>2738</v>
      </c>
      <c r="C44" t="s">
        <v>501</v>
      </c>
      <c r="D44" t="s">
        <v>8966</v>
      </c>
    </row>
    <row r="45" spans="1:4">
      <c r="A45" t="s">
        <v>3198</v>
      </c>
      <c r="B45" t="s">
        <v>64</v>
      </c>
      <c r="C45" t="s">
        <v>501</v>
      </c>
      <c r="D45" t="s">
        <v>8967</v>
      </c>
    </row>
    <row r="46" spans="1:4">
      <c r="A46" t="s">
        <v>254</v>
      </c>
      <c r="B46" t="s">
        <v>42</v>
      </c>
      <c r="C46" t="s">
        <v>501</v>
      </c>
      <c r="D46" t="s">
        <v>8968</v>
      </c>
    </row>
    <row r="47" spans="1:4">
      <c r="A47" t="s">
        <v>4150</v>
      </c>
      <c r="B47" t="s">
        <v>1305</v>
      </c>
      <c r="C47" t="s">
        <v>501</v>
      </c>
      <c r="D47" t="s">
        <v>8969</v>
      </c>
    </row>
    <row r="48" spans="1:4">
      <c r="A48" t="s">
        <v>4073</v>
      </c>
      <c r="B48" t="s">
        <v>4074</v>
      </c>
      <c r="C48" t="s">
        <v>501</v>
      </c>
      <c r="D48" t="s">
        <v>8970</v>
      </c>
    </row>
    <row r="49" spans="1:4">
      <c r="A49" t="s">
        <v>196</v>
      </c>
      <c r="B49" t="s">
        <v>409</v>
      </c>
      <c r="C49" t="s">
        <v>501</v>
      </c>
      <c r="D49" t="s">
        <v>8971</v>
      </c>
    </row>
    <row r="50" spans="1:4">
      <c r="A50" t="s">
        <v>1223</v>
      </c>
      <c r="B50" t="s">
        <v>8961</v>
      </c>
      <c r="C50" t="s">
        <v>501</v>
      </c>
      <c r="D50" t="s">
        <v>8972</v>
      </c>
    </row>
    <row r="51" spans="1:4">
      <c r="A51" t="s">
        <v>5193</v>
      </c>
      <c r="B51" t="s">
        <v>5297</v>
      </c>
      <c r="C51" t="s">
        <v>501</v>
      </c>
      <c r="D51" t="s">
        <v>8973</v>
      </c>
    </row>
    <row r="52" spans="1:4">
      <c r="A52" t="s">
        <v>3971</v>
      </c>
      <c r="B52" t="s">
        <v>8184</v>
      </c>
      <c r="C52" t="s">
        <v>501</v>
      </c>
      <c r="D52" t="s">
        <v>8887</v>
      </c>
    </row>
    <row r="53" spans="1:4">
      <c r="A53" t="s">
        <v>4248</v>
      </c>
      <c r="B53" t="s">
        <v>321</v>
      </c>
      <c r="C53" t="s">
        <v>501</v>
      </c>
      <c r="D53" t="s">
        <v>8888</v>
      </c>
    </row>
    <row r="54" spans="1:4">
      <c r="A54" t="s">
        <v>1810</v>
      </c>
      <c r="B54" t="s">
        <v>3520</v>
      </c>
      <c r="C54" t="s">
        <v>501</v>
      </c>
      <c r="D54" t="s">
        <v>8889</v>
      </c>
    </row>
    <row r="55" spans="1:4">
      <c r="A55" t="s">
        <v>3028</v>
      </c>
      <c r="B55" t="s">
        <v>2028</v>
      </c>
      <c r="C55" t="s">
        <v>501</v>
      </c>
      <c r="D55" t="s">
        <v>8890</v>
      </c>
    </row>
    <row r="56" spans="1:4">
      <c r="A56" t="s">
        <v>7005</v>
      </c>
      <c r="B56" t="s">
        <v>403</v>
      </c>
      <c r="C56" t="s">
        <v>501</v>
      </c>
      <c r="D56" t="s">
        <v>8986</v>
      </c>
    </row>
    <row r="57" spans="1:4">
      <c r="A57" t="s">
        <v>113</v>
      </c>
      <c r="B57" t="s">
        <v>61</v>
      </c>
      <c r="C57" t="s">
        <v>501</v>
      </c>
      <c r="D57" t="s">
        <v>970</v>
      </c>
    </row>
    <row r="58" spans="1:4">
      <c r="A58" t="s">
        <v>2298</v>
      </c>
      <c r="B58" t="s">
        <v>2299</v>
      </c>
      <c r="C58" t="s">
        <v>501</v>
      </c>
      <c r="D58" t="s">
        <v>971</v>
      </c>
    </row>
    <row r="59" spans="1:4">
      <c r="A59" t="s">
        <v>300</v>
      </c>
      <c r="B59" t="s">
        <v>4798</v>
      </c>
      <c r="C59" t="s">
        <v>501</v>
      </c>
      <c r="D59" t="s">
        <v>972</v>
      </c>
    </row>
    <row r="60" spans="1:4">
      <c r="A60" t="s">
        <v>1901</v>
      </c>
      <c r="B60" t="s">
        <v>1887</v>
      </c>
      <c r="C60" t="s">
        <v>501</v>
      </c>
      <c r="D60" t="s">
        <v>973</v>
      </c>
    </row>
    <row r="61" spans="1:4">
      <c r="A61" t="s">
        <v>31</v>
      </c>
      <c r="B61" t="s">
        <v>347</v>
      </c>
      <c r="C61" t="s">
        <v>501</v>
      </c>
      <c r="D61" t="s">
        <v>8987</v>
      </c>
    </row>
    <row r="62" spans="1:4">
      <c r="A62" t="s">
        <v>6965</v>
      </c>
      <c r="B62" t="s">
        <v>1355</v>
      </c>
      <c r="C62" t="s">
        <v>501</v>
      </c>
      <c r="D62" t="s">
        <v>8988</v>
      </c>
    </row>
    <row r="63" spans="1:4">
      <c r="A63" t="s">
        <v>239</v>
      </c>
      <c r="B63" t="s">
        <v>445</v>
      </c>
      <c r="C63" t="s">
        <v>501</v>
      </c>
      <c r="D63" t="s">
        <v>8989</v>
      </c>
    </row>
    <row r="64" spans="1:4">
      <c r="A64" t="s">
        <v>3831</v>
      </c>
      <c r="B64" t="s">
        <v>3526</v>
      </c>
      <c r="C64" t="s">
        <v>501</v>
      </c>
      <c r="D64" t="s">
        <v>8992</v>
      </c>
    </row>
    <row r="65" spans="1:4">
      <c r="A65" t="s">
        <v>1256</v>
      </c>
      <c r="B65" t="s">
        <v>4441</v>
      </c>
      <c r="C65" t="s">
        <v>501</v>
      </c>
      <c r="D65" t="s">
        <v>8993</v>
      </c>
    </row>
    <row r="66" spans="1:4">
      <c r="A66" t="s">
        <v>1219</v>
      </c>
      <c r="B66" t="s">
        <v>64</v>
      </c>
      <c r="C66" t="s">
        <v>501</v>
      </c>
      <c r="D66" t="s">
        <v>8891</v>
      </c>
    </row>
    <row r="67" spans="1:4">
      <c r="A67" t="s">
        <v>2219</v>
      </c>
      <c r="B67" t="s">
        <v>2220</v>
      </c>
      <c r="C67" t="s">
        <v>501</v>
      </c>
      <c r="D67" t="s">
        <v>987</v>
      </c>
    </row>
    <row r="68" spans="1:4">
      <c r="A68" t="s">
        <v>2185</v>
      </c>
      <c r="B68" t="s">
        <v>8772</v>
      </c>
      <c r="C68" t="s">
        <v>501</v>
      </c>
      <c r="D68" t="s">
        <v>8892</v>
      </c>
    </row>
    <row r="69" spans="1:4">
      <c r="A69" t="s">
        <v>73</v>
      </c>
      <c r="B69" t="s">
        <v>305</v>
      </c>
      <c r="C69" t="s">
        <v>501</v>
      </c>
      <c r="D69" t="s">
        <v>988</v>
      </c>
    </row>
    <row r="70" spans="1:4">
      <c r="A70" t="s">
        <v>4093</v>
      </c>
      <c r="B70" t="s">
        <v>405</v>
      </c>
      <c r="C70" t="s">
        <v>501</v>
      </c>
      <c r="D70" t="s">
        <v>989</v>
      </c>
    </row>
    <row r="71" spans="1:4">
      <c r="A71" t="s">
        <v>264</v>
      </c>
      <c r="B71" t="s">
        <v>462</v>
      </c>
      <c r="C71" t="s">
        <v>501</v>
      </c>
      <c r="D71" t="s">
        <v>9006</v>
      </c>
    </row>
    <row r="72" spans="1:4">
      <c r="A72" t="s">
        <v>7504</v>
      </c>
      <c r="B72" t="s">
        <v>4978</v>
      </c>
      <c r="C72" t="s">
        <v>501</v>
      </c>
      <c r="D72" t="s">
        <v>9007</v>
      </c>
    </row>
    <row r="73" spans="1:4">
      <c r="A73" t="s">
        <v>298</v>
      </c>
      <c r="B73" t="s">
        <v>483</v>
      </c>
      <c r="C73" t="s">
        <v>501</v>
      </c>
      <c r="D73" t="s">
        <v>992</v>
      </c>
    </row>
    <row r="74" spans="1:4">
      <c r="A74" t="s">
        <v>4056</v>
      </c>
      <c r="B74" t="s">
        <v>4017</v>
      </c>
      <c r="C74" t="s">
        <v>501</v>
      </c>
      <c r="D74" t="s">
        <v>9008</v>
      </c>
    </row>
    <row r="75" spans="1:4">
      <c r="A75" t="s">
        <v>121</v>
      </c>
      <c r="B75" t="s">
        <v>350</v>
      </c>
      <c r="C75" t="s">
        <v>501</v>
      </c>
      <c r="D75" t="s">
        <v>9009</v>
      </c>
    </row>
    <row r="76" spans="1:4">
      <c r="A76" t="s">
        <v>3132</v>
      </c>
      <c r="B76" t="s">
        <v>7527</v>
      </c>
      <c r="C76" t="s">
        <v>501</v>
      </c>
      <c r="D76" t="s">
        <v>9010</v>
      </c>
    </row>
    <row r="77" spans="1:4">
      <c r="A77" t="s">
        <v>5707</v>
      </c>
      <c r="B77" t="s">
        <v>8182</v>
      </c>
      <c r="C77" t="s">
        <v>501</v>
      </c>
      <c r="D77" t="s">
        <v>9011</v>
      </c>
    </row>
    <row r="78" spans="1:4">
      <c r="A78" t="s">
        <v>2707</v>
      </c>
      <c r="B78" t="s">
        <v>8591</v>
      </c>
      <c r="C78" t="s">
        <v>501</v>
      </c>
      <c r="D78" t="s">
        <v>9012</v>
      </c>
    </row>
    <row r="79" spans="1:4">
      <c r="A79" t="s">
        <v>4771</v>
      </c>
      <c r="B79" t="s">
        <v>1351</v>
      </c>
      <c r="C79" t="s">
        <v>501</v>
      </c>
      <c r="D79" t="s">
        <v>9016</v>
      </c>
    </row>
    <row r="80" spans="1:4">
      <c r="A80" t="s">
        <v>2093</v>
      </c>
      <c r="B80" t="s">
        <v>4974</v>
      </c>
      <c r="C80" t="s">
        <v>501</v>
      </c>
      <c r="D80" t="s">
        <v>9017</v>
      </c>
    </row>
    <row r="81" spans="1:4">
      <c r="A81" t="s">
        <v>1977</v>
      </c>
      <c r="B81" t="s">
        <v>4707</v>
      </c>
      <c r="C81" t="s">
        <v>501</v>
      </c>
      <c r="D81" t="s">
        <v>9018</v>
      </c>
    </row>
    <row r="82" spans="1:4">
      <c r="A82" t="s">
        <v>3883</v>
      </c>
      <c r="B82" t="s">
        <v>3884</v>
      </c>
      <c r="C82" t="s">
        <v>501</v>
      </c>
      <c r="D82" t="s">
        <v>9030</v>
      </c>
    </row>
    <row r="83" spans="1:4">
      <c r="A83" t="s">
        <v>5072</v>
      </c>
      <c r="B83" t="s">
        <v>310</v>
      </c>
      <c r="C83" t="s">
        <v>501</v>
      </c>
      <c r="D83" t="s">
        <v>1004</v>
      </c>
    </row>
    <row r="84" spans="1:4">
      <c r="A84" t="s">
        <v>1198</v>
      </c>
      <c r="B84" t="s">
        <v>1325</v>
      </c>
      <c r="C84" t="s">
        <v>501</v>
      </c>
      <c r="D84" t="s">
        <v>8893</v>
      </c>
    </row>
    <row r="85" spans="1:4">
      <c r="A85" t="s">
        <v>1836</v>
      </c>
      <c r="B85" t="s">
        <v>1837</v>
      </c>
      <c r="C85" t="s">
        <v>501</v>
      </c>
      <c r="D85" t="s">
        <v>1005</v>
      </c>
    </row>
    <row r="86" spans="1:4">
      <c r="A86" t="s">
        <v>211</v>
      </c>
      <c r="B86" t="s">
        <v>374</v>
      </c>
      <c r="C86" t="s">
        <v>501</v>
      </c>
      <c r="D86" t="s">
        <v>1006</v>
      </c>
    </row>
    <row r="87" spans="1:4">
      <c r="A87" t="s">
        <v>6529</v>
      </c>
      <c r="B87" t="s">
        <v>1343</v>
      </c>
      <c r="C87" t="s">
        <v>501</v>
      </c>
      <c r="D87" t="s">
        <v>9031</v>
      </c>
    </row>
    <row r="88" spans="1:4">
      <c r="A88" t="s">
        <v>282</v>
      </c>
      <c r="B88" t="s">
        <v>364</v>
      </c>
      <c r="C88" t="s">
        <v>501</v>
      </c>
      <c r="D88" t="s">
        <v>1007</v>
      </c>
    </row>
    <row r="89" spans="1:4">
      <c r="A89" t="s">
        <v>301</v>
      </c>
      <c r="B89" t="s">
        <v>485</v>
      </c>
      <c r="C89" t="s">
        <v>501</v>
      </c>
      <c r="D89" t="s">
        <v>1009</v>
      </c>
    </row>
    <row r="90" spans="1:4">
      <c r="A90" t="s">
        <v>140</v>
      </c>
      <c r="B90" t="s">
        <v>1304</v>
      </c>
      <c r="C90" t="s">
        <v>501</v>
      </c>
      <c r="D90" t="s">
        <v>9033</v>
      </c>
    </row>
    <row r="91" spans="1:4">
      <c r="A91" t="s">
        <v>26</v>
      </c>
      <c r="B91" t="s">
        <v>356</v>
      </c>
      <c r="C91" t="s">
        <v>501</v>
      </c>
      <c r="D91" t="s">
        <v>9034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A192-055E-4102-85DC-92A37BF39AA3}">
  <dimension ref="A1:D1"/>
  <sheetViews>
    <sheetView workbookViewId="0"/>
  </sheetViews>
  <sheetFormatPr defaultRowHeight="16.5"/>
  <sheetData>
    <row r="1" spans="1:4">
      <c r="A1" t="s">
        <v>8895</v>
      </c>
      <c r="B1" t="s">
        <v>8896</v>
      </c>
      <c r="C1" t="s">
        <v>8897</v>
      </c>
      <c r="D1" t="s">
        <v>8898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38" zoomScale="50" zoomScaleNormal="50" workbookViewId="0">
      <selection activeCell="D53" sqref="D5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129</v>
      </c>
    </row>
    <row r="3" spans="1:22" s="15" customFormat="1" ht="60" customHeight="1">
      <c r="B3" s="12"/>
      <c r="C3" s="13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8"/>
      <c r="R3" s="58"/>
      <c r="T3" s="16"/>
      <c r="V3" s="63" t="s">
        <v>8901</v>
      </c>
    </row>
    <row r="4" spans="1:22" s="6" customFormat="1" ht="36" customHeight="1">
      <c r="B4" s="17"/>
      <c r="D4" s="18"/>
      <c r="E4" s="18" t="s">
        <v>4478</v>
      </c>
      <c r="F4" s="18" t="s">
        <v>391</v>
      </c>
      <c r="G4" s="18" t="s">
        <v>426</v>
      </c>
      <c r="H4" s="18"/>
      <c r="I4" s="18"/>
      <c r="J4" s="18"/>
      <c r="K4" s="18" t="s">
        <v>371</v>
      </c>
      <c r="L4" s="18" t="s">
        <v>4154</v>
      </c>
      <c r="M4" s="18"/>
      <c r="N4" s="18" t="s">
        <v>5291</v>
      </c>
      <c r="O4" s="18" t="s">
        <v>1343</v>
      </c>
      <c r="P4" s="18"/>
      <c r="Q4" s="18"/>
      <c r="R4" s="18"/>
      <c r="S4" s="19"/>
      <c r="V4" s="64"/>
    </row>
    <row r="5" spans="1:22" s="6" customFormat="1" ht="80.099999999999994" customHeight="1">
      <c r="B5" s="20">
        <v>1</v>
      </c>
      <c r="D5" s="41" t="s">
        <v>8500</v>
      </c>
      <c r="E5" s="41" t="s">
        <v>1875</v>
      </c>
      <c r="F5" s="41" t="s">
        <v>172</v>
      </c>
      <c r="G5" s="41" t="s">
        <v>216</v>
      </c>
      <c r="H5" s="41" t="s">
        <v>8501</v>
      </c>
      <c r="I5" s="41" t="s">
        <v>8900</v>
      </c>
      <c r="J5" s="41" t="s">
        <v>8900</v>
      </c>
      <c r="K5" s="41" t="s">
        <v>146</v>
      </c>
      <c r="L5" s="41" t="s">
        <v>4153</v>
      </c>
      <c r="M5" s="41" t="s">
        <v>291</v>
      </c>
      <c r="N5" s="41" t="s">
        <v>7979</v>
      </c>
      <c r="O5" s="41" t="s">
        <v>6676</v>
      </c>
      <c r="P5" s="41" t="str">
        <f>CHAR(10)</f>
        <v xml:space="preserve">
</v>
      </c>
      <c r="Q5" s="41"/>
      <c r="R5" s="41"/>
      <c r="S5" s="21"/>
      <c r="V5" s="64"/>
    </row>
    <row r="6" spans="1:22" s="26" customFormat="1" ht="36" customHeight="1">
      <c r="B6" s="22"/>
      <c r="C6" s="23"/>
      <c r="D6" s="24"/>
      <c r="E6" s="24" t="s">
        <v>8902</v>
      </c>
      <c r="F6" s="24" t="s">
        <v>8903</v>
      </c>
      <c r="G6" s="24" t="s">
        <v>8904</v>
      </c>
      <c r="H6" s="24"/>
      <c r="I6" s="24"/>
      <c r="J6" s="24"/>
      <c r="K6" s="24" t="s">
        <v>8905</v>
      </c>
      <c r="L6" s="24" t="s">
        <v>8906</v>
      </c>
      <c r="M6" s="24"/>
      <c r="N6" s="24" t="s">
        <v>8907</v>
      </c>
      <c r="O6" s="24" t="s">
        <v>8908</v>
      </c>
      <c r="P6" s="24"/>
      <c r="Q6" s="24"/>
      <c r="R6" s="24"/>
      <c r="S6" s="25"/>
      <c r="V6" s="64"/>
    </row>
    <row r="7" spans="1:22" s="30" customFormat="1" ht="60" customHeight="1">
      <c r="B7" s="27"/>
      <c r="C7" s="28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1"/>
      <c r="V7" s="64"/>
    </row>
    <row r="8" spans="1:22" s="6" customFormat="1" ht="36" customHeight="1">
      <c r="B8" s="17"/>
      <c r="D8" s="18" t="s">
        <v>1347</v>
      </c>
      <c r="E8" s="18" t="s">
        <v>3640</v>
      </c>
      <c r="F8" s="18" t="s">
        <v>8912</v>
      </c>
      <c r="G8" s="18" t="s">
        <v>397</v>
      </c>
      <c r="H8" s="18"/>
      <c r="I8" s="18" t="s">
        <v>434</v>
      </c>
      <c r="J8" s="18" t="s">
        <v>348</v>
      </c>
      <c r="K8" s="18" t="s">
        <v>5657</v>
      </c>
      <c r="L8" s="18" t="s">
        <v>1381</v>
      </c>
      <c r="M8" s="18" t="s">
        <v>6014</v>
      </c>
      <c r="N8" s="18" t="s">
        <v>336</v>
      </c>
      <c r="O8" s="18"/>
      <c r="P8" s="18" t="s">
        <v>336</v>
      </c>
      <c r="Q8" s="18" t="s">
        <v>327</v>
      </c>
      <c r="R8" s="18" t="s">
        <v>482</v>
      </c>
      <c r="S8" s="19"/>
      <c r="V8" s="64"/>
    </row>
    <row r="9" spans="1:22" s="6" customFormat="1" ht="80.099999999999994" customHeight="1">
      <c r="B9" s="20">
        <f>B5+1</f>
        <v>2</v>
      </c>
      <c r="D9" s="41" t="s">
        <v>1233</v>
      </c>
      <c r="E9" s="41" t="s">
        <v>169</v>
      </c>
      <c r="F9" s="41" t="s">
        <v>3480</v>
      </c>
      <c r="G9" s="41" t="s">
        <v>20</v>
      </c>
      <c r="H9" s="41" t="s">
        <v>23</v>
      </c>
      <c r="I9" s="41" t="s">
        <v>224</v>
      </c>
      <c r="J9" s="41" t="s">
        <v>118</v>
      </c>
      <c r="K9" s="41" t="s">
        <v>6686</v>
      </c>
      <c r="L9" s="41" t="s">
        <v>1278</v>
      </c>
      <c r="M9" s="41" t="s">
        <v>6681</v>
      </c>
      <c r="N9" s="41" t="s">
        <v>166</v>
      </c>
      <c r="O9" s="41" t="s">
        <v>23</v>
      </c>
      <c r="P9" s="41" t="s">
        <v>166</v>
      </c>
      <c r="Q9" s="41" t="s">
        <v>86</v>
      </c>
      <c r="R9" s="41" t="s">
        <v>293</v>
      </c>
      <c r="S9" s="21"/>
      <c r="T9" s="16"/>
      <c r="V9" s="64"/>
    </row>
    <row r="10" spans="1:22" s="6" customFormat="1" ht="36" customHeight="1">
      <c r="B10" s="22"/>
      <c r="D10" s="24" t="s">
        <v>8910</v>
      </c>
      <c r="E10" s="24" t="s">
        <v>8911</v>
      </c>
      <c r="F10" s="24" t="s">
        <v>8913</v>
      </c>
      <c r="G10" s="24" t="s">
        <v>8914</v>
      </c>
      <c r="H10" s="24"/>
      <c r="I10" s="24" t="s">
        <v>8915</v>
      </c>
      <c r="J10" s="24" t="s">
        <v>8916</v>
      </c>
      <c r="K10" s="24" t="s">
        <v>8917</v>
      </c>
      <c r="L10" s="24" t="s">
        <v>8918</v>
      </c>
      <c r="M10" s="24" t="s">
        <v>8919</v>
      </c>
      <c r="N10" s="24" t="s">
        <v>8920</v>
      </c>
      <c r="O10" s="24"/>
      <c r="P10" s="24" t="s">
        <v>8920</v>
      </c>
      <c r="Q10" s="24" t="s">
        <v>8921</v>
      </c>
      <c r="R10" s="24" t="s">
        <v>8922</v>
      </c>
      <c r="S10" s="31"/>
      <c r="V10" s="64"/>
    </row>
    <row r="11" spans="1:22" s="29" customFormat="1" ht="60" customHeight="1">
      <c r="B11" s="32"/>
      <c r="C11" s="33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1"/>
      <c r="V11" s="64"/>
    </row>
    <row r="12" spans="1:22" s="6" customFormat="1" ht="36" customHeight="1">
      <c r="B12" s="17"/>
      <c r="D12" s="18" t="s">
        <v>3700</v>
      </c>
      <c r="E12" s="18"/>
      <c r="F12" s="18" t="s">
        <v>474</v>
      </c>
      <c r="G12" s="18" t="s">
        <v>355</v>
      </c>
      <c r="H12" s="18" t="s">
        <v>459</v>
      </c>
      <c r="I12" s="18" t="s">
        <v>5053</v>
      </c>
      <c r="J12" s="18" t="s">
        <v>4357</v>
      </c>
      <c r="K12" s="18"/>
      <c r="L12" s="18" t="s">
        <v>1300</v>
      </c>
      <c r="M12" s="18" t="s">
        <v>4838</v>
      </c>
      <c r="N12" s="18" t="s">
        <v>389</v>
      </c>
      <c r="O12" s="18" t="s">
        <v>1812</v>
      </c>
      <c r="P12" s="18"/>
      <c r="Q12" s="18" t="s">
        <v>338</v>
      </c>
      <c r="R12" s="18" t="s">
        <v>423</v>
      </c>
      <c r="S12" s="19"/>
      <c r="V12" s="64"/>
    </row>
    <row r="13" spans="1:22" s="6" customFormat="1" ht="80.099999999999994" customHeight="1">
      <c r="B13" s="20">
        <f>B9+1</f>
        <v>3</v>
      </c>
      <c r="D13" s="41" t="s">
        <v>201</v>
      </c>
      <c r="E13" s="41" t="s">
        <v>23</v>
      </c>
      <c r="F13" s="41" t="s">
        <v>1665</v>
      </c>
      <c r="G13" s="41" t="s">
        <v>187</v>
      </c>
      <c r="H13" s="41" t="s">
        <v>261</v>
      </c>
      <c r="I13" s="41" t="s">
        <v>5332</v>
      </c>
      <c r="J13" s="41" t="s">
        <v>5333</v>
      </c>
      <c r="K13" s="41" t="s">
        <v>23</v>
      </c>
      <c r="L13" s="41" t="s">
        <v>1158</v>
      </c>
      <c r="M13" s="41" t="s">
        <v>3089</v>
      </c>
      <c r="N13" s="41" t="s">
        <v>170</v>
      </c>
      <c r="O13" s="41" t="s">
        <v>3365</v>
      </c>
      <c r="P13" s="41" t="s">
        <v>30</v>
      </c>
      <c r="Q13" s="41" t="s">
        <v>3552</v>
      </c>
      <c r="R13" s="41" t="s">
        <v>212</v>
      </c>
      <c r="S13" s="21"/>
      <c r="V13" s="64"/>
    </row>
    <row r="14" spans="1:22" s="6" customFormat="1" ht="36" customHeight="1">
      <c r="B14" s="22"/>
      <c r="D14" s="24" t="s">
        <v>8926</v>
      </c>
      <c r="E14" s="24"/>
      <c r="F14" s="24" t="s">
        <v>8927</v>
      </c>
      <c r="G14" s="24" t="s">
        <v>8928</v>
      </c>
      <c r="H14" s="24" t="s">
        <v>8929</v>
      </c>
      <c r="I14" s="24" t="s">
        <v>8930</v>
      </c>
      <c r="J14" s="24" t="s">
        <v>8931</v>
      </c>
      <c r="K14" s="24"/>
      <c r="L14" s="24" t="s">
        <v>8932</v>
      </c>
      <c r="M14" s="24" t="s">
        <v>8933</v>
      </c>
      <c r="N14" s="24" t="s">
        <v>8934</v>
      </c>
      <c r="O14" s="24" t="s">
        <v>8935</v>
      </c>
      <c r="P14" s="24"/>
      <c r="Q14" s="24" t="s">
        <v>8936</v>
      </c>
      <c r="R14" s="24" t="s">
        <v>8937</v>
      </c>
      <c r="S14" s="31"/>
      <c r="V14" s="64"/>
    </row>
    <row r="15" spans="1:22" s="35" customFormat="1" ht="60" customHeight="1">
      <c r="B15" s="12"/>
      <c r="C15" s="34"/>
      <c r="D15" s="60"/>
      <c r="E15" s="60"/>
      <c r="F15" s="60"/>
      <c r="G15" s="60"/>
      <c r="H15" s="60"/>
      <c r="I15" s="60"/>
      <c r="J15" s="60"/>
      <c r="K15" s="60"/>
      <c r="L15" s="60"/>
      <c r="M15" s="58"/>
      <c r="N15" s="58"/>
      <c r="O15" s="58"/>
      <c r="P15" s="58"/>
      <c r="Q15" s="58"/>
      <c r="R15" s="58"/>
      <c r="V15" s="64"/>
    </row>
    <row r="16" spans="1:22" s="6" customFormat="1" ht="36" customHeight="1">
      <c r="B16" s="17"/>
      <c r="D16" s="18" t="s">
        <v>1333</v>
      </c>
      <c r="E16" s="18" t="s">
        <v>382</v>
      </c>
      <c r="F16" s="18"/>
      <c r="G16" s="18" t="s">
        <v>1353</v>
      </c>
      <c r="H16" s="18" t="s">
        <v>337</v>
      </c>
      <c r="I16" s="18" t="s">
        <v>364</v>
      </c>
      <c r="J16" s="18" t="s">
        <v>5297</v>
      </c>
      <c r="K16" s="18"/>
      <c r="L16" s="18"/>
      <c r="M16" s="18"/>
      <c r="N16" s="18"/>
      <c r="O16" s="18"/>
      <c r="P16" s="18"/>
      <c r="Q16" s="18"/>
      <c r="R16" s="18"/>
      <c r="S16" s="19"/>
      <c r="V16" s="64"/>
    </row>
    <row r="17" spans="2:22" s="6" customFormat="1" ht="80.099999999999994" customHeight="1">
      <c r="B17" s="20">
        <f>B13+1</f>
        <v>4</v>
      </c>
      <c r="D17" s="41" t="s">
        <v>1213</v>
      </c>
      <c r="E17" s="41" t="s">
        <v>6091</v>
      </c>
      <c r="F17" s="41" t="s">
        <v>23</v>
      </c>
      <c r="G17" s="41" t="s">
        <v>4887</v>
      </c>
      <c r="H17" s="41" t="s">
        <v>107</v>
      </c>
      <c r="I17" s="41" t="s">
        <v>138</v>
      </c>
      <c r="J17" s="41" t="s">
        <v>6289</v>
      </c>
      <c r="K17" s="41" t="s">
        <v>30</v>
      </c>
      <c r="L17" s="41" t="str">
        <f>CHAR(10)</f>
        <v xml:space="preserve">
</v>
      </c>
      <c r="M17" s="41"/>
      <c r="N17" s="41"/>
      <c r="O17" s="41"/>
      <c r="P17" s="41"/>
      <c r="Q17" s="41"/>
      <c r="R17" s="41"/>
      <c r="S17" s="21"/>
      <c r="V17" s="64"/>
    </row>
    <row r="18" spans="2:22" s="6" customFormat="1" ht="36" customHeight="1">
      <c r="B18" s="22"/>
      <c r="D18" s="24" t="s">
        <v>8941</v>
      </c>
      <c r="E18" s="24" t="s">
        <v>8942</v>
      </c>
      <c r="F18" s="24"/>
      <c r="G18" s="24" t="s">
        <v>8943</v>
      </c>
      <c r="H18" s="24" t="s">
        <v>8944</v>
      </c>
      <c r="I18" s="24" t="s">
        <v>8945</v>
      </c>
      <c r="J18" s="24" t="s">
        <v>8946</v>
      </c>
      <c r="K18" s="24"/>
      <c r="L18" s="24"/>
      <c r="M18" s="24"/>
      <c r="N18" s="24"/>
      <c r="O18" s="24"/>
      <c r="P18" s="24"/>
      <c r="Q18" s="24"/>
      <c r="R18" s="24"/>
      <c r="S18" s="31"/>
      <c r="V18" s="64"/>
    </row>
    <row r="19" spans="2:22" s="35" customFormat="1" ht="60" customHeight="1">
      <c r="B19" s="12"/>
      <c r="C19" s="3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2"/>
      <c r="V19" s="64"/>
    </row>
    <row r="20" spans="2:22" s="6" customFormat="1" ht="36" customHeight="1">
      <c r="B20" s="17"/>
      <c r="D20" s="18" t="s">
        <v>422</v>
      </c>
      <c r="E20" s="18" t="s">
        <v>494</v>
      </c>
      <c r="F20" s="18" t="s">
        <v>8951</v>
      </c>
      <c r="G20" s="18" t="s">
        <v>463</v>
      </c>
      <c r="H20" s="18" t="s">
        <v>1918</v>
      </c>
      <c r="I20" s="18" t="s">
        <v>2738</v>
      </c>
      <c r="J20" s="18" t="s">
        <v>64</v>
      </c>
      <c r="K20" s="18"/>
      <c r="L20" s="18" t="s">
        <v>42</v>
      </c>
      <c r="M20" s="18" t="s">
        <v>1305</v>
      </c>
      <c r="N20" s="18" t="s">
        <v>4074</v>
      </c>
      <c r="O20" s="18" t="s">
        <v>409</v>
      </c>
      <c r="P20" s="18" t="s">
        <v>8961</v>
      </c>
      <c r="Q20" s="18" t="s">
        <v>5297</v>
      </c>
      <c r="R20" s="18" t="s">
        <v>355</v>
      </c>
      <c r="S20" s="19"/>
      <c r="V20" s="64"/>
    </row>
    <row r="21" spans="2:22" s="6" customFormat="1" ht="80.099999999999994" customHeight="1">
      <c r="B21" s="20">
        <f>B17+1</f>
        <v>5</v>
      </c>
      <c r="D21" s="41" t="s">
        <v>5872</v>
      </c>
      <c r="E21" s="41" t="s">
        <v>3410</v>
      </c>
      <c r="F21" s="41" t="s">
        <v>4994</v>
      </c>
      <c r="G21" s="41" t="s">
        <v>1935</v>
      </c>
      <c r="H21" s="41" t="s">
        <v>1626</v>
      </c>
      <c r="I21" s="41" t="s">
        <v>2737</v>
      </c>
      <c r="J21" s="41" t="s">
        <v>3198</v>
      </c>
      <c r="K21" s="41" t="s">
        <v>23</v>
      </c>
      <c r="L21" s="41" t="s">
        <v>254</v>
      </c>
      <c r="M21" s="41" t="s">
        <v>4150</v>
      </c>
      <c r="N21" s="41" t="s">
        <v>4073</v>
      </c>
      <c r="O21" s="41" t="s">
        <v>196</v>
      </c>
      <c r="P21" s="41" t="s">
        <v>1223</v>
      </c>
      <c r="Q21" s="41" t="s">
        <v>5193</v>
      </c>
      <c r="R21" s="41" t="s">
        <v>187</v>
      </c>
      <c r="S21" s="21"/>
      <c r="V21" s="64"/>
    </row>
    <row r="22" spans="2:22" s="6" customFormat="1" ht="36" customHeight="1">
      <c r="B22" s="22"/>
      <c r="D22" s="24" t="s">
        <v>8949</v>
      </c>
      <c r="E22" s="24" t="s">
        <v>8950</v>
      </c>
      <c r="F22" s="24" t="s">
        <v>8952</v>
      </c>
      <c r="G22" s="24" t="s">
        <v>8953</v>
      </c>
      <c r="H22" s="24" t="s">
        <v>8954</v>
      </c>
      <c r="I22" s="24" t="s">
        <v>8955</v>
      </c>
      <c r="J22" s="24" t="s">
        <v>8956</v>
      </c>
      <c r="K22" s="24"/>
      <c r="L22" s="24" t="s">
        <v>8957</v>
      </c>
      <c r="M22" s="24" t="s">
        <v>8958</v>
      </c>
      <c r="N22" s="24" t="s">
        <v>8959</v>
      </c>
      <c r="O22" s="24" t="s">
        <v>8960</v>
      </c>
      <c r="P22" s="24" t="s">
        <v>8962</v>
      </c>
      <c r="Q22" s="24" t="s">
        <v>8946</v>
      </c>
      <c r="R22" s="24" t="s">
        <v>8928</v>
      </c>
      <c r="S22" s="31"/>
      <c r="V22" s="64"/>
    </row>
    <row r="23" spans="2:22" s="35" customFormat="1" ht="60" customHeight="1">
      <c r="B23" s="12"/>
      <c r="C23" s="34"/>
      <c r="D23" s="60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V23" s="64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4"/>
    </row>
    <row r="25" spans="2:22" s="6" customFormat="1" ht="80.099999999999994" customHeight="1">
      <c r="B25" s="20">
        <f>B21+1</f>
        <v>6</v>
      </c>
      <c r="D25" s="41" t="s">
        <v>105</v>
      </c>
      <c r="E25" s="41" t="str">
        <f>CHAR(10)</f>
        <v xml:space="preserve">
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4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4"/>
    </row>
    <row r="27" spans="2:22" s="35" customFormat="1" ht="60" customHeight="1">
      <c r="B27" s="12"/>
      <c r="C27" s="3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2"/>
      <c r="U27" s="35" t="str">
        <f t="shared" ref="U27:U32" si="1" xml:space="preserve"> MID($N$26,4,1)</f>
        <v/>
      </c>
      <c r="V27" s="64"/>
    </row>
    <row r="28" spans="2:22" s="6" customFormat="1" ht="36" customHeight="1">
      <c r="B28" s="17"/>
      <c r="D28" s="18" t="s">
        <v>8184</v>
      </c>
      <c r="E28" s="18" t="s">
        <v>321</v>
      </c>
      <c r="F28" s="18" t="s">
        <v>3520</v>
      </c>
      <c r="G28" s="18" t="s">
        <v>2028</v>
      </c>
      <c r="H28" s="18" t="s">
        <v>403</v>
      </c>
      <c r="I28" s="18" t="s">
        <v>61</v>
      </c>
      <c r="J28" s="18" t="s">
        <v>2299</v>
      </c>
      <c r="K28" s="18"/>
      <c r="L28" s="18" t="s">
        <v>4798</v>
      </c>
      <c r="M28" s="18" t="s">
        <v>1887</v>
      </c>
      <c r="N28" s="18"/>
      <c r="O28" s="18" t="s">
        <v>347</v>
      </c>
      <c r="P28" s="18" t="s">
        <v>1355</v>
      </c>
      <c r="Q28" s="18" t="s">
        <v>445</v>
      </c>
      <c r="R28" s="18" t="s">
        <v>336</v>
      </c>
      <c r="S28" s="19"/>
      <c r="U28" s="35" t="str">
        <f t="shared" si="1"/>
        <v/>
      </c>
      <c r="V28" s="64"/>
    </row>
    <row r="29" spans="2:22" s="6" customFormat="1" ht="80.099999999999994" customHeight="1">
      <c r="B29" s="20">
        <f>B25+1</f>
        <v>7</v>
      </c>
      <c r="D29" s="41" t="s">
        <v>3971</v>
      </c>
      <c r="E29" s="41" t="s">
        <v>4248</v>
      </c>
      <c r="F29" s="41" t="s">
        <v>1810</v>
      </c>
      <c r="G29" s="41" t="s">
        <v>3028</v>
      </c>
      <c r="H29" s="41" t="s">
        <v>7005</v>
      </c>
      <c r="I29" s="41" t="s">
        <v>113</v>
      </c>
      <c r="J29" s="41" t="s">
        <v>2298</v>
      </c>
      <c r="K29" s="41" t="s">
        <v>23</v>
      </c>
      <c r="L29" s="41" t="s">
        <v>300</v>
      </c>
      <c r="M29" s="41" t="s">
        <v>1901</v>
      </c>
      <c r="N29" s="41" t="s">
        <v>163</v>
      </c>
      <c r="O29" s="41" t="s">
        <v>31</v>
      </c>
      <c r="P29" s="41" t="s">
        <v>6965</v>
      </c>
      <c r="Q29" s="41" t="s">
        <v>239</v>
      </c>
      <c r="R29" s="41" t="s">
        <v>166</v>
      </c>
      <c r="S29" s="21"/>
      <c r="U29" s="35" t="str">
        <f t="shared" si="1"/>
        <v/>
      </c>
      <c r="V29" s="64"/>
    </row>
    <row r="30" spans="2:22" s="6" customFormat="1" ht="36" customHeight="1">
      <c r="B30" s="22"/>
      <c r="D30" s="24" t="s">
        <v>8974</v>
      </c>
      <c r="E30" s="24" t="s">
        <v>8975</v>
      </c>
      <c r="F30" s="24" t="s">
        <v>8976</v>
      </c>
      <c r="G30" s="24" t="s">
        <v>8977</v>
      </c>
      <c r="H30" s="24" t="s">
        <v>8978</v>
      </c>
      <c r="I30" s="24" t="s">
        <v>8979</v>
      </c>
      <c r="J30" s="24" t="s">
        <v>8980</v>
      </c>
      <c r="K30" s="24"/>
      <c r="L30" s="24" t="s">
        <v>8981</v>
      </c>
      <c r="M30" s="24" t="s">
        <v>8982</v>
      </c>
      <c r="N30" s="24"/>
      <c r="O30" s="24" t="s">
        <v>8983</v>
      </c>
      <c r="P30" s="24" t="s">
        <v>8984</v>
      </c>
      <c r="Q30" s="24" t="s">
        <v>8985</v>
      </c>
      <c r="R30" s="24" t="s">
        <v>8920</v>
      </c>
      <c r="S30" s="31"/>
      <c r="U30" s="35" t="str">
        <f t="shared" si="1"/>
        <v/>
      </c>
      <c r="V30" s="64"/>
    </row>
    <row r="31" spans="2:22" s="35" customFormat="1" ht="60" customHeight="1">
      <c r="B31" s="12"/>
      <c r="C31" s="34"/>
      <c r="D31" s="60"/>
      <c r="E31" s="60"/>
      <c r="F31" s="60"/>
      <c r="G31" s="60"/>
      <c r="H31" s="60"/>
      <c r="I31" s="58"/>
      <c r="J31" s="58"/>
      <c r="K31" s="58"/>
      <c r="L31" s="58"/>
      <c r="M31" s="58"/>
      <c r="N31" s="58"/>
      <c r="O31" s="58"/>
      <c r="P31" s="58"/>
      <c r="Q31" s="58"/>
      <c r="R31" s="58"/>
      <c r="U31" s="35" t="str">
        <f t="shared" si="1"/>
        <v/>
      </c>
      <c r="V31" s="64"/>
    </row>
    <row r="32" spans="2:22" s="6" customFormat="1" ht="36" customHeight="1">
      <c r="B32" s="17"/>
      <c r="D32" s="18" t="s">
        <v>3526</v>
      </c>
      <c r="E32" s="18" t="s">
        <v>4441</v>
      </c>
      <c r="F32" s="18" t="s">
        <v>64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U32" s="35" t="str">
        <f t="shared" si="1"/>
        <v/>
      </c>
      <c r="V32" s="64"/>
    </row>
    <row r="33" spans="2:22" s="6" customFormat="1" ht="80.099999999999994" customHeight="1">
      <c r="B33" s="20">
        <f>B29+1</f>
        <v>8</v>
      </c>
      <c r="D33" s="41" t="s">
        <v>3831</v>
      </c>
      <c r="E33" s="41" t="s">
        <v>1256</v>
      </c>
      <c r="F33" s="41" t="s">
        <v>1219</v>
      </c>
      <c r="G33" s="41" t="s">
        <v>30</v>
      </c>
      <c r="H33" s="41" t="str">
        <f>CHAR(10)</f>
        <v xml:space="preserve">
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21"/>
      <c r="V33" s="64"/>
    </row>
    <row r="34" spans="2:22" s="6" customFormat="1" ht="36" customHeight="1">
      <c r="B34" s="22"/>
      <c r="D34" s="24" t="s">
        <v>8990</v>
      </c>
      <c r="E34" s="24" t="s">
        <v>8991</v>
      </c>
      <c r="F34" s="24" t="s">
        <v>8956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1"/>
      <c r="V34" s="64"/>
    </row>
    <row r="35" spans="2:22" s="35" customFormat="1" ht="60" customHeight="1">
      <c r="B35" s="12"/>
      <c r="C35" s="34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2"/>
      <c r="V35" s="64"/>
    </row>
    <row r="36" spans="2:22" s="6" customFormat="1" ht="36" customHeight="1">
      <c r="B36" s="17"/>
      <c r="D36" s="18" t="s">
        <v>2220</v>
      </c>
      <c r="E36" s="18" t="s">
        <v>8772</v>
      </c>
      <c r="F36" s="18" t="s">
        <v>305</v>
      </c>
      <c r="G36" s="18" t="s">
        <v>391</v>
      </c>
      <c r="H36" s="18" t="s">
        <v>405</v>
      </c>
      <c r="I36" s="18" t="s">
        <v>462</v>
      </c>
      <c r="J36" s="18" t="s">
        <v>4978</v>
      </c>
      <c r="K36" s="18"/>
      <c r="L36" s="18" t="s">
        <v>483</v>
      </c>
      <c r="M36" s="18" t="s">
        <v>4017</v>
      </c>
      <c r="N36" s="18"/>
      <c r="O36" s="18" t="s">
        <v>350</v>
      </c>
      <c r="P36" s="18" t="s">
        <v>7527</v>
      </c>
      <c r="Q36" s="18" t="s">
        <v>8182</v>
      </c>
      <c r="R36" s="18" t="s">
        <v>8591</v>
      </c>
      <c r="S36" s="19"/>
      <c r="V36" s="64"/>
    </row>
    <row r="37" spans="2:22" s="6" customFormat="1" ht="80.099999999999994" customHeight="1">
      <c r="B37" s="20">
        <f>B33+1</f>
        <v>9</v>
      </c>
      <c r="D37" s="41" t="s">
        <v>2219</v>
      </c>
      <c r="E37" s="41" t="s">
        <v>2185</v>
      </c>
      <c r="F37" s="41" t="s">
        <v>73</v>
      </c>
      <c r="G37" s="41" t="s">
        <v>172</v>
      </c>
      <c r="H37" s="41" t="s">
        <v>4093</v>
      </c>
      <c r="I37" s="41" t="s">
        <v>264</v>
      </c>
      <c r="J37" s="41" t="s">
        <v>7504</v>
      </c>
      <c r="K37" s="41" t="s">
        <v>23</v>
      </c>
      <c r="L37" s="41" t="s">
        <v>298</v>
      </c>
      <c r="M37" s="41" t="s">
        <v>4056</v>
      </c>
      <c r="N37" s="41" t="s">
        <v>8502</v>
      </c>
      <c r="O37" s="41" t="s">
        <v>121</v>
      </c>
      <c r="P37" s="41" t="s">
        <v>3132</v>
      </c>
      <c r="Q37" s="41" t="s">
        <v>5707</v>
      </c>
      <c r="R37" s="41" t="s">
        <v>2707</v>
      </c>
      <c r="S37" s="21"/>
      <c r="V37" s="64"/>
    </row>
    <row r="38" spans="2:22" s="6" customFormat="1" ht="36" customHeight="1">
      <c r="B38" s="22"/>
      <c r="D38" s="24" t="s">
        <v>8994</v>
      </c>
      <c r="E38" s="24" t="s">
        <v>8995</v>
      </c>
      <c r="F38" s="24" t="s">
        <v>8996</v>
      </c>
      <c r="G38" s="24" t="s">
        <v>8903</v>
      </c>
      <c r="H38" s="24" t="s">
        <v>8997</v>
      </c>
      <c r="I38" s="24" t="s">
        <v>8998</v>
      </c>
      <c r="J38" s="24" t="s">
        <v>8999</v>
      </c>
      <c r="K38" s="24"/>
      <c r="L38" s="24" t="s">
        <v>9000</v>
      </c>
      <c r="M38" s="24" t="s">
        <v>9001</v>
      </c>
      <c r="N38" s="24"/>
      <c r="O38" s="24" t="s">
        <v>9002</v>
      </c>
      <c r="P38" s="24" t="s">
        <v>9003</v>
      </c>
      <c r="Q38" s="24" t="s">
        <v>9004</v>
      </c>
      <c r="R38" s="24" t="s">
        <v>9005</v>
      </c>
      <c r="S38" s="31"/>
      <c r="V38" s="64"/>
    </row>
    <row r="39" spans="2:22" s="35" customFormat="1" ht="60" customHeight="1">
      <c r="B39" s="12"/>
      <c r="C39" s="34"/>
      <c r="D39" s="60"/>
      <c r="E39" s="60"/>
      <c r="F39" s="60"/>
      <c r="G39" s="60"/>
      <c r="H39" s="60"/>
      <c r="I39" s="58"/>
      <c r="J39" s="58"/>
      <c r="K39" s="58"/>
      <c r="L39" s="58"/>
      <c r="M39" s="58"/>
      <c r="N39" s="58"/>
      <c r="O39" s="58"/>
      <c r="P39" s="58"/>
      <c r="Q39" s="58"/>
      <c r="R39" s="58"/>
      <c r="V39" s="64"/>
    </row>
    <row r="40" spans="2:22" s="6" customFormat="1" ht="36" customHeight="1">
      <c r="B40" s="17"/>
      <c r="D40" s="18" t="s">
        <v>1351</v>
      </c>
      <c r="E40" s="18" t="s">
        <v>4974</v>
      </c>
      <c r="F40" s="18" t="s">
        <v>4707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4"/>
    </row>
    <row r="41" spans="2:22" s="6" customFormat="1" ht="80.099999999999994" customHeight="1">
      <c r="B41" s="20">
        <f>B37+1</f>
        <v>10</v>
      </c>
      <c r="D41" s="41" t="s">
        <v>4771</v>
      </c>
      <c r="E41" s="41" t="s">
        <v>2093</v>
      </c>
      <c r="F41" s="41" t="s">
        <v>1977</v>
      </c>
      <c r="G41" s="41" t="s">
        <v>105</v>
      </c>
      <c r="H41" s="41" t="str">
        <f>CHAR(10)</f>
        <v xml:space="preserve">
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4"/>
    </row>
    <row r="42" spans="2:22" s="6" customFormat="1" ht="36" customHeight="1">
      <c r="B42" s="22"/>
      <c r="D42" s="24" t="s">
        <v>9013</v>
      </c>
      <c r="E42" s="24" t="s">
        <v>9014</v>
      </c>
      <c r="F42" s="24" t="s">
        <v>9015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4"/>
    </row>
    <row r="43" spans="2:22" s="35" customFormat="1" ht="60" customHeight="1">
      <c r="B43" s="12"/>
      <c r="C43" s="3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2"/>
      <c r="V43" s="64"/>
    </row>
    <row r="44" spans="2:22" s="6" customFormat="1" ht="36" customHeight="1">
      <c r="B44" s="17"/>
      <c r="D44" s="18" t="s">
        <v>3884</v>
      </c>
      <c r="E44" s="18" t="s">
        <v>310</v>
      </c>
      <c r="F44" s="18" t="s">
        <v>1325</v>
      </c>
      <c r="G44" s="18" t="s">
        <v>1837</v>
      </c>
      <c r="H44" s="18" t="s">
        <v>374</v>
      </c>
      <c r="I44" s="18" t="s">
        <v>1343</v>
      </c>
      <c r="J44" s="18" t="s">
        <v>364</v>
      </c>
      <c r="K44" s="18"/>
      <c r="L44" s="18" t="s">
        <v>485</v>
      </c>
      <c r="M44" s="18" t="s">
        <v>3700</v>
      </c>
      <c r="N44" s="18"/>
      <c r="O44" s="18" t="s">
        <v>1304</v>
      </c>
      <c r="P44" s="18" t="s">
        <v>356</v>
      </c>
      <c r="Q44" s="18" t="s">
        <v>391</v>
      </c>
      <c r="R44" s="18" t="s">
        <v>336</v>
      </c>
      <c r="S44" s="19"/>
      <c r="V44" s="64"/>
    </row>
    <row r="45" spans="2:22" s="6" customFormat="1" ht="80.099999999999994" customHeight="1">
      <c r="B45" s="20">
        <f>B41+1</f>
        <v>11</v>
      </c>
      <c r="D45" s="41" t="s">
        <v>3883</v>
      </c>
      <c r="E45" s="41" t="s">
        <v>5072</v>
      </c>
      <c r="F45" s="41" t="s">
        <v>1198</v>
      </c>
      <c r="G45" s="41" t="s">
        <v>1836</v>
      </c>
      <c r="H45" s="41" t="s">
        <v>211</v>
      </c>
      <c r="I45" s="41" t="s">
        <v>6529</v>
      </c>
      <c r="J45" s="41" t="s">
        <v>282</v>
      </c>
      <c r="K45" s="41" t="s">
        <v>23</v>
      </c>
      <c r="L45" s="41" t="s">
        <v>301</v>
      </c>
      <c r="M45" s="41" t="s">
        <v>201</v>
      </c>
      <c r="N45" s="41" t="s">
        <v>8502</v>
      </c>
      <c r="O45" s="41" t="s">
        <v>140</v>
      </c>
      <c r="P45" s="41" t="s">
        <v>26</v>
      </c>
      <c r="Q45" s="41" t="s">
        <v>172</v>
      </c>
      <c r="R45" s="41" t="s">
        <v>166</v>
      </c>
      <c r="S45" s="21"/>
      <c r="V45" s="64"/>
    </row>
    <row r="46" spans="2:22" s="6" customFormat="1" ht="36" customHeight="1">
      <c r="B46" s="22"/>
      <c r="D46" s="24" t="s">
        <v>9019</v>
      </c>
      <c r="E46" s="24" t="s">
        <v>9020</v>
      </c>
      <c r="F46" s="24" t="s">
        <v>9021</v>
      </c>
      <c r="G46" s="24" t="s">
        <v>9022</v>
      </c>
      <c r="H46" s="24" t="s">
        <v>9023</v>
      </c>
      <c r="I46" s="24" t="s">
        <v>8908</v>
      </c>
      <c r="J46" s="24" t="s">
        <v>8945</v>
      </c>
      <c r="K46" s="24"/>
      <c r="L46" s="24" t="s">
        <v>9024</v>
      </c>
      <c r="M46" s="24" t="s">
        <v>8926</v>
      </c>
      <c r="N46" s="24"/>
      <c r="O46" s="24" t="s">
        <v>9025</v>
      </c>
      <c r="P46" s="24" t="s">
        <v>9026</v>
      </c>
      <c r="Q46" s="24" t="s">
        <v>8903</v>
      </c>
      <c r="R46" s="24" t="s">
        <v>8920</v>
      </c>
      <c r="S46" s="31"/>
      <c r="V46" s="64"/>
    </row>
    <row r="47" spans="2:22" s="35" customFormat="1" ht="60" customHeight="1">
      <c r="B47" s="12"/>
      <c r="C47" s="34"/>
      <c r="D47" s="60"/>
      <c r="E47" s="60"/>
      <c r="F47" s="60"/>
      <c r="G47" s="60"/>
      <c r="H47" s="60"/>
      <c r="I47" s="58"/>
      <c r="J47" s="58"/>
      <c r="K47" s="58"/>
      <c r="L47" s="58"/>
      <c r="M47" s="58"/>
      <c r="N47" s="58"/>
      <c r="O47" s="58"/>
      <c r="P47" s="58"/>
      <c r="Q47" s="58"/>
      <c r="R47" s="58"/>
      <c r="V47" s="64"/>
    </row>
    <row r="48" spans="2:22" s="6" customFormat="1" ht="36" customHeight="1">
      <c r="B48" s="17"/>
      <c r="D48" s="18" t="s">
        <v>1304</v>
      </c>
      <c r="E48" s="18" t="s">
        <v>356</v>
      </c>
      <c r="F48" s="18" t="s">
        <v>382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4"/>
    </row>
    <row r="49" spans="2:22" s="6" customFormat="1" ht="80.099999999999994" customHeight="1">
      <c r="B49" s="20">
        <f>B45+1</f>
        <v>12</v>
      </c>
      <c r="D49" s="41" t="s">
        <v>140</v>
      </c>
      <c r="E49" s="41" t="s">
        <v>26</v>
      </c>
      <c r="F49" s="41" t="s">
        <v>6091</v>
      </c>
      <c r="G49" s="41" t="s">
        <v>30</v>
      </c>
      <c r="H49" s="41" t="str">
        <f>CHAR(10)</f>
        <v xml:space="preserve">
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4"/>
    </row>
    <row r="50" spans="2:22" s="6" customFormat="1" ht="36" customHeight="1">
      <c r="B50" s="22"/>
      <c r="D50" s="24" t="s">
        <v>9025</v>
      </c>
      <c r="E50" s="24" t="s">
        <v>9026</v>
      </c>
      <c r="F50" s="24" t="s">
        <v>8942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4"/>
    </row>
    <row r="51" spans="2:22" s="35" customFormat="1" ht="60" customHeight="1">
      <c r="B51" s="12"/>
      <c r="C51" s="34"/>
      <c r="D51" s="60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V51" s="64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4"/>
    </row>
    <row r="53" spans="2:22" s="6" customFormat="1" ht="80.099999999999994" customHeight="1">
      <c r="B53" s="20">
        <f>B49+1</f>
        <v>13</v>
      </c>
      <c r="D53" s="41" t="s">
        <v>38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4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4"/>
    </row>
    <row r="55" spans="2:22" s="35" customFormat="1" ht="60" customHeight="1">
      <c r="B55" s="12"/>
      <c r="C55" s="34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V55" s="64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64"/>
    </row>
    <row r="57" spans="2:22" s="6" customFormat="1" ht="80.099999999999994" customHeight="1">
      <c r="B57" s="20">
        <f>B53+1</f>
        <v>14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4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4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4"/>
    </row>
    <row r="60" spans="2:22" s="6" customFormat="1" ht="36" customHeight="1">
      <c r="B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4"/>
    </row>
    <row r="61" spans="2:22" s="6" customFormat="1" ht="80.099999999999994" customHeight="1">
      <c r="B61" s="20">
        <f>B57+1</f>
        <v>15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4"/>
    </row>
    <row r="62" spans="2:22" s="6" customFormat="1" ht="36" customHeight="1">
      <c r="B62" s="22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4"/>
    </row>
    <row r="63" spans="2:22" s="35" customFormat="1" ht="60" customHeight="1">
      <c r="B63" s="12"/>
      <c r="C63" s="3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V63" s="64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4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4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4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4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4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4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4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V71" s="64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4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4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4"/>
    </row>
    <row r="75" spans="2:22" s="35" customFormat="1" ht="60" customHeight="1">
      <c r="B75" s="12"/>
      <c r="C75" s="34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4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4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4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4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4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4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4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5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">
    <cfRule type="expression" dxfId="187" priority="1">
      <formula>顯示注音輸入</formula>
    </cfRule>
    <cfRule type="expression" dxfId="186" priority="2">
      <formula>"'= TRUE(顯示注音輸入)"</formula>
    </cfRule>
  </conditionalFormatting>
  <conditionalFormatting sqref="D95:R95">
    <cfRule type="expression" dxfId="185" priority="19">
      <formula>顯示注音輸入</formula>
    </cfRule>
    <cfRule type="expression" dxfId="184" priority="20">
      <formula>"'= TRUE(顯示注音輸入)"</formula>
    </cfRule>
  </conditionalFormatting>
  <conditionalFormatting sqref="D99:R99">
    <cfRule type="expression" dxfId="183" priority="17">
      <formula>顯示注音輸入</formula>
    </cfRule>
    <cfRule type="expression" dxfId="182" priority="18">
      <formula>"'= TRUE(顯示注音輸入)"</formula>
    </cfRule>
  </conditionalFormatting>
  <conditionalFormatting sqref="D103:R103">
    <cfRule type="expression" dxfId="181" priority="15">
      <formula>顯示注音輸入</formula>
    </cfRule>
    <cfRule type="expression" dxfId="180" priority="16">
      <formula>"'= TRUE(顯示注音輸入)"</formula>
    </cfRule>
  </conditionalFormatting>
  <conditionalFormatting sqref="D107:R107">
    <cfRule type="expression" dxfId="179" priority="13">
      <formula>顯示注音輸入</formula>
    </cfRule>
    <cfRule type="expression" dxfId="178" priority="14">
      <formula>"'= TRUE(顯示注音輸入)"</formula>
    </cfRule>
  </conditionalFormatting>
  <conditionalFormatting sqref="D111:R111">
    <cfRule type="expression" dxfId="177" priority="11">
      <formula>顯示注音輸入</formula>
    </cfRule>
    <cfRule type="expression" dxfId="176" priority="12">
      <formula>"'= TRUE(顯示注音輸入)"</formula>
    </cfRule>
  </conditionalFormatting>
  <conditionalFormatting sqref="D115:R115">
    <cfRule type="expression" dxfId="175" priority="9">
      <formula>顯示注音輸入</formula>
    </cfRule>
    <cfRule type="expression" dxfId="174" priority="10">
      <formula>"'= TRUE(顯示注音輸入)"</formula>
    </cfRule>
  </conditionalFormatting>
  <conditionalFormatting sqref="D119:R119">
    <cfRule type="expression" dxfId="173" priority="7">
      <formula>顯示注音輸入</formula>
    </cfRule>
    <cfRule type="expression" dxfId="172" priority="8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71" priority="149">
      <formula>顯示注音輸入</formula>
    </cfRule>
    <cfRule type="expression" dxfId="170" priority="150">
      <formula>"'= TRUE(顯示注音輸入)"</formula>
    </cfRule>
  </conditionalFormatting>
  <conditionalFormatting sqref="D167:R167 D171:R171 D175:R175 D179:R179 D183:R183 D187:R187 D191:R191 D195:R195 D199:R199">
    <cfRule type="expression" dxfId="169" priority="148">
      <formula>"'= TRUE(顯示注音輸入)"</formula>
    </cfRule>
    <cfRule type="expression" dxfId="168" priority="147">
      <formula>顯示注音輸入</formula>
    </cfRule>
  </conditionalFormatting>
  <conditionalFormatting sqref="D203:R203">
    <cfRule type="expression" dxfId="167" priority="146">
      <formula>"'= TRUE(顯示注音輸入)"</formula>
    </cfRule>
    <cfRule type="expression" dxfId="166" priority="145">
      <formula>顯示注音輸入</formula>
    </cfRule>
  </conditionalFormatting>
  <conditionalFormatting sqref="D207:R207 D211:R211 D215:R215 D219:R219 D223:R223 D227:R227 D231:R231 D235:R235 D239:R239">
    <cfRule type="expression" dxfId="165" priority="143">
      <formula>顯示注音輸入</formula>
    </cfRule>
    <cfRule type="expression" dxfId="164" priority="144">
      <formula>"'= TRUE(顯示注音輸入)"</formula>
    </cfRule>
  </conditionalFormatting>
  <conditionalFormatting sqref="D243:R243">
    <cfRule type="expression" dxfId="163" priority="100">
      <formula>"'= TRUE(顯示注音輸入)"</formula>
    </cfRule>
    <cfRule type="expression" dxfId="162" priority="99">
      <formula>顯示注音輸入</formula>
    </cfRule>
  </conditionalFormatting>
  <conditionalFormatting sqref="D247:R247 D251:R251 D255:R255 D259:R259 D263:R263 D267:R267 D271:R271 D275:R275 D279:R279">
    <cfRule type="expression" dxfId="161" priority="98">
      <formula>"'= TRUE(顯示注音輸入)"</formula>
    </cfRule>
    <cfRule type="expression" dxfId="160" priority="97">
      <formula>顯示注音輸入</formula>
    </cfRule>
  </conditionalFormatting>
  <conditionalFormatting sqref="D283:R283">
    <cfRule type="expression" dxfId="159" priority="96">
      <formula>"'= TRUE(顯示注音輸入)"</formula>
    </cfRule>
    <cfRule type="expression" dxfId="158" priority="95">
      <formula>顯示注音輸入</formula>
    </cfRule>
  </conditionalFormatting>
  <conditionalFormatting sqref="D287:R287">
    <cfRule type="expression" dxfId="157" priority="94">
      <formula>"'= TRUE(顯示注音輸入)"</formula>
    </cfRule>
    <cfRule type="expression" dxfId="156" priority="93">
      <formula>顯示注音輸入</formula>
    </cfRule>
  </conditionalFormatting>
  <conditionalFormatting sqref="D291:R291 D295:R295 D299:R299 D303:R303 D307:R307 D311:R311 D315:R315 D319:R319 D323:R323">
    <cfRule type="expression" dxfId="155" priority="91">
      <formula>顯示注音輸入</formula>
    </cfRule>
    <cfRule type="expression" dxfId="154" priority="92">
      <formula>"'= TRUE(顯示注音輸入)"</formula>
    </cfRule>
  </conditionalFormatting>
  <conditionalFormatting sqref="D327:R327">
    <cfRule type="expression" dxfId="153" priority="90">
      <formula>"'= TRUE(顯示注音輸入)"</formula>
    </cfRule>
    <cfRule type="expression" dxfId="152" priority="89">
      <formula>顯示注音輸入</formula>
    </cfRule>
  </conditionalFormatting>
  <conditionalFormatting sqref="D331:R331">
    <cfRule type="expression" dxfId="151" priority="88">
      <formula>"'= TRUE(顯示注音輸入)"</formula>
    </cfRule>
    <cfRule type="expression" dxfId="150" priority="87">
      <formula>顯示注音輸入</formula>
    </cfRule>
  </conditionalFormatting>
  <conditionalFormatting sqref="D335:R335 D339:R339 D343:R343 D347:R347 D351:R351 D355:R355 D359:R359 D363:R363 D367:R367">
    <cfRule type="expression" dxfId="149" priority="86">
      <formula>"'= TRUE(顯示注音輸入)"</formula>
    </cfRule>
    <cfRule type="expression" dxfId="148" priority="85">
      <formula>顯示注音輸入</formula>
    </cfRule>
  </conditionalFormatting>
  <conditionalFormatting sqref="D371:R371">
    <cfRule type="expression" dxfId="147" priority="83">
      <formula>顯示注音輸入</formula>
    </cfRule>
    <cfRule type="expression" dxfId="146" priority="84">
      <formula>"'= TRUE(顯示注音輸入)"</formula>
    </cfRule>
  </conditionalFormatting>
  <conditionalFormatting sqref="D375:R375">
    <cfRule type="expression" dxfId="145" priority="81">
      <formula>顯示注音輸入</formula>
    </cfRule>
    <cfRule type="expression" dxfId="144" priority="82">
      <formula>"'= TRUE(顯示注音輸入)"</formula>
    </cfRule>
  </conditionalFormatting>
  <conditionalFormatting sqref="D379:R379 D383:R383 D387:R387 D391:R391 D395:R395 D399:R399 D403:R403 D407:R407 D411:R411">
    <cfRule type="expression" dxfId="143" priority="79">
      <formula>顯示注音輸入</formula>
    </cfRule>
    <cfRule type="expression" dxfId="142" priority="80">
      <formula>"'= TRUE(顯示注音輸入)"</formula>
    </cfRule>
  </conditionalFormatting>
  <conditionalFormatting sqref="D415:R415">
    <cfRule type="expression" dxfId="141" priority="78">
      <formula>"'= TRUE(顯示注音輸入)"</formula>
    </cfRule>
    <cfRule type="expression" dxfId="140" priority="77">
      <formula>顯示注音輸入</formula>
    </cfRule>
  </conditionalFormatting>
  <conditionalFormatting sqref="D419:R419">
    <cfRule type="expression" dxfId="139" priority="76">
      <formula>"'= TRUE(顯示注音輸入)"</formula>
    </cfRule>
    <cfRule type="expression" dxfId="138" priority="75">
      <formula>顯示注音輸入</formula>
    </cfRule>
  </conditionalFormatting>
  <conditionalFormatting sqref="D423:R423 D427:R427 D431:R431 D435:R435 D439:R439 D443:R443 D447:R447 D451:R451 D455:R455">
    <cfRule type="expression" dxfId="137" priority="74">
      <formula>"'= TRUE(顯示注音輸入)"</formula>
    </cfRule>
    <cfRule type="expression" dxfId="136" priority="73">
      <formula>顯示注音輸入</formula>
    </cfRule>
  </conditionalFormatting>
  <conditionalFormatting sqref="D459:R459">
    <cfRule type="expression" dxfId="135" priority="69">
      <formula>顯示注音輸入</formula>
    </cfRule>
    <cfRule type="expression" dxfId="134" priority="70">
      <formula>"'= TRUE(顯示注音輸入)"</formula>
    </cfRule>
  </conditionalFormatting>
  <conditionalFormatting sqref="D463:R463 D467:R467 D471:R471 D475:R475">
    <cfRule type="expression" dxfId="133" priority="67">
      <formula>顯示注音輸入</formula>
    </cfRule>
    <cfRule type="expression" dxfId="132" priority="68">
      <formula>"'= TRUE(顯示注音輸入)"</formula>
    </cfRule>
  </conditionalFormatting>
  <conditionalFormatting sqref="D479:R479">
    <cfRule type="expression" dxfId="131" priority="66">
      <formula>"'= TRUE(顯示注音輸入)"</formula>
    </cfRule>
    <cfRule type="expression" dxfId="130" priority="65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141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6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7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7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7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7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7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7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7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7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7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7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7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7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7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7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7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7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7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7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7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7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7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7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7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7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7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7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7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7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7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7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7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7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7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7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7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7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7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7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7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7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7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7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7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7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7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7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7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7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7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7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7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7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7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7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7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7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7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7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7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7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8">
      <formula>"'= TRUE(顯示注音輸入)"</formula>
    </cfRule>
    <cfRule type="expression" dxfId="126" priority="37">
      <formula>顯示注音輸入</formula>
    </cfRule>
  </conditionalFormatting>
  <conditionalFormatting sqref="D11:R11">
    <cfRule type="expression" dxfId="125" priority="74">
      <formula>"'= TRUE(顯示注音輸入)"</formula>
    </cfRule>
    <cfRule type="expression" dxfId="124" priority="73">
      <formula>顯示注音輸入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70">
      <formula>"'= TRUE(顯示注音輸入)"</formula>
    </cfRule>
    <cfRule type="expression" dxfId="120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8">
      <formula>"'= TRUE(顯示注音輸入)"</formula>
    </cfRule>
    <cfRule type="expression" dxfId="116" priority="67">
      <formula>顯示注音輸入</formula>
    </cfRule>
  </conditionalFormatting>
  <conditionalFormatting sqref="D31:R31">
    <cfRule type="expression" dxfId="115" priority="66">
      <formula>"'= TRUE(顯示注音輸入)"</formula>
    </cfRule>
    <cfRule type="expression" dxfId="114" priority="65">
      <formula>顯示注音輸入</formula>
    </cfRule>
  </conditionalFormatting>
  <conditionalFormatting sqref="D35:R35">
    <cfRule type="expression" dxfId="113" priority="64">
      <formula>"'= TRUE(顯示注音輸入)"</formula>
    </cfRule>
    <cfRule type="expression" dxfId="112" priority="63">
      <formula>顯示注音輸入</formula>
    </cfRule>
  </conditionalFormatting>
  <conditionalFormatting sqref="D43:R43">
    <cfRule type="expression" dxfId="111" priority="62">
      <formula>"'= TRUE(顯示注音輸入)"</formula>
    </cfRule>
    <cfRule type="expression" dxfId="110" priority="61">
      <formula>顯示注音輸入</formula>
    </cfRule>
  </conditionalFormatting>
  <conditionalFormatting sqref="D47:R47">
    <cfRule type="expression" dxfId="109" priority="60">
      <formula>"'= TRUE(顯示注音輸入)"</formula>
    </cfRule>
    <cfRule type="expression" dxfId="108" priority="59">
      <formula>顯示注音輸入</formula>
    </cfRule>
  </conditionalFormatting>
  <conditionalFormatting sqref="D51:R51">
    <cfRule type="expression" dxfId="107" priority="58">
      <formula>"'= TRUE(顯示注音輸入)"</formula>
    </cfRule>
    <cfRule type="expression" dxfId="106" priority="57">
      <formula>顯示注音輸入</formula>
    </cfRule>
  </conditionalFormatting>
  <conditionalFormatting sqref="D55:R55">
    <cfRule type="expression" dxfId="105" priority="56">
      <formula>"'= TRUE(顯示注音輸入)"</formula>
    </cfRule>
    <cfRule type="expression" dxfId="104" priority="55">
      <formula>顯示注音輸入</formula>
    </cfRule>
  </conditionalFormatting>
  <conditionalFormatting sqref="D59:R59">
    <cfRule type="expression" dxfId="103" priority="54">
      <formula>"'= TRUE(顯示注音輸入)"</formula>
    </cfRule>
    <cfRule type="expression" dxfId="102" priority="53">
      <formula>顯示注音輸入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50">
      <formula>"'= TRUE(顯示注音輸入)"</formula>
    </cfRule>
    <cfRule type="expression" dxfId="98" priority="49">
      <formula>顯示注音輸入</formula>
    </cfRule>
  </conditionalFormatting>
  <conditionalFormatting sqref="D71:R71">
    <cfRule type="expression" dxfId="97" priority="48">
      <formula>"'= TRUE(顯示注音輸入)"</formula>
    </cfRule>
    <cfRule type="expression" dxfId="96" priority="47">
      <formula>顯示注音輸入</formula>
    </cfRule>
  </conditionalFormatting>
  <conditionalFormatting sqref="D75:R75">
    <cfRule type="expression" dxfId="95" priority="46">
      <formula>"'= TRUE(顯示注音輸入)"</formula>
    </cfRule>
    <cfRule type="expression" dxfId="94" priority="45">
      <formula>顯示注音輸入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40">
      <formula>"'= TRUE(顯示注音輸入)"</formula>
    </cfRule>
    <cfRule type="expression" dxfId="88" priority="39">
      <formula>顯示注音輸入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30">
      <formula>"'= TRUE(顯示注音輸入)"</formula>
    </cfRule>
    <cfRule type="expression" dxfId="76" priority="29">
      <formula>顯示注音輸入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6">
      <formula>"'= TRUE(顯示注音輸入)"</formula>
    </cfRule>
    <cfRule type="expression" dxfId="72" priority="25">
      <formula>顯示注音輸入</formula>
    </cfRule>
  </conditionalFormatting>
  <conditionalFormatting sqref="D327:R327">
    <cfRule type="expression" dxfId="71" priority="24">
      <formula>"'= TRUE(顯示注音輸入)"</formula>
    </cfRule>
    <cfRule type="expression" dxfId="70" priority="23">
      <formula>顯示注音輸入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20">
      <formula>"'= TRUE(顯示注音輸入)"</formula>
    </cfRule>
    <cfRule type="expression" dxfId="66" priority="19">
      <formula>顯示注音輸入</formula>
    </cfRule>
  </conditionalFormatting>
  <conditionalFormatting sqref="D371:R371">
    <cfRule type="expression" dxfId="65" priority="18">
      <formula>"'= TRUE(顯示注音輸入)"</formula>
    </cfRule>
    <cfRule type="expression" dxfId="64" priority="17">
      <formula>顯示注音輸入</formula>
    </cfRule>
  </conditionalFormatting>
  <conditionalFormatting sqref="D375:R375">
    <cfRule type="expression" dxfId="63" priority="16">
      <formula>"'= TRUE(顯示注音輸入)"</formula>
    </cfRule>
    <cfRule type="expression" dxfId="62" priority="15">
      <formula>顯示注音輸入</formula>
    </cfRule>
  </conditionalFormatting>
  <conditionalFormatting sqref="D379:R379 D383:R383 D387:R387 D391:R391 D395:R395 D399:R399 D403:R403 D407:R407 D411:R411">
    <cfRule type="expression" dxfId="61" priority="14">
      <formula>"'= TRUE(顯示注音輸入)"</formula>
    </cfRule>
    <cfRule type="expression" dxfId="60" priority="13">
      <formula>顯示注音輸入</formula>
    </cfRule>
  </conditionalFormatting>
  <conditionalFormatting sqref="D415:R415">
    <cfRule type="expression" dxfId="59" priority="12">
      <formula>"'= TRUE(顯示注音輸入)"</formula>
    </cfRule>
    <cfRule type="expression" dxfId="58" priority="11">
      <formula>顯示注音輸入</formula>
    </cfRule>
  </conditionalFormatting>
  <conditionalFormatting sqref="D419:R419">
    <cfRule type="expression" dxfId="57" priority="10">
      <formula>"'= TRUE(顯示注音輸入)"</formula>
    </cfRule>
    <cfRule type="expression" dxfId="56" priority="9">
      <formula>顯示注音輸入</formula>
    </cfRule>
  </conditionalFormatting>
  <conditionalFormatting sqref="D423:R423 D427:R427 D431:R431 D435:R435 D439:R439 D443:R443 D447:R447 D451:R451 D455:R455">
    <cfRule type="expression" dxfId="55" priority="8">
      <formula>"'= TRUE(顯示注音輸入)"</formula>
    </cfRule>
    <cfRule type="expression" dxfId="54" priority="7">
      <formula>顯示注音輸入</formula>
    </cfRule>
  </conditionalFormatting>
  <conditionalFormatting sqref="D459:R459">
    <cfRule type="expression" dxfId="53" priority="6">
      <formula>"'= TRUE(顯示注音輸入)"</formula>
    </cfRule>
    <cfRule type="expression" dxfId="52" priority="5">
      <formula>顯示注音輸入</formula>
    </cfRule>
  </conditionalFormatting>
  <conditionalFormatting sqref="D463:R463 D467:R467 D471:R471 D475:R475">
    <cfRule type="expression" dxfId="51" priority="4">
      <formula>"'= TRUE(顯示注音輸入)"</formula>
    </cfRule>
    <cfRule type="expression" dxfId="50" priority="3">
      <formula>顯示注音輸入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3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8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8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8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8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8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8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8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8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8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8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8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8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8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8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8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8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8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8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9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2026-03-17T14:04:05Z</dcterms:modified>
</cp:coreProperties>
</file>