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5797B4B5-BBAE-49CF-A07D-31045354FC13}" xr6:coauthVersionLast="47" xr6:coauthVersionMax="47" xr10:uidLastSave="{00000000-0000-0000-0000-000000000000}"/>
  <bookViews>
    <workbookView xWindow="-38520" yWindow="-120" windowWidth="38640" windowHeight="15720" tabRatio="741" activeTab="8" xr2:uid="{25A76161-EFED-4AC8-8EAA-A42737AE1909}"/>
  </bookViews>
  <sheets>
    <sheet name="env" sheetId="8" r:id="rId1"/>
    <sheet name="操作表" sheetId="190" r:id="rId2"/>
    <sheet name="變調標音格式" sheetId="238" r:id="rId3"/>
    <sheet name="漢字注音【模版】" sheetId="241" r:id="rId4"/>
    <sheet name="SRT漢字注音【模版】" sheetId="240" r:id="rId5"/>
    <sheet name="缺字表" sheetId="247" r:id="rId6"/>
    <sheet name="標音字庫" sheetId="246" r:id="rId7"/>
    <sheet name="人工標音字庫" sheetId="245" r:id="rId8"/>
    <sheet name="漢字注音" sheetId="9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3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9" l="1"/>
  <c r="N45" i="9"/>
  <c r="N41" i="9"/>
  <c r="E37" i="9"/>
  <c r="M29" i="9"/>
  <c r="Q25" i="9"/>
  <c r="L21" i="9"/>
  <c r="P17" i="9"/>
  <c r="P13" i="9"/>
  <c r="Q9" i="9"/>
  <c r="N5" i="9"/>
  <c r="P65" i="24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<sst xmlns="http://schemas.openxmlformats.org/spreadsheetml/2006/main" count="1250" uniqueCount="774">
  <si>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</si>
  <si>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</si>
  <si>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</si>
  <si>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</si>
  <si>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</si>
  <si>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</si>
  <si>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</si>
  <si>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</si>
  <si>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</si>
  <si>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</si>
  <si>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</si>
  <si>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</si>
  <si>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</si>
  <si>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</si>
  <si>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</si>
  <si>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</si>
  <si>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</si>
  <si>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</si>
  <si>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</si>
  <si>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</si>
  <si>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</si>
  <si>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</si>
  <si>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</si>
  <si>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</si>
  <si>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</si>
  <si>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</si>
  <si>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</si>
  <si>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</si>
  <si>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</si>
  <si>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</si>
  <si>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</si>
  <si>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</si>
  <si>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</si>
  <si>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</si>
  <si>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</si>
  <si>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</si>
  <si>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</si>
  <si>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</si>
  <si>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</si>
  <si>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</si>
  <si>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</si>
  <si>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</si>
  <si>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</si>
  <si>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</si>
  <si>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</si>
  <si>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</si>
  <si>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</si>
  <si>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</si>
  <si>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</si>
  <si>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</si>
  <si>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</si>
  <si>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</si>
  <si>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</si>
  <si>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</si>
  <si>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</si>
  <si>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</si>
  <si>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</si>
  <si>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</si>
  <si>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</si>
  <si>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</si>
  <si>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</si>
  <si>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</si>
  <si>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</si>
  <si>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</si>
  <si>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</si>
  <si>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</si>
  <si>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</si>
  <si>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</si>
  <si>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</si>
  <si>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</si>
  <si>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</si>
  <si>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</si>
  <si>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</si>
  <si>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</si>
  <si>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</si>
  <si>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</si>
  <si>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</si>
  <si>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</si>
  <si>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</si>
  <si>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</si>
  <si>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</si>
  <si>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</si>
  <si>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</si>
  <si>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</si>
  <si>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</si>
  <si>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</si>
  <si>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</si>
  <si>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</si>
  <si>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</si>
  <si>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</si>
  <si>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</si>
  <si>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</si>
  <si>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</si>
  <si>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</si>
  <si>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</si>
  <si>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</si>
  <si>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</si>
  <si>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</si>
  <si>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</si>
  <si>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</si>
  <si>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</si>
  <si>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</si>
  <si>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</si>
  <si>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</si>
  <si>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</si>
  <si>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</si>
  <si>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</si>
  <si>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</si>
  <si>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</si>
  <si>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</si>
  <si>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</si>
  <si>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</si>
  <si>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</si>
  <si>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</si>
  <si>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</si>
  <si>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</si>
  <si>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</si>
  <si>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</si>
  <si>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</si>
  <si>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</si>
  <si>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</si>
  <si>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</si>
  <si>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</si>
  <si>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</si>
  <si>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</si>
  <si>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</si>
  <si>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</si>
  <si>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</si>
  <si>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</si>
  <si>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sui5</t>
  </si>
  <si>
    <t>kong1</t>
  </si>
  <si>
    <t>hu5</t>
  </si>
  <si>
    <t>sim1</t>
  </si>
  <si>
    <t>ngoo2</t>
  </si>
  <si>
    <t>liok8</t>
  </si>
  <si>
    <t>ling5</t>
  </si>
  <si>
    <t>kim1</t>
  </si>
  <si>
    <t>giok8</t>
  </si>
  <si>
    <t>buan2</t>
  </si>
  <si>
    <t>ai3</t>
  </si>
  <si>
    <t>long5</t>
  </si>
  <si>
    <t>ho5</t>
  </si>
  <si>
    <t>zing7</t>
  </si>
  <si>
    <t>cing1</t>
  </si>
  <si>
    <t>ziok4</t>
  </si>
  <si>
    <t>iu1</t>
  </si>
  <si>
    <t>ka1</t>
  </si>
  <si>
    <t>siau3</t>
  </si>
  <si>
    <t>uan5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</si>
  <si>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</si>
  <si>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</si>
  <si>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</si>
  <si>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</si>
  <si>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</si>
  <si>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</si>
  <si>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</si>
  <si>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</si>
  <si>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</si>
  <si>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</si>
  <si>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</si>
  <si>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</si>
  <si>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</si>
  <si>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</si>
  <si>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</si>
  <si>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</si>
  <si>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</si>
  <si>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</si>
  <si>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</si>
  <si>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</si>
  <si>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</si>
  <si>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</si>
  <si>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</si>
  <si>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</si>
  <si>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(5, 6)</t>
  </si>
  <si>
    <t>ing2</t>
  </si>
  <si>
    <t>liam7</t>
  </si>
  <si>
    <t>(49, 14)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</si>
  <si>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</si>
  <si>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</si>
  <si>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</si>
  <si>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</si>
  <si>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</si>
  <si>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</si>
  <si>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</si>
  <si>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</si>
  <si>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</si>
  <si>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</si>
  <si>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</si>
  <si>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</si>
  <si>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</si>
  <si>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</si>
  <si>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</si>
  <si>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</si>
  <si>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</si>
  <si>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</si>
  <si>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</si>
  <si>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</si>
  <si>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</si>
  <si>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</si>
  <si>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</si>
  <si>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</si>
  <si>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</si>
  <si>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</si>
  <si>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</si>
  <si>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</si>
  <si>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</si>
  <si>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</si>
  <si>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</si>
  <si>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</si>
  <si>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</si>
  <si>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</si>
  <si>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</si>
  <si>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</si>
  <si>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</si>
  <si>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</si>
  <si>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</si>
  <si>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</si>
  <si>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</si>
  <si>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</si>
  <si>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</si>
  <si>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</si>
  <si>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</si>
  <si>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</si>
  <si>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</si>
  <si>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</si>
  <si>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</si>
  <si>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</si>
  <si>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</si>
  <si>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</si>
  <si>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</si>
  <si>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</si>
  <si>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</si>
  <si>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</si>
  <si>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</si>
  <si>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</si>
  <si>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</si>
  <si>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</si>
  <si>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</si>
  <si>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</si>
  <si>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</si>
  <si>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</si>
  <si>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</si>
  <si>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</si>
  <si>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</si>
  <si>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</si>
  <si>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</si>
  <si>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</si>
  <si>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</si>
  <si>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</si>
  <si>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</si>
  <si>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</si>
  <si>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loo5</t>
  </si>
  <si>
    <t>kiau1</t>
  </si>
  <si>
    <t>tuan3</t>
  </si>
  <si>
    <t>hong5</t>
  </si>
  <si>
    <t>ze3</t>
  </si>
  <si>
    <t>u2</t>
  </si>
  <si>
    <t>song3</t>
  </si>
  <si>
    <t>ting5</t>
  </si>
  <si>
    <t>(5, 5)</t>
  </si>
  <si>
    <t>(5, 7)</t>
  </si>
  <si>
    <t>ciu1</t>
  </si>
  <si>
    <t>san1</t>
  </si>
  <si>
    <t>siu1</t>
  </si>
  <si>
    <t>bi5</t>
  </si>
  <si>
    <t>(13, 10)</t>
  </si>
  <si>
    <t>(13, 14)</t>
  </si>
  <si>
    <t>(21, 4)</t>
  </si>
  <si>
    <t>(21, 6)</t>
  </si>
  <si>
    <t>(21, 10)</t>
  </si>
  <si>
    <t>li2</t>
  </si>
  <si>
    <t>go5</t>
  </si>
  <si>
    <t>ka3</t>
  </si>
  <si>
    <t>lun5</t>
  </si>
  <si>
    <t>(29, 10)</t>
  </si>
  <si>
    <t>han5</t>
  </si>
  <si>
    <t>luan7</t>
  </si>
  <si>
    <t>ziau3</t>
  </si>
  <si>
    <t>tui1</t>
  </si>
  <si>
    <t>iu5</t>
  </si>
  <si>
    <t>liong5</t>
  </si>
  <si>
    <t>jiau2</t>
  </si>
  <si>
    <t>(41, 4)</t>
  </si>
  <si>
    <t>(41, 5)</t>
  </si>
  <si>
    <t>(41, 7)</t>
  </si>
  <si>
    <t>(41, 9)</t>
  </si>
  <si>
    <t>(41, 11)</t>
  </si>
  <si>
    <t>bok8</t>
  </si>
  <si>
    <t>(45, 4)</t>
  </si>
  <si>
    <t>kiong7</t>
  </si>
  <si>
    <t>lan5</t>
  </si>
  <si>
    <t>zun1</t>
  </si>
  <si>
    <t>(49, 6)</t>
  </si>
  <si>
    <t>(49, 7)</t>
  </si>
  <si>
    <t>(49, 13)</t>
  </si>
  <si>
    <t>zu2</t>
  </si>
  <si>
    <t>kang1</t>
  </si>
  <si>
    <t>pok4</t>
  </si>
  <si>
    <t>zue3</t>
  </si>
  <si>
    <t>hong1</t>
  </si>
  <si>
    <t>tik8</t>
  </si>
  <si>
    <t>sun1</t>
  </si>
  <si>
    <t>cio3</t>
  </si>
  <si>
    <t>ze7</t>
  </si>
  <si>
    <t>song1</t>
  </si>
  <si>
    <t>tiok4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</si>
  <si>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</si>
  <si>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</si>
  <si>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</si>
  <si>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</si>
  <si>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</si>
  <si>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</si>
  <si>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</si>
  <si>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</si>
  <si>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</si>
  <si>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súi</t>
  </si>
  <si>
    <t>Lǒ zǔ píng sīng, gāng lám gāng bōk, zuè ài lím hōng dík.</t>
  </si>
  <si>
    <t>SRT漢字標音</t>
    <phoneticPr fontId="5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</si>
  <si>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</si>
  <si>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</si>
  <si>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</si>
  <si>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</si>
  <si>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  <phoneticPr fontId="1" type="noConversion"/>
  </si>
  <si>
    <t>kui3</t>
    <phoneticPr fontId="1" type="noConversion"/>
  </si>
  <si>
    <t>to2</t>
    <phoneticPr fontId="1" type="noConversion"/>
  </si>
  <si>
    <t>ho5</t>
    <phoneticPr fontId="1" type="noConversion"/>
  </si>
  <si>
    <t>hó</t>
    <phoneticPr fontId="1" type="noConversion"/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</si>
  <si>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</si>
  <si>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</si>
  <si>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</si>
  <si>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sin1</t>
    <phoneticPr fontId="1" type="noConversion"/>
  </si>
  <si>
    <t>phian1</t>
    <phoneticPr fontId="1" type="noConversion"/>
  </si>
  <si>
    <t>ziong5</t>
    <phoneticPr fontId="1" type="noConversion"/>
  </si>
  <si>
    <t>siong1</t>
    <phoneticPr fontId="1" type="noConversion"/>
  </si>
  <si>
    <t>。</t>
    <phoneticPr fontId="1" type="noConversion"/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</si>
  <si>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</si>
  <si>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</si>
  <si>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</si>
  <si>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</si>
  <si>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</si>
  <si>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</si>
  <si>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</si>
  <si>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</si>
  <si>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</si>
  <si>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</si>
  <si>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</si>
  <si>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</si>
  <si>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</si>
  <si>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</si>
  <si>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</si>
  <si>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</si>
  <si>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</si>
  <si>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</si>
  <si>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</si>
  <si>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</si>
  <si>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</si>
  <si>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</si>
  <si>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</si>
  <si>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</si>
  <si>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</si>
  <si>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</si>
  <si>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</si>
  <si>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</si>
  <si>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</si>
  <si>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</si>
  <si>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</si>
  <si>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</si>
  <si>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</si>
  <si>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</si>
  <si>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</si>
  <si>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</si>
  <si>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</si>
  <si>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</si>
  <si>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</si>
  <si>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</si>
  <si>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</si>
  <si>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</si>
  <si>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</si>
  <si>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</si>
  <si>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</si>
  <si>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</si>
  <si>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</si>
  <si>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</si>
  <si>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</si>
  <si>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</si>
  <si>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</si>
  <si>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</si>
  <si>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</si>
  <si>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</si>
  <si>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</si>
  <si>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</si>
  <si>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</si>
  <si>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</si>
  <si>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</si>
  <si>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</si>
  <si>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</si>
  <si>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</si>
  <si>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</si>
  <si>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</si>
  <si>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</si>
  <si>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</si>
  <si>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</si>
  <si>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</si>
  <si>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</si>
  <si>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</si>
  <si>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</si>
  <si>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</si>
  <si>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</si>
  <si>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</si>
  <si>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</si>
  <si>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</si>
  <si>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</si>
  <si>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</si>
  <si>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</si>
  <si>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</si>
  <si>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</si>
  <si>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</si>
  <si>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</si>
  <si>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</si>
  <si>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</si>
  <si>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</si>
  <si>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</si>
  <si>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</si>
  <si>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</si>
  <si>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</si>
  <si>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</si>
  <si>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</si>
  <si>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</si>
  <si>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</si>
  <si>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</si>
  <si>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</si>
  <si>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</si>
  <si>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</si>
  <si>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</si>
  <si>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</si>
  <si>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</si>
  <si>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</si>
  <si>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</si>
  <si>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</si>
  <si>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</si>
  <si>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</si>
  <si>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</si>
  <si>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</si>
  <si>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</si>
  <si>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</si>
  <si>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</si>
  <si>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</si>
  <si>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</si>
  <si>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</si>
  <si>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</si>
  <si>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</si>
  <si>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</si>
  <si>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</si>
  <si>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</si>
  <si>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</si>
  <si>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</si>
  <si>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</si>
  <si>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</si>
  <si>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</si>
  <si>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</si>
  <si>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</si>
  <si>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</si>
  <si>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</si>
  <si>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</si>
  <si>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</si>
  <si>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</si>
  <si>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</si>
  <si>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</si>
  <si>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</si>
  <si>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</si>
  <si>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</si>
  <si>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</si>
  <si>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</si>
  <si>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</si>
  <si>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</si>
  <si>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</si>
  <si>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</si>
  <si>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</si>
  <si>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</si>
  <si>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</si>
  <si>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</si>
  <si>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</si>
  <si>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</si>
  <si>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</si>
  <si>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</si>
  <si>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</si>
  <si>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白話音</t>
  </si>
  <si>
    <t>台羅拼音</t>
  </si>
  <si>
    <t>台</t>
  </si>
  <si>
    <t>灣</t>
  </si>
  <si>
    <t>俗</t>
  </si>
  <si>
    <t>諺</t>
  </si>
  <si>
    <t>禍</t>
  </si>
  <si>
    <t>福</t>
  </si>
  <si>
    <t>命</t>
  </si>
  <si>
    <t>運</t>
  </si>
  <si>
    <t>uan1</t>
  </si>
  <si>
    <t>uan</t>
  </si>
  <si>
    <t>sioh8</t>
  </si>
  <si>
    <t>si̍oh</t>
  </si>
  <si>
    <t>gan7</t>
  </si>
  <si>
    <t>gān</t>
  </si>
  <si>
    <t>hok4</t>
  </si>
  <si>
    <t>hok</t>
  </si>
  <si>
    <t>(5, 10)</t>
  </si>
  <si>
    <t>(5, 11)</t>
  </si>
  <si>
    <t>(9, 11)</t>
  </si>
  <si>
    <t>(9, 14)</t>
  </si>
  <si>
    <t>(9, 15)</t>
  </si>
  <si>
    <t>(17, 5)</t>
  </si>
  <si>
    <t>(17, 11)</t>
  </si>
  <si>
    <t>(17, 14)</t>
  </si>
  <si>
    <t>it8</t>
  </si>
  <si>
    <t>i̍t</t>
  </si>
  <si>
    <t>(25, 11)</t>
  </si>
  <si>
    <t>(25, 12)</t>
  </si>
  <si>
    <t>kng1</t>
  </si>
  <si>
    <t>kng</t>
  </si>
  <si>
    <t>(33, 5)</t>
  </si>
  <si>
    <t>(33, 6)</t>
  </si>
  <si>
    <t>(33, 9)</t>
  </si>
  <si>
    <t>(33, 11)</t>
  </si>
  <si>
    <t>(33, 12)</t>
  </si>
  <si>
    <t>(33, 13)</t>
  </si>
  <si>
    <t>(33, 14)</t>
  </si>
  <si>
    <t>sim</t>
  </si>
  <si>
    <t>(45, 6)</t>
  </si>
  <si>
    <t>(45, 7)</t>
  </si>
  <si>
    <t>sinn1</t>
  </si>
  <si>
    <t>sinn</t>
  </si>
  <si>
    <t>人</t>
  </si>
  <si>
    <t>苦</t>
  </si>
  <si>
    <t>項</t>
  </si>
  <si>
    <t>無</t>
  </si>
  <si>
    <t>兩</t>
  </si>
  <si>
    <t>仝</t>
  </si>
  <si>
    <t>千</t>
  </si>
  <si>
    <t>日</t>
  </si>
  <si>
    <t>好</t>
  </si>
  <si>
    <t>花</t>
  </si>
  <si>
    <t>百</t>
  </si>
  <si>
    <t>紅</t>
  </si>
  <si>
    <t>場</t>
  </si>
  <si>
    <t>夢</t>
  </si>
  <si>
    <t>死</t>
  </si>
  <si>
    <t>會</t>
  </si>
  <si>
    <t>也</t>
  </si>
  <si>
    <t>暗</t>
  </si>
  <si>
    <t>美</t>
  </si>
  <si>
    <t>同</t>
  </si>
  <si>
    <t>行</t>
  </si>
  <si>
    <t>如</t>
  </si>
  <si>
    <t>較</t>
  </si>
  <si>
    <t>艱</t>
  </si>
  <si>
    <t>世</t>
  </si>
  <si>
    <t>羽</t>
  </si>
  <si>
    <t>有</t>
  </si>
  <si>
    <t>斤</t>
  </si>
  <si>
    <t>力</t>
  </si>
  <si>
    <t>毋</t>
  </si>
  <si>
    <t>值</t>
  </si>
  <si>
    <t>著</t>
  </si>
  <si>
    <t>劉</t>
  </si>
  <si>
    <t>邦</t>
  </si>
  <si>
    <t>四</t>
  </si>
  <si>
    <t>心</t>
  </si>
  <si>
    <t>頭</t>
  </si>
  <si>
    <t>定</t>
  </si>
  <si>
    <t>抽</t>
  </si>
  <si>
    <t>籤</t>
  </si>
  <si>
    <t>算</t>
  </si>
  <si>
    <t>豬</t>
  </si>
  <si>
    <t>驚</t>
  </si>
  <si>
    <t>大</t>
  </si>
  <si>
    <t>隻</t>
  </si>
  <si>
    <t>出</t>
  </si>
  <si>
    <t>名</t>
  </si>
  <si>
    <t>欲</t>
  </si>
  <si>
    <t>龜</t>
  </si>
  <si>
    <t>擘</t>
  </si>
  <si>
    <t>壁</t>
  </si>
  <si>
    <t>敗</t>
  </si>
  <si>
    <t>水</t>
  </si>
  <si>
    <t>崩</t>
  </si>
  <si>
    <t xml:space="preserve">《台灣俗諺》禍福命運
一人苦一項，無兩人苦相仝。
人無千日好，花無百日紅。
人生一場夢，人死一場空。
天會光，也會暗。
美人無美命。同行不如同命。
較艱苦也是一世人。
項羽有千斤力，毋值著劉邦四兩命。
心頭無定，抽籤算命。
豬驚大隻，人驚出名。
欲好龜擘壁，欲敗水崩山。
</t>
  </si>
  <si>
    <t>台灣俗諺</t>
    <phoneticPr fontId="1" type="noConversion"/>
  </si>
  <si>
    <t>(5, 8)</t>
  </si>
  <si>
    <t>(5, 13)</t>
  </si>
  <si>
    <t>khoo2</t>
  </si>
  <si>
    <t>khóo</t>
  </si>
  <si>
    <t>hang7</t>
  </si>
  <si>
    <t>hāng</t>
  </si>
  <si>
    <t>nng7</t>
  </si>
  <si>
    <t>cian1</t>
  </si>
  <si>
    <t>tshian</t>
  </si>
  <si>
    <t>jit8</t>
  </si>
  <si>
    <t>ji̍t</t>
  </si>
  <si>
    <t>pah4</t>
  </si>
  <si>
    <t>pah</t>
  </si>
  <si>
    <t>(13, 7); (13, 13)</t>
  </si>
  <si>
    <t>(13, 12)</t>
  </si>
  <si>
    <t>bang7</t>
  </si>
  <si>
    <t>bāng</t>
  </si>
  <si>
    <t>si2</t>
  </si>
  <si>
    <t>sí</t>
  </si>
  <si>
    <t>(17, 7); (17, 13)</t>
  </si>
  <si>
    <t>(17, 8)</t>
  </si>
  <si>
    <t>ia2</t>
  </si>
  <si>
    <t>ía</t>
  </si>
  <si>
    <t>am3</t>
  </si>
  <si>
    <t>àm</t>
  </si>
  <si>
    <t>(21, 5); (21, 9)</t>
  </si>
  <si>
    <t>sui2</t>
  </si>
  <si>
    <t>ju5</t>
  </si>
  <si>
    <t>jû</t>
  </si>
  <si>
    <t>(25, 4); (25, 7)</t>
  </si>
  <si>
    <t>(25, 10); (25, 14)</t>
  </si>
  <si>
    <t>(25, 13)</t>
  </si>
  <si>
    <t>kan1</t>
  </si>
  <si>
    <t>kan</t>
  </si>
  <si>
    <t>se3</t>
  </si>
  <si>
    <t>sè</t>
  </si>
  <si>
    <t>(9, 4); (9, 7); (17, 6); (17, 12); (29, 9)</t>
  </si>
  <si>
    <t>(9, 6); (9, 13); (29, 6)</t>
  </si>
  <si>
    <t>(21, 8); (29, 7)</t>
  </si>
  <si>
    <t>(29, 4)</t>
  </si>
  <si>
    <t>(29, 5)</t>
  </si>
  <si>
    <t>(29, 8)</t>
  </si>
  <si>
    <t>ú</t>
  </si>
  <si>
    <t>u7</t>
  </si>
  <si>
    <t>ū</t>
  </si>
  <si>
    <t>lat8</t>
  </si>
  <si>
    <t>la̍p</t>
  </si>
  <si>
    <t>m7</t>
  </si>
  <si>
    <t>m̄</t>
  </si>
  <si>
    <t>tat8</t>
  </si>
  <si>
    <t>ta̍p</t>
  </si>
  <si>
    <t>tioh8</t>
  </si>
  <si>
    <t>ti̍oh</t>
  </si>
  <si>
    <t>lau5</t>
  </si>
  <si>
    <t>lâu</t>
  </si>
  <si>
    <t>pang1</t>
  </si>
  <si>
    <t>pang</t>
  </si>
  <si>
    <t>si3</t>
  </si>
  <si>
    <t>sì</t>
  </si>
  <si>
    <t>(9, 8); (33, 4)</t>
  </si>
  <si>
    <t>(13, 6); (33, 7)</t>
  </si>
  <si>
    <t>(33, 8)</t>
  </si>
  <si>
    <t>(33, 15)</t>
  </si>
  <si>
    <t>(33, 16)</t>
  </si>
  <si>
    <t>thau5</t>
  </si>
  <si>
    <t>thâu</t>
  </si>
  <si>
    <t>tiann7</t>
  </si>
  <si>
    <t>tīann</t>
  </si>
  <si>
    <t>ciam1</t>
  </si>
  <si>
    <t>tshiam</t>
  </si>
  <si>
    <t>sng3</t>
  </si>
  <si>
    <t>sǹg</t>
  </si>
  <si>
    <t>(5, 12); (25, 8); (25, 15); (33, 18); (41, 12)</t>
  </si>
  <si>
    <t>(9, 10); (13, 5); (13, 11); (25, 6); (41, 6)</t>
  </si>
  <si>
    <t>(41, 10)</t>
  </si>
  <si>
    <t>ti1</t>
  </si>
  <si>
    <t>ti</t>
  </si>
  <si>
    <t>kiann1</t>
  </si>
  <si>
    <t>kiann</t>
  </si>
  <si>
    <t>tua7</t>
  </si>
  <si>
    <t>tūa</t>
  </si>
  <si>
    <t>ziah1</t>
  </si>
  <si>
    <t>tsiah</t>
  </si>
  <si>
    <t>cut4</t>
  </si>
  <si>
    <t>tshut</t>
  </si>
  <si>
    <t>mia5</t>
  </si>
  <si>
    <t>m̂ia</t>
  </si>
  <si>
    <t>(45, 5); (45, 10)</t>
  </si>
  <si>
    <t>(45, 11)</t>
  </si>
  <si>
    <t>(45, 12)</t>
  </si>
  <si>
    <t>pai7</t>
  </si>
  <si>
    <t>pāi</t>
  </si>
  <si>
    <t>(13, 8); (49, 5)</t>
  </si>
  <si>
    <t>(49, 4); (49, 10)</t>
  </si>
  <si>
    <t>(49, 8)</t>
  </si>
  <si>
    <t>(49, 11)</t>
  </si>
  <si>
    <t>(49, 12)</t>
  </si>
  <si>
    <t>【河洛白話注音-台羅拼音】《台灣俗諺》.xlsx</t>
    <phoneticPr fontId="1" type="noConversion"/>
  </si>
  <si>
    <t>tai5</t>
  </si>
  <si>
    <t>tai5</t>
    <phoneticPr fontId="1" type="noConversion"/>
  </si>
  <si>
    <t>tâi</t>
    <phoneticPr fontId="1" type="noConversion"/>
  </si>
  <si>
    <t>e7</t>
  </si>
  <si>
    <t>e7</t>
    <phoneticPr fontId="1" type="noConversion"/>
  </si>
  <si>
    <t>ē</t>
    <phoneticPr fontId="1" type="noConversion"/>
  </si>
  <si>
    <t>mia7</t>
  </si>
  <si>
    <t>mia7</t>
    <phoneticPr fontId="1" type="noConversion"/>
  </si>
  <si>
    <t>m̄ia</t>
    <phoneticPr fontId="1" type="noConversion"/>
  </si>
  <si>
    <t>un7</t>
  </si>
  <si>
    <t>un7</t>
    <phoneticPr fontId="1" type="noConversion"/>
  </si>
  <si>
    <t>ūn</t>
    <phoneticPr fontId="1" type="noConversion"/>
  </si>
  <si>
    <t>lang5</t>
  </si>
  <si>
    <t>lang5</t>
    <phoneticPr fontId="1" type="noConversion"/>
  </si>
  <si>
    <t>lâng</t>
    <phoneticPr fontId="1" type="noConversion"/>
  </si>
  <si>
    <t>bo5</t>
  </si>
  <si>
    <t>bo5</t>
    <phoneticPr fontId="1" type="noConversion"/>
  </si>
  <si>
    <t>bô</t>
    <phoneticPr fontId="1" type="noConversion"/>
  </si>
  <si>
    <t>sio1</t>
  </si>
  <si>
    <t>sio1</t>
    <phoneticPr fontId="1" type="noConversion"/>
  </si>
  <si>
    <t>sio</t>
    <phoneticPr fontId="1" type="noConversion"/>
  </si>
  <si>
    <t>kang5</t>
  </si>
  <si>
    <t>kang5</t>
    <phoneticPr fontId="1" type="noConversion"/>
  </si>
  <si>
    <t>kâng</t>
    <phoneticPr fontId="1" type="noConversion"/>
  </si>
  <si>
    <t>jin5</t>
  </si>
  <si>
    <t>jin5</t>
    <phoneticPr fontId="1" type="noConversion"/>
  </si>
  <si>
    <t>jîn</t>
    <phoneticPr fontId="1" type="noConversion"/>
  </si>
  <si>
    <t>ho2</t>
  </si>
  <si>
    <t>ho2</t>
    <phoneticPr fontId="1" type="noConversion"/>
  </si>
  <si>
    <t>hue1</t>
  </si>
  <si>
    <t>hue1</t>
    <phoneticPr fontId="1" type="noConversion"/>
  </si>
  <si>
    <t>hue</t>
    <phoneticPr fontId="1" type="noConversion"/>
  </si>
  <si>
    <t>ang5</t>
  </si>
  <si>
    <t>ang5</t>
    <phoneticPr fontId="1" type="noConversion"/>
  </si>
  <si>
    <t>âng</t>
    <phoneticPr fontId="1" type="noConversion"/>
  </si>
  <si>
    <t>(9, 5); (9, 12); (17, 10); (25, 5); (29, 11); (45, 9)</t>
  </si>
  <si>
    <t>(13, 4); (17, 4)</t>
  </si>
  <si>
    <t>tiunn5</t>
  </si>
  <si>
    <t>tiunn5</t>
    <phoneticPr fontId="1" type="noConversion"/>
  </si>
  <si>
    <t>tîunn</t>
    <phoneticPr fontId="1" type="noConversion"/>
  </si>
  <si>
    <t>khang1</t>
  </si>
  <si>
    <t>khang1</t>
    <phoneticPr fontId="1" type="noConversion"/>
  </si>
  <si>
    <t>khang</t>
    <phoneticPr fontId="1" type="noConversion"/>
  </si>
  <si>
    <t>thinn1</t>
  </si>
  <si>
    <t>thinn1</t>
    <phoneticPr fontId="1" type="noConversion"/>
  </si>
  <si>
    <t>thinn</t>
    <phoneticPr fontId="1" type="noConversion"/>
  </si>
  <si>
    <t>tang5</t>
  </si>
  <si>
    <t>tang5</t>
    <phoneticPr fontId="1" type="noConversion"/>
  </si>
  <si>
    <t>tâng</t>
    <phoneticPr fontId="1" type="noConversion"/>
  </si>
  <si>
    <t>kiann5</t>
  </si>
  <si>
    <t>kiann5</t>
    <phoneticPr fontId="1" type="noConversion"/>
  </si>
  <si>
    <t>kîann</t>
    <phoneticPr fontId="1" type="noConversion"/>
  </si>
  <si>
    <t>put4</t>
    <phoneticPr fontId="1" type="noConversion"/>
  </si>
  <si>
    <t>put</t>
    <phoneticPr fontId="1" type="noConversion"/>
  </si>
  <si>
    <t>khah4</t>
  </si>
  <si>
    <t>khah4</t>
    <phoneticPr fontId="1" type="noConversion"/>
  </si>
  <si>
    <t>khah</t>
    <phoneticPr fontId="1" type="noConversion"/>
  </si>
  <si>
    <t>kin1</t>
  </si>
  <si>
    <t>kin1</t>
    <phoneticPr fontId="1" type="noConversion"/>
  </si>
  <si>
    <t>kin</t>
    <phoneticPr fontId="1" type="noConversion"/>
  </si>
  <si>
    <t>niu2</t>
  </si>
  <si>
    <t>niu2</t>
    <phoneticPr fontId="1" type="noConversion"/>
  </si>
  <si>
    <t>ńiu</t>
    <phoneticPr fontId="1" type="noConversion"/>
  </si>
  <si>
    <t>thiu1</t>
  </si>
  <si>
    <t>thiu1</t>
    <phoneticPr fontId="1" type="noConversion"/>
  </si>
  <si>
    <t>thiu</t>
    <phoneticPr fontId="1" type="noConversion"/>
  </si>
  <si>
    <t>beh4</t>
  </si>
  <si>
    <t>beh4</t>
    <phoneticPr fontId="1" type="noConversion"/>
  </si>
  <si>
    <t>beh</t>
    <phoneticPr fontId="1" type="noConversion"/>
  </si>
  <si>
    <t>ku1</t>
  </si>
  <si>
    <t>ku1</t>
    <phoneticPr fontId="1" type="noConversion"/>
  </si>
  <si>
    <t>ku</t>
    <phoneticPr fontId="1" type="noConversion"/>
  </si>
  <si>
    <t>peh4</t>
  </si>
  <si>
    <t>peh4</t>
    <phoneticPr fontId="1" type="noConversion"/>
  </si>
  <si>
    <t>peh</t>
    <phoneticPr fontId="1" type="noConversion"/>
  </si>
  <si>
    <t>piah4</t>
  </si>
  <si>
    <t>piah4</t>
    <phoneticPr fontId="1" type="noConversion"/>
  </si>
  <si>
    <t>piah</t>
    <phoneticPr fontId="1" type="noConversion"/>
  </si>
  <si>
    <t>pang1</t>
    <phoneticPr fontId="1" type="noConversion"/>
  </si>
  <si>
    <t>pang</t>
    <phoneticPr fontId="1" type="noConversion"/>
  </si>
  <si>
    <t>suann1</t>
  </si>
  <si>
    <t>suann1</t>
    <phoneticPr fontId="1" type="noConversion"/>
  </si>
  <si>
    <t>suann</t>
    <phoneticPr fontId="1" type="noConversion"/>
  </si>
  <si>
    <t>(33, 17)</t>
  </si>
  <si>
    <t>nng7</t>
    <phoneticPr fontId="1" type="noConversion"/>
  </si>
  <si>
    <t>nn̄g</t>
    <phoneticPr fontId="1" type="noConversion"/>
  </si>
  <si>
    <t>zui2</t>
  </si>
  <si>
    <t>zui2</t>
    <phoneticPr fontId="1" type="noConversion"/>
  </si>
  <si>
    <t>tsúi</t>
    <phoneticPr fontId="1" type="noConversion"/>
  </si>
  <si>
    <t>taiwanese-proverb-grandmother-story.jpg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</si>
</sst>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4" fillId="0" borderId="0" xfId="3" applyFont="1" applyFill="1" applyAlignment="1">
      <alignment horizontal="center" vertical="center"/>
    </xf>
    <xf numFmtId="0" fontId="51" fillId="0" borderId="0" xfId="3" applyFont="1" applyFill="1" applyAlignment="1">
      <alignment horizontal="center" vertical="center"/>
    </xf>
    <xf numFmtId="0" fontId="19" fillId="11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683</v>
      </c>
    </row>
    <row r="6" spans="2:4">
      <c r="B6" s="4" t="s">
        <v>4</v>
      </c>
      <c r="C6" s="3" t="s">
        <v>585</v>
      </c>
    </row>
    <row r="7" spans="2:4">
      <c r="B7" s="4" t="s">
        <v>5</v>
      </c>
      <c r="C7" s="49" t="s">
        <v>773</v>
      </c>
      <c r="D7" s="44"/>
    </row>
    <row r="8" spans="2:4">
      <c r="B8" s="4" t="s">
        <v>6</v>
      </c>
      <c r="C8" s="41" t="s">
        <v>28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13</v>
      </c>
      <c r="D11" s="1">
        <f>每頁總列數*4+5</f>
        <v>57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486</v>
      </c>
    </row>
    <row r="14" spans="2:4" ht="30">
      <c r="B14" s="37" t="s">
        <v>12</v>
      </c>
      <c r="C14" s="39" t="s">
        <v>31</v>
      </c>
    </row>
    <row r="15" spans="2:4" ht="30">
      <c r="B15" s="37" t="s">
        <v>13</v>
      </c>
      <c r="C15" s="39" t="s">
        <v>487</v>
      </c>
    </row>
    <row r="16" spans="2:4" ht="30">
      <c r="B16" s="37" t="s">
        <v>14</v>
      </c>
      <c r="C16" s="39" t="s">
        <v>26</v>
      </c>
    </row>
    <row r="17" spans="2:3" ht="30">
      <c r="B17" s="37" t="s">
        <v>15</v>
      </c>
      <c r="C17" s="39" t="s">
        <v>27</v>
      </c>
    </row>
    <row r="18" spans="2:3" ht="30">
      <c r="B18" s="37" t="s">
        <v>16</v>
      </c>
      <c r="C18" s="39" t="s">
        <v>487</v>
      </c>
    </row>
    <row r="19" spans="2:3" ht="30">
      <c r="B19" s="37" t="s">
        <v>17</v>
      </c>
      <c r="C19" s="39" t="s">
        <v>343</v>
      </c>
    </row>
    <row r="20" spans="2:3" ht="30">
      <c r="B20" s="37" t="s">
        <v>22</v>
      </c>
      <c r="C20" s="43">
        <v>0</v>
      </c>
    </row>
    <row r="21" spans="2:3" ht="30">
      <c r="B21" s="37" t="s">
        <v>317</v>
      </c>
      <c r="C21" s="39" t="s">
        <v>314</v>
      </c>
    </row>
    <row r="22" spans="2:3" ht="30">
      <c r="B22" s="37" t="s">
        <v>386</v>
      </c>
      <c r="C22" s="39" t="s">
        <v>387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81</v>
      </c>
    </row>
    <row r="3" spans="2:5">
      <c r="B3" s="51" t="s">
        <v>82</v>
      </c>
    </row>
    <row r="4" spans="2:5">
      <c r="B4" s="51" t="s">
        <v>84</v>
      </c>
      <c r="C4" s="78" t="s">
        <v>160</v>
      </c>
    </row>
    <row r="5" spans="2:5">
      <c r="B5" s="72" t="s">
        <v>91</v>
      </c>
      <c r="C5" s="77" t="s">
        <v>159</v>
      </c>
      <c r="D5" s="74" t="s">
        <v>87</v>
      </c>
      <c r="E5" s="74" t="s">
        <v>88</v>
      </c>
    </row>
    <row r="6" spans="2:5">
      <c r="B6" s="72"/>
      <c r="D6" s="74" t="s">
        <v>89</v>
      </c>
      <c r="E6" s="74" t="s">
        <v>90</v>
      </c>
    </row>
    <row r="7" spans="2:5">
      <c r="B7" s="72"/>
    </row>
    <row r="8" spans="2:5">
      <c r="B8" s="72" t="s">
        <v>91</v>
      </c>
      <c r="C8" s="77" t="s">
        <v>158</v>
      </c>
      <c r="E8" s="74"/>
    </row>
    <row r="9" spans="2:5">
      <c r="B9" s="72" t="s">
        <v>165</v>
      </c>
      <c r="C9" s="77"/>
      <c r="E9" s="74"/>
    </row>
    <row r="10" spans="2:5">
      <c r="B10" s="51" t="s">
        <v>83</v>
      </c>
    </row>
    <row r="11" spans="2:5">
      <c r="B11" s="72"/>
      <c r="C11" s="77"/>
      <c r="E11" s="74"/>
    </row>
    <row r="12" spans="2:5">
      <c r="B12" s="51" t="s">
        <v>85</v>
      </c>
      <c r="C12" s="78" t="s">
        <v>163</v>
      </c>
    </row>
    <row r="13" spans="2:5">
      <c r="B13" s="72" t="s">
        <v>161</v>
      </c>
      <c r="C13" s="78" t="s">
        <v>162</v>
      </c>
    </row>
    <row r="15" spans="2:5">
      <c r="B15" s="51" t="s">
        <v>86</v>
      </c>
      <c r="C15" s="78" t="s">
        <v>164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344</v>
      </c>
      <c r="C2" s="80" t="s">
        <v>347</v>
      </c>
      <c r="D2" s="80" t="s">
        <v>345</v>
      </c>
      <c r="E2" s="80" t="s">
        <v>346</v>
      </c>
    </row>
    <row r="3" spans="2:9" ht="30" customHeight="1">
      <c r="B3" s="83" t="s">
        <v>378</v>
      </c>
      <c r="C3" s="83" t="s">
        <v>354</v>
      </c>
      <c r="D3" s="83" t="s">
        <v>354</v>
      </c>
      <c r="E3" s="83" t="s">
        <v>377</v>
      </c>
      <c r="I3" s="82" t="s">
        <v>356</v>
      </c>
    </row>
    <row r="4" spans="2:9" ht="30" customHeight="1">
      <c r="B4" s="83" t="s">
        <v>379</v>
      </c>
      <c r="C4" s="83" t="s">
        <v>355</v>
      </c>
      <c r="D4" s="83" t="s">
        <v>354</v>
      </c>
      <c r="E4" s="83" t="s">
        <v>377</v>
      </c>
      <c r="I4" s="82" t="s">
        <v>357</v>
      </c>
    </row>
    <row r="5" spans="2:9" ht="30" customHeight="1">
      <c r="B5" s="83" t="s">
        <v>380</v>
      </c>
      <c r="C5" s="81" t="s">
        <v>373</v>
      </c>
      <c r="D5" s="81" t="s">
        <v>374</v>
      </c>
      <c r="E5" s="81" t="s">
        <v>375</v>
      </c>
      <c r="I5" s="82" t="s">
        <v>362</v>
      </c>
    </row>
    <row r="6" spans="2:9" ht="30" customHeight="1">
      <c r="B6" s="83" t="s">
        <v>319</v>
      </c>
      <c r="C6" s="81" t="s">
        <v>353</v>
      </c>
      <c r="D6" s="81" t="s">
        <v>363</v>
      </c>
      <c r="E6" s="81" t="s">
        <v>370</v>
      </c>
      <c r="I6" s="82" t="s">
        <v>376</v>
      </c>
    </row>
    <row r="7" spans="2:9" ht="30" customHeight="1">
      <c r="B7" s="83" t="s">
        <v>381</v>
      </c>
      <c r="C7" s="81" t="s">
        <v>350</v>
      </c>
      <c r="D7" s="81" t="s">
        <v>363</v>
      </c>
      <c r="E7" s="81" t="s">
        <v>370</v>
      </c>
      <c r="I7" s="82" t="s">
        <v>368</v>
      </c>
    </row>
    <row r="8" spans="2:9" ht="30" customHeight="1">
      <c r="B8" s="83" t="s">
        <v>382</v>
      </c>
      <c r="C8" s="81" t="s">
        <v>352</v>
      </c>
      <c r="D8" s="81" t="s">
        <v>364</v>
      </c>
      <c r="E8" s="81" t="s">
        <v>371</v>
      </c>
      <c r="I8" s="82" t="s">
        <v>358</v>
      </c>
    </row>
    <row r="9" spans="2:9" ht="30" customHeight="1">
      <c r="B9" s="83" t="s">
        <v>383</v>
      </c>
      <c r="C9" s="81" t="s">
        <v>351</v>
      </c>
      <c r="D9" s="81" t="s">
        <v>365</v>
      </c>
      <c r="E9" s="81" t="s">
        <v>372</v>
      </c>
      <c r="I9" s="82" t="s">
        <v>369</v>
      </c>
    </row>
    <row r="10" spans="2:9" ht="30" customHeight="1">
      <c r="B10" s="83" t="s">
        <v>384</v>
      </c>
      <c r="C10" s="81" t="s">
        <v>348</v>
      </c>
      <c r="D10" s="81" t="s">
        <v>366</v>
      </c>
      <c r="E10" s="81" t="s">
        <v>367</v>
      </c>
      <c r="I10" s="82" t="s">
        <v>359</v>
      </c>
    </row>
    <row r="11" spans="2:9" ht="30" customHeight="1">
      <c r="B11" s="83" t="s">
        <v>385</v>
      </c>
      <c r="C11" s="81" t="s">
        <v>349</v>
      </c>
      <c r="D11" s="81" t="s">
        <v>366</v>
      </c>
      <c r="E11" s="81" t="s">
        <v>367</v>
      </c>
      <c r="I11" s="82" t="s">
        <v>360</v>
      </c>
    </row>
    <row r="12" spans="2:9" ht="30" customHeight="1">
      <c r="I12" s="82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250</v>
      </c>
    </row>
    <row r="4" spans="1:22" s="6" customFormat="1" ht="36" customHeight="1">
      <c r="B4" s="16"/>
      <c r="D4" s="46"/>
      <c r="E4" s="46" t="s">
        <v>175</v>
      </c>
      <c r="F4" s="46" t="s">
        <v>251</v>
      </c>
      <c r="G4" s="46" t="s">
        <v>252</v>
      </c>
      <c r="H4" s="46"/>
      <c r="I4" s="46" t="s">
        <v>253</v>
      </c>
      <c r="J4" s="46" t="s">
        <v>254</v>
      </c>
      <c r="K4" s="46" t="s">
        <v>255</v>
      </c>
      <c r="L4" s="46" t="s">
        <v>256</v>
      </c>
      <c r="M4" s="46"/>
      <c r="N4" s="46"/>
      <c r="O4" s="46" t="s">
        <v>257</v>
      </c>
      <c r="P4" s="46"/>
      <c r="Q4" s="46" t="s">
        <v>254</v>
      </c>
      <c r="R4" s="46" t="s">
        <v>258</v>
      </c>
      <c r="S4" s="17"/>
      <c r="V4" s="85"/>
    </row>
    <row r="5" spans="1:22" s="6" customFormat="1" ht="80.099999999999994" customHeight="1">
      <c r="B5" s="18">
        <v>1</v>
      </c>
      <c r="D5" s="36" t="s">
        <v>34</v>
      </c>
      <c r="E5" s="79" t="s">
        <v>166</v>
      </c>
      <c r="F5" s="79" t="s">
        <v>180</v>
      </c>
      <c r="G5" s="36" t="s">
        <v>181</v>
      </c>
      <c r="H5" s="36" t="s">
        <v>334</v>
      </c>
      <c r="I5" s="79" t="s">
        <v>182</v>
      </c>
      <c r="J5" s="36" t="s">
        <v>183</v>
      </c>
      <c r="K5" s="79" t="s">
        <v>184</v>
      </c>
      <c r="L5" s="36" t="s">
        <v>185</v>
      </c>
      <c r="M5" s="36" t="s">
        <v>37</v>
      </c>
      <c r="N5" s="36" t="s">
        <v>101</v>
      </c>
      <c r="O5" s="36" t="s">
        <v>186</v>
      </c>
      <c r="P5" s="36" t="s">
        <v>115</v>
      </c>
      <c r="Q5" s="79" t="s">
        <v>187</v>
      </c>
      <c r="R5" s="79" t="s">
        <v>188</v>
      </c>
      <c r="S5" s="19"/>
      <c r="V5" s="85"/>
    </row>
    <row r="6" spans="1:22" s="23" customFormat="1" ht="36" customHeight="1">
      <c r="B6" s="20"/>
      <c r="C6" s="21"/>
      <c r="D6" s="73" t="s">
        <v>34</v>
      </c>
      <c r="E6" s="73" t="s">
        <v>388</v>
      </c>
      <c r="F6" s="73" t="s">
        <v>389</v>
      </c>
      <c r="G6" s="73" t="s">
        <v>390</v>
      </c>
      <c r="H6" s="73" t="s">
        <v>19</v>
      </c>
      <c r="I6" s="73" t="s">
        <v>367</v>
      </c>
      <c r="J6" s="73" t="s">
        <v>391</v>
      </c>
      <c r="K6" s="73" t="s">
        <v>392</v>
      </c>
      <c r="L6" s="73" t="s">
        <v>393</v>
      </c>
      <c r="M6" s="73" t="s">
        <v>37</v>
      </c>
      <c r="N6" s="73" t="s">
        <v>101</v>
      </c>
      <c r="O6" s="73" t="s">
        <v>394</v>
      </c>
      <c r="P6" s="73" t="s">
        <v>115</v>
      </c>
      <c r="Q6" s="73" t="s">
        <v>395</v>
      </c>
      <c r="R6" s="73" t="s">
        <v>396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189</v>
      </c>
      <c r="E9" s="36" t="s">
        <v>102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397</v>
      </c>
      <c r="E10" s="73" t="s">
        <v>102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253</v>
      </c>
      <c r="E12" s="46" t="s">
        <v>254</v>
      </c>
      <c r="F12" s="46" t="s">
        <v>255</v>
      </c>
      <c r="G12" s="46" t="s">
        <v>256</v>
      </c>
      <c r="H12" s="46"/>
      <c r="I12" s="46" t="s">
        <v>142</v>
      </c>
      <c r="J12" s="46" t="s">
        <v>261</v>
      </c>
      <c r="K12" s="46" t="s">
        <v>177</v>
      </c>
      <c r="L12" s="46"/>
      <c r="M12" s="46" t="s">
        <v>262</v>
      </c>
      <c r="N12" s="46" t="s">
        <v>322</v>
      </c>
      <c r="O12" s="46" t="s">
        <v>263</v>
      </c>
      <c r="P12" s="46" t="s">
        <v>264</v>
      </c>
      <c r="Q12" s="46" t="s">
        <v>330</v>
      </c>
      <c r="R12" s="46" t="s">
        <v>134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182</v>
      </c>
      <c r="E13" s="36" t="s">
        <v>183</v>
      </c>
      <c r="F13" s="79" t="s">
        <v>184</v>
      </c>
      <c r="G13" s="36" t="s">
        <v>185</v>
      </c>
      <c r="H13" s="36" t="s">
        <v>18</v>
      </c>
      <c r="I13" s="79" t="s">
        <v>190</v>
      </c>
      <c r="J13" s="79" t="s">
        <v>191</v>
      </c>
      <c r="K13" s="36" t="s">
        <v>170</v>
      </c>
      <c r="L13" s="36" t="s">
        <v>18</v>
      </c>
      <c r="M13" s="79" t="s">
        <v>192</v>
      </c>
      <c r="N13" s="36" t="s">
        <v>193</v>
      </c>
      <c r="O13" s="79" t="s">
        <v>194</v>
      </c>
      <c r="P13" s="36" t="s">
        <v>195</v>
      </c>
      <c r="Q13" s="79" t="s">
        <v>117</v>
      </c>
      <c r="R13" s="36" t="s">
        <v>196</v>
      </c>
      <c r="S13" s="19"/>
      <c r="V13" s="85"/>
    </row>
    <row r="14" spans="1:22" s="6" customFormat="1" ht="36" customHeight="1">
      <c r="B14" s="20"/>
      <c r="D14" s="73" t="s">
        <v>367</v>
      </c>
      <c r="E14" s="73" t="s">
        <v>391</v>
      </c>
      <c r="F14" s="73" t="s">
        <v>392</v>
      </c>
      <c r="G14" s="73" t="s">
        <v>393</v>
      </c>
      <c r="H14" s="73" t="s">
        <v>18</v>
      </c>
      <c r="I14" s="73" t="s">
        <v>398</v>
      </c>
      <c r="J14" s="73" t="s">
        <v>399</v>
      </c>
      <c r="K14" s="73" t="s">
        <v>400</v>
      </c>
      <c r="L14" s="73" t="s">
        <v>18</v>
      </c>
      <c r="M14" s="73" t="s">
        <v>401</v>
      </c>
      <c r="N14" s="73" t="s">
        <v>402</v>
      </c>
      <c r="O14" s="73" t="s">
        <v>403</v>
      </c>
      <c r="P14" s="73" t="s">
        <v>404</v>
      </c>
      <c r="Q14" s="73" t="s">
        <v>405</v>
      </c>
      <c r="R14" s="73" t="s">
        <v>406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323</v>
      </c>
      <c r="E20" s="46" t="s">
        <v>174</v>
      </c>
      <c r="F20" s="46" t="s">
        <v>131</v>
      </c>
      <c r="G20" s="46" t="s">
        <v>156</v>
      </c>
      <c r="H20" s="46"/>
      <c r="I20" s="46" t="s">
        <v>129</v>
      </c>
      <c r="J20" s="46" t="s">
        <v>178</v>
      </c>
      <c r="K20" s="46" t="s">
        <v>38</v>
      </c>
      <c r="L20" s="46"/>
      <c r="M20" s="46" t="s">
        <v>136</v>
      </c>
      <c r="N20" s="46" t="s">
        <v>153</v>
      </c>
      <c r="O20" s="46" t="s">
        <v>143</v>
      </c>
      <c r="P20" s="46" t="s">
        <v>97</v>
      </c>
      <c r="Q20" s="46" t="s">
        <v>126</v>
      </c>
      <c r="R20" s="46" t="s">
        <v>144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197</v>
      </c>
      <c r="E21" s="36" t="s">
        <v>169</v>
      </c>
      <c r="F21" s="79" t="s">
        <v>198</v>
      </c>
      <c r="G21" s="36" t="s">
        <v>124</v>
      </c>
      <c r="H21" s="36" t="s">
        <v>18</v>
      </c>
      <c r="I21" s="79" t="s">
        <v>110</v>
      </c>
      <c r="J21" s="79" t="s">
        <v>171</v>
      </c>
      <c r="K21" s="36" t="s">
        <v>35</v>
      </c>
      <c r="L21" s="36" t="s">
        <v>18</v>
      </c>
      <c r="M21" s="79" t="s">
        <v>114</v>
      </c>
      <c r="N21" s="36" t="s">
        <v>168</v>
      </c>
      <c r="O21" s="79" t="s">
        <v>116</v>
      </c>
      <c r="P21" s="36" t="s">
        <v>199</v>
      </c>
      <c r="Q21" s="79" t="s">
        <v>103</v>
      </c>
      <c r="R21" s="36" t="s">
        <v>200</v>
      </c>
      <c r="S21" s="19"/>
      <c r="V21" s="85"/>
    </row>
    <row r="22" spans="2:22" s="6" customFormat="1" ht="36" customHeight="1">
      <c r="B22" s="20"/>
      <c r="D22" s="73" t="s">
        <v>407</v>
      </c>
      <c r="E22" s="73" t="s">
        <v>408</v>
      </c>
      <c r="F22" s="73" t="s">
        <v>409</v>
      </c>
      <c r="G22" s="73" t="s">
        <v>410</v>
      </c>
      <c r="H22" s="73" t="s">
        <v>18</v>
      </c>
      <c r="I22" s="73" t="s">
        <v>411</v>
      </c>
      <c r="J22" s="73" t="s">
        <v>412</v>
      </c>
      <c r="K22" s="73" t="s">
        <v>413</v>
      </c>
      <c r="L22" s="73" t="s">
        <v>18</v>
      </c>
      <c r="M22" s="73" t="s">
        <v>414</v>
      </c>
      <c r="N22" s="73" t="s">
        <v>415</v>
      </c>
      <c r="O22" s="73" t="s">
        <v>416</v>
      </c>
      <c r="P22" s="73" t="s">
        <v>417</v>
      </c>
      <c r="Q22" s="73" t="s">
        <v>418</v>
      </c>
      <c r="R22" s="73" t="s">
        <v>419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111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111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100</v>
      </c>
      <c r="E28" s="46" t="s">
        <v>270</v>
      </c>
      <c r="F28" s="46" t="s">
        <v>143</v>
      </c>
      <c r="G28" s="46" t="s">
        <v>99</v>
      </c>
      <c r="H28" s="46"/>
      <c r="I28" s="46" t="s">
        <v>98</v>
      </c>
      <c r="J28" s="46" t="s">
        <v>271</v>
      </c>
      <c r="K28" s="46" t="s">
        <v>141</v>
      </c>
      <c r="L28" s="46" t="s">
        <v>335</v>
      </c>
      <c r="M28" s="46"/>
      <c r="N28" s="46" t="s">
        <v>272</v>
      </c>
      <c r="O28" s="46" t="s">
        <v>94</v>
      </c>
      <c r="P28" s="46" t="s">
        <v>40</v>
      </c>
      <c r="Q28" s="46" t="s">
        <v>273</v>
      </c>
      <c r="R28" s="46" t="s">
        <v>137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96</v>
      </c>
      <c r="E29" s="36" t="s">
        <v>201</v>
      </c>
      <c r="F29" s="79" t="s">
        <v>167</v>
      </c>
      <c r="G29" s="36" t="s">
        <v>95</v>
      </c>
      <c r="H29" s="36" t="s">
        <v>18</v>
      </c>
      <c r="I29" s="79" t="s">
        <v>202</v>
      </c>
      <c r="J29" s="36" t="s">
        <v>203</v>
      </c>
      <c r="K29" s="79" t="s">
        <v>113</v>
      </c>
      <c r="L29" s="36" t="s">
        <v>108</v>
      </c>
      <c r="M29" s="36" t="s">
        <v>18</v>
      </c>
      <c r="N29" s="79" t="s">
        <v>204</v>
      </c>
      <c r="O29" s="36" t="s">
        <v>93</v>
      </c>
      <c r="P29" s="79" t="s">
        <v>36</v>
      </c>
      <c r="Q29" s="79" t="s">
        <v>205</v>
      </c>
      <c r="R29" s="36" t="s">
        <v>206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420</v>
      </c>
      <c r="E30" s="73" t="s">
        <v>421</v>
      </c>
      <c r="F30" s="73" t="s">
        <v>416</v>
      </c>
      <c r="G30" s="73" t="s">
        <v>422</v>
      </c>
      <c r="H30" s="73" t="s">
        <v>18</v>
      </c>
      <c r="I30" s="73" t="s">
        <v>423</v>
      </c>
      <c r="J30" s="73" t="s">
        <v>424</v>
      </c>
      <c r="K30" s="73" t="s">
        <v>425</v>
      </c>
      <c r="L30" s="73" t="s">
        <v>426</v>
      </c>
      <c r="M30" s="73" t="s">
        <v>18</v>
      </c>
      <c r="N30" s="73" t="s">
        <v>427</v>
      </c>
      <c r="O30" s="73" t="s">
        <v>428</v>
      </c>
      <c r="P30" s="73" t="s">
        <v>429</v>
      </c>
      <c r="Q30" s="73" t="s">
        <v>430</v>
      </c>
      <c r="R30" s="73" t="s">
        <v>431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135</v>
      </c>
      <c r="N35" s="47" t="s">
        <v>134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275</v>
      </c>
      <c r="E36" s="46" t="s">
        <v>130</v>
      </c>
      <c r="F36" s="46" t="s">
        <v>135</v>
      </c>
      <c r="G36" s="46" t="s">
        <v>276</v>
      </c>
      <c r="H36" s="46"/>
      <c r="I36" s="46" t="s">
        <v>30</v>
      </c>
      <c r="J36" s="46" t="s">
        <v>129</v>
      </c>
      <c r="K36" s="46" t="s">
        <v>331</v>
      </c>
      <c r="L36" s="46" t="s">
        <v>277</v>
      </c>
      <c r="M36" s="46" t="s">
        <v>135</v>
      </c>
      <c r="N36" s="46" t="s">
        <v>134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207</v>
      </c>
      <c r="E37" s="36" t="s">
        <v>208</v>
      </c>
      <c r="F37" s="79" t="s">
        <v>209</v>
      </c>
      <c r="G37" s="36" t="s">
        <v>210</v>
      </c>
      <c r="H37" s="36" t="s">
        <v>18</v>
      </c>
      <c r="I37" s="79" t="s">
        <v>29</v>
      </c>
      <c r="J37" s="36" t="s">
        <v>110</v>
      </c>
      <c r="K37" s="79" t="s">
        <v>211</v>
      </c>
      <c r="L37" s="36" t="s">
        <v>212</v>
      </c>
      <c r="M37" s="79" t="s">
        <v>213</v>
      </c>
      <c r="N37" s="36" t="s">
        <v>214</v>
      </c>
      <c r="O37" s="36" t="s">
        <v>111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432</v>
      </c>
      <c r="E38" s="73" t="s">
        <v>433</v>
      </c>
      <c r="F38" s="73" t="s">
        <v>434</v>
      </c>
      <c r="G38" s="73" t="s">
        <v>435</v>
      </c>
      <c r="H38" s="73" t="s">
        <v>18</v>
      </c>
      <c r="I38" s="73" t="s">
        <v>436</v>
      </c>
      <c r="J38" s="73" t="s">
        <v>437</v>
      </c>
      <c r="K38" s="73" t="s">
        <v>438</v>
      </c>
      <c r="L38" s="73" t="s">
        <v>439</v>
      </c>
      <c r="M38" s="73" t="s">
        <v>434</v>
      </c>
      <c r="N38" s="73" t="s">
        <v>406</v>
      </c>
      <c r="O38" s="73" t="s">
        <v>111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149</v>
      </c>
      <c r="E40" s="46" t="s">
        <v>147</v>
      </c>
      <c r="F40" s="46" t="s">
        <v>332</v>
      </c>
      <c r="G40" s="46" t="s">
        <v>133</v>
      </c>
      <c r="H40" s="46" t="s">
        <v>278</v>
      </c>
      <c r="I40" s="46" t="s">
        <v>279</v>
      </c>
      <c r="J40" s="46"/>
      <c r="K40" s="46" t="s">
        <v>138</v>
      </c>
      <c r="L40" s="46" t="s">
        <v>280</v>
      </c>
      <c r="M40" s="46" t="s">
        <v>145</v>
      </c>
      <c r="N40" s="46" t="s">
        <v>155</v>
      </c>
      <c r="O40" s="46"/>
      <c r="P40" s="46" t="s">
        <v>281</v>
      </c>
      <c r="Q40" s="46" t="s">
        <v>152</v>
      </c>
      <c r="R40" s="46" t="s">
        <v>148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121</v>
      </c>
      <c r="E41" s="36" t="s">
        <v>215</v>
      </c>
      <c r="F41" s="79" t="s">
        <v>216</v>
      </c>
      <c r="G41" s="36" t="s">
        <v>118</v>
      </c>
      <c r="H41" s="79" t="s">
        <v>217</v>
      </c>
      <c r="I41" s="36" t="s">
        <v>218</v>
      </c>
      <c r="J41" s="36" t="s">
        <v>18</v>
      </c>
      <c r="K41" s="79" t="s">
        <v>219</v>
      </c>
      <c r="L41" s="36" t="s">
        <v>220</v>
      </c>
      <c r="M41" s="79" t="s">
        <v>221</v>
      </c>
      <c r="N41" s="36" t="s">
        <v>222</v>
      </c>
      <c r="O41" s="36" t="s">
        <v>18</v>
      </c>
      <c r="P41" s="36" t="s">
        <v>223</v>
      </c>
      <c r="Q41" s="79" t="s">
        <v>224</v>
      </c>
      <c r="R41" s="36" t="s">
        <v>225</v>
      </c>
      <c r="S41" s="19"/>
      <c r="V41" s="85"/>
    </row>
    <row r="42" spans="2:22" s="6" customFormat="1" ht="36" customHeight="1">
      <c r="B42" s="20"/>
      <c r="D42" s="73" t="s">
        <v>440</v>
      </c>
      <c r="E42" s="73" t="s">
        <v>441</v>
      </c>
      <c r="F42" s="73" t="s">
        <v>442</v>
      </c>
      <c r="G42" s="73" t="s">
        <v>443</v>
      </c>
      <c r="H42" s="73" t="s">
        <v>444</v>
      </c>
      <c r="I42" s="73" t="s">
        <v>445</v>
      </c>
      <c r="J42" s="73" t="s">
        <v>18</v>
      </c>
      <c r="K42" s="73" t="s">
        <v>446</v>
      </c>
      <c r="L42" s="73" t="s">
        <v>447</v>
      </c>
      <c r="M42" s="73" t="s">
        <v>448</v>
      </c>
      <c r="N42" s="73" t="s">
        <v>449</v>
      </c>
      <c r="O42" s="73" t="s">
        <v>18</v>
      </c>
      <c r="P42" s="73" t="s">
        <v>450</v>
      </c>
      <c r="Q42" s="73" t="s">
        <v>451</v>
      </c>
      <c r="R42" s="73" t="s">
        <v>452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132</v>
      </c>
      <c r="E44" s="46" t="s">
        <v>287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226</v>
      </c>
      <c r="E45" s="36" t="s">
        <v>227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453</v>
      </c>
      <c r="E46" s="73" t="s">
        <v>454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289</v>
      </c>
      <c r="E48" s="46" t="s">
        <v>324</v>
      </c>
      <c r="F48" s="46" t="s">
        <v>136</v>
      </c>
      <c r="G48" s="46" t="s">
        <v>325</v>
      </c>
      <c r="H48" s="46"/>
      <c r="I48" s="46" t="s">
        <v>146</v>
      </c>
      <c r="J48" s="46" t="s">
        <v>100</v>
      </c>
      <c r="K48" s="46" t="s">
        <v>270</v>
      </c>
      <c r="L48" s="46"/>
      <c r="M48" s="46" t="s">
        <v>290</v>
      </c>
      <c r="N48" s="46" t="s">
        <v>39</v>
      </c>
      <c r="O48" s="46" t="s">
        <v>291</v>
      </c>
      <c r="P48" s="46" t="s">
        <v>128</v>
      </c>
      <c r="Q48" s="46" t="s">
        <v>333</v>
      </c>
      <c r="R48" s="46" t="s">
        <v>144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228</v>
      </c>
      <c r="E49" s="36" t="s">
        <v>229</v>
      </c>
      <c r="F49" s="79" t="s">
        <v>230</v>
      </c>
      <c r="G49" s="36" t="s">
        <v>231</v>
      </c>
      <c r="H49" s="36" t="s">
        <v>18</v>
      </c>
      <c r="I49" s="79" t="s">
        <v>119</v>
      </c>
      <c r="J49" s="79" t="s">
        <v>96</v>
      </c>
      <c r="K49" s="36" t="s">
        <v>201</v>
      </c>
      <c r="L49" s="36" t="s">
        <v>18</v>
      </c>
      <c r="M49" s="79" t="s">
        <v>232</v>
      </c>
      <c r="N49" s="36" t="s">
        <v>109</v>
      </c>
      <c r="O49" s="79" t="s">
        <v>233</v>
      </c>
      <c r="P49" s="36" t="s">
        <v>107</v>
      </c>
      <c r="Q49" s="79" t="s">
        <v>104</v>
      </c>
      <c r="R49" s="36" t="s">
        <v>120</v>
      </c>
      <c r="S49" s="19"/>
      <c r="V49" s="85"/>
    </row>
    <row r="50" spans="2:22" s="6" customFormat="1" ht="36" customHeight="1">
      <c r="B50" s="20"/>
      <c r="D50" s="73" t="s">
        <v>455</v>
      </c>
      <c r="E50" s="73" t="s">
        <v>456</v>
      </c>
      <c r="F50" s="73" t="s">
        <v>414</v>
      </c>
      <c r="G50" s="73" t="s">
        <v>457</v>
      </c>
      <c r="H50" s="73" t="s">
        <v>18</v>
      </c>
      <c r="I50" s="73" t="s">
        <v>458</v>
      </c>
      <c r="J50" s="73" t="s">
        <v>420</v>
      </c>
      <c r="K50" s="73" t="s">
        <v>421</v>
      </c>
      <c r="L50" s="73" t="s">
        <v>18</v>
      </c>
      <c r="M50" s="73" t="s">
        <v>459</v>
      </c>
      <c r="N50" s="73" t="s">
        <v>460</v>
      </c>
      <c r="O50" s="73" t="s">
        <v>461</v>
      </c>
      <c r="P50" s="73" t="s">
        <v>462</v>
      </c>
      <c r="Q50" s="73" t="s">
        <v>463</v>
      </c>
      <c r="R50" s="73" t="s">
        <v>419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150</v>
      </c>
      <c r="E56" s="46" t="s">
        <v>295</v>
      </c>
      <c r="F56" s="46" t="s">
        <v>151</v>
      </c>
      <c r="G56" s="46" t="s">
        <v>127</v>
      </c>
      <c r="H56" s="46"/>
      <c r="I56" s="46" t="s">
        <v>296</v>
      </c>
      <c r="J56" s="46" t="s">
        <v>179</v>
      </c>
      <c r="K56" s="46" t="s">
        <v>296</v>
      </c>
      <c r="L56" s="46" t="s">
        <v>297</v>
      </c>
      <c r="M56" s="46"/>
      <c r="N56" s="46" t="s">
        <v>298</v>
      </c>
      <c r="O56" s="46" t="s">
        <v>139</v>
      </c>
      <c r="P56" s="46" t="s">
        <v>172</v>
      </c>
      <c r="Q56" s="46" t="s">
        <v>299</v>
      </c>
      <c r="R56" s="46" t="s">
        <v>300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122</v>
      </c>
      <c r="E57" s="36" t="s">
        <v>234</v>
      </c>
      <c r="F57" s="79" t="s">
        <v>123</v>
      </c>
      <c r="G57" s="36" t="s">
        <v>105</v>
      </c>
      <c r="H57" s="36" t="s">
        <v>18</v>
      </c>
      <c r="I57" s="79" t="s">
        <v>235</v>
      </c>
      <c r="J57" s="36" t="s">
        <v>236</v>
      </c>
      <c r="K57" s="79" t="s">
        <v>235</v>
      </c>
      <c r="L57" s="36" t="s">
        <v>237</v>
      </c>
      <c r="M57" s="36" t="s">
        <v>18</v>
      </c>
      <c r="N57" s="79" t="s">
        <v>238</v>
      </c>
      <c r="O57" s="36" t="s">
        <v>112</v>
      </c>
      <c r="P57" s="79" t="s">
        <v>239</v>
      </c>
      <c r="Q57" s="79" t="s">
        <v>240</v>
      </c>
      <c r="R57" s="36" t="s">
        <v>241</v>
      </c>
      <c r="S57" s="19"/>
      <c r="V57" s="85"/>
    </row>
    <row r="58" spans="2:22" s="6" customFormat="1" ht="36" customHeight="1">
      <c r="B58" s="20"/>
      <c r="D58" s="73" t="s">
        <v>464</v>
      </c>
      <c r="E58" s="73" t="s">
        <v>465</v>
      </c>
      <c r="F58" s="73" t="s">
        <v>466</v>
      </c>
      <c r="G58" s="73" t="s">
        <v>467</v>
      </c>
      <c r="H58" s="73" t="s">
        <v>18</v>
      </c>
      <c r="I58" s="73" t="s">
        <v>468</v>
      </c>
      <c r="J58" s="73" t="s">
        <v>469</v>
      </c>
      <c r="K58" s="73" t="s">
        <v>468</v>
      </c>
      <c r="L58" s="73" t="s">
        <v>470</v>
      </c>
      <c r="M58" s="73" t="s">
        <v>18</v>
      </c>
      <c r="N58" s="73" t="s">
        <v>471</v>
      </c>
      <c r="O58" s="73" t="s">
        <v>472</v>
      </c>
      <c r="P58" s="73" t="s">
        <v>473</v>
      </c>
      <c r="Q58" s="73" t="s">
        <v>474</v>
      </c>
      <c r="R58" s="73" t="s">
        <v>475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301</v>
      </c>
      <c r="E64" s="46" t="s">
        <v>140</v>
      </c>
      <c r="F64" s="46" t="s">
        <v>264</v>
      </c>
      <c r="G64" s="46" t="s">
        <v>302</v>
      </c>
      <c r="H64" s="46"/>
      <c r="I64" s="46" t="s">
        <v>303</v>
      </c>
      <c r="J64" s="46" t="s">
        <v>157</v>
      </c>
      <c r="K64" s="46" t="s">
        <v>127</v>
      </c>
      <c r="L64" s="46" t="s">
        <v>327</v>
      </c>
      <c r="M64" s="46" t="s">
        <v>304</v>
      </c>
      <c r="N64" s="46" t="s">
        <v>305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242</v>
      </c>
      <c r="E65" s="36" t="s">
        <v>243</v>
      </c>
      <c r="F65" s="79" t="s">
        <v>244</v>
      </c>
      <c r="G65" s="36" t="s">
        <v>245</v>
      </c>
      <c r="H65" s="36" t="s">
        <v>18</v>
      </c>
      <c r="I65" s="79" t="s">
        <v>246</v>
      </c>
      <c r="J65" s="36" t="s">
        <v>125</v>
      </c>
      <c r="K65" s="79" t="s">
        <v>106</v>
      </c>
      <c r="L65" s="36" t="s">
        <v>247</v>
      </c>
      <c r="M65" s="79" t="s">
        <v>248</v>
      </c>
      <c r="N65" s="36" t="s">
        <v>249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476</v>
      </c>
      <c r="E66" s="73" t="s">
        <v>477</v>
      </c>
      <c r="F66" s="73" t="s">
        <v>478</v>
      </c>
      <c r="G66" s="73" t="s">
        <v>479</v>
      </c>
      <c r="H66" s="73" t="s">
        <v>18</v>
      </c>
      <c r="I66" s="73" t="s">
        <v>480</v>
      </c>
      <c r="J66" s="73" t="s">
        <v>481</v>
      </c>
      <c r="K66" s="73" t="s">
        <v>482</v>
      </c>
      <c r="L66" s="73" t="s">
        <v>483</v>
      </c>
      <c r="M66" s="73" t="s">
        <v>484</v>
      </c>
      <c r="N66" s="73" t="s">
        <v>485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41</v>
      </c>
      <c r="G1" s="63"/>
      <c r="H1" s="63"/>
      <c r="I1" s="63"/>
      <c r="J1" s="63"/>
      <c r="K1" s="63"/>
      <c r="L1" s="57"/>
      <c r="M1" s="57"/>
      <c r="N1" s="57" t="s">
        <v>42</v>
      </c>
      <c r="O1" s="57"/>
      <c r="P1" s="57"/>
    </row>
    <row r="3" spans="1:20" ht="60">
      <c r="A3" s="54" t="s">
        <v>43</v>
      </c>
      <c r="B3" s="54" t="s">
        <v>44</v>
      </c>
      <c r="C3" s="54" t="s">
        <v>45</v>
      </c>
      <c r="D3" s="59" t="s">
        <v>46</v>
      </c>
      <c r="E3" s="59" t="s">
        <v>47</v>
      </c>
      <c r="F3" s="58" t="s">
        <v>48</v>
      </c>
      <c r="G3" s="58" t="s">
        <v>49</v>
      </c>
      <c r="H3" s="58" t="s">
        <v>32</v>
      </c>
      <c r="I3" s="58" t="s">
        <v>50</v>
      </c>
      <c r="J3" s="58" t="s">
        <v>51</v>
      </c>
      <c r="K3" s="58" t="s">
        <v>52</v>
      </c>
      <c r="L3" s="60" t="s">
        <v>53</v>
      </c>
      <c r="M3" s="57" t="s">
        <v>32</v>
      </c>
      <c r="N3" s="57" t="s">
        <v>50</v>
      </c>
      <c r="O3" s="57" t="s">
        <v>51</v>
      </c>
      <c r="P3" s="57" t="s">
        <v>52</v>
      </c>
      <c r="Q3" s="71" t="s">
        <v>33</v>
      </c>
      <c r="R3" s="71" t="s">
        <v>54</v>
      </c>
      <c r="T3" s="71" t="s">
        <v>92</v>
      </c>
    </row>
    <row r="4" spans="1:20" ht="69">
      <c r="A4" s="55">
        <v>1</v>
      </c>
      <c r="B4" s="64" t="s">
        <v>55</v>
      </c>
      <c r="C4" s="66" t="s">
        <v>56</v>
      </c>
      <c r="D4" s="67">
        <v>20</v>
      </c>
      <c r="E4" s="67">
        <v>25</v>
      </c>
      <c r="F4" s="68">
        <v>0</v>
      </c>
      <c r="G4" s="69">
        <v>25000</v>
      </c>
      <c r="H4" s="70" t="s">
        <v>57</v>
      </c>
      <c r="I4" s="70" t="s">
        <v>57</v>
      </c>
      <c r="J4" s="70" t="s">
        <v>58</v>
      </c>
      <c r="K4" s="70" t="s">
        <v>59</v>
      </c>
      <c r="L4" s="62">
        <v>20000</v>
      </c>
      <c r="M4" s="62" t="s">
        <v>57</v>
      </c>
      <c r="N4" s="62" t="s">
        <v>57</v>
      </c>
      <c r="O4" s="62" t="s">
        <v>60</v>
      </c>
      <c r="P4" s="62" t="s">
        <v>59</v>
      </c>
      <c r="Q4" s="53" t="s">
        <v>336</v>
      </c>
      <c r="R4" s="52" t="s">
        <v>337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61</v>
      </c>
      <c r="C5" s="66" t="s">
        <v>62</v>
      </c>
      <c r="D5" s="61">
        <v>2</v>
      </c>
      <c r="E5" s="61">
        <v>5</v>
      </c>
      <c r="F5" s="68">
        <v>25000</v>
      </c>
      <c r="G5" s="69">
        <v>30000</v>
      </c>
      <c r="H5" s="70" t="s">
        <v>57</v>
      </c>
      <c r="I5" s="70" t="s">
        <v>57</v>
      </c>
      <c r="J5" s="70" t="s">
        <v>63</v>
      </c>
      <c r="K5" s="70" t="s">
        <v>59</v>
      </c>
      <c r="L5" s="62">
        <v>27000</v>
      </c>
      <c r="M5" s="62" t="s">
        <v>57</v>
      </c>
      <c r="N5" s="62" t="s">
        <v>57</v>
      </c>
      <c r="O5" s="62" t="s">
        <v>64</v>
      </c>
      <c r="P5" s="62" t="s">
        <v>59</v>
      </c>
      <c r="Q5" s="53" t="s">
        <v>306</v>
      </c>
      <c r="R5" s="52" t="s">
        <v>338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65</v>
      </c>
      <c r="C6" s="66" t="s">
        <v>66</v>
      </c>
      <c r="D6" s="61">
        <v>2</v>
      </c>
      <c r="E6" s="61">
        <v>5</v>
      </c>
      <c r="F6" s="68">
        <v>30000</v>
      </c>
      <c r="G6" s="69">
        <v>35000</v>
      </c>
      <c r="H6" s="70" t="s">
        <v>57</v>
      </c>
      <c r="I6" s="70" t="s">
        <v>57</v>
      </c>
      <c r="J6" s="70" t="s">
        <v>67</v>
      </c>
      <c r="K6" s="70" t="s">
        <v>59</v>
      </c>
      <c r="L6" s="62">
        <v>32000</v>
      </c>
      <c r="M6" s="62" t="s">
        <v>57</v>
      </c>
      <c r="N6" s="62" t="s">
        <v>57</v>
      </c>
      <c r="O6" s="62" t="s">
        <v>68</v>
      </c>
      <c r="P6" s="62" t="s">
        <v>59</v>
      </c>
      <c r="Q6" s="53" t="s">
        <v>307</v>
      </c>
      <c r="R6" s="52" t="s">
        <v>328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69</v>
      </c>
      <c r="C7" s="66" t="s">
        <v>70</v>
      </c>
      <c r="D7" s="61">
        <v>2</v>
      </c>
      <c r="E7" s="61">
        <v>5</v>
      </c>
      <c r="F7" s="68">
        <v>35000</v>
      </c>
      <c r="G7" s="69">
        <v>40000</v>
      </c>
      <c r="H7" s="70" t="s">
        <v>57</v>
      </c>
      <c r="I7" s="70" t="s">
        <v>57</v>
      </c>
      <c r="J7" s="70" t="s">
        <v>71</v>
      </c>
      <c r="K7" s="70" t="s">
        <v>59</v>
      </c>
      <c r="L7" s="62">
        <v>37000</v>
      </c>
      <c r="M7" s="62" t="s">
        <v>57</v>
      </c>
      <c r="N7" s="62" t="s">
        <v>57</v>
      </c>
      <c r="O7" s="62" t="s">
        <v>72</v>
      </c>
      <c r="P7" s="62" t="s">
        <v>59</v>
      </c>
      <c r="Q7" s="53" t="s">
        <v>308</v>
      </c>
      <c r="R7" s="52" t="s">
        <v>339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73</v>
      </c>
      <c r="C8" s="66" t="s">
        <v>74</v>
      </c>
      <c r="D8" s="61">
        <v>2</v>
      </c>
      <c r="E8" s="61">
        <v>5</v>
      </c>
      <c r="F8" s="68">
        <v>40000</v>
      </c>
      <c r="G8" s="69">
        <v>45000</v>
      </c>
      <c r="H8" s="70" t="s">
        <v>57</v>
      </c>
      <c r="I8" s="70" t="s">
        <v>57</v>
      </c>
      <c r="J8" s="70" t="s">
        <v>75</v>
      </c>
      <c r="K8" s="70" t="s">
        <v>59</v>
      </c>
      <c r="L8" s="62">
        <v>42000</v>
      </c>
      <c r="M8" s="62" t="s">
        <v>57</v>
      </c>
      <c r="N8" s="62" t="s">
        <v>57</v>
      </c>
      <c r="O8" s="62" t="s">
        <v>76</v>
      </c>
      <c r="P8" s="62" t="s">
        <v>59</v>
      </c>
      <c r="Q8" s="53" t="s">
        <v>309</v>
      </c>
      <c r="R8" s="52" t="s">
        <v>340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77</v>
      </c>
      <c r="B9" s="65" t="s">
        <v>74</v>
      </c>
      <c r="C9" s="66" t="s">
        <v>78</v>
      </c>
      <c r="D9" s="61">
        <v>2</v>
      </c>
      <c r="E9" s="61">
        <v>5</v>
      </c>
      <c r="F9" s="68">
        <v>42000</v>
      </c>
      <c r="G9" s="69">
        <v>47000</v>
      </c>
      <c r="H9" s="70" t="s">
        <v>57</v>
      </c>
      <c r="I9" s="70" t="s">
        <v>57</v>
      </c>
      <c r="J9" s="70" t="s">
        <v>79</v>
      </c>
      <c r="K9" s="70" t="s">
        <v>59</v>
      </c>
      <c r="L9" s="62">
        <v>44000</v>
      </c>
      <c r="M9" s="62" t="s">
        <v>57</v>
      </c>
      <c r="N9" s="62" t="s">
        <v>57</v>
      </c>
      <c r="O9" s="62" t="s">
        <v>80</v>
      </c>
      <c r="P9" s="62" t="s">
        <v>59</v>
      </c>
      <c r="Q9" s="53" t="s">
        <v>310</v>
      </c>
      <c r="R9" s="52" t="s">
        <v>341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311</v>
      </c>
      <c r="R10" s="52" t="s">
        <v>342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312</v>
      </c>
      <c r="R11" s="52" t="s">
        <v>316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313</v>
      </c>
      <c r="R12" s="52" t="s">
        <v>329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3B3C-FA46-47AC-98CA-9038726F9244}">
  <dimension ref="A1:D1"/>
  <sheetViews>
    <sheetView workbookViewId="0"/>
  </sheetViews>
  <sheetFormatPr defaultRowHeight="16.5"/>
  <sheetData>
    <row r="1" spans="1:4">
      <c r="A1" t="s">
        <v>318</v>
      </c>
      <c r="B1" t="s">
        <v>319</v>
      </c>
      <c r="C1" t="s">
        <v>320</v>
      </c>
      <c r="D1" t="s">
        <v>321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F78E-1D8D-4A92-88F1-7AD368534582}">
  <dimension ref="A1:D74"/>
  <sheetViews>
    <sheetView workbookViewId="0"/>
  </sheetViews>
  <sheetFormatPr defaultRowHeight="16.5"/>
  <sheetData>
    <row r="1" spans="1:4">
      <c r="A1" t="s">
        <v>318</v>
      </c>
      <c r="B1" t="s">
        <v>319</v>
      </c>
      <c r="C1" t="s">
        <v>320</v>
      </c>
      <c r="D1" t="s">
        <v>321</v>
      </c>
    </row>
    <row r="2" spans="1:4">
      <c r="A2" t="s">
        <v>488</v>
      </c>
      <c r="B2" t="s">
        <v>684</v>
      </c>
      <c r="C2" t="s">
        <v>21</v>
      </c>
      <c r="D2" t="s">
        <v>259</v>
      </c>
    </row>
    <row r="3" spans="1:4">
      <c r="A3" t="s">
        <v>489</v>
      </c>
      <c r="B3" t="s">
        <v>496</v>
      </c>
      <c r="C3" t="s">
        <v>21</v>
      </c>
      <c r="D3" t="s">
        <v>173</v>
      </c>
    </row>
    <row r="4" spans="1:4">
      <c r="A4" t="s">
        <v>490</v>
      </c>
      <c r="B4" t="s">
        <v>498</v>
      </c>
      <c r="C4" t="s">
        <v>21</v>
      </c>
      <c r="D4" t="s">
        <v>260</v>
      </c>
    </row>
    <row r="5" spans="1:4">
      <c r="A5" t="s">
        <v>491</v>
      </c>
      <c r="B5" t="s">
        <v>500</v>
      </c>
      <c r="C5" t="s">
        <v>21</v>
      </c>
      <c r="D5" t="s">
        <v>586</v>
      </c>
    </row>
    <row r="6" spans="1:4">
      <c r="A6" t="s">
        <v>492</v>
      </c>
      <c r="B6" t="s">
        <v>687</v>
      </c>
      <c r="C6" t="s">
        <v>21</v>
      </c>
      <c r="D6" t="s">
        <v>504</v>
      </c>
    </row>
    <row r="7" spans="1:4">
      <c r="A7" t="s">
        <v>493</v>
      </c>
      <c r="B7" t="s">
        <v>502</v>
      </c>
      <c r="C7" t="s">
        <v>21</v>
      </c>
      <c r="D7" t="s">
        <v>505</v>
      </c>
    </row>
    <row r="8" spans="1:4">
      <c r="A8" t="s">
        <v>494</v>
      </c>
      <c r="B8" t="s">
        <v>690</v>
      </c>
      <c r="C8" t="s">
        <v>21</v>
      </c>
      <c r="D8" t="s">
        <v>658</v>
      </c>
    </row>
    <row r="9" spans="1:4">
      <c r="A9" t="s">
        <v>495</v>
      </c>
      <c r="B9" t="s">
        <v>693</v>
      </c>
      <c r="C9" t="s">
        <v>21</v>
      </c>
      <c r="D9" t="s">
        <v>587</v>
      </c>
    </row>
    <row r="10" spans="1:4">
      <c r="A10" t="s">
        <v>36</v>
      </c>
      <c r="B10" t="s">
        <v>512</v>
      </c>
      <c r="C10" t="s">
        <v>21</v>
      </c>
      <c r="D10" t="s">
        <v>622</v>
      </c>
    </row>
    <row r="11" spans="1:4">
      <c r="A11" t="s">
        <v>530</v>
      </c>
      <c r="B11" t="s">
        <v>696</v>
      </c>
      <c r="C11" t="s">
        <v>21</v>
      </c>
      <c r="D11" t="s">
        <v>719</v>
      </c>
    </row>
    <row r="12" spans="1:4">
      <c r="A12" t="s">
        <v>530</v>
      </c>
      <c r="B12" t="s">
        <v>708</v>
      </c>
      <c r="C12" t="s">
        <v>21</v>
      </c>
      <c r="D12" t="s">
        <v>720</v>
      </c>
    </row>
    <row r="13" spans="1:4">
      <c r="A13" t="s">
        <v>531</v>
      </c>
      <c r="B13" t="s">
        <v>588</v>
      </c>
      <c r="C13" t="s">
        <v>21</v>
      </c>
      <c r="D13" t="s">
        <v>623</v>
      </c>
    </row>
    <row r="14" spans="1:4">
      <c r="A14" t="s">
        <v>532</v>
      </c>
      <c r="B14" t="s">
        <v>590</v>
      </c>
      <c r="C14" t="s">
        <v>21</v>
      </c>
      <c r="D14" t="s">
        <v>645</v>
      </c>
    </row>
    <row r="15" spans="1:4">
      <c r="A15" t="s">
        <v>533</v>
      </c>
      <c r="B15" t="s">
        <v>699</v>
      </c>
      <c r="C15" t="s">
        <v>21</v>
      </c>
      <c r="D15" t="s">
        <v>659</v>
      </c>
    </row>
    <row r="16" spans="1:4">
      <c r="A16" t="s">
        <v>534</v>
      </c>
      <c r="B16" t="s">
        <v>744</v>
      </c>
      <c r="C16" t="s">
        <v>21</v>
      </c>
      <c r="D16" t="s">
        <v>767</v>
      </c>
    </row>
    <row r="17" spans="1:4">
      <c r="A17" t="s">
        <v>534</v>
      </c>
      <c r="B17" t="s">
        <v>592</v>
      </c>
      <c r="C17" t="s">
        <v>21</v>
      </c>
      <c r="D17" t="s">
        <v>506</v>
      </c>
    </row>
    <row r="18" spans="1:4">
      <c r="A18" t="s">
        <v>104</v>
      </c>
      <c r="B18" t="s">
        <v>702</v>
      </c>
      <c r="C18" t="s">
        <v>21</v>
      </c>
      <c r="D18" t="s">
        <v>507</v>
      </c>
    </row>
    <row r="19" spans="1:4">
      <c r="A19" t="s">
        <v>535</v>
      </c>
      <c r="B19" t="s">
        <v>705</v>
      </c>
      <c r="C19" t="s">
        <v>21</v>
      </c>
      <c r="D19" t="s">
        <v>508</v>
      </c>
    </row>
    <row r="20" spans="1:4">
      <c r="A20" t="s">
        <v>536</v>
      </c>
      <c r="B20" t="s">
        <v>593</v>
      </c>
      <c r="C20" t="s">
        <v>21</v>
      </c>
      <c r="D20" t="s">
        <v>646</v>
      </c>
    </row>
    <row r="21" spans="1:4">
      <c r="A21" t="s">
        <v>537</v>
      </c>
      <c r="B21" t="s">
        <v>595</v>
      </c>
      <c r="C21" t="s">
        <v>21</v>
      </c>
      <c r="D21" t="s">
        <v>599</v>
      </c>
    </row>
    <row r="22" spans="1:4">
      <c r="A22" t="s">
        <v>538</v>
      </c>
      <c r="B22" t="s">
        <v>711</v>
      </c>
      <c r="C22" t="s">
        <v>21</v>
      </c>
      <c r="D22" t="s">
        <v>678</v>
      </c>
    </row>
    <row r="23" spans="1:4">
      <c r="A23" t="s">
        <v>539</v>
      </c>
      <c r="B23" t="s">
        <v>713</v>
      </c>
      <c r="C23" t="s">
        <v>21</v>
      </c>
      <c r="D23" t="s">
        <v>265</v>
      </c>
    </row>
    <row r="24" spans="1:4">
      <c r="A24" t="s">
        <v>540</v>
      </c>
      <c r="B24" t="s">
        <v>597</v>
      </c>
      <c r="C24" t="s">
        <v>21</v>
      </c>
      <c r="D24" t="s">
        <v>600</v>
      </c>
    </row>
    <row r="25" spans="1:4">
      <c r="A25" t="s">
        <v>541</v>
      </c>
      <c r="B25" t="s">
        <v>716</v>
      </c>
      <c r="C25" t="s">
        <v>21</v>
      </c>
      <c r="D25" t="s">
        <v>266</v>
      </c>
    </row>
    <row r="26" spans="1:4">
      <c r="A26" t="s">
        <v>105</v>
      </c>
      <c r="B26" t="s">
        <v>528</v>
      </c>
      <c r="C26" t="s">
        <v>21</v>
      </c>
      <c r="D26" t="s">
        <v>509</v>
      </c>
    </row>
    <row r="27" spans="1:4">
      <c r="A27" t="s">
        <v>542</v>
      </c>
      <c r="B27" t="s">
        <v>721</v>
      </c>
      <c r="C27" t="s">
        <v>21</v>
      </c>
      <c r="D27" t="s">
        <v>605</v>
      </c>
    </row>
    <row r="28" spans="1:4">
      <c r="A28" t="s">
        <v>543</v>
      </c>
      <c r="B28" t="s">
        <v>601</v>
      </c>
      <c r="C28" t="s">
        <v>21</v>
      </c>
      <c r="D28" t="s">
        <v>606</v>
      </c>
    </row>
    <row r="29" spans="1:4">
      <c r="A29" t="s">
        <v>544</v>
      </c>
      <c r="B29" t="s">
        <v>603</v>
      </c>
      <c r="C29" t="s">
        <v>21</v>
      </c>
      <c r="D29" t="s">
        <v>510</v>
      </c>
    </row>
    <row r="30" spans="1:4">
      <c r="A30" t="s">
        <v>170</v>
      </c>
      <c r="B30" t="s">
        <v>724</v>
      </c>
      <c r="C30" t="s">
        <v>21</v>
      </c>
      <c r="D30" t="s">
        <v>511</v>
      </c>
    </row>
    <row r="31" spans="1:4">
      <c r="A31" t="s">
        <v>95</v>
      </c>
      <c r="B31" t="s">
        <v>727</v>
      </c>
      <c r="C31" t="s">
        <v>21</v>
      </c>
      <c r="D31" t="s">
        <v>267</v>
      </c>
    </row>
    <row r="32" spans="1:4">
      <c r="A32" t="s">
        <v>545</v>
      </c>
      <c r="B32" t="s">
        <v>687</v>
      </c>
      <c r="C32" t="s">
        <v>21</v>
      </c>
      <c r="D32" t="s">
        <v>611</v>
      </c>
    </row>
    <row r="33" spans="1:4">
      <c r="A33" t="s">
        <v>208</v>
      </c>
      <c r="B33" t="s">
        <v>516</v>
      </c>
      <c r="C33" t="s">
        <v>21</v>
      </c>
      <c r="D33" t="s">
        <v>268</v>
      </c>
    </row>
    <row r="34" spans="1:4">
      <c r="A34" t="s">
        <v>546</v>
      </c>
      <c r="B34" t="s">
        <v>607</v>
      </c>
      <c r="C34" t="s">
        <v>21</v>
      </c>
      <c r="D34" t="s">
        <v>624</v>
      </c>
    </row>
    <row r="35" spans="1:4">
      <c r="A35" t="s">
        <v>547</v>
      </c>
      <c r="B35" t="s">
        <v>609</v>
      </c>
      <c r="C35" t="s">
        <v>21</v>
      </c>
      <c r="D35" t="s">
        <v>269</v>
      </c>
    </row>
    <row r="36" spans="1:4">
      <c r="A36" t="s">
        <v>548</v>
      </c>
      <c r="B36" t="s">
        <v>612</v>
      </c>
      <c r="C36" t="s">
        <v>21</v>
      </c>
      <c r="D36" t="s">
        <v>615</v>
      </c>
    </row>
    <row r="37" spans="1:4">
      <c r="A37" t="s">
        <v>549</v>
      </c>
      <c r="B37" t="s">
        <v>730</v>
      </c>
      <c r="C37" t="s">
        <v>21</v>
      </c>
      <c r="D37" t="s">
        <v>616</v>
      </c>
    </row>
    <row r="38" spans="1:4">
      <c r="A38" t="s">
        <v>550</v>
      </c>
      <c r="B38" t="s">
        <v>733</v>
      </c>
      <c r="C38" t="s">
        <v>21</v>
      </c>
      <c r="D38" t="s">
        <v>514</v>
      </c>
    </row>
    <row r="39" spans="1:4">
      <c r="A39" t="s">
        <v>103</v>
      </c>
      <c r="B39" t="s">
        <v>126</v>
      </c>
      <c r="C39" t="s">
        <v>21</v>
      </c>
      <c r="D39" t="s">
        <v>515</v>
      </c>
    </row>
    <row r="40" spans="1:4">
      <c r="A40" t="s">
        <v>551</v>
      </c>
      <c r="B40" t="s">
        <v>613</v>
      </c>
      <c r="C40" t="s">
        <v>21</v>
      </c>
      <c r="D40" t="s">
        <v>617</v>
      </c>
    </row>
    <row r="41" spans="1:4">
      <c r="A41" t="s">
        <v>552</v>
      </c>
      <c r="B41" t="s">
        <v>738</v>
      </c>
      <c r="C41" t="s">
        <v>21</v>
      </c>
      <c r="D41" t="s">
        <v>625</v>
      </c>
    </row>
    <row r="42" spans="1:4">
      <c r="A42" t="s">
        <v>553</v>
      </c>
      <c r="B42" t="s">
        <v>618</v>
      </c>
      <c r="C42" t="s">
        <v>21</v>
      </c>
      <c r="D42" t="s">
        <v>626</v>
      </c>
    </row>
    <row r="43" spans="1:4">
      <c r="A43" t="s">
        <v>387</v>
      </c>
      <c r="B43" t="s">
        <v>603</v>
      </c>
      <c r="C43" t="s">
        <v>21</v>
      </c>
      <c r="D43" t="s">
        <v>627</v>
      </c>
    </row>
    <row r="44" spans="1:4">
      <c r="A44" t="s">
        <v>554</v>
      </c>
      <c r="B44" t="s">
        <v>620</v>
      </c>
      <c r="C44" t="s">
        <v>21</v>
      </c>
      <c r="D44" t="s">
        <v>274</v>
      </c>
    </row>
    <row r="45" spans="1:4">
      <c r="A45" t="s">
        <v>555</v>
      </c>
      <c r="B45" t="s">
        <v>256</v>
      </c>
      <c r="C45" t="s">
        <v>21</v>
      </c>
      <c r="D45" t="s">
        <v>518</v>
      </c>
    </row>
    <row r="46" spans="1:4">
      <c r="A46" t="s">
        <v>556</v>
      </c>
      <c r="B46" t="s">
        <v>629</v>
      </c>
      <c r="C46" t="s">
        <v>21</v>
      </c>
      <c r="D46" t="s">
        <v>519</v>
      </c>
    </row>
    <row r="47" spans="1:4">
      <c r="A47" t="s">
        <v>557</v>
      </c>
      <c r="B47" t="s">
        <v>741</v>
      </c>
      <c r="C47" t="s">
        <v>21</v>
      </c>
      <c r="D47" t="s">
        <v>647</v>
      </c>
    </row>
    <row r="48" spans="1:4">
      <c r="A48" t="s">
        <v>558</v>
      </c>
      <c r="B48" t="s">
        <v>631</v>
      </c>
      <c r="C48" t="s">
        <v>21</v>
      </c>
      <c r="D48" t="s">
        <v>520</v>
      </c>
    </row>
    <row r="49" spans="1:4">
      <c r="A49" t="s">
        <v>559</v>
      </c>
      <c r="B49" t="s">
        <v>633</v>
      </c>
      <c r="C49" t="s">
        <v>21</v>
      </c>
      <c r="D49" t="s">
        <v>521</v>
      </c>
    </row>
    <row r="50" spans="1:4">
      <c r="A50" t="s">
        <v>560</v>
      </c>
      <c r="B50" t="s">
        <v>635</v>
      </c>
      <c r="C50" t="s">
        <v>21</v>
      </c>
      <c r="D50" t="s">
        <v>522</v>
      </c>
    </row>
    <row r="51" spans="1:4">
      <c r="A51" t="s">
        <v>561</v>
      </c>
      <c r="B51" t="s">
        <v>637</v>
      </c>
      <c r="C51" t="s">
        <v>21</v>
      </c>
      <c r="D51" t="s">
        <v>523</v>
      </c>
    </row>
    <row r="52" spans="1:4">
      <c r="A52" t="s">
        <v>562</v>
      </c>
      <c r="B52" t="s">
        <v>639</v>
      </c>
      <c r="C52" t="s">
        <v>21</v>
      </c>
      <c r="D52" t="s">
        <v>524</v>
      </c>
    </row>
    <row r="53" spans="1:4">
      <c r="A53" t="s">
        <v>563</v>
      </c>
      <c r="B53" t="s">
        <v>641</v>
      </c>
      <c r="C53" t="s">
        <v>21</v>
      </c>
      <c r="D53" t="s">
        <v>648</v>
      </c>
    </row>
    <row r="54" spans="1:4">
      <c r="A54" t="s">
        <v>564</v>
      </c>
      <c r="B54" t="s">
        <v>643</v>
      </c>
      <c r="C54" t="s">
        <v>21</v>
      </c>
      <c r="D54" t="s">
        <v>649</v>
      </c>
    </row>
    <row r="55" spans="1:4">
      <c r="A55" t="s">
        <v>565</v>
      </c>
      <c r="B55" t="s">
        <v>132</v>
      </c>
      <c r="C55" t="s">
        <v>21</v>
      </c>
      <c r="D55" t="s">
        <v>282</v>
      </c>
    </row>
    <row r="56" spans="1:4">
      <c r="A56" t="s">
        <v>566</v>
      </c>
      <c r="B56" t="s">
        <v>650</v>
      </c>
      <c r="C56" t="s">
        <v>21</v>
      </c>
      <c r="D56" t="s">
        <v>283</v>
      </c>
    </row>
    <row r="57" spans="1:4">
      <c r="A57" t="s">
        <v>567</v>
      </c>
      <c r="B57" t="s">
        <v>652</v>
      </c>
      <c r="C57" t="s">
        <v>21</v>
      </c>
      <c r="D57" t="s">
        <v>284</v>
      </c>
    </row>
    <row r="58" spans="1:4">
      <c r="A58" t="s">
        <v>568</v>
      </c>
      <c r="B58" t="s">
        <v>747</v>
      </c>
      <c r="C58" t="s">
        <v>21</v>
      </c>
      <c r="D58" t="s">
        <v>285</v>
      </c>
    </row>
    <row r="59" spans="1:4">
      <c r="A59" t="s">
        <v>569</v>
      </c>
      <c r="B59" t="s">
        <v>654</v>
      </c>
      <c r="C59" t="s">
        <v>21</v>
      </c>
      <c r="D59" t="s">
        <v>660</v>
      </c>
    </row>
    <row r="60" spans="1:4">
      <c r="A60" t="s">
        <v>570</v>
      </c>
      <c r="B60" t="s">
        <v>656</v>
      </c>
      <c r="C60" t="s">
        <v>21</v>
      </c>
      <c r="D60" t="s">
        <v>286</v>
      </c>
    </row>
    <row r="61" spans="1:4">
      <c r="A61" t="s">
        <v>571</v>
      </c>
      <c r="B61" t="s">
        <v>661</v>
      </c>
      <c r="C61" t="s">
        <v>21</v>
      </c>
      <c r="D61" t="s">
        <v>288</v>
      </c>
    </row>
    <row r="62" spans="1:4">
      <c r="A62" t="s">
        <v>572</v>
      </c>
      <c r="B62" t="s">
        <v>663</v>
      </c>
      <c r="C62" t="s">
        <v>21</v>
      </c>
      <c r="D62" t="s">
        <v>673</v>
      </c>
    </row>
    <row r="63" spans="1:4">
      <c r="A63" t="s">
        <v>573</v>
      </c>
      <c r="B63" t="s">
        <v>665</v>
      </c>
      <c r="C63" t="s">
        <v>21</v>
      </c>
      <c r="D63" t="s">
        <v>526</v>
      </c>
    </row>
    <row r="64" spans="1:4">
      <c r="A64" t="s">
        <v>574</v>
      </c>
      <c r="B64" t="s">
        <v>667</v>
      </c>
      <c r="C64" t="s">
        <v>21</v>
      </c>
      <c r="D64" t="s">
        <v>527</v>
      </c>
    </row>
    <row r="65" spans="1:4">
      <c r="A65" t="s">
        <v>575</v>
      </c>
      <c r="B65" t="s">
        <v>669</v>
      </c>
      <c r="C65" t="s">
        <v>21</v>
      </c>
      <c r="D65" t="s">
        <v>674</v>
      </c>
    </row>
    <row r="66" spans="1:4">
      <c r="A66" t="s">
        <v>576</v>
      </c>
      <c r="B66" t="s">
        <v>671</v>
      </c>
      <c r="C66" t="s">
        <v>21</v>
      </c>
      <c r="D66" t="s">
        <v>675</v>
      </c>
    </row>
    <row r="67" spans="1:4">
      <c r="A67" t="s">
        <v>577</v>
      </c>
      <c r="B67" t="s">
        <v>750</v>
      </c>
      <c r="C67" t="s">
        <v>21</v>
      </c>
      <c r="D67" t="s">
        <v>679</v>
      </c>
    </row>
    <row r="68" spans="1:4">
      <c r="A68" t="s">
        <v>578</v>
      </c>
      <c r="B68" t="s">
        <v>753</v>
      </c>
      <c r="C68" t="s">
        <v>21</v>
      </c>
      <c r="D68" t="s">
        <v>292</v>
      </c>
    </row>
    <row r="69" spans="1:4">
      <c r="A69" t="s">
        <v>579</v>
      </c>
      <c r="B69" t="s">
        <v>756</v>
      </c>
      <c r="C69" t="s">
        <v>21</v>
      </c>
      <c r="D69" t="s">
        <v>293</v>
      </c>
    </row>
    <row r="70" spans="1:4">
      <c r="A70" t="s">
        <v>580</v>
      </c>
      <c r="B70" t="s">
        <v>759</v>
      </c>
      <c r="C70" t="s">
        <v>21</v>
      </c>
      <c r="D70" t="s">
        <v>680</v>
      </c>
    </row>
    <row r="71" spans="1:4">
      <c r="A71" t="s">
        <v>581</v>
      </c>
      <c r="B71" t="s">
        <v>676</v>
      </c>
      <c r="C71" t="s">
        <v>21</v>
      </c>
      <c r="D71" t="s">
        <v>681</v>
      </c>
    </row>
    <row r="72" spans="1:4">
      <c r="A72" t="s">
        <v>582</v>
      </c>
      <c r="B72" t="s">
        <v>770</v>
      </c>
      <c r="C72" t="s">
        <v>21</v>
      </c>
      <c r="D72" t="s">
        <v>682</v>
      </c>
    </row>
    <row r="73" spans="1:4">
      <c r="A73" t="s">
        <v>583</v>
      </c>
      <c r="B73" t="s">
        <v>641</v>
      </c>
      <c r="C73" t="s">
        <v>21</v>
      </c>
      <c r="D73" t="s">
        <v>294</v>
      </c>
    </row>
    <row r="74" spans="1:4">
      <c r="A74" t="s">
        <v>192</v>
      </c>
      <c r="B74" t="s">
        <v>764</v>
      </c>
      <c r="C74" t="s">
        <v>21</v>
      </c>
      <c r="D74" t="s">
        <v>176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A715-FD18-44B4-965C-515C5227DB6B}">
  <dimension ref="A1:D3"/>
  <sheetViews>
    <sheetView workbookViewId="0"/>
  </sheetViews>
  <sheetFormatPr defaultRowHeight="16.5"/>
  <sheetData>
    <row r="1" spans="1:4">
      <c r="A1" t="s">
        <v>318</v>
      </c>
      <c r="B1" t="s">
        <v>319</v>
      </c>
      <c r="C1" t="s">
        <v>320</v>
      </c>
      <c r="D1" t="s">
        <v>321</v>
      </c>
    </row>
    <row r="2" spans="1:4">
      <c r="A2" t="s">
        <v>530</v>
      </c>
      <c r="B2" t="s">
        <v>708</v>
      </c>
      <c r="C2" t="s">
        <v>21</v>
      </c>
      <c r="D2" t="s">
        <v>720</v>
      </c>
    </row>
    <row r="3" spans="1:4">
      <c r="A3" t="s">
        <v>534</v>
      </c>
      <c r="B3" t="s">
        <v>592</v>
      </c>
      <c r="C3" t="s">
        <v>21</v>
      </c>
      <c r="D3" t="s">
        <v>506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tabSelected="1" zoomScale="50" zoomScaleNormal="50"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D53" sqref="D5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584</v>
      </c>
    </row>
    <row r="4" spans="1:22" s="6" customFormat="1" ht="36" customHeight="1">
      <c r="B4" s="16"/>
      <c r="D4" s="88"/>
      <c r="E4" s="88" t="s">
        <v>685</v>
      </c>
      <c r="F4" s="88" t="s">
        <v>496</v>
      </c>
      <c r="G4" s="88" t="s">
        <v>498</v>
      </c>
      <c r="H4" s="88" t="s">
        <v>500</v>
      </c>
      <c r="I4" s="88"/>
      <c r="J4" s="88" t="s">
        <v>688</v>
      </c>
      <c r="K4" s="88" t="s">
        <v>502</v>
      </c>
      <c r="L4" s="88" t="s">
        <v>691</v>
      </c>
      <c r="M4" s="88" t="s">
        <v>694</v>
      </c>
      <c r="N4" s="88"/>
      <c r="O4" s="46"/>
      <c r="P4" s="46"/>
      <c r="Q4" s="46"/>
      <c r="R4" s="46"/>
      <c r="S4" s="17"/>
      <c r="V4" s="85"/>
    </row>
    <row r="5" spans="1:22" s="6" customFormat="1" ht="80.099999999999994" customHeight="1">
      <c r="B5" s="18">
        <v>1</v>
      </c>
      <c r="D5" s="87" t="s">
        <v>34</v>
      </c>
      <c r="E5" s="79" t="s">
        <v>488</v>
      </c>
      <c r="F5" s="87" t="s">
        <v>489</v>
      </c>
      <c r="G5" s="79" t="s">
        <v>490</v>
      </c>
      <c r="H5" s="87" t="s">
        <v>491</v>
      </c>
      <c r="I5" s="87" t="s">
        <v>37</v>
      </c>
      <c r="J5" s="79" t="s">
        <v>492</v>
      </c>
      <c r="K5" s="87" t="s">
        <v>493</v>
      </c>
      <c r="L5" s="79" t="s">
        <v>494</v>
      </c>
      <c r="M5" s="87" t="s">
        <v>495</v>
      </c>
      <c r="N5" s="87" t="str">
        <f>CHAR(10)</f>
        <v xml:space="preserve">
</v>
      </c>
      <c r="O5" s="87"/>
      <c r="P5" s="87"/>
      <c r="Q5" s="87"/>
      <c r="R5" s="87"/>
      <c r="S5" s="19"/>
      <c r="V5" s="85"/>
    </row>
    <row r="6" spans="1:22" s="23" customFormat="1" ht="36" customHeight="1">
      <c r="B6" s="20"/>
      <c r="C6" s="21"/>
      <c r="D6" s="89"/>
      <c r="E6" s="89" t="s">
        <v>686</v>
      </c>
      <c r="F6" s="89" t="s">
        <v>497</v>
      </c>
      <c r="G6" s="89" t="s">
        <v>499</v>
      </c>
      <c r="H6" s="89" t="s">
        <v>501</v>
      </c>
      <c r="I6" s="89"/>
      <c r="J6" s="89" t="s">
        <v>689</v>
      </c>
      <c r="K6" s="89" t="s">
        <v>503</v>
      </c>
      <c r="L6" s="89" t="s">
        <v>692</v>
      </c>
      <c r="M6" s="89" t="s">
        <v>695</v>
      </c>
      <c r="N6" s="89"/>
      <c r="O6" s="73"/>
      <c r="P6" s="73"/>
      <c r="Q6" s="73"/>
      <c r="R6" s="73"/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 t="s">
        <v>592</v>
      </c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88" t="s">
        <v>512</v>
      </c>
      <c r="E8" s="88" t="s">
        <v>697</v>
      </c>
      <c r="F8" s="88" t="s">
        <v>588</v>
      </c>
      <c r="G8" s="88" t="s">
        <v>512</v>
      </c>
      <c r="H8" s="88" t="s">
        <v>590</v>
      </c>
      <c r="I8" s="88"/>
      <c r="J8" s="88" t="s">
        <v>700</v>
      </c>
      <c r="K8" s="88" t="s">
        <v>768</v>
      </c>
      <c r="L8" s="88" t="s">
        <v>697</v>
      </c>
      <c r="M8" s="88" t="s">
        <v>588</v>
      </c>
      <c r="N8" s="88" t="s">
        <v>703</v>
      </c>
      <c r="O8" s="88" t="s">
        <v>706</v>
      </c>
      <c r="P8" s="88"/>
      <c r="Q8" s="88"/>
      <c r="R8" s="88"/>
      <c r="S8" s="17"/>
      <c r="V8" s="85"/>
    </row>
    <row r="9" spans="1:22" s="6" customFormat="1" ht="80.099999999999994" customHeight="1">
      <c r="B9" s="18">
        <f>B5+1</f>
        <v>2</v>
      </c>
      <c r="D9" s="79" t="s">
        <v>36</v>
      </c>
      <c r="E9" s="87" t="s">
        <v>530</v>
      </c>
      <c r="F9" s="79" t="s">
        <v>531</v>
      </c>
      <c r="G9" s="79" t="s">
        <v>36</v>
      </c>
      <c r="H9" s="87" t="s">
        <v>532</v>
      </c>
      <c r="I9" s="87" t="s">
        <v>18</v>
      </c>
      <c r="J9" s="79" t="s">
        <v>533</v>
      </c>
      <c r="K9" s="79" t="s">
        <v>534</v>
      </c>
      <c r="L9" s="87" t="s">
        <v>530</v>
      </c>
      <c r="M9" s="79" t="s">
        <v>531</v>
      </c>
      <c r="N9" s="79" t="s">
        <v>104</v>
      </c>
      <c r="O9" s="87" t="s">
        <v>535</v>
      </c>
      <c r="P9" s="87" t="s">
        <v>19</v>
      </c>
      <c r="Q9" s="87" t="str">
        <f>CHAR(10)</f>
        <v xml:space="preserve">
</v>
      </c>
      <c r="R9" s="87"/>
      <c r="S9" s="19"/>
      <c r="T9" s="15"/>
      <c r="V9" s="85"/>
    </row>
    <row r="10" spans="1:22" s="6" customFormat="1" ht="36" customHeight="1">
      <c r="B10" s="20"/>
      <c r="D10" s="89" t="s">
        <v>513</v>
      </c>
      <c r="E10" s="89" t="s">
        <v>698</v>
      </c>
      <c r="F10" s="89" t="s">
        <v>589</v>
      </c>
      <c r="G10" s="89" t="s">
        <v>513</v>
      </c>
      <c r="H10" s="89" t="s">
        <v>591</v>
      </c>
      <c r="I10" s="89"/>
      <c r="J10" s="89" t="s">
        <v>701</v>
      </c>
      <c r="K10" s="89" t="s">
        <v>769</v>
      </c>
      <c r="L10" s="89" t="s">
        <v>698</v>
      </c>
      <c r="M10" s="89" t="s">
        <v>589</v>
      </c>
      <c r="N10" s="89" t="s">
        <v>704</v>
      </c>
      <c r="O10" s="89" t="s">
        <v>707</v>
      </c>
      <c r="P10" s="89"/>
      <c r="Q10" s="89"/>
      <c r="R10" s="89"/>
      <c r="S10" s="28"/>
      <c r="V10" s="85"/>
    </row>
    <row r="11" spans="1:22" s="26" customFormat="1" ht="60" customHeight="1">
      <c r="B11" s="29"/>
      <c r="C11" s="30"/>
      <c r="D11" s="47" t="s">
        <v>708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88" t="s">
        <v>709</v>
      </c>
      <c r="E12" s="88" t="s">
        <v>700</v>
      </c>
      <c r="F12" s="88" t="s">
        <v>593</v>
      </c>
      <c r="G12" s="88" t="s">
        <v>595</v>
      </c>
      <c r="H12" s="88" t="s">
        <v>712</v>
      </c>
      <c r="I12" s="88"/>
      <c r="J12" s="88" t="s">
        <v>714</v>
      </c>
      <c r="K12" s="88" t="s">
        <v>700</v>
      </c>
      <c r="L12" s="88" t="s">
        <v>597</v>
      </c>
      <c r="M12" s="88" t="s">
        <v>595</v>
      </c>
      <c r="N12" s="88" t="s">
        <v>717</v>
      </c>
      <c r="O12" s="88"/>
      <c r="P12" s="88"/>
      <c r="Q12" s="46"/>
      <c r="R12" s="46"/>
      <c r="S12" s="17"/>
      <c r="V12" s="85"/>
    </row>
    <row r="13" spans="1:22" s="6" customFormat="1" ht="80.099999999999994" customHeight="1">
      <c r="B13" s="18">
        <f>B9+1</f>
        <v>3</v>
      </c>
      <c r="D13" s="79" t="s">
        <v>530</v>
      </c>
      <c r="E13" s="87" t="s">
        <v>533</v>
      </c>
      <c r="F13" s="79" t="s">
        <v>536</v>
      </c>
      <c r="G13" s="79" t="s">
        <v>537</v>
      </c>
      <c r="H13" s="87" t="s">
        <v>538</v>
      </c>
      <c r="I13" s="87" t="s">
        <v>18</v>
      </c>
      <c r="J13" s="79" t="s">
        <v>539</v>
      </c>
      <c r="K13" s="87" t="s">
        <v>533</v>
      </c>
      <c r="L13" s="79" t="s">
        <v>540</v>
      </c>
      <c r="M13" s="79" t="s">
        <v>537</v>
      </c>
      <c r="N13" s="87" t="s">
        <v>541</v>
      </c>
      <c r="O13" s="87" t="s">
        <v>19</v>
      </c>
      <c r="P13" s="87" t="str">
        <f>CHAR(10)</f>
        <v xml:space="preserve">
</v>
      </c>
      <c r="Q13" s="87"/>
      <c r="R13" s="87"/>
      <c r="S13" s="19"/>
      <c r="V13" s="85"/>
    </row>
    <row r="14" spans="1:22" s="6" customFormat="1" ht="36" customHeight="1">
      <c r="B14" s="20"/>
      <c r="D14" s="89" t="s">
        <v>710</v>
      </c>
      <c r="E14" s="89" t="s">
        <v>701</v>
      </c>
      <c r="F14" s="89" t="s">
        <v>594</v>
      </c>
      <c r="G14" s="89" t="s">
        <v>596</v>
      </c>
      <c r="H14" s="89" t="s">
        <v>326</v>
      </c>
      <c r="I14" s="89"/>
      <c r="J14" s="89" t="s">
        <v>715</v>
      </c>
      <c r="K14" s="89" t="s">
        <v>701</v>
      </c>
      <c r="L14" s="89" t="s">
        <v>598</v>
      </c>
      <c r="M14" s="89" t="s">
        <v>596</v>
      </c>
      <c r="N14" s="89" t="s">
        <v>718</v>
      </c>
      <c r="O14" s="89"/>
      <c r="P14" s="89"/>
      <c r="Q14" s="73"/>
      <c r="R14" s="73"/>
      <c r="S14" s="28"/>
      <c r="V14" s="85"/>
    </row>
    <row r="15" spans="1:22" s="32" customFormat="1" ht="60" customHeight="1">
      <c r="B15" s="12"/>
      <c r="C15" s="31"/>
      <c r="D15" s="47" t="s">
        <v>708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88" t="s">
        <v>709</v>
      </c>
      <c r="E16" s="88" t="s">
        <v>528</v>
      </c>
      <c r="F16" s="88" t="s">
        <v>512</v>
      </c>
      <c r="G16" s="88" t="s">
        <v>722</v>
      </c>
      <c r="H16" s="88" t="s">
        <v>601</v>
      </c>
      <c r="I16" s="88"/>
      <c r="J16" s="88" t="s">
        <v>697</v>
      </c>
      <c r="K16" s="88" t="s">
        <v>603</v>
      </c>
      <c r="L16" s="88" t="s">
        <v>512</v>
      </c>
      <c r="M16" s="88" t="s">
        <v>722</v>
      </c>
      <c r="N16" s="88" t="s">
        <v>725</v>
      </c>
      <c r="O16" s="88"/>
      <c r="P16" s="88"/>
      <c r="Q16" s="88"/>
      <c r="R16" s="88"/>
      <c r="S16" s="17"/>
      <c r="V16" s="85"/>
    </row>
    <row r="17" spans="2:22" s="6" customFormat="1" ht="80.099999999999994" customHeight="1">
      <c r="B17" s="18">
        <f>B13+1</f>
        <v>4</v>
      </c>
      <c r="D17" s="79" t="s">
        <v>530</v>
      </c>
      <c r="E17" s="87" t="s">
        <v>105</v>
      </c>
      <c r="F17" s="79" t="s">
        <v>36</v>
      </c>
      <c r="G17" s="79" t="s">
        <v>542</v>
      </c>
      <c r="H17" s="87" t="s">
        <v>543</v>
      </c>
      <c r="I17" s="87" t="s">
        <v>18</v>
      </c>
      <c r="J17" s="79" t="s">
        <v>530</v>
      </c>
      <c r="K17" s="87" t="s">
        <v>544</v>
      </c>
      <c r="L17" s="79" t="s">
        <v>36</v>
      </c>
      <c r="M17" s="79" t="s">
        <v>542</v>
      </c>
      <c r="N17" s="87" t="s">
        <v>170</v>
      </c>
      <c r="O17" s="87" t="s">
        <v>19</v>
      </c>
      <c r="P17" s="87" t="str">
        <f>CHAR(10)</f>
        <v xml:space="preserve">
</v>
      </c>
      <c r="Q17" s="87"/>
      <c r="R17" s="87"/>
      <c r="S17" s="19"/>
      <c r="V17" s="85"/>
    </row>
    <row r="18" spans="2:22" s="6" customFormat="1" ht="36" customHeight="1">
      <c r="B18" s="20"/>
      <c r="D18" s="89" t="s">
        <v>710</v>
      </c>
      <c r="E18" s="89" t="s">
        <v>529</v>
      </c>
      <c r="F18" s="89" t="s">
        <v>513</v>
      </c>
      <c r="G18" s="89" t="s">
        <v>723</v>
      </c>
      <c r="H18" s="89" t="s">
        <v>602</v>
      </c>
      <c r="I18" s="89"/>
      <c r="J18" s="89" t="s">
        <v>698</v>
      </c>
      <c r="K18" s="89" t="s">
        <v>604</v>
      </c>
      <c r="L18" s="89" t="s">
        <v>513</v>
      </c>
      <c r="M18" s="89" t="s">
        <v>723</v>
      </c>
      <c r="N18" s="89" t="s">
        <v>726</v>
      </c>
      <c r="O18" s="89"/>
      <c r="P18" s="89"/>
      <c r="Q18" s="89"/>
      <c r="R18" s="89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88" t="s">
        <v>728</v>
      </c>
      <c r="E20" s="88" t="s">
        <v>688</v>
      </c>
      <c r="F20" s="88" t="s">
        <v>516</v>
      </c>
      <c r="G20" s="88"/>
      <c r="H20" s="88" t="s">
        <v>607</v>
      </c>
      <c r="I20" s="88" t="s">
        <v>688</v>
      </c>
      <c r="J20" s="88" t="s">
        <v>609</v>
      </c>
      <c r="K20" s="88"/>
      <c r="L20" s="88"/>
      <c r="M20" s="46"/>
      <c r="N20" s="46"/>
      <c r="O20" s="46"/>
      <c r="P20" s="46"/>
      <c r="Q20" s="46"/>
      <c r="R20" s="46"/>
      <c r="S20" s="17"/>
      <c r="V20" s="85"/>
    </row>
    <row r="21" spans="2:22" s="6" customFormat="1" ht="80.099999999999994" customHeight="1">
      <c r="B21" s="18">
        <f>B17+1</f>
        <v>5</v>
      </c>
      <c r="D21" s="79" t="s">
        <v>95</v>
      </c>
      <c r="E21" s="79" t="s">
        <v>545</v>
      </c>
      <c r="F21" s="87" t="s">
        <v>208</v>
      </c>
      <c r="G21" s="87" t="s">
        <v>18</v>
      </c>
      <c r="H21" s="79" t="s">
        <v>546</v>
      </c>
      <c r="I21" s="79" t="s">
        <v>545</v>
      </c>
      <c r="J21" s="87" t="s">
        <v>547</v>
      </c>
      <c r="K21" s="87" t="s">
        <v>19</v>
      </c>
      <c r="L21" s="87" t="str">
        <f>CHAR(10)</f>
        <v xml:space="preserve">
</v>
      </c>
      <c r="M21" s="87"/>
      <c r="N21" s="87"/>
      <c r="O21" s="87"/>
      <c r="P21" s="87"/>
      <c r="Q21" s="87"/>
      <c r="R21" s="87"/>
      <c r="S21" s="19"/>
      <c r="V21" s="85"/>
    </row>
    <row r="22" spans="2:22" s="6" customFormat="1" ht="36" customHeight="1">
      <c r="B22" s="20"/>
      <c r="D22" s="89" t="s">
        <v>729</v>
      </c>
      <c r="E22" s="89" t="s">
        <v>689</v>
      </c>
      <c r="F22" s="89" t="s">
        <v>517</v>
      </c>
      <c r="G22" s="89"/>
      <c r="H22" s="89" t="s">
        <v>608</v>
      </c>
      <c r="I22" s="89" t="s">
        <v>689</v>
      </c>
      <c r="J22" s="89" t="s">
        <v>610</v>
      </c>
      <c r="K22" s="89"/>
      <c r="L22" s="89"/>
      <c r="M22" s="73"/>
      <c r="N22" s="73"/>
      <c r="O22" s="73"/>
      <c r="P22" s="73"/>
      <c r="Q22" s="73"/>
      <c r="R22" s="73"/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88" t="s">
        <v>612</v>
      </c>
      <c r="E24" s="88" t="s">
        <v>697</v>
      </c>
      <c r="F24" s="88" t="s">
        <v>700</v>
      </c>
      <c r="G24" s="88" t="s">
        <v>612</v>
      </c>
      <c r="H24" s="88" t="s">
        <v>691</v>
      </c>
      <c r="I24" s="88"/>
      <c r="J24" s="88" t="s">
        <v>731</v>
      </c>
      <c r="K24" s="88" t="s">
        <v>734</v>
      </c>
      <c r="L24" s="88" t="s">
        <v>736</v>
      </c>
      <c r="M24" s="88" t="s">
        <v>613</v>
      </c>
      <c r="N24" s="88" t="s">
        <v>731</v>
      </c>
      <c r="O24" s="88" t="s">
        <v>691</v>
      </c>
      <c r="P24" s="88"/>
      <c r="Q24" s="88"/>
      <c r="R24" s="88"/>
      <c r="S24" s="17"/>
      <c r="V24" s="85"/>
    </row>
    <row r="25" spans="2:22" s="6" customFormat="1" ht="80.099999999999994" customHeight="1">
      <c r="B25" s="18">
        <f>B21+1</f>
        <v>6</v>
      </c>
      <c r="D25" s="79" t="s">
        <v>548</v>
      </c>
      <c r="E25" s="87" t="s">
        <v>530</v>
      </c>
      <c r="F25" s="79" t="s">
        <v>533</v>
      </c>
      <c r="G25" s="79" t="s">
        <v>548</v>
      </c>
      <c r="H25" s="87" t="s">
        <v>494</v>
      </c>
      <c r="I25" s="87" t="s">
        <v>19</v>
      </c>
      <c r="J25" s="79" t="s">
        <v>549</v>
      </c>
      <c r="K25" s="87" t="s">
        <v>550</v>
      </c>
      <c r="L25" s="79" t="s">
        <v>103</v>
      </c>
      <c r="M25" s="87" t="s">
        <v>551</v>
      </c>
      <c r="N25" s="79" t="s">
        <v>549</v>
      </c>
      <c r="O25" s="87" t="s">
        <v>494</v>
      </c>
      <c r="P25" s="87" t="s">
        <v>19</v>
      </c>
      <c r="Q25" s="87" t="str">
        <f>CHAR(10)</f>
        <v xml:space="preserve">
</v>
      </c>
      <c r="R25" s="87"/>
      <c r="S25" s="19"/>
      <c r="V25" s="85"/>
    </row>
    <row r="26" spans="2:22" s="6" customFormat="1" ht="36" customHeight="1">
      <c r="B26" s="20"/>
      <c r="D26" s="89" t="s">
        <v>315</v>
      </c>
      <c r="E26" s="89" t="s">
        <v>698</v>
      </c>
      <c r="F26" s="89" t="s">
        <v>701</v>
      </c>
      <c r="G26" s="89" t="s">
        <v>315</v>
      </c>
      <c r="H26" s="89" t="s">
        <v>692</v>
      </c>
      <c r="I26" s="89"/>
      <c r="J26" s="89" t="s">
        <v>732</v>
      </c>
      <c r="K26" s="89" t="s">
        <v>735</v>
      </c>
      <c r="L26" s="89" t="s">
        <v>737</v>
      </c>
      <c r="M26" s="89" t="s">
        <v>614</v>
      </c>
      <c r="N26" s="89" t="s">
        <v>732</v>
      </c>
      <c r="O26" s="89" t="s">
        <v>692</v>
      </c>
      <c r="P26" s="89"/>
      <c r="Q26" s="89"/>
      <c r="R26" s="89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>n</v>
      </c>
      <c r="V27" s="85"/>
    </row>
    <row r="28" spans="2:22" s="6" customFormat="1" ht="36" customHeight="1">
      <c r="B28" s="16"/>
      <c r="D28" s="88" t="s">
        <v>739</v>
      </c>
      <c r="E28" s="88" t="s">
        <v>618</v>
      </c>
      <c r="F28" s="88" t="s">
        <v>588</v>
      </c>
      <c r="G28" s="88" t="s">
        <v>607</v>
      </c>
      <c r="H28" s="88" t="s">
        <v>603</v>
      </c>
      <c r="I28" s="88" t="s">
        <v>512</v>
      </c>
      <c r="J28" s="88" t="s">
        <v>620</v>
      </c>
      <c r="K28" s="88" t="s">
        <v>697</v>
      </c>
      <c r="L28" s="88"/>
      <c r="M28" s="88"/>
      <c r="N28" s="46"/>
      <c r="O28" s="46"/>
      <c r="P28" s="46"/>
      <c r="Q28" s="46"/>
      <c r="R28" s="46"/>
      <c r="S28" s="17"/>
      <c r="U28" s="32" t="str">
        <f t="shared" si="1"/>
        <v>n</v>
      </c>
      <c r="V28" s="85"/>
    </row>
    <row r="29" spans="2:22" s="6" customFormat="1" ht="80.099999999999994" customHeight="1">
      <c r="B29" s="18">
        <f>B25+1</f>
        <v>7</v>
      </c>
      <c r="D29" s="79" t="s">
        <v>552</v>
      </c>
      <c r="E29" s="79" t="s">
        <v>553</v>
      </c>
      <c r="F29" s="87" t="s">
        <v>531</v>
      </c>
      <c r="G29" s="79" t="s">
        <v>546</v>
      </c>
      <c r="H29" s="87" t="s">
        <v>387</v>
      </c>
      <c r="I29" s="79" t="s">
        <v>36</v>
      </c>
      <c r="J29" s="79" t="s">
        <v>554</v>
      </c>
      <c r="K29" s="87" t="s">
        <v>530</v>
      </c>
      <c r="L29" s="87" t="s">
        <v>19</v>
      </c>
      <c r="M29" s="87" t="str">
        <f>CHAR(10)</f>
        <v xml:space="preserve">
</v>
      </c>
      <c r="N29" s="87"/>
      <c r="O29" s="87"/>
      <c r="P29" s="87"/>
      <c r="Q29" s="87"/>
      <c r="R29" s="87"/>
      <c r="S29" s="19"/>
      <c r="U29" s="32" t="str">
        <f t="shared" si="1"/>
        <v>n</v>
      </c>
      <c r="V29" s="85"/>
    </row>
    <row r="30" spans="2:22" s="6" customFormat="1" ht="36" customHeight="1">
      <c r="B30" s="20"/>
      <c r="D30" s="89" t="s">
        <v>740</v>
      </c>
      <c r="E30" s="89" t="s">
        <v>619</v>
      </c>
      <c r="F30" s="89" t="s">
        <v>589</v>
      </c>
      <c r="G30" s="89" t="s">
        <v>608</v>
      </c>
      <c r="H30" s="89" t="s">
        <v>604</v>
      </c>
      <c r="I30" s="89" t="s">
        <v>513</v>
      </c>
      <c r="J30" s="89" t="s">
        <v>621</v>
      </c>
      <c r="K30" s="89" t="s">
        <v>698</v>
      </c>
      <c r="L30" s="89"/>
      <c r="M30" s="89"/>
      <c r="N30" s="73"/>
      <c r="O30" s="73"/>
      <c r="P30" s="73"/>
      <c r="Q30" s="73"/>
      <c r="R30" s="73"/>
      <c r="S30" s="28"/>
      <c r="U30" s="32" t="str">
        <f t="shared" si="1"/>
        <v>n</v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>n</v>
      </c>
      <c r="V31" s="85"/>
    </row>
    <row r="32" spans="2:22" s="6" customFormat="1" ht="36" customHeight="1">
      <c r="B32" s="16"/>
      <c r="D32" s="88" t="s">
        <v>590</v>
      </c>
      <c r="E32" s="88" t="s">
        <v>256</v>
      </c>
      <c r="F32" s="88" t="s">
        <v>629</v>
      </c>
      <c r="G32" s="88" t="s">
        <v>593</v>
      </c>
      <c r="H32" s="88" t="s">
        <v>742</v>
      </c>
      <c r="I32" s="88" t="s">
        <v>631</v>
      </c>
      <c r="J32" s="88"/>
      <c r="K32" s="88" t="s">
        <v>633</v>
      </c>
      <c r="L32" s="88" t="s">
        <v>635</v>
      </c>
      <c r="M32" s="88" t="s">
        <v>637</v>
      </c>
      <c r="N32" s="88" t="s">
        <v>639</v>
      </c>
      <c r="O32" s="88" t="s">
        <v>641</v>
      </c>
      <c r="P32" s="88" t="s">
        <v>643</v>
      </c>
      <c r="Q32" s="88" t="s">
        <v>745</v>
      </c>
      <c r="R32" s="88" t="s">
        <v>691</v>
      </c>
      <c r="S32" s="17"/>
      <c r="U32" s="32" t="str">
        <f t="shared" si="1"/>
        <v>n</v>
      </c>
      <c r="V32" s="85"/>
    </row>
    <row r="33" spans="2:22" s="6" customFormat="1" ht="80.099999999999994" customHeight="1">
      <c r="B33" s="18">
        <f>B29+1</f>
        <v>8</v>
      </c>
      <c r="D33" s="79" t="s">
        <v>532</v>
      </c>
      <c r="E33" s="87" t="s">
        <v>555</v>
      </c>
      <c r="F33" s="87" t="s">
        <v>556</v>
      </c>
      <c r="G33" s="79" t="s">
        <v>536</v>
      </c>
      <c r="H33" s="79" t="s">
        <v>557</v>
      </c>
      <c r="I33" s="87" t="s">
        <v>558</v>
      </c>
      <c r="J33" s="87" t="s">
        <v>18</v>
      </c>
      <c r="K33" s="79" t="s">
        <v>559</v>
      </c>
      <c r="L33" s="79" t="s">
        <v>560</v>
      </c>
      <c r="M33" s="87" t="s">
        <v>561</v>
      </c>
      <c r="N33" s="79" t="s">
        <v>562</v>
      </c>
      <c r="O33" s="87" t="s">
        <v>563</v>
      </c>
      <c r="P33" s="79" t="s">
        <v>564</v>
      </c>
      <c r="Q33" s="79" t="s">
        <v>534</v>
      </c>
      <c r="R33" s="87" t="s">
        <v>494</v>
      </c>
      <c r="S33" s="19"/>
      <c r="V33" s="85"/>
    </row>
    <row r="34" spans="2:22" s="6" customFormat="1" ht="36" customHeight="1">
      <c r="B34" s="20"/>
      <c r="D34" s="89" t="s">
        <v>591</v>
      </c>
      <c r="E34" s="89" t="s">
        <v>628</v>
      </c>
      <c r="F34" s="89" t="s">
        <v>630</v>
      </c>
      <c r="G34" s="89" t="s">
        <v>594</v>
      </c>
      <c r="H34" s="89" t="s">
        <v>743</v>
      </c>
      <c r="I34" s="89" t="s">
        <v>632</v>
      </c>
      <c r="J34" s="89"/>
      <c r="K34" s="89" t="s">
        <v>634</v>
      </c>
      <c r="L34" s="89" t="s">
        <v>636</v>
      </c>
      <c r="M34" s="89" t="s">
        <v>638</v>
      </c>
      <c r="N34" s="89" t="s">
        <v>640</v>
      </c>
      <c r="O34" s="89" t="s">
        <v>642</v>
      </c>
      <c r="P34" s="89" t="s">
        <v>644</v>
      </c>
      <c r="Q34" s="89" t="s">
        <v>746</v>
      </c>
      <c r="R34" s="89" t="s">
        <v>692</v>
      </c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5"/>
    </row>
    <row r="36" spans="2:22" s="6" customFormat="1" ht="36" customHeight="1">
      <c r="B36" s="16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17"/>
      <c r="V36" s="85"/>
    </row>
    <row r="37" spans="2:22" s="6" customFormat="1" ht="80.099999999999994" customHeight="1">
      <c r="B37" s="18">
        <f>B33+1</f>
        <v>9</v>
      </c>
      <c r="D37" s="87" t="s">
        <v>19</v>
      </c>
      <c r="E37" s="87" t="str">
        <f>CHAR(10)</f>
        <v xml:space="preserve">
</v>
      </c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19"/>
      <c r="V37" s="85"/>
    </row>
    <row r="38" spans="2:22" s="6" customFormat="1" ht="36" customHeight="1">
      <c r="B38" s="20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88" t="s">
        <v>132</v>
      </c>
      <c r="E40" s="88" t="s">
        <v>650</v>
      </c>
      <c r="F40" s="88" t="s">
        <v>700</v>
      </c>
      <c r="G40" s="88" t="s">
        <v>652</v>
      </c>
      <c r="H40" s="88"/>
      <c r="I40" s="88" t="s">
        <v>748</v>
      </c>
      <c r="J40" s="88" t="s">
        <v>654</v>
      </c>
      <c r="K40" s="88" t="s">
        <v>656</v>
      </c>
      <c r="L40" s="88" t="s">
        <v>691</v>
      </c>
      <c r="M40" s="88"/>
      <c r="N40" s="88"/>
      <c r="O40" s="46"/>
      <c r="P40" s="46"/>
      <c r="Q40" s="46"/>
      <c r="R40" s="46"/>
      <c r="S40" s="17"/>
      <c r="V40" s="85"/>
    </row>
    <row r="41" spans="2:22" s="6" customFormat="1" ht="80.099999999999994" customHeight="1">
      <c r="B41" s="18">
        <f>B37+1</f>
        <v>10</v>
      </c>
      <c r="D41" s="79" t="s">
        <v>565</v>
      </c>
      <c r="E41" s="87" t="s">
        <v>566</v>
      </c>
      <c r="F41" s="79" t="s">
        <v>533</v>
      </c>
      <c r="G41" s="87" t="s">
        <v>567</v>
      </c>
      <c r="H41" s="87" t="s">
        <v>18</v>
      </c>
      <c r="I41" s="79" t="s">
        <v>568</v>
      </c>
      <c r="J41" s="87" t="s">
        <v>569</v>
      </c>
      <c r="K41" s="79" t="s">
        <v>570</v>
      </c>
      <c r="L41" s="87" t="s">
        <v>494</v>
      </c>
      <c r="M41" s="87" t="s">
        <v>19</v>
      </c>
      <c r="N41" s="87" t="str">
        <f>CHAR(10)</f>
        <v xml:space="preserve">
</v>
      </c>
      <c r="O41" s="87"/>
      <c r="P41" s="87"/>
      <c r="Q41" s="87"/>
      <c r="R41" s="87"/>
      <c r="S41" s="19"/>
      <c r="V41" s="85"/>
    </row>
    <row r="42" spans="2:22" s="6" customFormat="1" ht="36" customHeight="1">
      <c r="B42" s="20"/>
      <c r="D42" s="89" t="s">
        <v>525</v>
      </c>
      <c r="E42" s="89" t="s">
        <v>651</v>
      </c>
      <c r="F42" s="89" t="s">
        <v>701</v>
      </c>
      <c r="G42" s="89" t="s">
        <v>653</v>
      </c>
      <c r="H42" s="89"/>
      <c r="I42" s="89" t="s">
        <v>749</v>
      </c>
      <c r="J42" s="89" t="s">
        <v>655</v>
      </c>
      <c r="K42" s="89" t="s">
        <v>657</v>
      </c>
      <c r="L42" s="89" t="s">
        <v>692</v>
      </c>
      <c r="M42" s="89"/>
      <c r="N42" s="89"/>
      <c r="O42" s="73"/>
      <c r="P42" s="73"/>
      <c r="Q42" s="73"/>
      <c r="R42" s="73"/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88" t="s">
        <v>661</v>
      </c>
      <c r="E44" s="88" t="s">
        <v>663</v>
      </c>
      <c r="F44" s="88" t="s">
        <v>665</v>
      </c>
      <c r="G44" s="88" t="s">
        <v>667</v>
      </c>
      <c r="H44" s="88"/>
      <c r="I44" s="88" t="s">
        <v>697</v>
      </c>
      <c r="J44" s="88" t="s">
        <v>663</v>
      </c>
      <c r="K44" s="88" t="s">
        <v>669</v>
      </c>
      <c r="L44" s="88" t="s">
        <v>671</v>
      </c>
      <c r="M44" s="88"/>
      <c r="N44" s="88"/>
      <c r="O44" s="88"/>
      <c r="P44" s="88"/>
      <c r="Q44" s="88"/>
      <c r="R44" s="88"/>
      <c r="S44" s="17"/>
      <c r="V44" s="85"/>
    </row>
    <row r="45" spans="2:22" s="6" customFormat="1" ht="80.099999999999994" customHeight="1">
      <c r="B45" s="18">
        <f>B41+1</f>
        <v>11</v>
      </c>
      <c r="D45" s="79" t="s">
        <v>571</v>
      </c>
      <c r="E45" s="87" t="s">
        <v>572</v>
      </c>
      <c r="F45" s="79" t="s">
        <v>573</v>
      </c>
      <c r="G45" s="87" t="s">
        <v>574</v>
      </c>
      <c r="H45" s="87" t="s">
        <v>18</v>
      </c>
      <c r="I45" s="79" t="s">
        <v>530</v>
      </c>
      <c r="J45" s="87" t="s">
        <v>572</v>
      </c>
      <c r="K45" s="79" t="s">
        <v>575</v>
      </c>
      <c r="L45" s="87" t="s">
        <v>576</v>
      </c>
      <c r="M45" s="87" t="s">
        <v>19</v>
      </c>
      <c r="N45" s="87" t="str">
        <f>CHAR(10)</f>
        <v xml:space="preserve">
</v>
      </c>
      <c r="O45" s="87"/>
      <c r="P45" s="87"/>
      <c r="Q45" s="87"/>
      <c r="R45" s="87"/>
      <c r="S45" s="19"/>
      <c r="V45" s="85"/>
    </row>
    <row r="46" spans="2:22" s="6" customFormat="1" ht="36" customHeight="1">
      <c r="B46" s="20"/>
      <c r="D46" s="89" t="s">
        <v>662</v>
      </c>
      <c r="E46" s="89" t="s">
        <v>664</v>
      </c>
      <c r="F46" s="89" t="s">
        <v>666</v>
      </c>
      <c r="G46" s="89" t="s">
        <v>668</v>
      </c>
      <c r="H46" s="89"/>
      <c r="I46" s="89" t="s">
        <v>698</v>
      </c>
      <c r="J46" s="89" t="s">
        <v>664</v>
      </c>
      <c r="K46" s="89" t="s">
        <v>670</v>
      </c>
      <c r="L46" s="89" t="s">
        <v>672</v>
      </c>
      <c r="M46" s="89"/>
      <c r="N46" s="89"/>
      <c r="O46" s="89"/>
      <c r="P46" s="89"/>
      <c r="Q46" s="89"/>
      <c r="R46" s="89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88" t="s">
        <v>751</v>
      </c>
      <c r="E48" s="88" t="s">
        <v>712</v>
      </c>
      <c r="F48" s="88" t="s">
        <v>754</v>
      </c>
      <c r="G48" s="88" t="s">
        <v>757</v>
      </c>
      <c r="H48" s="88" t="s">
        <v>760</v>
      </c>
      <c r="I48" s="88"/>
      <c r="J48" s="88" t="s">
        <v>751</v>
      </c>
      <c r="K48" s="88" t="s">
        <v>676</v>
      </c>
      <c r="L48" s="88" t="s">
        <v>771</v>
      </c>
      <c r="M48" s="88" t="s">
        <v>762</v>
      </c>
      <c r="N48" s="88" t="s">
        <v>765</v>
      </c>
      <c r="O48" s="88"/>
      <c r="P48" s="88"/>
      <c r="Q48" s="46"/>
      <c r="R48" s="46"/>
      <c r="S48" s="17"/>
      <c r="V48" s="85"/>
    </row>
    <row r="49" spans="2:22" s="6" customFormat="1" ht="80.099999999999994" customHeight="1">
      <c r="B49" s="18">
        <f>B45+1</f>
        <v>12</v>
      </c>
      <c r="D49" s="79" t="s">
        <v>577</v>
      </c>
      <c r="E49" s="87" t="s">
        <v>538</v>
      </c>
      <c r="F49" s="79" t="s">
        <v>578</v>
      </c>
      <c r="G49" s="79" t="s">
        <v>579</v>
      </c>
      <c r="H49" s="87" t="s">
        <v>580</v>
      </c>
      <c r="I49" s="87" t="s">
        <v>18</v>
      </c>
      <c r="J49" s="79" t="s">
        <v>577</v>
      </c>
      <c r="K49" s="87" t="s">
        <v>581</v>
      </c>
      <c r="L49" s="90" t="s">
        <v>582</v>
      </c>
      <c r="M49" s="79" t="s">
        <v>583</v>
      </c>
      <c r="N49" s="87" t="s">
        <v>192</v>
      </c>
      <c r="O49" s="87" t="s">
        <v>19</v>
      </c>
      <c r="P49" s="87" t="str">
        <f>CHAR(10)</f>
        <v xml:space="preserve">
</v>
      </c>
      <c r="Q49" s="87"/>
      <c r="R49" s="87"/>
      <c r="S49" s="19"/>
      <c r="V49" s="85"/>
    </row>
    <row r="50" spans="2:22" s="6" customFormat="1" ht="36" customHeight="1">
      <c r="B50" s="20"/>
      <c r="D50" s="89" t="s">
        <v>752</v>
      </c>
      <c r="E50" s="89" t="s">
        <v>326</v>
      </c>
      <c r="F50" s="89" t="s">
        <v>755</v>
      </c>
      <c r="G50" s="89" t="s">
        <v>758</v>
      </c>
      <c r="H50" s="89" t="s">
        <v>761</v>
      </c>
      <c r="I50" s="89"/>
      <c r="J50" s="89" t="s">
        <v>752</v>
      </c>
      <c r="K50" s="89" t="s">
        <v>677</v>
      </c>
      <c r="L50" s="89" t="s">
        <v>772</v>
      </c>
      <c r="M50" s="89" t="s">
        <v>763</v>
      </c>
      <c r="N50" s="89" t="s">
        <v>766</v>
      </c>
      <c r="O50" s="89"/>
      <c r="P50" s="89"/>
      <c r="Q50" s="73"/>
      <c r="R50" s="73"/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17"/>
      <c r="V52" s="85"/>
    </row>
    <row r="53" spans="2:22" s="6" customFormat="1" ht="80.099999999999994" customHeight="1">
      <c r="B53" s="18">
        <f>B49+1</f>
        <v>13</v>
      </c>
      <c r="D53" s="87" t="s">
        <v>20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19"/>
      <c r="V53" s="85"/>
    </row>
    <row r="54" spans="2:22" s="6" customFormat="1" ht="36" customHeight="1">
      <c r="B54" s="20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88"/>
      <c r="E56" s="88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5"/>
    </row>
    <row r="57" spans="2:22" s="6" customFormat="1" ht="80.099999999999994" customHeight="1">
      <c r="B57" s="18">
        <f>B53+1</f>
        <v>14</v>
      </c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19"/>
      <c r="V57" s="85"/>
    </row>
    <row r="58" spans="2:22" s="6" customFormat="1" ht="36" customHeight="1">
      <c r="B58" s="20"/>
      <c r="D58" s="89"/>
      <c r="E58" s="89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19"/>
      <c r="V61" s="85"/>
    </row>
    <row r="62" spans="2:22" s="6" customFormat="1" ht="36" customHeight="1">
      <c r="B62" s="20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88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19"/>
      <c r="V65" s="85"/>
    </row>
    <row r="66" spans="2:22" s="6" customFormat="1" ht="36" customHeight="1">
      <c r="B66" s="20"/>
      <c r="D66" s="89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23</vt:i4>
      </vt:variant>
    </vt:vector>
  </HeadingPairs>
  <TitlesOfParts>
    <vt:vector size="32" baseType="lpstr">
      <vt:lpstr>env</vt:lpstr>
      <vt:lpstr>操作表</vt:lpstr>
      <vt:lpstr>變調標音格式</vt:lpstr>
      <vt:lpstr>漢字注音【模版】</vt:lpstr>
      <vt:lpstr>SRT漢字注音【模版】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2026-10-27T13:25:53Z</dcterms:modified>
</cp:coreProperties>
</file>