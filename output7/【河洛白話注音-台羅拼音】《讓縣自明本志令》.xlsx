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8_{B3DECDCB-0F84-4F6E-A26D-45C2E6683EAF}" xr6:coauthVersionLast="47" xr6:coauthVersionMax="47" xr10:uidLastSave="{00000000-0000-0000-0000-000000000000}"/>
  <bookViews>
    <workbookView xWindow="-38520" yWindow="-120" windowWidth="38640" windowHeight="15720" tabRatio="741" activeTab="8" xr2:uid="{25A76161-EFED-4AC8-8EAA-A42737AE1909}"/>
  </bookViews>
  <sheets>
    <sheet name="env" sheetId="8" r:id="rId1"/>
    <sheet name="操作表" sheetId="190" r:id="rId2"/>
    <sheet name="變調標音格式" sheetId="238" r:id="rId3"/>
    <sheet name="漢字注音【模版】" sheetId="241" r:id="rId4"/>
    <sheet name="SRT漢字注音【模版】" sheetId="240" r:id="rId5"/>
    <sheet name="缺字表" sheetId="250" r:id="rId6"/>
    <sheet name="標音字庫" sheetId="249" r:id="rId7"/>
    <sheet name="人工標音字庫" sheetId="248" r:id="rId8"/>
    <sheet name="漢字注音" sheetId="9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SRT漢字標音">env!$C$21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使用變調標音格式">env!$C$22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3">漢字注音【模版】!$A$5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7" i="9" l="1"/>
  <c r="D245" i="9"/>
  <c r="H161" i="9"/>
  <c r="M77" i="9"/>
  <c r="R5" i="9"/>
  <c r="P65" i="241"/>
  <c r="E61" i="241"/>
  <c r="E53" i="241"/>
  <c r="G45" i="241"/>
  <c r="P37" i="241"/>
  <c r="E33" i="241"/>
  <c r="U32" i="241"/>
  <c r="U31" i="241"/>
  <c r="U30" i="241"/>
  <c r="U29" i="241"/>
  <c r="U28" i="241"/>
  <c r="U27" i="241"/>
  <c r="E25" i="241"/>
  <c r="E17" i="241"/>
  <c r="F9" i="241"/>
  <c r="B9" i="241"/>
  <c r="B13" i="241" s="1"/>
  <c r="B17" i="241" s="1"/>
  <c r="B21" i="241" s="1"/>
  <c r="B25" i="241" s="1"/>
  <c r="B29" i="241" s="1"/>
  <c r="B33" i="241" s="1"/>
  <c r="B37" i="241" s="1"/>
  <c r="B41" i="241" s="1"/>
  <c r="B45" i="241" s="1"/>
  <c r="B49" i="241" s="1"/>
  <c r="B53" i="241" s="1"/>
  <c r="B57" i="241" s="1"/>
  <c r="B61" i="241" s="1"/>
  <c r="B65" i="241" s="1"/>
  <c r="B69" i="241" s="1"/>
  <c r="B73" i="241" s="1"/>
  <c r="B77" i="241" s="1"/>
  <c r="B81" i="241" s="1"/>
  <c r="B85" i="241" s="1"/>
  <c r="B89" i="241" s="1"/>
  <c r="B93" i="241" s="1"/>
  <c r="B97" i="241" s="1"/>
  <c r="B101" i="241" s="1"/>
  <c r="B105" i="241" s="1"/>
  <c r="B109" i="241" s="1"/>
  <c r="B113" i="241" s="1"/>
  <c r="B117" i="241" s="1"/>
  <c r="B121" i="241" s="1"/>
  <c r="B125" i="241" s="1"/>
  <c r="B129" i="241" s="1"/>
  <c r="B133" i="241" s="1"/>
  <c r="B137" i="241" s="1"/>
  <c r="B141" i="241" s="1"/>
  <c r="B145" i="241" s="1"/>
  <c r="B149" i="241" s="1"/>
  <c r="B153" i="241" s="1"/>
  <c r="B157" i="241" s="1"/>
  <c r="B161" i="241" s="1"/>
  <c r="B165" i="241" s="1"/>
  <c r="B169" i="241" s="1"/>
  <c r="B173" i="241" s="1"/>
  <c r="B177" i="241" s="1"/>
  <c r="B181" i="241" s="1"/>
  <c r="B185" i="241" s="1"/>
  <c r="B189" i="241" s="1"/>
  <c r="B193" i="241" s="1"/>
  <c r="B197" i="241" s="1"/>
  <c r="B201" i="241" s="1"/>
  <c r="B205" i="241" s="1"/>
  <c r="B209" i="241" s="1"/>
  <c r="B213" i="241" s="1"/>
  <c r="B217" i="241" s="1"/>
  <c r="B221" i="241" s="1"/>
  <c r="B225" i="241" s="1"/>
  <c r="B229" i="241" s="1"/>
  <c r="B233" i="241" s="1"/>
  <c r="B237" i="241" s="1"/>
  <c r="B241" i="241" s="1"/>
  <c r="B245" i="241" s="1"/>
  <c r="B249" i="241" s="1"/>
  <c r="B253" i="241" s="1"/>
  <c r="B257" i="241" s="1"/>
  <c r="B261" i="241" s="1"/>
  <c r="B265" i="241" s="1"/>
  <c r="B269" i="241" s="1"/>
  <c r="B273" i="241" s="1"/>
  <c r="B277" i="241" s="1"/>
  <c r="B281" i="241" s="1"/>
  <c r="B285" i="241" s="1"/>
  <c r="B289" i="241" s="1"/>
  <c r="B293" i="241" s="1"/>
  <c r="B297" i="241" s="1"/>
  <c r="B301" i="241" s="1"/>
  <c r="B305" i="241" s="1"/>
  <c r="B309" i="241" s="1"/>
  <c r="B313" i="241" s="1"/>
  <c r="B317" i="241" s="1"/>
  <c r="B321" i="241" s="1"/>
  <c r="B325" i="241" s="1"/>
  <c r="B329" i="241" s="1"/>
  <c r="B333" i="241" s="1"/>
  <c r="B337" i="241" s="1"/>
  <c r="B341" i="241" s="1"/>
  <c r="B345" i="241" s="1"/>
  <c r="B349" i="241" s="1"/>
  <c r="B353" i="241" s="1"/>
  <c r="B357" i="241" s="1"/>
  <c r="B361" i="241" s="1"/>
  <c r="B365" i="241" s="1"/>
  <c r="B369" i="241" s="1"/>
  <c r="B373" i="241" s="1"/>
  <c r="B377" i="241" s="1"/>
  <c r="B381" i="241" s="1"/>
  <c r="B385" i="241" s="1"/>
  <c r="B389" i="241" s="1"/>
  <c r="B393" i="241" s="1"/>
  <c r="B397" i="241" s="1"/>
  <c r="B401" i="241" s="1"/>
  <c r="B405" i="241" s="1"/>
  <c r="B409" i="241" s="1"/>
  <c r="B413" i="241" s="1"/>
  <c r="B417" i="241" s="1"/>
  <c r="B421" i="241" s="1"/>
  <c r="B425" i="241" s="1"/>
  <c r="B429" i="241" s="1"/>
  <c r="B433" i="241" s="1"/>
  <c r="B437" i="241" s="1"/>
  <c r="B441" i="241" s="1"/>
  <c r="B445" i="241" s="1"/>
  <c r="B449" i="241" s="1"/>
  <c r="B453" i="241" s="1"/>
  <c r="B457" i="241" s="1"/>
  <c r="B461" i="241" s="1"/>
  <c r="B465" i="241" s="1"/>
  <c r="B469" i="241" s="1"/>
  <c r="B473" i="241" s="1"/>
  <c r="B477" i="241" s="1"/>
  <c r="B481" i="241" s="1"/>
  <c r="B485" i="241" s="1"/>
  <c r="B489" i="241" s="1"/>
  <c r="B493" i="241" s="1"/>
  <c r="B497" i="241" s="1"/>
  <c r="B501" i="241" s="1"/>
  <c r="B505" i="241" s="1"/>
  <c r="B509" i="241" s="1"/>
  <c r="B513" i="241" s="1"/>
  <c r="B517" i="241" s="1"/>
  <c r="B521" i="241" s="1"/>
  <c r="B525" i="241" s="1"/>
  <c r="B529" i="241" s="1"/>
  <c r="B533" i="241" s="1"/>
  <c r="B537" i="241" s="1"/>
  <c r="B541" i="241" s="1"/>
  <c r="B545" i="241" s="1"/>
  <c r="B549" i="241" s="1"/>
  <c r="B553" i="241" s="1"/>
  <c r="B557" i="241" s="1"/>
  <c r="B561" i="241" s="1"/>
  <c r="B565" i="241" s="1"/>
  <c r="B569" i="241" s="1"/>
  <c r="B573" i="241" s="1"/>
  <c r="B577" i="241" s="1"/>
  <c r="B581" i="241" s="1"/>
  <c r="B585" i="241" s="1"/>
  <c r="B589" i="241" s="1"/>
  <c r="B593" i="241" s="1"/>
  <c r="B597" i="241" s="1"/>
  <c r="B601" i="241" s="1"/>
  <c r="B605" i="241" s="1"/>
  <c r="B609" i="241" s="1"/>
  <c r="B613" i="241" s="1"/>
  <c r="B617" i="241" s="1"/>
  <c r="B621" i="241" s="1"/>
  <c r="B625" i="241" s="1"/>
  <c r="B629" i="241" s="1"/>
  <c r="B633" i="241" s="1"/>
  <c r="B637" i="241" s="1"/>
  <c r="B641" i="241" s="1"/>
  <c r="B645" i="241" s="1"/>
  <c r="B649" i="241" s="1"/>
  <c r="B653" i="241" s="1"/>
  <c r="B657" i="241" s="1"/>
  <c r="B661" i="241" s="1"/>
  <c r="B665" i="241" s="1"/>
  <c r="B669" i="241" s="1"/>
  <c r="B673" i="241" s="1"/>
  <c r="B677" i="241" s="1"/>
  <c r="B681" i="241" s="1"/>
  <c r="B685" i="241" s="1"/>
  <c r="B689" i="241" s="1"/>
  <c r="B693" i="241" s="1"/>
  <c r="B697" i="241" s="1"/>
  <c r="B701" i="241" s="1"/>
  <c r="B705" i="241" s="1"/>
  <c r="B709" i="241" s="1"/>
  <c r="B713" i="241" s="1"/>
  <c r="B717" i="241" s="1"/>
  <c r="B721" i="241" s="1"/>
  <c r="B725" i="241" s="1"/>
  <c r="B729" i="241" s="1"/>
  <c r="B733" i="241" s="1"/>
  <c r="B737" i="241" s="1"/>
  <c r="B741" i="241" s="1"/>
  <c r="B745" i="241" s="1"/>
  <c r="B749" i="241" s="1"/>
  <c r="B753" i="241" s="1"/>
  <c r="B757" i="241" s="1"/>
  <c r="B761" i="241" s="1"/>
  <c r="B765" i="241" s="1"/>
  <c r="B769" i="241" s="1"/>
  <c r="B773" i="241" s="1"/>
  <c r="B777" i="241" s="1"/>
  <c r="B781" i="241" s="1"/>
  <c r="B785" i="241" s="1"/>
  <c r="B789" i="241" s="1"/>
  <c r="B793" i="241" s="1"/>
  <c r="B797" i="241" s="1"/>
  <c r="B801" i="241" s="1"/>
  <c r="B805" i="241" s="1"/>
  <c r="B809" i="241" s="1"/>
  <c r="B813" i="241" s="1"/>
  <c r="B817" i="241" s="1"/>
  <c r="B821" i="241" s="1"/>
  <c r="B825" i="241" s="1"/>
  <c r="B829" i="241" s="1"/>
  <c r="B833" i="241" s="1"/>
  <c r="B837" i="241" s="1"/>
  <c r="B841" i="241" s="1"/>
  <c r="B845" i="241" s="1"/>
  <c r="B849" i="241" s="1"/>
  <c r="B853" i="241" s="1"/>
  <c r="B857" i="241" s="1"/>
  <c r="B861" i="241" s="1"/>
  <c r="B865" i="241" s="1"/>
  <c r="B869" i="241" s="1"/>
  <c r="B873" i="241" s="1"/>
  <c r="B877" i="241" s="1"/>
  <c r="B881" i="241" s="1"/>
  <c r="B885" i="241" s="1"/>
  <c r="B889" i="241" s="1"/>
  <c r="B893" i="241" s="1"/>
  <c r="B897" i="241" s="1"/>
  <c r="B901" i="241" s="1"/>
  <c r="B905" i="241" s="1"/>
  <c r="B909" i="241" s="1"/>
  <c r="B913" i="241" s="1"/>
  <c r="B917" i="241" s="1"/>
  <c r="B921" i="241" s="1"/>
  <c r="B925" i="241" s="1"/>
  <c r="B929" i="241" s="1"/>
  <c r="B933" i="241" s="1"/>
  <c r="B937" i="241" s="1"/>
  <c r="B941" i="241" s="1"/>
  <c r="B945" i="241" s="1"/>
  <c r="B949" i="241" s="1"/>
  <c r="B953" i="241" s="1"/>
  <c r="B957" i="241" s="1"/>
  <c r="B961" i="241" s="1"/>
  <c r="B965" i="241" s="1"/>
  <c r="B969" i="241" s="1"/>
  <c r="B973" i="241" s="1"/>
  <c r="B977" i="241" s="1"/>
  <c r="B981" i="241" s="1"/>
  <c r="B985" i="241" s="1"/>
  <c r="B989" i="241" s="1"/>
  <c r="B993" i="241" s="1"/>
  <c r="B997" i="241" s="1"/>
  <c r="B1001" i="241" s="1"/>
  <c r="B1005" i="241" s="1"/>
  <c r="B1009" i="241" s="1"/>
  <c r="B1013" i="241" s="1"/>
  <c r="B1017" i="241" s="1"/>
  <c r="B1021" i="241" s="1"/>
  <c r="B1025" i="241" s="1"/>
  <c r="B1029" i="241" s="1"/>
  <c r="B1033" i="241" s="1"/>
  <c r="B1037" i="241" s="1"/>
  <c r="B1041" i="241" s="1"/>
  <c r="B1045" i="241" s="1"/>
  <c r="B1049" i="241" s="1"/>
  <c r="B1053" i="241" s="1"/>
  <c r="B1057" i="241" s="1"/>
  <c r="B1061" i="241" s="1"/>
  <c r="B1065" i="241" s="1"/>
  <c r="B1069" i="241" s="1"/>
  <c r="B1073" i="241" s="1"/>
  <c r="B1077" i="241" s="1"/>
  <c r="B1081" i="241" s="1"/>
  <c r="B1085" i="241" s="1"/>
  <c r="B1089" i="241" s="1"/>
  <c r="B1093" i="241" s="1"/>
  <c r="B1097" i="241" s="1"/>
  <c r="B1101" i="241" s="1"/>
  <c r="B1105" i="241" s="1"/>
  <c r="B1109" i="241" s="1"/>
  <c r="B1113" i="241" s="1"/>
  <c r="B1117" i="241" s="1"/>
  <c r="B1121" i="241" s="1"/>
  <c r="B1125" i="241" s="1"/>
  <c r="B1129" i="241" s="1"/>
  <c r="B1133" i="241" s="1"/>
  <c r="B1137" i="241" s="1"/>
  <c r="B1141" i="241" s="1"/>
  <c r="B1145" i="241" s="1"/>
  <c r="B1149" i="241" s="1"/>
  <c r="B1153" i="241" s="1"/>
  <c r="B1157" i="241" s="1"/>
  <c r="B1161" i="241" s="1"/>
  <c r="B1165" i="241" s="1"/>
  <c r="B1169" i="241" s="1"/>
  <c r="B1173" i="241" s="1"/>
  <c r="B1177" i="241" s="1"/>
  <c r="B1181" i="241" s="1"/>
  <c r="B1185" i="241" s="1"/>
  <c r="B1189" i="241" s="1"/>
  <c r="B1193" i="241" s="1"/>
  <c r="B1197" i="241" s="1"/>
  <c r="B1201" i="241" s="1"/>
  <c r="B1205" i="241" s="1"/>
  <c r="B1209" i="241" s="1"/>
  <c r="B1213" i="241" s="1"/>
  <c r="B1217" i="241" s="1"/>
  <c r="B1221" i="241" s="1"/>
  <c r="B1225" i="241" s="1"/>
  <c r="B1229" i="241" s="1"/>
  <c r="B1233" i="241" s="1"/>
  <c r="B1237" i="241" s="1"/>
  <c r="B1241" i="241" s="1"/>
  <c r="B1245" i="241" s="1"/>
  <c r="B1249" i="241" s="1"/>
  <c r="B1253" i="241" s="1"/>
  <c r="B1257" i="241" s="1"/>
  <c r="B1261" i="241" s="1"/>
  <c r="B1265" i="241" s="1"/>
  <c r="B1269" i="241" s="1"/>
  <c r="B1273" i="241" s="1"/>
  <c r="B1277" i="241" s="1"/>
  <c r="B1281" i="241" s="1"/>
  <c r="B1285" i="241" s="1"/>
  <c r="B1289" i="241" s="1"/>
  <c r="B1293" i="241" s="1"/>
  <c r="B1297" i="241" s="1"/>
  <c r="B1301" i="241" s="1"/>
  <c r="B1305" i="241" s="1"/>
  <c r="B1309" i="241" s="1"/>
  <c r="B1313" i="241" s="1"/>
  <c r="B1317" i="241" s="1"/>
  <c r="B1321" i="241" s="1"/>
  <c r="B1325" i="241" s="1"/>
  <c r="B1329" i="241" s="1"/>
  <c r="B1333" i="241" s="1"/>
  <c r="B1337" i="241" s="1"/>
  <c r="B1341" i="241" s="1"/>
  <c r="B1345" i="241" s="1"/>
  <c r="B1349" i="241" s="1"/>
  <c r="B1353" i="241" s="1"/>
  <c r="B1357" i="241" s="1"/>
  <c r="B1361" i="241" s="1"/>
  <c r="B1365" i="241" s="1"/>
  <c r="B1369" i="241" s="1"/>
  <c r="B1373" i="241" s="1"/>
  <c r="B1377" i="241" s="1"/>
  <c r="B1381" i="241" s="1"/>
  <c r="B1385" i="241" s="1"/>
  <c r="B1389" i="241" s="1"/>
  <c r="B1393" i="241" s="1"/>
  <c r="B1397" i="241" s="1"/>
  <c r="B1401" i="241" s="1"/>
  <c r="B1405" i="241" s="1"/>
  <c r="B1409" i="241" s="1"/>
  <c r="B1413" i="241" s="1"/>
  <c r="B1417" i="241" s="1"/>
  <c r="B1421" i="241" s="1"/>
  <c r="B1425" i="241" s="1"/>
  <c r="B1429" i="241" s="1"/>
  <c r="B1433" i="241" s="1"/>
  <c r="B1437" i="241" s="1"/>
  <c r="B1441" i="241" s="1"/>
  <c r="B1445" i="241" s="1"/>
  <c r="B1449" i="241" s="1"/>
  <c r="B1453" i="241" s="1"/>
  <c r="B1457" i="241" s="1"/>
  <c r="B1461" i="241" s="1"/>
  <c r="B1465" i="241" s="1"/>
  <c r="B1469" i="241" s="1"/>
  <c r="B1473" i="241" s="1"/>
  <c r="B1477" i="241" s="1"/>
  <c r="B1481" i="241" s="1"/>
  <c r="B1485" i="241" s="1"/>
  <c r="B1489" i="241" s="1"/>
  <c r="B1493" i="241" s="1"/>
  <c r="B1497" i="241" s="1"/>
  <c r="B1501" i="241" s="1"/>
  <c r="B1505" i="241" s="1"/>
  <c r="B1509" i="241" s="1"/>
  <c r="B1513" i="241" s="1"/>
  <c r="B1517" i="241" s="1"/>
  <c r="B1521" i="241" s="1"/>
  <c r="B1525" i="241" s="1"/>
  <c r="B1529" i="241" s="1"/>
  <c r="B1533" i="241" s="1"/>
  <c r="B1537" i="241" s="1"/>
  <c r="B1541" i="241" s="1"/>
  <c r="B1545" i="241" s="1"/>
  <c r="B1549" i="241" s="1"/>
  <c r="B1553" i="241" s="1"/>
  <c r="B1557" i="241" s="1"/>
  <c r="B1561" i="241" s="1"/>
  <c r="B1565" i="241" s="1"/>
  <c r="B1569" i="241" s="1"/>
  <c r="B1573" i="241" s="1"/>
  <c r="B1577" i="241" s="1"/>
  <c r="B1581" i="241" s="1"/>
  <c r="B1585" i="241" s="1"/>
  <c r="B1589" i="241" s="1"/>
  <c r="B1593" i="241" s="1"/>
  <c r="B1597" i="241" s="1"/>
  <c r="B1601" i="241" s="1"/>
  <c r="B1605" i="241" s="1"/>
  <c r="B1609" i="241" s="1"/>
  <c r="B1613" i="241" s="1"/>
  <c r="B1617" i="241" s="1"/>
  <c r="B1621" i="241" s="1"/>
  <c r="B1625" i="241" s="1"/>
  <c r="B1629" i="241" s="1"/>
  <c r="B1633" i="241" s="1"/>
  <c r="B1637" i="241" s="1"/>
  <c r="B1641" i="241" s="1"/>
  <c r="B1645" i="241" s="1"/>
  <c r="B1649" i="241" s="1"/>
  <c r="B1653" i="241" s="1"/>
  <c r="B1657" i="241" s="1"/>
  <c r="B1661" i="241" s="1"/>
  <c r="B1665" i="241" s="1"/>
  <c r="B1669" i="241" s="1"/>
  <c r="B1673" i="241" s="1"/>
  <c r="B1677" i="241" s="1"/>
  <c r="B1681" i="241" s="1"/>
  <c r="B1685" i="241" s="1"/>
  <c r="B1689" i="241" s="1"/>
  <c r="B1693" i="241" s="1"/>
  <c r="B1697" i="241" s="1"/>
  <c r="B1701" i="241" s="1"/>
  <c r="B1705" i="241" s="1"/>
  <c r="B1709" i="241" s="1"/>
  <c r="B1713" i="241" s="1"/>
  <c r="B1717" i="241" s="1"/>
  <c r="B1721" i="241" s="1"/>
  <c r="B1725" i="241" s="1"/>
  <c r="B1729" i="241" s="1"/>
  <c r="B1733" i="241" s="1"/>
  <c r="B1737" i="241" s="1"/>
  <c r="B1741" i="241" s="1"/>
  <c r="B1745" i="241" s="1"/>
  <c r="B1749" i="241" s="1"/>
  <c r="B1753" i="241" s="1"/>
  <c r="B1757" i="241" s="1"/>
  <c r="B1761" i="241" s="1"/>
  <c r="B1765" i="241" s="1"/>
  <c r="B1769" i="241" s="1"/>
  <c r="B1773" i="241" s="1"/>
  <c r="B1777" i="241" s="1"/>
  <c r="B1781" i="241" s="1"/>
  <c r="B1785" i="241" s="1"/>
  <c r="B1789" i="241" s="1"/>
  <c r="B1793" i="241" s="1"/>
  <c r="B1797" i="241" s="1"/>
  <c r="B1801" i="241" s="1"/>
  <c r="B1805" i="241" s="1"/>
  <c r="B1809" i="241" s="1"/>
  <c r="B1813" i="241" s="1"/>
  <c r="B1817" i="241" s="1"/>
  <c r="B1821" i="241" s="1"/>
  <c r="B1825" i="241" s="1"/>
  <c r="B1829" i="241" s="1"/>
  <c r="B1833" i="241" s="1"/>
  <c r="B1837" i="241" s="1"/>
  <c r="B1841" i="241" s="1"/>
  <c r="B1845" i="241" s="1"/>
  <c r="B1849" i="241" s="1"/>
  <c r="B1853" i="241" s="1"/>
  <c r="B1857" i="241" s="1"/>
  <c r="B1861" i="241" s="1"/>
  <c r="B1865" i="241" s="1"/>
  <c r="B1869" i="241" s="1"/>
  <c r="B1873" i="241" s="1"/>
  <c r="B1877" i="241" s="1"/>
  <c r="B1881" i="241" s="1"/>
  <c r="B1885" i="241" s="1"/>
  <c r="B1889" i="241" s="1"/>
  <c r="B1893" i="241" s="1"/>
  <c r="B1897" i="241" s="1"/>
  <c r="B1901" i="241" s="1"/>
  <c r="B1905" i="241" s="1"/>
  <c r="B1909" i="241" s="1"/>
  <c r="B1913" i="241" s="1"/>
  <c r="B1917" i="241" s="1"/>
  <c r="B1921" i="241" s="1"/>
  <c r="B1925" i="241" s="1"/>
  <c r="B1929" i="241" s="1"/>
  <c r="B1933" i="241" s="1"/>
  <c r="B1937" i="241" s="1"/>
  <c r="B1941" i="241" s="1"/>
  <c r="B1945" i="241" s="1"/>
  <c r="B1949" i="241" s="1"/>
  <c r="B1953" i="241" s="1"/>
  <c r="B1957" i="241" s="1"/>
  <c r="B1961" i="241" s="1"/>
  <c r="B1965" i="241" s="1"/>
  <c r="B1969" i="241" s="1"/>
  <c r="B1973" i="241" s="1"/>
  <c r="B1977" i="241" s="1"/>
  <c r="B1981" i="241" s="1"/>
  <c r="B1985" i="241" s="1"/>
  <c r="B1989" i="241" s="1"/>
  <c r="B1993" i="241" s="1"/>
  <c r="B1997" i="241" s="1"/>
  <c r="B2001" i="241" s="1"/>
  <c r="B2005" i="241" s="1"/>
  <c r="B2009" i="241" s="1"/>
  <c r="B2013" i="241" s="1"/>
  <c r="B2017" i="241" s="1"/>
  <c r="B2021" i="241" s="1"/>
  <c r="B2025" i="241" s="1"/>
  <c r="B2029" i="241" s="1"/>
  <c r="B2033" i="241" s="1"/>
  <c r="B2037" i="241" s="1"/>
  <c r="B2041" i="241" s="1"/>
  <c r="B2045" i="241" s="1"/>
  <c r="B2049" i="241" s="1"/>
  <c r="B2053" i="241" s="1"/>
  <c r="B2057" i="241" s="1"/>
  <c r="B2061" i="241" s="1"/>
  <c r="B2065" i="241" s="1"/>
  <c r="B2069" i="241" s="1"/>
  <c r="B2073" i="241" s="1"/>
  <c r="B2077" i="241" s="1"/>
  <c r="B2081" i="241" s="1"/>
  <c r="B2085" i="241" s="1"/>
  <c r="B2089" i="241" s="1"/>
  <c r="B2093" i="241" s="1"/>
  <c r="B2097" i="241" s="1"/>
  <c r="B2101" i="241" s="1"/>
  <c r="B2105" i="241" s="1"/>
  <c r="B2109" i="241" s="1"/>
  <c r="B2113" i="241" s="1"/>
  <c r="B2117" i="241" s="1"/>
  <c r="B2121" i="241" s="1"/>
  <c r="B2125" i="241" s="1"/>
  <c r="B2129" i="241" s="1"/>
  <c r="B2133" i="241" s="1"/>
  <c r="B2137" i="241" s="1"/>
  <c r="B2141" i="241" s="1"/>
  <c r="B2145" i="241" s="1"/>
  <c r="B2149" i="241" s="1"/>
  <c r="B2153" i="241" s="1"/>
  <c r="B2157" i="241" s="1"/>
  <c r="B2161" i="241" s="1"/>
  <c r="B2165" i="241" s="1"/>
  <c r="B2169" i="241" s="1"/>
  <c r="B2173" i="241" s="1"/>
  <c r="B2177" i="241" s="1"/>
  <c r="B2181" i="241" s="1"/>
  <c r="B2185" i="241" s="1"/>
  <c r="B2189" i="241" s="1"/>
  <c r="B2193" i="241" s="1"/>
  <c r="B2197" i="241" s="1"/>
  <c r="B2201" i="241" s="1"/>
  <c r="B2205" i="241" s="1"/>
  <c r="B2209" i="241" s="1"/>
  <c r="B2213" i="241" s="1"/>
  <c r="B2217" i="241" s="1"/>
  <c r="B2221" i="241" s="1"/>
  <c r="B2225" i="241" s="1"/>
  <c r="B2229" i="241" s="1"/>
  <c r="B2233" i="241" s="1"/>
  <c r="B2237" i="241" s="1"/>
  <c r="B2241" i="241" s="1"/>
  <c r="B2245" i="241" s="1"/>
  <c r="B2249" i="241" s="1"/>
  <c r="B2253" i="241" s="1"/>
  <c r="B2257" i="241" s="1"/>
  <c r="B2261" i="241" s="1"/>
  <c r="B2265" i="241" s="1"/>
  <c r="V2" i="241"/>
  <c r="R1" i="241"/>
  <c r="Q1" i="241"/>
  <c r="P1" i="241"/>
  <c r="O1" i="241"/>
  <c r="N1" i="241"/>
  <c r="M1" i="241"/>
  <c r="L1" i="241"/>
  <c r="K1" i="241"/>
  <c r="J1" i="241"/>
  <c r="I1" i="241"/>
  <c r="H1" i="241"/>
  <c r="G1" i="241"/>
  <c r="F1" i="241"/>
  <c r="E1" i="241"/>
  <c r="D1" i="241"/>
  <c r="C1" i="241"/>
  <c r="B1" i="241"/>
  <c r="A1" i="241"/>
  <c r="T12" i="240"/>
  <c r="T11" i="240"/>
  <c r="T10" i="240"/>
  <c r="T9" i="240"/>
  <c r="T8" i="240"/>
  <c r="T7" i="240"/>
  <c r="T6" i="240"/>
  <c r="T5" i="240"/>
  <c r="T4" i="240"/>
  <c r="D11" i="8" l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V2" i="9"/>
  <c r="B97" i="9" l="1"/>
  <c r="B101" i="9" s="1"/>
  <c r="B105" i="9" s="1"/>
  <c r="B109" i="9" l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405" i="9" s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805" i="9" s="1"/>
  <c r="B809" i="9" s="1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1205" i="9" s="1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1605" i="9" s="1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2005" i="9" s="1"/>
  <c r="B2009" i="9" s="1"/>
  <c r="B2013" i="9" s="1"/>
  <c r="B2017" i="9" s="1"/>
  <c r="B2021" i="9" s="1"/>
  <c r="B2025" i="9" s="1"/>
  <c r="B2029" i="9" s="1"/>
  <c r="B2033" i="9" s="1"/>
  <c r="B2037" i="9" s="1"/>
  <c r="B2041" i="9" s="1"/>
  <c r="B2045" i="9" s="1"/>
  <c r="B2049" i="9" s="1"/>
  <c r="B2053" i="9" s="1"/>
  <c r="B2057" i="9" s="1"/>
  <c r="B2061" i="9" s="1"/>
  <c r="B2065" i="9" s="1"/>
  <c r="B2069" i="9" s="1"/>
  <c r="B2073" i="9" s="1"/>
  <c r="B2077" i="9" s="1"/>
  <c r="B2081" i="9" s="1"/>
  <c r="B2085" i="9" s="1"/>
  <c r="B2089" i="9" s="1"/>
  <c r="B2093" i="9" s="1"/>
  <c r="B2097" i="9" s="1"/>
  <c r="B2101" i="9" s="1"/>
  <c r="B2105" i="9" s="1"/>
  <c r="B2109" i="9" s="1"/>
  <c r="B2113" i="9" s="1"/>
  <c r="B2117" i="9" s="1"/>
  <c r="B2121" i="9" s="1"/>
  <c r="B2125" i="9" s="1"/>
  <c r="B2129" i="9" s="1"/>
  <c r="B2133" i="9" s="1"/>
  <c r="B2137" i="9" s="1"/>
  <c r="B2141" i="9" s="1"/>
  <c r="B2145" i="9" s="1"/>
  <c r="B2149" i="9" s="1"/>
  <c r="B2153" i="9" s="1"/>
  <c r="B2157" i="9" s="1"/>
  <c r="B2161" i="9" s="1"/>
  <c r="B2165" i="9" s="1"/>
  <c r="B2169" i="9" s="1"/>
  <c r="B2173" i="9" s="1"/>
  <c r="B2177" i="9" s="1"/>
  <c r="B2181" i="9" s="1"/>
  <c r="B2185" i="9" s="1"/>
  <c r="B2189" i="9" s="1"/>
  <c r="B2193" i="9" s="1"/>
  <c r="B2197" i="9" s="1"/>
  <c r="B2201" i="9" s="1"/>
  <c r="B2205" i="9" s="1"/>
  <c r="B2209" i="9" s="1"/>
  <c r="B2213" i="9" s="1"/>
  <c r="B2217" i="9" s="1"/>
  <c r="B2221" i="9" s="1"/>
  <c r="B2225" i="9" s="1"/>
  <c r="B2229" i="9" s="1"/>
  <c r="B2233" i="9" s="1"/>
  <c r="B2237" i="9" s="1"/>
  <c r="B2241" i="9" s="1"/>
  <c r="B2245" i="9" s="1"/>
  <c r="B2249" i="9" s="1"/>
  <c r="B2253" i="9" s="1"/>
  <c r="B2257" i="9" s="1"/>
  <c r="B2261" i="9" s="1"/>
  <c r="B2265" i="9" s="1"/>
</calcChain>
</file>

<file path=xl/sharedStrings.xml><?xml version="1.0" encoding="utf-8"?>
<sst xmlns="http://schemas.openxmlformats.org/spreadsheetml/2006/main" count="5897" uniqueCount="2060">
  <si>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</si>
  <si>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</si>
  <si>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</si>
  <si>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</si>
  <si>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</si>
  <si>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</si>
  <si>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</si>
  <si>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</si>
  <si>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</si>
  <si>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</si>
  <si>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</si>
  <si>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</si>
  <si>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</si>
  <si>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</si>
  <si>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</si>
  <si>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</si>
  <si>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</si>
  <si>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</si>
  <si>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，</t>
  </si>
  <si>
    <t>。</t>
  </si>
  <si>
    <t>φ</t>
  </si>
  <si>
    <t>N/A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</si>
  <si>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</si>
  <si>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</si>
  <si>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</si>
  <si>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</si>
  <si>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無預設</t>
  </si>
  <si>
    <t>上及右</t>
  </si>
  <si>
    <t>output7</t>
    <phoneticPr fontId="1" type="noConversion"/>
  </si>
  <si>
    <t>為</t>
  </si>
  <si>
    <t>ui5</t>
  </si>
  <si>
    <t>河洛話</t>
    <phoneticPr fontId="1" type="noConversion"/>
  </si>
  <si>
    <t>時</t>
  </si>
  <si>
    <t>漢字</t>
  </si>
  <si>
    <t>《</t>
  </si>
  <si>
    <t>道</t>
  </si>
  <si>
    <t>一</t>
  </si>
  <si>
    <t>》</t>
  </si>
  <si>
    <t>to7</t>
  </si>
  <si>
    <t>tik4</t>
  </si>
  <si>
    <t>it4</t>
  </si>
  <si>
    <t>下一個編號的 Show 時刻</t>
  </si>
  <si>
    <t xml:space="preserve">計算此編號的 Hide 時刻 ==》 Hide Value = Show Value + Duration </t>
  </si>
  <si>
    <t>編號</t>
  </si>
  <si>
    <t>顯示時刻</t>
  </si>
  <si>
    <t>隱藏時刻</t>
  </si>
  <si>
    <t>持續時間
（秒）</t>
  </si>
  <si>
    <t>到下個顯示時刻時長  （秒）</t>
  </si>
  <si>
    <t>顯示時刻值（毫秒）</t>
  </si>
  <si>
    <t>次顯示時刻值 （毫秒）</t>
  </si>
  <si>
    <t>分</t>
  </si>
  <si>
    <t>秒</t>
  </si>
  <si>
    <t>毫秒</t>
  </si>
  <si>
    <t>隱藏時刻值  （毫秒）</t>
  </si>
  <si>
    <t>漢字標音</t>
  </si>
  <si>
    <t>00:00:00,000</t>
  </si>
  <si>
    <t>00:00:20,000</t>
  </si>
  <si>
    <t>00</t>
  </si>
  <si>
    <t>25</t>
  </si>
  <si>
    <t>000</t>
  </si>
  <si>
    <t>20</t>
  </si>
  <si>
    <t>00:00:25,000</t>
  </si>
  <si>
    <t>00:00:27,000</t>
  </si>
  <si>
    <t>30</t>
  </si>
  <si>
    <t>27</t>
  </si>
  <si>
    <t>00:00:30,000</t>
  </si>
  <si>
    <t>00:00:32,000</t>
  </si>
  <si>
    <t>35</t>
  </si>
  <si>
    <t>32</t>
  </si>
  <si>
    <t>00:00:35,000</t>
  </si>
  <si>
    <t>00:00:37,000</t>
  </si>
  <si>
    <t>40</t>
  </si>
  <si>
    <t>37</t>
  </si>
  <si>
    <t>00:00:40,000</t>
  </si>
  <si>
    <t>00:00:42,000</t>
  </si>
  <si>
    <t>45</t>
  </si>
  <si>
    <t>42</t>
  </si>
  <si>
    <t>End</t>
  </si>
  <si>
    <t>00:00:44,000</t>
  </si>
  <si>
    <t>47</t>
  </si>
  <si>
    <t>44</t>
  </si>
  <si>
    <r>
      <t>py a100_</t>
    </r>
    <r>
      <rPr>
        <sz val="16"/>
        <color theme="1"/>
        <rFont val="Microsoft JhengHei UI"/>
        <family val="2"/>
        <charset val="136"/>
      </rPr>
      <t>作業中活頁檔填入漢字</t>
    </r>
    <r>
      <rPr>
        <sz val="16"/>
        <color theme="1"/>
        <rFont val="Charis SIL"/>
      </rPr>
      <t>.py --new</t>
    </r>
    <phoneticPr fontId="1" type="noConversion"/>
  </si>
  <si>
    <r>
      <t>py a200_</t>
    </r>
    <r>
      <rPr>
        <sz val="16"/>
        <color theme="1"/>
        <rFont val="Microsoft JhengHei UI"/>
        <family val="2"/>
        <charset val="136"/>
      </rPr>
      <t>查找及填入漢字標音</t>
    </r>
    <r>
      <rPr>
        <sz val="16"/>
        <color theme="1"/>
        <rFont val="Charis SIL"/>
      </rPr>
      <t>.py</t>
    </r>
    <phoneticPr fontId="1" type="noConversion"/>
  </si>
  <si>
    <r>
      <t>py a300_</t>
    </r>
    <r>
      <rPr>
        <sz val="16"/>
        <color theme="1"/>
        <rFont val="Microsoft JhengHei UI"/>
        <family val="2"/>
        <charset val="136"/>
      </rPr>
      <t>漢字注音工作表校對</t>
    </r>
    <r>
      <rPr>
        <sz val="16"/>
        <color theme="1"/>
        <rFont val="Charis SIL"/>
      </rPr>
      <t>.py  --view</t>
    </r>
    <phoneticPr fontId="1" type="noConversion"/>
  </si>
  <si>
    <r>
      <t>py a391_</t>
    </r>
    <r>
      <rPr>
        <sz val="16"/>
        <color theme="1"/>
        <rFont val="Microsoft JhengHei UI"/>
        <family val="2"/>
        <charset val="136"/>
      </rPr>
      <t>缺字表修正後續作業</t>
    </r>
    <r>
      <rPr>
        <sz val="16"/>
        <color theme="1"/>
        <rFont val="Charis SIL"/>
      </rPr>
      <t>.py</t>
    </r>
    <phoneticPr fontId="1" type="noConversion"/>
  </si>
  <si>
    <r>
      <t>py a400_</t>
    </r>
    <r>
      <rPr>
        <sz val="16"/>
        <color theme="1"/>
        <rFont val="Microsoft JhengHei UI"/>
        <family val="2"/>
        <charset val="136"/>
      </rPr>
      <t>製作標音網頁</t>
    </r>
    <r>
      <rPr>
        <sz val="16"/>
        <color theme="1"/>
        <rFont val="Charis SIL"/>
      </rPr>
      <t>.py</t>
    </r>
    <phoneticPr fontId="1" type="noConversion"/>
  </si>
  <si>
    <r>
      <t>py b000_</t>
    </r>
    <r>
      <rPr>
        <sz val="16"/>
        <color theme="1"/>
        <rFont val="Microsoft JhengHei UI"/>
        <family val="2"/>
        <charset val="136"/>
      </rPr>
      <t>抄寫到</t>
    </r>
    <r>
      <rPr>
        <sz val="16"/>
        <color theme="1"/>
        <rFont val="Charis SIL"/>
      </rPr>
      <t>SRT</t>
    </r>
    <r>
      <rPr>
        <sz val="16"/>
        <color theme="1"/>
        <rFont val="Microsoft JhengHei UI"/>
        <family val="2"/>
        <charset val="136"/>
      </rPr>
      <t>漢字注音工作表</t>
    </r>
    <r>
      <rPr>
        <sz val="16"/>
        <color theme="1"/>
        <rFont val="Charis SIL"/>
      </rPr>
      <t>.py</t>
    </r>
    <phoneticPr fontId="1" type="noConversion"/>
  </si>
  <si>
    <t>缺字表</t>
    <phoneticPr fontId="1" type="noConversion"/>
  </si>
  <si>
    <t>用【E】鍵。</t>
    <phoneticPr fontId="1" type="noConversion"/>
  </si>
  <si>
    <t>查漢字標音</t>
    <phoneticPr fontId="1" type="noConversion"/>
  </si>
  <si>
    <t>用【空白】鍵。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</si>
  <si>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</t>
    </r>
    <phoneticPr fontId="1" type="noConversion"/>
  </si>
  <si>
    <t>上下注音文</t>
    <phoneticPr fontId="1" type="noConversion"/>
  </si>
  <si>
    <t>此</t>
  </si>
  <si>
    <t>cu2</t>
  </si>
  <si>
    <t>天</t>
  </si>
  <si>
    <t>萬</t>
  </si>
  <si>
    <t>hui1</t>
  </si>
  <si>
    <t>hing5</t>
  </si>
  <si>
    <t>thian1</t>
  </si>
  <si>
    <t>ban7</t>
  </si>
  <si>
    <t>（</t>
  </si>
  <si>
    <t>）</t>
  </si>
  <si>
    <t>不</t>
  </si>
  <si>
    <t>相</t>
  </si>
  <si>
    <t>生</t>
  </si>
  <si>
    <t>聲</t>
  </si>
  <si>
    <t>前</t>
  </si>
  <si>
    <t>處</t>
  </si>
  <si>
    <t>得</t>
  </si>
  <si>
    <t>誰</t>
  </si>
  <si>
    <t>？</t>
  </si>
  <si>
    <t>愛</t>
  </si>
  <si>
    <t>何</t>
  </si>
  <si>
    <t>今</t>
  </si>
  <si>
    <t>：</t>
  </si>
  <si>
    <t>清</t>
  </si>
  <si>
    <t>新</t>
  </si>
  <si>
    <t>我</t>
  </si>
  <si>
    <t>家</t>
  </si>
  <si>
    <t>屬</t>
  </si>
  <si>
    <t>年</t>
  </si>
  <si>
    <t>老</t>
  </si>
  <si>
    <t>平</t>
  </si>
  <si>
    <t>疏</t>
  </si>
  <si>
    <t>來</t>
  </si>
  <si>
    <t>put4</t>
  </si>
  <si>
    <t>sing1</t>
  </si>
  <si>
    <t>zian5</t>
  </si>
  <si>
    <t>sui5</t>
  </si>
  <si>
    <t>kong1</t>
  </si>
  <si>
    <t>hu5</t>
  </si>
  <si>
    <t>sim1</t>
  </si>
  <si>
    <t>ngoo2</t>
  </si>
  <si>
    <t>liok8</t>
  </si>
  <si>
    <t>ling5</t>
  </si>
  <si>
    <t>sin1</t>
  </si>
  <si>
    <t>kim1</t>
  </si>
  <si>
    <t>giok8</t>
  </si>
  <si>
    <t>buan2</t>
  </si>
  <si>
    <t>ai3</t>
  </si>
  <si>
    <t>long5</t>
  </si>
  <si>
    <t>ho5</t>
  </si>
  <si>
    <t>zing7</t>
  </si>
  <si>
    <t>cing1</t>
  </si>
  <si>
    <t>ziok4</t>
  </si>
  <si>
    <t>iu1</t>
  </si>
  <si>
    <t>ka1</t>
  </si>
  <si>
    <t>siau3</t>
  </si>
  <si>
    <t>uan5</t>
  </si>
  <si>
    <t>zing5</t>
  </si>
  <si>
    <t>lian5</t>
  </si>
  <si>
    <t>lo2</t>
  </si>
  <si>
    <t>phing5</t>
  </si>
  <si>
    <t>tiong1</t>
  </si>
  <si>
    <t>sik8</t>
  </si>
  <si>
    <t>kian1</t>
  </si>
  <si>
    <t>king3</t>
  </si>
  <si>
    <t>soo1</t>
  </si>
  <si>
    <t>lai5</t>
  </si>
  <si>
    <t>續校</t>
    <phoneticPr fontId="1" type="noConversion"/>
  </si>
  <si>
    <t>校對注音</t>
    <phoneticPr fontId="1" type="noConversion"/>
  </si>
  <si>
    <t>在【缺字表】補漢字庫尚缺之漢字標音</t>
    <phoneticPr fontId="1" type="noConversion"/>
  </si>
  <si>
    <r>
      <t>py .\a500_</t>
    </r>
    <r>
      <rPr>
        <sz val="16"/>
        <color rgb="FFFF0000"/>
        <rFont val="細明體"/>
        <family val="3"/>
        <charset val="136"/>
      </rPr>
      <t>漢字庫工具</t>
    </r>
    <r>
      <rPr>
        <sz val="16"/>
        <color rgb="FFFF0000"/>
        <rFont val="Charis SIL"/>
      </rPr>
      <t>.py 2</t>
    </r>
    <phoneticPr fontId="1" type="noConversion"/>
  </si>
  <si>
    <t>更新漢字庫之漢字標音</t>
    <phoneticPr fontId="1" type="noConversion"/>
  </si>
  <si>
    <t>將【漢字注音】工作表內容製成漢字標音網頁</t>
    <phoneticPr fontId="1" type="noConversion"/>
  </si>
  <si>
    <t>製作上下兩行式【簡式】漢字標音</t>
    <phoneticPr fontId="1" type="noConversion"/>
  </si>
  <si>
    <r>
      <t>py a300_</t>
    </r>
    <r>
      <rPr>
        <sz val="16"/>
        <color rgb="FFFF0000"/>
        <rFont val="Microsoft JhengHei UI"/>
        <family val="2"/>
        <charset val="136"/>
      </rPr>
      <t>漢字注音工作表校對</t>
    </r>
    <r>
      <rPr>
        <sz val="16"/>
        <color rgb="FFFF0000"/>
        <rFont val="Charis SIL"/>
      </rPr>
      <t>.py --start d133</t>
    </r>
    <phoneticPr fontId="1" type="noConversion"/>
  </si>
  <si>
    <t>念</t>
  </si>
  <si>
    <t>青</t>
  </si>
  <si>
    <t>夕</t>
  </si>
  <si>
    <t>影</t>
  </si>
  <si>
    <t>空</t>
  </si>
  <si>
    <t>便</t>
  </si>
  <si>
    <t>lim5</t>
  </si>
  <si>
    <t>ing2</t>
  </si>
  <si>
    <t>liam7</t>
  </si>
  <si>
    <t>(49, 16)</t>
  </si>
  <si>
    <t>(49, 17)</t>
  </si>
  <si>
    <t>(57, 5)</t>
  </si>
  <si>
    <t>(57, 12)</t>
  </si>
  <si>
    <t>(57, 14)</t>
  </si>
  <si>
    <t>khong1</t>
  </si>
  <si>
    <t>pian5</t>
  </si>
  <si>
    <t>lam5</t>
  </si>
  <si>
    <t>奴</t>
  </si>
  <si>
    <t>嬌</t>
  </si>
  <si>
    <t>斷</t>
  </si>
  <si>
    <t>虹</t>
  </si>
  <si>
    <t>霽</t>
  </si>
  <si>
    <t>雨</t>
  </si>
  <si>
    <t>宋</t>
  </si>
  <si>
    <t>黃</t>
  </si>
  <si>
    <t>庭</t>
  </si>
  <si>
    <t>堅</t>
  </si>
  <si>
    <t>淨</t>
  </si>
  <si>
    <t>秋</t>
  </si>
  <si>
    <t>山</t>
  </si>
  <si>
    <t>染</t>
  </si>
  <si>
    <t>修</t>
  </si>
  <si>
    <t>眉</t>
  </si>
  <si>
    <t>綠</t>
  </si>
  <si>
    <t>桂</t>
  </si>
  <si>
    <t>扶</t>
  </si>
  <si>
    <t>輝</t>
  </si>
  <si>
    <t>足</t>
  </si>
  <si>
    <t>里</t>
  </si>
  <si>
    <t>姮</t>
  </si>
  <si>
    <t>娥</t>
  </si>
  <si>
    <t>駕</t>
  </si>
  <si>
    <t>輪</t>
  </si>
  <si>
    <t>玉</t>
  </si>
  <si>
    <t>寒</t>
  </si>
  <si>
    <t>光</t>
  </si>
  <si>
    <t>零</t>
  </si>
  <si>
    <t>亂</t>
  </si>
  <si>
    <t>偏</t>
  </si>
  <si>
    <t>照</t>
  </si>
  <si>
    <t>醽</t>
  </si>
  <si>
    <t>醁</t>
  </si>
  <si>
    <t>少</t>
  </si>
  <si>
    <t>從</t>
  </si>
  <si>
    <t>追</t>
  </si>
  <si>
    <t>遊</t>
  </si>
  <si>
    <t>晚</t>
  </si>
  <si>
    <t>涼</t>
  </si>
  <si>
    <t>幽</t>
  </si>
  <si>
    <t>徑</t>
  </si>
  <si>
    <t>繞</t>
  </si>
  <si>
    <t>張</t>
  </si>
  <si>
    <t>園</t>
  </si>
  <si>
    <t>森</t>
  </si>
  <si>
    <t>木</t>
  </si>
  <si>
    <t>共</t>
  </si>
  <si>
    <t>倒</t>
  </si>
  <si>
    <t>金</t>
  </si>
  <si>
    <t>荷</t>
  </si>
  <si>
    <t>難</t>
  </si>
  <si>
    <t>尊</t>
  </si>
  <si>
    <t>子</t>
  </si>
  <si>
    <t>江</t>
  </si>
  <si>
    <t>南</t>
  </si>
  <si>
    <t>北</t>
  </si>
  <si>
    <t>最</t>
  </si>
  <si>
    <t>臨</t>
  </si>
  <si>
    <t>風</t>
  </si>
  <si>
    <t>笛</t>
  </si>
  <si>
    <t>孫</t>
  </si>
  <si>
    <t>郎</t>
  </si>
  <si>
    <t>微</t>
  </si>
  <si>
    <t>笑</t>
  </si>
  <si>
    <t>坐</t>
  </si>
  <si>
    <t>噴</t>
  </si>
  <si>
    <t>霜</t>
  </si>
  <si>
    <t>竹</t>
  </si>
  <si>
    <t xml:space="preserve">《念奴嬌·斷虹霽雨》（宋：黃庭堅）
斷虹霽雨，淨秋空，山染修眉新綠。
桂影扶疏，誰便道，今夕清輝不足？
萬里青天，姮娥何處，駕此一輪玉。
寒光零亂，為誰偏照醽醁？
年少從我追遊，晚涼幽徑，繞張園森木。
共倒金荷，家萬里，難得尊前相屬。
老子平生，江南江北，最愛臨風笛。
孫郎微笑，坐來聲噴霜竹。
</t>
  </si>
  <si>
    <t>loo5</t>
  </si>
  <si>
    <t>kiau1</t>
  </si>
  <si>
    <t>tuan3</t>
  </si>
  <si>
    <t>hong5</t>
  </si>
  <si>
    <t>ze3</t>
  </si>
  <si>
    <t>u2</t>
  </si>
  <si>
    <t>song3</t>
  </si>
  <si>
    <t>ting5</t>
  </si>
  <si>
    <t>(5, 17)</t>
  </si>
  <si>
    <t>ciu1</t>
  </si>
  <si>
    <t>san1</t>
  </si>
  <si>
    <t>siu1</t>
  </si>
  <si>
    <t>bi5</t>
  </si>
  <si>
    <t>(13, 11)</t>
  </si>
  <si>
    <t>(13, 17)</t>
  </si>
  <si>
    <t>(13, 18)</t>
  </si>
  <si>
    <t>(21, 4)</t>
  </si>
  <si>
    <t>(21, 16)</t>
  </si>
  <si>
    <t>li2</t>
  </si>
  <si>
    <t>go5</t>
  </si>
  <si>
    <t>ka3</t>
  </si>
  <si>
    <t>lun5</t>
  </si>
  <si>
    <t>(29, 10)</t>
  </si>
  <si>
    <t>han5</t>
  </si>
  <si>
    <t>luan7</t>
  </si>
  <si>
    <t>ziau3</t>
  </si>
  <si>
    <t>tui1</t>
  </si>
  <si>
    <t>iu5</t>
  </si>
  <si>
    <t>liong5</t>
  </si>
  <si>
    <t>jiau2</t>
  </si>
  <si>
    <t>(41, 8)</t>
  </si>
  <si>
    <t>(41, 16)</t>
  </si>
  <si>
    <t>bok8</t>
  </si>
  <si>
    <t>(45, 4)</t>
  </si>
  <si>
    <t>kiong7</t>
  </si>
  <si>
    <t>lan5</t>
  </si>
  <si>
    <t>zun1</t>
  </si>
  <si>
    <t>(49, 7)</t>
  </si>
  <si>
    <t>(49, 18)</t>
  </si>
  <si>
    <t>zu2</t>
  </si>
  <si>
    <t>kang1</t>
  </si>
  <si>
    <t>pok4</t>
  </si>
  <si>
    <t>zue3</t>
  </si>
  <si>
    <t>hong1</t>
  </si>
  <si>
    <t>tik8</t>
  </si>
  <si>
    <t>(57, 15)</t>
  </si>
  <si>
    <t>(57, 16)</t>
  </si>
  <si>
    <t>(57, 17)</t>
  </si>
  <si>
    <t>(57, 18)</t>
  </si>
  <si>
    <t>sun1</t>
  </si>
  <si>
    <t>cio3</t>
  </si>
  <si>
    <t>ze7</t>
  </si>
  <si>
    <t>song1</t>
  </si>
  <si>
    <t>tiok4</t>
  </si>
  <si>
    <t>(65, 5)</t>
  </si>
  <si>
    <t>斷虹霽雨，淨秋空，山染修眉新綠。</t>
  </si>
  <si>
    <t>桂影扶疏，誰便道，今夕清輝不足？</t>
  </si>
  <si>
    <t>萬里青天，姮娥何處，駕此一輪玉。</t>
  </si>
  <si>
    <t>寒光零亂，為誰偏照醽醁？</t>
  </si>
  <si>
    <t>年少從我追遊，晚涼幽徑，繞張園森木。</t>
  </si>
  <si>
    <t>共倒金荷，家萬里，難得尊前相屬。</t>
  </si>
  <si>
    <t>老子平生，江南江北，最愛臨風笛。</t>
  </si>
  <si>
    <t>孫郎微笑，坐來聲噴霜竹。</t>
  </si>
  <si>
    <t>閩拼調符</t>
  </si>
  <si>
    <t>hóng</t>
  </si>
  <si>
    <t>hó</t>
  </si>
  <si>
    <t>lún</t>
  </si>
  <si>
    <t>sīng</t>
  </si>
  <si>
    <t>hōng</t>
  </si>
  <si>
    <t>Lǒ zǔ píng sīng, gāng lám gāng bōk, zuè ài lím hōng dík.</t>
  </si>
  <si>
    <t>SRT漢字標音</t>
    <phoneticPr fontId="5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</si>
  <si>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</si>
  <si>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</si>
  <si>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</si>
  <si>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</si>
  <si>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liam2</t>
    <phoneticPr fontId="1" type="noConversion"/>
  </si>
  <si>
    <t>kui3</t>
    <phoneticPr fontId="1" type="noConversion"/>
  </si>
  <si>
    <t>to2</t>
    <phoneticPr fontId="1" type="noConversion"/>
  </si>
  <si>
    <t>ho5</t>
    <phoneticPr fontId="1" type="noConversion"/>
  </si>
  <si>
    <t>phun3</t>
    <phoneticPr fontId="1" type="noConversion"/>
  </si>
  <si>
    <t>Gùi yǐng hú sōo, súi bián dô, gīm sík cīng hūi būt ziōk?</t>
  </si>
  <si>
    <t>Sūn lóng bbí ciò, zê lái sīng pùn sōng diōk.</t>
  </si>
  <si>
    <t>sin1</t>
    <phoneticPr fontId="1" type="noConversion"/>
  </si>
  <si>
    <t>phian1</t>
    <phoneticPr fontId="1" type="noConversion"/>
  </si>
  <si>
    <t>ziong5</t>
    <phoneticPr fontId="1" type="noConversion"/>
  </si>
  <si>
    <t>siong1</t>
    <phoneticPr fontId="1" type="noConversion"/>
  </si>
  <si>
    <t>。</t>
    <phoneticPr fontId="1" type="noConversion"/>
  </si>
  <si>
    <t>cu3</t>
  </si>
  <si>
    <t>cu3</t>
    <phoneticPr fontId="1" type="noConversion"/>
  </si>
  <si>
    <t>《念奴嬌。斷虹霽雨》（宋：黃庭堅）</t>
  </si>
  <si>
    <t>Liâm lóo giāo. Duàn hóng zè wǔ sòng: hóng díng giān</t>
  </si>
  <si>
    <t>Duàn hóng zè wǔ, zîng cīu kōng, sān liǎm sīu bbí sīn liók.</t>
  </si>
  <si>
    <t>Bbân lǐ cīng tiān, híng ggó hó cù, gà cǔ yīt lún ggiók.</t>
  </si>
  <si>
    <t>Hán gōng líng luân, wí súi piān ziào líng liók?</t>
  </si>
  <si>
    <t>Lián siào zióng ggnǒo dūi yú, bbuǎn lióng yū gìng, zziǎo diōng wán sīm bbók.</t>
  </si>
  <si>
    <t>Giông dǒ gīm hó, gā bbân lǐ, lán dīk zūn zián siōng ziōk.</t>
  </si>
  <si>
    <t>方音符號</t>
  </si>
  <si>
    <t>漢字標音法</t>
    <phoneticPr fontId="1" type="noConversion"/>
  </si>
  <si>
    <t>本調標音格式</t>
    <phoneticPr fontId="1" type="noConversion"/>
  </si>
  <si>
    <t>變調標音格式</t>
    <phoneticPr fontId="1" type="noConversion"/>
  </si>
  <si>
    <t>標準標音格式</t>
    <phoneticPr fontId="1" type="noConversion"/>
  </si>
  <si>
    <t>duan5</t>
    <phoneticPr fontId="1" type="noConversion"/>
  </si>
  <si>
    <t xml:space="preserve">duàn </t>
    <phoneticPr fontId="1" type="noConversion"/>
  </si>
  <si>
    <t>tuàn</t>
    <phoneticPr fontId="1" type="noConversion"/>
  </si>
  <si>
    <t>duan3</t>
    <phoneticPr fontId="1" type="noConversion"/>
  </si>
  <si>
    <t>toàn</t>
    <phoneticPr fontId="1" type="noConversion"/>
  </si>
  <si>
    <t>tuan3</t>
    <phoneticPr fontId="1" type="noConversion"/>
  </si>
  <si>
    <t>地觀三</t>
    <phoneticPr fontId="1" type="noConversion"/>
  </si>
  <si>
    <t>觀三地</t>
    <phoneticPr fontId="1" type="noConversion"/>
  </si>
  <si>
    <t>¹</t>
  </si>
  <si>
    <t>²</t>
  </si>
  <si>
    <t>⁶</t>
  </si>
  <si>
    <t>⁸</t>
  </si>
  <si>
    <t>⁹</t>
  </si>
  <si>
    <t>⁰</t>
  </si>
  <si>
    <t>³</t>
    <phoneticPr fontId="1" type="noConversion"/>
  </si>
  <si>
    <t>tuan³</t>
    <phoneticPr fontId="1" type="noConversion"/>
  </si>
  <si>
    <t>toan³</t>
    <phoneticPr fontId="1" type="noConversion"/>
  </si>
  <si>
    <t>duan³</t>
    <phoneticPr fontId="1" type="noConversion"/>
  </si>
  <si>
    <t>duan⁵</t>
    <phoneticPr fontId="1" type="noConversion"/>
  </si>
  <si>
    <t>duan⁵⁻³</t>
    <phoneticPr fontId="1" type="noConversion"/>
  </si>
  <si>
    <t>⁵</t>
    <phoneticPr fontId="1" type="noConversion"/>
  </si>
  <si>
    <t>⁷</t>
    <phoneticPr fontId="1" type="noConversion"/>
  </si>
  <si>
    <t>tuan³⁻⁷</t>
    <phoneticPr fontId="1" type="noConversion"/>
  </si>
  <si>
    <t>toan³⁻⁷</t>
    <phoneticPr fontId="1" type="noConversion"/>
  </si>
  <si>
    <t>duan³⁻⁷</t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</si>
  <si>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˪</t>
    </r>
    <phoneticPr fontId="1" type="noConversion"/>
  </si>
  <si>
    <r>
      <rPr>
        <sz val="18"/>
        <color theme="1"/>
        <rFont val="Charis Medium"/>
      </rPr>
      <t>ㄉㄨㄢ</t>
    </r>
    <r>
      <rPr>
        <sz val="18"/>
        <color theme="1"/>
        <rFont val="Charis SemiBold"/>
      </rPr>
      <t>³</t>
    </r>
    <phoneticPr fontId="1" type="noConversion"/>
  </si>
  <si>
    <r>
      <rPr>
        <sz val="18"/>
        <color theme="1"/>
        <rFont val="Noto Sans TC"/>
        <family val="2"/>
        <charset val="136"/>
      </rPr>
      <t>ㄉㄨㄢ</t>
    </r>
    <r>
      <rPr>
        <sz val="18"/>
        <color theme="1"/>
        <rFont val="Charis SemiBold"/>
      </rPr>
      <t>³⁻⁷</t>
    </r>
    <phoneticPr fontId="1" type="noConversion"/>
  </si>
  <si>
    <r>
      <rPr>
        <sz val="12"/>
        <color theme="1"/>
        <rFont val="新細明體"/>
        <family val="2"/>
        <charset val="136"/>
      </rPr>
      <t>⁴</t>
    </r>
  </si>
  <si>
    <t>地觀三-七</t>
    <phoneticPr fontId="1" type="noConversion"/>
  </si>
  <si>
    <t>十五音</t>
    <phoneticPr fontId="1" type="noConversion"/>
  </si>
  <si>
    <t>雅俗通</t>
    <phoneticPr fontId="1" type="noConversion"/>
  </si>
  <si>
    <t>方音符號</t>
    <phoneticPr fontId="1" type="noConversion"/>
  </si>
  <si>
    <t>台羅拼音</t>
    <phoneticPr fontId="1" type="noConversion"/>
  </si>
  <si>
    <t>白話字</t>
    <phoneticPr fontId="1" type="noConversion"/>
  </si>
  <si>
    <t>注音二式</t>
    <phoneticPr fontId="1" type="noConversion"/>
  </si>
  <si>
    <t>閩拼調號</t>
    <phoneticPr fontId="1" type="noConversion"/>
  </si>
  <si>
    <t>閩拼調符</t>
    <phoneticPr fontId="1" type="noConversion"/>
  </si>
  <si>
    <t>使用變調標音格式</t>
    <phoneticPr fontId="5" type="noConversion"/>
  </si>
  <si>
    <t>是</t>
  </si>
  <si>
    <t>liam⁶⁻⁵</t>
    <phoneticPr fontId="1" type="noConversion"/>
  </si>
  <si>
    <t>loo²⁻⁶</t>
    <phoneticPr fontId="1" type="noConversion"/>
  </si>
  <si>
    <t>giao¹</t>
    <phoneticPr fontId="1" type="noConversion"/>
  </si>
  <si>
    <t>hong²</t>
    <phoneticPr fontId="1" type="noConversion"/>
  </si>
  <si>
    <t>ze⁵⁻³</t>
    <phoneticPr fontId="1" type="noConversion"/>
  </si>
  <si>
    <t>wu³</t>
    <phoneticPr fontId="1" type="noConversion"/>
  </si>
  <si>
    <t>song⁵</t>
    <phoneticPr fontId="1" type="noConversion"/>
  </si>
  <si>
    <t>hong²⁻⁶</t>
    <phoneticPr fontId="1" type="noConversion"/>
  </si>
  <si>
    <t>ding²⁻⁶</t>
    <phoneticPr fontId="1" type="noConversion"/>
  </si>
  <si>
    <t>gian¹</t>
    <phoneticPr fontId="1" type="noConversion"/>
  </si>
  <si>
    <t>zing⁶⁻⁵</t>
    <phoneticPr fontId="1" type="noConversion"/>
  </si>
  <si>
    <t>ciu¹⁻⁶</t>
    <phoneticPr fontId="1" type="noConversion"/>
  </si>
  <si>
    <t>kong¹</t>
    <phoneticPr fontId="1" type="noConversion"/>
  </si>
  <si>
    <t>san¹⁻⁶</t>
    <phoneticPr fontId="1" type="noConversion"/>
  </si>
  <si>
    <t>liam³</t>
    <phoneticPr fontId="1" type="noConversion"/>
  </si>
  <si>
    <t>siu¹⁻⁶</t>
    <phoneticPr fontId="1" type="noConversion"/>
  </si>
  <si>
    <t>bbi²</t>
    <phoneticPr fontId="1" type="noConversion"/>
  </si>
  <si>
    <t>sin¹⁻⁶</t>
    <phoneticPr fontId="1" type="noConversion"/>
  </si>
  <si>
    <t>liok⁸</t>
    <phoneticPr fontId="1" type="noConversion"/>
  </si>
  <si>
    <t>gui⁵⁻³</t>
    <phoneticPr fontId="1" type="noConversion"/>
  </si>
  <si>
    <t>ying³</t>
    <phoneticPr fontId="1" type="noConversion"/>
  </si>
  <si>
    <t>hu²⁻⁶</t>
    <phoneticPr fontId="1" type="noConversion"/>
  </si>
  <si>
    <t>soo¹</t>
    <phoneticPr fontId="1" type="noConversion"/>
  </si>
  <si>
    <t>sui²⁻⁶</t>
    <phoneticPr fontId="1" type="noConversion"/>
  </si>
  <si>
    <t>bian²⁻⁶</t>
    <phoneticPr fontId="1" type="noConversion"/>
  </si>
  <si>
    <t>do⁶</t>
    <phoneticPr fontId="1" type="noConversion"/>
  </si>
  <si>
    <t>gim¹⁻⁶</t>
    <phoneticPr fontId="1" type="noConversion"/>
  </si>
  <si>
    <t>sik⁸</t>
    <phoneticPr fontId="1" type="noConversion"/>
  </si>
  <si>
    <t>cing¹⁻⁶</t>
    <phoneticPr fontId="1" type="noConversion"/>
  </si>
  <si>
    <t>hui¹</t>
    <phoneticPr fontId="1" type="noConversion"/>
  </si>
  <si>
    <t>but⁷⁻⁸</t>
    <phoneticPr fontId="1" type="noConversion"/>
  </si>
  <si>
    <t>ziok⁷</t>
    <phoneticPr fontId="1" type="noConversion"/>
  </si>
  <si>
    <t>bban⁶⁻⁵</t>
    <phoneticPr fontId="1" type="noConversion"/>
  </si>
  <si>
    <t>li³</t>
    <phoneticPr fontId="1" type="noConversion"/>
  </si>
  <si>
    <t>tian¹</t>
    <phoneticPr fontId="1" type="noConversion"/>
  </si>
  <si>
    <t>hing²⁻⁶</t>
    <phoneticPr fontId="1" type="noConversion"/>
  </si>
  <si>
    <t>ggo²</t>
    <phoneticPr fontId="1" type="noConversion"/>
  </si>
  <si>
    <t>ho²⁻⁶</t>
    <phoneticPr fontId="1" type="noConversion"/>
  </si>
  <si>
    <t>cu⁵</t>
    <phoneticPr fontId="1" type="noConversion"/>
  </si>
  <si>
    <t>ga⁵⁻³</t>
    <phoneticPr fontId="1" type="noConversion"/>
  </si>
  <si>
    <t>cu³</t>
    <phoneticPr fontId="1" type="noConversion"/>
  </si>
  <si>
    <t>yit⁷⁻⁸</t>
    <phoneticPr fontId="1" type="noConversion"/>
  </si>
  <si>
    <t>lun²⁻⁶</t>
    <phoneticPr fontId="1" type="noConversion"/>
  </si>
  <si>
    <t>ggiok⁸</t>
    <phoneticPr fontId="1" type="noConversion"/>
  </si>
  <si>
    <t>han²⁻⁶</t>
    <phoneticPr fontId="1" type="noConversion"/>
  </si>
  <si>
    <t>gong¹</t>
    <phoneticPr fontId="1" type="noConversion"/>
  </si>
  <si>
    <t>ling²⁻⁶</t>
    <phoneticPr fontId="1" type="noConversion"/>
  </si>
  <si>
    <t>luan⁶</t>
    <phoneticPr fontId="1" type="noConversion"/>
  </si>
  <si>
    <t>wi²⁻⁶</t>
    <phoneticPr fontId="1" type="noConversion"/>
  </si>
  <si>
    <t>sui²</t>
    <phoneticPr fontId="1" type="noConversion"/>
  </si>
  <si>
    <t>pian¹⁻⁶</t>
    <phoneticPr fontId="1" type="noConversion"/>
  </si>
  <si>
    <t>ziao⁵</t>
    <phoneticPr fontId="1" type="noConversion"/>
  </si>
  <si>
    <t>lian²⁻⁶</t>
    <phoneticPr fontId="1" type="noConversion"/>
  </si>
  <si>
    <t>siao⁵</t>
    <phoneticPr fontId="1" type="noConversion"/>
  </si>
  <si>
    <t>ziong²⁻⁶</t>
    <phoneticPr fontId="1" type="noConversion"/>
  </si>
  <si>
    <t>ggnoo³</t>
    <phoneticPr fontId="1" type="noConversion"/>
  </si>
  <si>
    <t>dui¹⁻⁶</t>
    <phoneticPr fontId="1" type="noConversion"/>
  </si>
  <si>
    <t>yu²</t>
    <phoneticPr fontId="1" type="noConversion"/>
  </si>
  <si>
    <t>bbuan³⁻¹</t>
    <phoneticPr fontId="1" type="noConversion"/>
  </si>
  <si>
    <t>liong²</t>
    <phoneticPr fontId="1" type="noConversion"/>
  </si>
  <si>
    <t>yu¹⁻⁶</t>
    <phoneticPr fontId="1" type="noConversion"/>
  </si>
  <si>
    <t>ging⁵</t>
    <phoneticPr fontId="1" type="noConversion"/>
  </si>
  <si>
    <t>zziao³</t>
    <phoneticPr fontId="1" type="noConversion"/>
  </si>
  <si>
    <t>diong¹⁻⁶</t>
    <phoneticPr fontId="1" type="noConversion"/>
  </si>
  <si>
    <t>wan²</t>
    <phoneticPr fontId="1" type="noConversion"/>
  </si>
  <si>
    <t>sim¹⁻⁶</t>
    <phoneticPr fontId="1" type="noConversion"/>
  </si>
  <si>
    <t>bbok⁸</t>
    <phoneticPr fontId="1" type="noConversion"/>
  </si>
  <si>
    <t>giong⁶⁻⁵</t>
    <phoneticPr fontId="1" type="noConversion"/>
  </si>
  <si>
    <t>do³</t>
    <phoneticPr fontId="1" type="noConversion"/>
  </si>
  <si>
    <t>ho²</t>
    <phoneticPr fontId="1" type="noConversion"/>
  </si>
  <si>
    <t>ga¹⁻⁶</t>
    <phoneticPr fontId="1" type="noConversion"/>
  </si>
  <si>
    <t>lan²⁻⁶</t>
    <phoneticPr fontId="1" type="noConversion"/>
  </si>
  <si>
    <t>dik⁷</t>
    <phoneticPr fontId="1" type="noConversion"/>
  </si>
  <si>
    <t>zun¹⁻⁶</t>
    <phoneticPr fontId="1" type="noConversion"/>
  </si>
  <si>
    <t>zian²</t>
    <phoneticPr fontId="1" type="noConversion"/>
  </si>
  <si>
    <t>siong¹⁻⁶</t>
    <phoneticPr fontId="1" type="noConversion"/>
  </si>
  <si>
    <t>lo³⁻¹</t>
    <phoneticPr fontId="1" type="noConversion"/>
  </si>
  <si>
    <t>zu³</t>
    <phoneticPr fontId="1" type="noConversion"/>
  </si>
  <si>
    <t>ping²⁻⁶</t>
    <phoneticPr fontId="1" type="noConversion"/>
  </si>
  <si>
    <t>sing¹</t>
    <phoneticPr fontId="1" type="noConversion"/>
  </si>
  <si>
    <t>gang¹⁻⁶</t>
    <phoneticPr fontId="1" type="noConversion"/>
  </si>
  <si>
    <t>lam²</t>
    <phoneticPr fontId="1" type="noConversion"/>
  </si>
  <si>
    <t>bok⁷</t>
    <phoneticPr fontId="1" type="noConversion"/>
  </si>
  <si>
    <t>zue⁵⁻³</t>
    <phoneticPr fontId="1" type="noConversion"/>
  </si>
  <si>
    <t>ai⁵</t>
    <phoneticPr fontId="1" type="noConversion"/>
  </si>
  <si>
    <t>lim²⁻⁶</t>
    <phoneticPr fontId="1" type="noConversion"/>
  </si>
  <si>
    <t>hong¹⁻⁶</t>
    <phoneticPr fontId="1" type="noConversion"/>
  </si>
  <si>
    <t>dik⁸</t>
    <phoneticPr fontId="1" type="noConversion"/>
  </si>
  <si>
    <t>sun¹⁻⁶</t>
    <phoneticPr fontId="1" type="noConversion"/>
  </si>
  <si>
    <t>long²</t>
    <phoneticPr fontId="1" type="noConversion"/>
  </si>
  <si>
    <t>bbi²⁻⁶</t>
    <phoneticPr fontId="1" type="noConversion"/>
  </si>
  <si>
    <t>cio⁵</t>
    <phoneticPr fontId="1" type="noConversion"/>
  </si>
  <si>
    <t>ze⁶⁻⁵</t>
    <phoneticPr fontId="1" type="noConversion"/>
  </si>
  <si>
    <t>lai²</t>
    <phoneticPr fontId="1" type="noConversion"/>
  </si>
  <si>
    <t>sing¹⁻⁶</t>
    <phoneticPr fontId="1" type="noConversion"/>
  </si>
  <si>
    <t>pun⁵</t>
    <phoneticPr fontId="1" type="noConversion"/>
  </si>
  <si>
    <t>song¹⁻⁶</t>
    <phoneticPr fontId="1" type="noConversion"/>
  </si>
  <si>
    <t>diok⁷</t>
    <phoneticPr fontId="1" type="noConversion"/>
  </si>
  <si>
    <t>白話音</t>
  </si>
  <si>
    <t>台羅拼音</t>
  </si>
  <si>
    <t>禍</t>
  </si>
  <si>
    <t>命</t>
  </si>
  <si>
    <t>uan1</t>
  </si>
  <si>
    <t>uan</t>
  </si>
  <si>
    <t>hoo7</t>
  </si>
  <si>
    <t>hōo</t>
  </si>
  <si>
    <t>hok4</t>
  </si>
  <si>
    <t>hok</t>
  </si>
  <si>
    <t>hông</t>
  </si>
  <si>
    <t>tsè</t>
  </si>
  <si>
    <t>tshiu</t>
  </si>
  <si>
    <t>sam1</t>
  </si>
  <si>
    <t>sam</t>
  </si>
  <si>
    <t>siu</t>
  </si>
  <si>
    <t>sin</t>
  </si>
  <si>
    <t>li̍ok</t>
  </si>
  <si>
    <t>(9, 7)</t>
  </si>
  <si>
    <t>(9, 17)</t>
  </si>
  <si>
    <t>(9, 18)</t>
  </si>
  <si>
    <t>pian7</t>
  </si>
  <si>
    <t>pīan</t>
  </si>
  <si>
    <t>zo7</t>
  </si>
  <si>
    <t>tsō</t>
  </si>
  <si>
    <t>kim</t>
  </si>
  <si>
    <t>zin1</t>
  </si>
  <si>
    <t>tsin</t>
  </si>
  <si>
    <t>hui</t>
  </si>
  <si>
    <t>tsiok</t>
  </si>
  <si>
    <t>(17, 7)</t>
  </si>
  <si>
    <t>(17, 11)</t>
  </si>
  <si>
    <t>(17, 13)</t>
  </si>
  <si>
    <t>bān</t>
  </si>
  <si>
    <t>lí</t>
  </si>
  <si>
    <t>tshing</t>
  </si>
  <si>
    <t>hîng</t>
  </si>
  <si>
    <t>hng5</t>
  </si>
  <si>
    <t>hn̂g</t>
  </si>
  <si>
    <t>tshù</t>
  </si>
  <si>
    <t>kà</t>
  </si>
  <si>
    <t>tshú</t>
  </si>
  <si>
    <t>it8</t>
  </si>
  <si>
    <t>i̍t</t>
  </si>
  <si>
    <t>(25, 4)</t>
  </si>
  <si>
    <t>(25, 5)</t>
  </si>
  <si>
    <t>(25, 7)</t>
  </si>
  <si>
    <t>(25, 11)</t>
  </si>
  <si>
    <t>(25, 15)</t>
  </si>
  <si>
    <t>(25, 18)</t>
  </si>
  <si>
    <t>lîan</t>
  </si>
  <si>
    <t>ûi</t>
  </si>
  <si>
    <t>lîng</t>
  </si>
  <si>
    <t>(33, 13)</t>
  </si>
  <si>
    <t>sìau</t>
  </si>
  <si>
    <t>zng5</t>
  </si>
  <si>
    <t>tsn̂g</t>
  </si>
  <si>
    <t>gun2</t>
  </si>
  <si>
    <t>gún</t>
  </si>
  <si>
    <t>îu</t>
  </si>
  <si>
    <t>(37, 16)</t>
  </si>
  <si>
    <t>sim</t>
  </si>
  <si>
    <t>ka</t>
  </si>
  <si>
    <t>oh4</t>
  </si>
  <si>
    <t>oh</t>
  </si>
  <si>
    <t>tik</t>
  </si>
  <si>
    <t>tsîng</t>
  </si>
  <si>
    <t>(45, 6)</t>
  </si>
  <si>
    <t>(45, 14)</t>
  </si>
  <si>
    <t>lau2</t>
  </si>
  <si>
    <t>láu</t>
  </si>
  <si>
    <t>a2</t>
  </si>
  <si>
    <t>á</t>
  </si>
  <si>
    <t>pinn5</t>
  </si>
  <si>
    <t>pînn</t>
  </si>
  <si>
    <t>kang</t>
  </si>
  <si>
    <t>lâm</t>
  </si>
  <si>
    <t>pak4</t>
  </si>
  <si>
    <t>pak</t>
  </si>
  <si>
    <t>lîm</t>
  </si>
  <si>
    <t>hong</t>
  </si>
  <si>
    <t>ti̍k</t>
  </si>
  <si>
    <t>(53, 6)</t>
  </si>
  <si>
    <t>(53, 12)</t>
  </si>
  <si>
    <t>(53, 14)</t>
  </si>
  <si>
    <t>(53, 16)</t>
  </si>
  <si>
    <t>(53, 17)</t>
  </si>
  <si>
    <t>sng1</t>
  </si>
  <si>
    <t>sng</t>
  </si>
  <si>
    <t>lâi</t>
  </si>
  <si>
    <t>sing</t>
  </si>
  <si>
    <t>(61, 11)</t>
  </si>
  <si>
    <t>人</t>
  </si>
  <si>
    <t>苦</t>
  </si>
  <si>
    <t>無</t>
  </si>
  <si>
    <t>兩</t>
  </si>
  <si>
    <t>千</t>
  </si>
  <si>
    <t>日</t>
  </si>
  <si>
    <t>好</t>
  </si>
  <si>
    <t>死</t>
  </si>
  <si>
    <t>也</t>
  </si>
  <si>
    <t>同</t>
  </si>
  <si>
    <t>如</t>
  </si>
  <si>
    <t>世</t>
  </si>
  <si>
    <t>有</t>
  </si>
  <si>
    <t>力</t>
  </si>
  <si>
    <t>值</t>
  </si>
  <si>
    <t>劉</t>
  </si>
  <si>
    <t>四</t>
  </si>
  <si>
    <t>心</t>
  </si>
  <si>
    <t>定</t>
  </si>
  <si>
    <t>大</t>
  </si>
  <si>
    <t>出</t>
  </si>
  <si>
    <t>名</t>
  </si>
  <si>
    <t>欲</t>
  </si>
  <si>
    <t>敗</t>
  </si>
  <si>
    <t>水</t>
  </si>
  <si>
    <t>khoo2</t>
  </si>
  <si>
    <t>khóo</t>
  </si>
  <si>
    <t>nng7</t>
  </si>
  <si>
    <t>ziau5</t>
  </si>
  <si>
    <t>tsîau</t>
  </si>
  <si>
    <t>(9, 8)</t>
  </si>
  <si>
    <t>cian1</t>
  </si>
  <si>
    <t>tshian</t>
  </si>
  <si>
    <t>jit8</t>
  </si>
  <si>
    <t>ji̍t</t>
  </si>
  <si>
    <t>bang7</t>
  </si>
  <si>
    <t>bāng</t>
  </si>
  <si>
    <t>si2</t>
  </si>
  <si>
    <t>sí</t>
  </si>
  <si>
    <t>(17, 8)</t>
  </si>
  <si>
    <t>he7</t>
  </si>
  <si>
    <t>hē</t>
  </si>
  <si>
    <t>ia2</t>
  </si>
  <si>
    <t>ía</t>
  </si>
  <si>
    <t>ju5</t>
  </si>
  <si>
    <t>jû</t>
  </si>
  <si>
    <t>kau3</t>
  </si>
  <si>
    <t>kàu</t>
  </si>
  <si>
    <t>kan1</t>
  </si>
  <si>
    <t>kan</t>
  </si>
  <si>
    <t>se3</t>
  </si>
  <si>
    <t>sè</t>
  </si>
  <si>
    <t>(29, 8)</t>
  </si>
  <si>
    <t>u7</t>
  </si>
  <si>
    <t>ū</t>
  </si>
  <si>
    <t>kun1</t>
  </si>
  <si>
    <t>kun</t>
  </si>
  <si>
    <t>lat8</t>
  </si>
  <si>
    <t>la̍p</t>
  </si>
  <si>
    <t>tat8</t>
  </si>
  <si>
    <t>ta̍p</t>
  </si>
  <si>
    <t>tioh8</t>
  </si>
  <si>
    <t>ti̍oh</t>
  </si>
  <si>
    <t>lau5</t>
  </si>
  <si>
    <t>lâu</t>
  </si>
  <si>
    <t>si3</t>
  </si>
  <si>
    <t>sì</t>
  </si>
  <si>
    <t>(33, 8)</t>
  </si>
  <si>
    <t>tiann7</t>
  </si>
  <si>
    <t>tīann</t>
  </si>
  <si>
    <t>ti1</t>
  </si>
  <si>
    <t>ti</t>
  </si>
  <si>
    <t>tua7</t>
  </si>
  <si>
    <t>tūa</t>
  </si>
  <si>
    <t>tsiah</t>
  </si>
  <si>
    <t>cut4</t>
  </si>
  <si>
    <t>tshut</t>
  </si>
  <si>
    <t>mia5</t>
  </si>
  <si>
    <t>m̂ia</t>
  </si>
  <si>
    <t>beh</t>
  </si>
  <si>
    <t>pai7</t>
  </si>
  <si>
    <t>pāi</t>
  </si>
  <si>
    <t>(49, 11)</t>
  </si>
  <si>
    <t>e7</t>
  </si>
  <si>
    <t>ē</t>
  </si>
  <si>
    <t>mia7</t>
  </si>
  <si>
    <t>m̄ia</t>
  </si>
  <si>
    <t>bo5</t>
  </si>
  <si>
    <t>bô</t>
  </si>
  <si>
    <t>sio1</t>
  </si>
  <si>
    <t>sio</t>
  </si>
  <si>
    <t>jin5</t>
  </si>
  <si>
    <t>jîn</t>
  </si>
  <si>
    <t>ho2</t>
  </si>
  <si>
    <t>thinn1</t>
  </si>
  <si>
    <t>thinn</t>
  </si>
  <si>
    <t>tang5</t>
  </si>
  <si>
    <t>tâng</t>
  </si>
  <si>
    <t>put</t>
  </si>
  <si>
    <t>kin1</t>
  </si>
  <si>
    <t>kin</t>
  </si>
  <si>
    <t>beh4</t>
  </si>
  <si>
    <t>nn̄g</t>
  </si>
  <si>
    <t>zui2</t>
  </si>
  <si>
    <t>tsúi</t>
  </si>
  <si>
    <t>讓</t>
  </si>
  <si>
    <t>縣</t>
  </si>
  <si>
    <t>自</t>
  </si>
  <si>
    <t>明</t>
  </si>
  <si>
    <t>本</t>
  </si>
  <si>
    <t>志</t>
  </si>
  <si>
    <t>令</t>
  </si>
  <si>
    <t>東</t>
  </si>
  <si>
    <t>漢</t>
  </si>
  <si>
    <t>曹</t>
  </si>
  <si>
    <t>操</t>
  </si>
  <si>
    <t>孤</t>
  </si>
  <si>
    <t>始</t>
  </si>
  <si>
    <t>舉</t>
  </si>
  <si>
    <t>孝</t>
  </si>
  <si>
    <t>廉</t>
  </si>
  <si>
    <t>以</t>
  </si>
  <si>
    <t>非</t>
  </si>
  <si>
    <t>巖</t>
  </si>
  <si>
    <t>穴</t>
  </si>
  <si>
    <t>知</t>
  </si>
  <si>
    <t>之</t>
  </si>
  <si>
    <t>士</t>
  </si>
  <si>
    <t>恐</t>
  </si>
  <si>
    <t>海</t>
  </si>
  <si>
    <t>內</t>
  </si>
  <si>
    <t>所</t>
  </si>
  <si>
    <t>見</t>
  </si>
  <si>
    <t>凡</t>
  </si>
  <si>
    <t>愚</t>
  </si>
  <si>
    <t>郡</t>
  </si>
  <si>
    <t>守</t>
  </si>
  <si>
    <t>作</t>
  </si>
  <si>
    <t>政</t>
  </si>
  <si>
    <t>教</t>
  </si>
  <si>
    <t>建</t>
  </si>
  <si>
    <t>立</t>
  </si>
  <si>
    <t>譽</t>
  </si>
  <si>
    <t>使</t>
  </si>
  <si>
    <t>；</t>
  </si>
  <si>
    <t>故</t>
  </si>
  <si>
    <t>在</t>
  </si>
  <si>
    <t>濟</t>
  </si>
  <si>
    <t>除</t>
  </si>
  <si>
    <t>殘</t>
  </si>
  <si>
    <t>去</t>
  </si>
  <si>
    <t>穢</t>
  </si>
  <si>
    <t>選</t>
  </si>
  <si>
    <t>違</t>
  </si>
  <si>
    <t>迕</t>
  </si>
  <si>
    <t>諸</t>
  </si>
  <si>
    <t>常</t>
  </si>
  <si>
    <t>侍</t>
  </si>
  <si>
    <t>彊</t>
  </si>
  <si>
    <t>豪</t>
  </si>
  <si>
    <t>忿</t>
  </si>
  <si>
    <t>致</t>
  </si>
  <si>
    <t>病</t>
  </si>
  <si>
    <t>還</t>
  </si>
  <si>
    <t>官</t>
  </si>
  <si>
    <t>後</t>
  </si>
  <si>
    <t>紀</t>
  </si>
  <si>
    <t>尚</t>
  </si>
  <si>
    <t>顧</t>
  </si>
  <si>
    <t>視</t>
  </si>
  <si>
    <t>歲</t>
  </si>
  <si>
    <t>中</t>
  </si>
  <si>
    <t>五</t>
  </si>
  <si>
    <t>十</t>
  </si>
  <si>
    <t>未</t>
  </si>
  <si>
    <t>圖</t>
  </si>
  <si>
    <t>卻</t>
  </si>
  <si>
    <t>二</t>
  </si>
  <si>
    <t>待</t>
  </si>
  <si>
    <t>下</t>
  </si>
  <si>
    <t>乃</t>
  </si>
  <si>
    <t>與</t>
  </si>
  <si>
    <t>者</t>
  </si>
  <si>
    <t>等</t>
  </si>
  <si>
    <t>耳</t>
  </si>
  <si>
    <t>歸</t>
  </si>
  <si>
    <t>鄉</t>
  </si>
  <si>
    <t>於</t>
  </si>
  <si>
    <t>譙</t>
  </si>
  <si>
    <t>築</t>
  </si>
  <si>
    <t>精</t>
  </si>
  <si>
    <t>舍</t>
  </si>
  <si>
    <t>夏</t>
  </si>
  <si>
    <t>讀</t>
  </si>
  <si>
    <t>書</t>
  </si>
  <si>
    <t>冬</t>
  </si>
  <si>
    <t>春</t>
  </si>
  <si>
    <t>射</t>
  </si>
  <si>
    <t>獵</t>
  </si>
  <si>
    <t>求</t>
  </si>
  <si>
    <t>底</t>
  </si>
  <si>
    <t>地</t>
  </si>
  <si>
    <t>泥</t>
  </si>
  <si>
    <t>蔽</t>
  </si>
  <si>
    <t>絕</t>
  </si>
  <si>
    <t>賓</t>
  </si>
  <si>
    <t>客</t>
  </si>
  <si>
    <t>往</t>
  </si>
  <si>
    <t>望</t>
  </si>
  <si>
    <t>然</t>
  </si>
  <si>
    <t>能</t>
  </si>
  <si>
    <t>意</t>
  </si>
  <si>
    <t>徵</t>
  </si>
  <si>
    <t>都</t>
  </si>
  <si>
    <t>尉</t>
  </si>
  <si>
    <t>遷</t>
  </si>
  <si>
    <t>典</t>
  </si>
  <si>
    <t>軍</t>
  </si>
  <si>
    <t>校</t>
  </si>
  <si>
    <t>遂</t>
  </si>
  <si>
    <t>更</t>
  </si>
  <si>
    <t>國</t>
  </si>
  <si>
    <t>討</t>
  </si>
  <si>
    <t>賊</t>
  </si>
  <si>
    <t>功</t>
  </si>
  <si>
    <t>封</t>
  </si>
  <si>
    <t>侯</t>
  </si>
  <si>
    <t>征</t>
  </si>
  <si>
    <t>西</t>
  </si>
  <si>
    <t>將</t>
  </si>
  <si>
    <t>題</t>
  </si>
  <si>
    <t>墓</t>
  </si>
  <si>
    <t>言</t>
  </si>
  <si>
    <t>「</t>
  </si>
  <si>
    <t>」</t>
  </si>
  <si>
    <t>其</t>
  </si>
  <si>
    <t>而</t>
  </si>
  <si>
    <t>遭</t>
  </si>
  <si>
    <t>董</t>
  </si>
  <si>
    <t>卓</t>
  </si>
  <si>
    <t>興</t>
  </si>
  <si>
    <t>義</t>
  </si>
  <si>
    <t>兵</t>
  </si>
  <si>
    <t>合</t>
  </si>
  <si>
    <t>多</t>
  </si>
  <si>
    <t>損</t>
  </si>
  <si>
    <t>盛</t>
  </si>
  <si>
    <t>敵</t>
  </si>
  <si>
    <t>爭</t>
  </si>
  <si>
    <t>倘</t>
  </si>
  <si>
    <t>汴</t>
  </si>
  <si>
    <t>戰</t>
  </si>
  <si>
    <t>數</t>
  </si>
  <si>
    <t>到</t>
  </si>
  <si>
    <t>揚</t>
  </si>
  <si>
    <t>州</t>
  </si>
  <si>
    <t>募</t>
  </si>
  <si>
    <t>亦</t>
  </si>
  <si>
    <t>復</t>
  </si>
  <si>
    <t>過</t>
  </si>
  <si>
    <t>三</t>
  </si>
  <si>
    <t>限</t>
  </si>
  <si>
    <t>領</t>
  </si>
  <si>
    <t>兗</t>
  </si>
  <si>
    <t>破</t>
  </si>
  <si>
    <t>降</t>
  </si>
  <si>
    <t>巾</t>
  </si>
  <si>
    <t>眾</t>
  </si>
  <si>
    <t>又</t>
  </si>
  <si>
    <t>袁</t>
  </si>
  <si>
    <t>術</t>
  </si>
  <si>
    <t>僭</t>
  </si>
  <si>
    <t>號</t>
  </si>
  <si>
    <t>九</t>
  </si>
  <si>
    <t>皆</t>
  </si>
  <si>
    <t>稱</t>
  </si>
  <si>
    <t>臣</t>
  </si>
  <si>
    <t>門</t>
  </si>
  <si>
    <t>曰</t>
  </si>
  <si>
    <t>衣</t>
  </si>
  <si>
    <t>被</t>
  </si>
  <si>
    <t>制</t>
  </si>
  <si>
    <t>婦</t>
  </si>
  <si>
    <t>預</t>
  </si>
  <si>
    <t>皇</t>
  </si>
  <si>
    <t>后</t>
  </si>
  <si>
    <t>計</t>
  </si>
  <si>
    <t>已</t>
  </si>
  <si>
    <t>勸</t>
  </si>
  <si>
    <t>即</t>
  </si>
  <si>
    <t>帝</t>
  </si>
  <si>
    <t>位</t>
  </si>
  <si>
    <t>露</t>
  </si>
  <si>
    <t>布</t>
  </si>
  <si>
    <t>答</t>
  </si>
  <si>
    <t>公</t>
  </si>
  <si>
    <t>可</t>
  </si>
  <si>
    <t>擒</t>
  </si>
  <si>
    <t>獲</t>
  </si>
  <si>
    <t>窮</t>
  </si>
  <si>
    <t>亡</t>
  </si>
  <si>
    <t>解</t>
  </si>
  <si>
    <t>沮</t>
  </si>
  <si>
    <t>發</t>
  </si>
  <si>
    <t>及</t>
  </si>
  <si>
    <t>至</t>
  </si>
  <si>
    <t>紹</t>
  </si>
  <si>
    <t>據</t>
  </si>
  <si>
    <t>河</t>
  </si>
  <si>
    <t>勢</t>
  </si>
  <si>
    <t>度</t>
  </si>
  <si>
    <t>實</t>
  </si>
  <si>
    <t>但</t>
  </si>
  <si>
    <t>投</t>
  </si>
  <si>
    <t>滅</t>
  </si>
  <si>
    <t>身</t>
  </si>
  <si>
    <t>垂</t>
  </si>
  <si>
    <t>幸</t>
  </si>
  <si>
    <t>梟</t>
  </si>
  <si>
    <t>表</t>
  </si>
  <si>
    <t>宗</t>
  </si>
  <si>
    <t>室</t>
  </si>
  <si>
    <t>包</t>
  </si>
  <si>
    <t>藏</t>
  </si>
  <si>
    <t>奸</t>
  </si>
  <si>
    <t>乍</t>
  </si>
  <si>
    <t>觀</t>
  </si>
  <si>
    <t>事</t>
  </si>
  <si>
    <t>當</t>
  </si>
  <si>
    <t>宰</t>
  </si>
  <si>
    <t>貴</t>
  </si>
  <si>
    <t>極</t>
  </si>
  <si>
    <t>矣</t>
  </si>
  <si>
    <t>若</t>
  </si>
  <si>
    <t>盡</t>
  </si>
  <si>
    <t>諱</t>
  </si>
  <si>
    <t>設</t>
  </si>
  <si>
    <t>幾</t>
  </si>
  <si>
    <t>王</t>
  </si>
  <si>
    <t>或</t>
  </si>
  <si>
    <t>性</t>
  </si>
  <si>
    <t>信</t>
  </si>
  <si>
    <t>私</t>
  </si>
  <si>
    <t>評</t>
  </si>
  <si>
    <t>遜</t>
  </si>
  <si>
    <t>妄</t>
  </si>
  <si>
    <t>忖</t>
  </si>
  <si>
    <t>每</t>
  </si>
  <si>
    <t>用</t>
  </si>
  <si>
    <t>耿</t>
  </si>
  <si>
    <t>齊</t>
  </si>
  <si>
    <t>桓</t>
  </si>
  <si>
    <t>、</t>
  </si>
  <si>
    <t>晉</t>
  </si>
  <si>
    <t>文</t>
  </si>
  <si>
    <t>廣</t>
  </si>
  <si>
    <t>猶</t>
  </si>
  <si>
    <t>奉</t>
  </si>
  <si>
    <t>周</t>
  </si>
  <si>
    <t>論</t>
  </si>
  <si>
    <t>語</t>
  </si>
  <si>
    <t>云</t>
  </si>
  <si>
    <t>服</t>
  </si>
  <si>
    <t>殷</t>
  </si>
  <si>
    <t>德</t>
  </si>
  <si>
    <t>謂</t>
  </si>
  <si>
    <t>夫</t>
  </si>
  <si>
    <t>小</t>
  </si>
  <si>
    <t>昔</t>
  </si>
  <si>
    <t>樂</t>
  </si>
  <si>
    <t>毅</t>
  </si>
  <si>
    <t>走</t>
  </si>
  <si>
    <t>趙</t>
  </si>
  <si>
    <t>燕</t>
  </si>
  <si>
    <t>伏</t>
  </si>
  <si>
    <t>泣</t>
  </si>
  <si>
    <t>對</t>
  </si>
  <si>
    <t>昭</t>
  </si>
  <si>
    <t>戾</t>
  </si>
  <si>
    <t>放</t>
  </si>
  <si>
    <t>他</t>
  </si>
  <si>
    <t>沒</t>
  </si>
  <si>
    <t>忍</t>
  </si>
  <si>
    <t>謀</t>
  </si>
  <si>
    <t>徒</t>
  </si>
  <si>
    <t>隸</t>
  </si>
  <si>
    <t>況</t>
  </si>
  <si>
    <t>嗣</t>
  </si>
  <si>
    <t>乎</t>
  </si>
  <si>
    <t>！</t>
  </si>
  <si>
    <t>胡</t>
  </si>
  <si>
    <t>亥</t>
  </si>
  <si>
    <t>殺</t>
  </si>
  <si>
    <t>蒙</t>
  </si>
  <si>
    <t>恬</t>
  </si>
  <si>
    <t>吾</t>
  </si>
  <si>
    <t>先</t>
  </si>
  <si>
    <t>積</t>
  </si>
  <si>
    <t>秦</t>
  </si>
  <si>
    <t>餘</t>
  </si>
  <si>
    <t>背</t>
  </si>
  <si>
    <t>叛</t>
  </si>
  <si>
    <t>必</t>
  </si>
  <si>
    <t>敢</t>
  </si>
  <si>
    <t>辱</t>
  </si>
  <si>
    <t>忘</t>
  </si>
  <si>
    <t>嘗</t>
  </si>
  <si>
    <t>愴</t>
  </si>
  <si>
    <t>流</t>
  </si>
  <si>
    <t>涕</t>
  </si>
  <si>
    <t>祖</t>
  </si>
  <si>
    <t>父</t>
  </si>
  <si>
    <t>親</t>
  </si>
  <si>
    <t>重</t>
  </si>
  <si>
    <t>任</t>
  </si>
  <si>
    <t>兄</t>
  </si>
  <si>
    <t>弟</t>
  </si>
  <si>
    <t>君</t>
  </si>
  <si>
    <t>說</t>
  </si>
  <si>
    <t>妻</t>
  </si>
  <si>
    <t>妾</t>
  </si>
  <si>
    <t>深</t>
  </si>
  <si>
    <t>汝</t>
  </si>
  <si>
    <t>嫁</t>
  </si>
  <si>
    <t>傳</t>
  </si>
  <si>
    <t>肝</t>
  </si>
  <si>
    <t>鬲</t>
  </si>
  <si>
    <t>要</t>
  </si>
  <si>
    <t>勤</t>
  </si>
  <si>
    <t>懇</t>
  </si>
  <si>
    <t>敘</t>
  </si>
  <si>
    <t>腹</t>
  </si>
  <si>
    <t>縢</t>
  </si>
  <si>
    <t>爾</t>
  </si>
  <si>
    <t>委</t>
  </si>
  <si>
    <t>捐</t>
  </si>
  <si>
    <t>執</t>
  </si>
  <si>
    <t>就</t>
  </si>
  <si>
    <t>武</t>
  </si>
  <si>
    <t>誠</t>
  </si>
  <si>
    <t>離</t>
  </si>
  <si>
    <t>既</t>
  </si>
  <si>
    <t>則</t>
  </si>
  <si>
    <t>傾</t>
  </si>
  <si>
    <t>危</t>
  </si>
  <si>
    <t>慕</t>
  </si>
  <si>
    <t>虛</t>
  </si>
  <si>
    <t>朝</t>
  </si>
  <si>
    <t>恩</t>
  </si>
  <si>
    <t>固</t>
  </si>
  <si>
    <t>辭</t>
  </si>
  <si>
    <t>受</t>
  </si>
  <si>
    <t>榮</t>
  </si>
  <si>
    <t>外</t>
  </si>
  <si>
    <t>援</t>
  </si>
  <si>
    <t>安</t>
  </si>
  <si>
    <t>聞</t>
  </si>
  <si>
    <t>介</t>
  </si>
  <si>
    <t>推</t>
  </si>
  <si>
    <t>避</t>
  </si>
  <si>
    <t>申</t>
  </si>
  <si>
    <t>胥</t>
  </si>
  <si>
    <t>逃</t>
  </si>
  <si>
    <t>楚</t>
  </si>
  <si>
    <t>賞</t>
  </si>
  <si>
    <t>捨</t>
  </si>
  <si>
    <t>歎</t>
  </si>
  <si>
    <t>省</t>
  </si>
  <si>
    <t>威</t>
  </si>
  <si>
    <t>靈</t>
  </si>
  <si>
    <t>仗</t>
  </si>
  <si>
    <t>鉞</t>
  </si>
  <si>
    <t>伐</t>
  </si>
  <si>
    <t>弱</t>
  </si>
  <si>
    <t>克</t>
  </si>
  <si>
    <t>禽</t>
  </si>
  <si>
    <t>動</t>
  </si>
  <si>
    <t>慮</t>
  </si>
  <si>
    <t>向</t>
  </si>
  <si>
    <t>蕩</t>
  </si>
  <si>
    <t>主</t>
  </si>
  <si>
    <t>助</t>
  </si>
  <si>
    <t>兼</t>
  </si>
  <si>
    <t>食</t>
  </si>
  <si>
    <t>戶</t>
  </si>
  <si>
    <t>堪</t>
  </si>
  <si>
    <t>湖</t>
  </si>
  <si>
    <t>靜</t>
  </si>
  <si>
    <t>邑</t>
  </si>
  <si>
    <t>土</t>
  </si>
  <si>
    <t>上</t>
  </si>
  <si>
    <t>陽</t>
  </si>
  <si>
    <t>柘</t>
  </si>
  <si>
    <t>且</t>
  </si>
  <si>
    <t>謗</t>
  </si>
  <si>
    <t>議</t>
  </si>
  <si>
    <t>減</t>
  </si>
  <si>
    <t>責</t>
  </si>
  <si>
    <t xml:space="preserve">《讓縣自明本志令》東漢：曹操
孤始舉孝廉，年少，自以本非巖穴知名之士，恐為海內人之所見凡愚，欲為一郡守，好作政教以建立名譽，使世士明知之；故在濟南，始除殘去穢，平心選舉，違迕諸常侍。以為彊豪所忿，恐致家禍，故以病還。去官之後，年紀尚少，顧視同歲中，年有五十，未名為老，內自圖之，從此卻去二十年，待天下清，乃與同歲中始舉者等耳。故以四時歸鄉里，於譙東五十里築精舍，欲秋夏讀書，冬春射獵，求底下之地，欲以泥水自蔽，絕賓客往來之望，然不能得如意。後徵為都尉，遷典軍校尉，意遂更欲為國家討賊立功，欲望封侯作征西將軍，然後題墓道，言「漢故征西將軍曹侯之墓」，此其志也。
而遭值董卓之難，興舉義兵。是時合兵，能多得耳，然常自損，不欲多之；所以然者，多兵意盛，與彊敵爭，倘更為禍始。故汴水之戰數千，後還到揚州，更募亦復不過三千人，此其本志有限也。後領兗州，破降黃巾三十萬眾。又袁術僭號於九江，下皆稱臣，名門曰建號門，衣被皆為天子之制，兩婦預爭為皇后。志計已定，人有勸術使遂即帝位，露布天下，答言「曹公尚在，未可也」。後孤討擒其四將，獲其人眾，遂使術窮亡解沮，發病而死。及至袁紹據河北，兵勢彊盛，孤自度勢，實不敵之，但計投死為國，以義滅身，足垂於後。幸而破紹，梟其二子。又劉表自以為宗室，包藏奸心，乍前乍卻，以觀世事，據有當州，孤復定之，遂平天下。身為宰相，人臣之貴已極，意望已過矣。
今孤言此，若為自大，欲人言盡，故無諱耳。設使國家無有孤，不知當幾人稱帝，幾人稱王。或者人見孤彊盛，又性不信天命之事，恐私心相評，言有不遜之志，妄相忖度，每用耿耿。齊桓、晉文所以垂稱至今日者，以其兵勢廣大，猶能奉事周室也。《論語》云：「三分天下有其二，以服事殷，周之德可謂至德矣」，夫能以大事小也。昔樂毅走趙，趙王欲與之圖燕，樂毅伏而垂泣，對曰：「臣事昭王，猶事天王；臣若獲戾，放在他國，沒世然後已，不忍謀趙之徒隸，況燕後嗣乎！」胡亥之殺蒙恬也，恬曰：「自吾先人及至子孫，積信於秦三世矣；今臣將兵三十餘萬，其勢足以背叛，然自知必死而守義者，不敢辱先人之教以忘先王也。」孤每讀此二人書，未嘗不愴然流涕也。
孤祖父以至孤身，皆當親重之任，可謂見信者矣，以及子桓兄弟，過於三世矣。孤非徒對諸君說此也，常以語妻妾，皆令深知此意。孤謂之言：「顧我萬年之後，汝曹皆當出嫁，欲令傳道吾心，使他人皆知之。」孤此言皆肝鬲之要也。所以勤勤懇懇敘心腹者，見周公有《金縢》之書以自明，恐人不信之，故然。欲孤便爾委捐所典兵眾，以還執事，歸就武平侯國，實不可也。何者？誠恐已離兵為人所禍也。既為子孫計，又已敗則國家傾危，是以不得慕虛名而處實禍，此所不得為也。前朝恩封三子為侯，固辭不受，今更欲受之，非欲復以為榮，欲以為外援，為萬安計。孤聞介推之避晉封、申胥之逃楚賞，未嘗不捨書而歎，有以自省也。奉國威靈，仗鉞征伐，推弱以克彊，處小而禽大，意之所圖，動無違事，心之所慮，何向不濟，遂蕩平天下，不辱主命，可謂天助漢室，非人力也。然封兼四縣，食戶三萬，何德堪之！江湖未靜，不可讓位；至於邑土，可得而辭。今上還陽夏、柘、苦三縣，戶二萬，但食武平萬戶，且以分損謗議，少減孤之責也。
</t>
  </si>
  <si>
    <t>讓縣自明本志令</t>
    <phoneticPr fontId="1" type="noConversion"/>
  </si>
  <si>
    <t>liong7</t>
  </si>
  <si>
    <t>līong</t>
  </si>
  <si>
    <t>kuan7</t>
  </si>
  <si>
    <t>kuān</t>
  </si>
  <si>
    <t>zu7</t>
  </si>
  <si>
    <t>tsū</t>
  </si>
  <si>
    <t>bin5</t>
  </si>
  <si>
    <t>bîn</t>
  </si>
  <si>
    <t>pun2</t>
  </si>
  <si>
    <t>pún</t>
  </si>
  <si>
    <t>zi3</t>
  </si>
  <si>
    <t>tsì</t>
  </si>
  <si>
    <t>ling7</t>
  </si>
  <si>
    <t>līng</t>
  </si>
  <si>
    <t>tong1</t>
  </si>
  <si>
    <t>tong</t>
  </si>
  <si>
    <t>han3</t>
  </si>
  <si>
    <t>hàn</t>
  </si>
  <si>
    <t>zo5</t>
  </si>
  <si>
    <t>tsô</t>
  </si>
  <si>
    <t>co1</t>
  </si>
  <si>
    <t>tsho</t>
  </si>
  <si>
    <t>koo1</t>
  </si>
  <si>
    <t>koo</t>
  </si>
  <si>
    <t>ki2</t>
  </si>
  <si>
    <t>kí</t>
  </si>
  <si>
    <t>hau3</t>
  </si>
  <si>
    <t>hàu</t>
  </si>
  <si>
    <t>kiam1</t>
  </si>
  <si>
    <t>kiam</t>
  </si>
  <si>
    <t>i2</t>
  </si>
  <si>
    <t>í</t>
  </si>
  <si>
    <t>giam5</t>
  </si>
  <si>
    <t>gîam</t>
  </si>
  <si>
    <t>hiat8</t>
  </si>
  <si>
    <t>hi̍at</t>
  </si>
  <si>
    <t>zi1</t>
  </si>
  <si>
    <t>tsi</t>
  </si>
  <si>
    <t>su7</t>
  </si>
  <si>
    <t>sū</t>
  </si>
  <si>
    <t>khing1</t>
  </si>
  <si>
    <t>khing</t>
  </si>
  <si>
    <t>hai2</t>
  </si>
  <si>
    <t>hái</t>
  </si>
  <si>
    <t>lui7</t>
  </si>
  <si>
    <t>lūi</t>
  </si>
  <si>
    <t>soo2</t>
  </si>
  <si>
    <t>sóo</t>
  </si>
  <si>
    <t>kinn3</t>
  </si>
  <si>
    <t>kìnn</t>
  </si>
  <si>
    <t>huan5</t>
  </si>
  <si>
    <t>huân</t>
  </si>
  <si>
    <t>gu5</t>
  </si>
  <si>
    <t>gû</t>
  </si>
  <si>
    <t>kun7</t>
  </si>
  <si>
    <t>kūn</t>
  </si>
  <si>
    <t>ziu2</t>
  </si>
  <si>
    <t>tsíu</t>
  </si>
  <si>
    <t>zok4</t>
  </si>
  <si>
    <t>tsok</t>
  </si>
  <si>
    <t>zing3</t>
  </si>
  <si>
    <t>tsìng</t>
  </si>
  <si>
    <t>kian3</t>
  </si>
  <si>
    <t>kìan</t>
  </si>
  <si>
    <t>lip8</t>
  </si>
  <si>
    <t>li̍p</t>
  </si>
  <si>
    <t>u5</t>
  </si>
  <si>
    <t>û</t>
  </si>
  <si>
    <t>sai2</t>
  </si>
  <si>
    <t>sái</t>
  </si>
  <si>
    <t>koo3</t>
  </si>
  <si>
    <t>kòo</t>
  </si>
  <si>
    <t>si7</t>
  </si>
  <si>
    <t>sī</t>
  </si>
  <si>
    <t>(13, 7); (21, 8)</t>
  </si>
  <si>
    <t>tu5</t>
  </si>
  <si>
    <t>tû</t>
  </si>
  <si>
    <t>zan5</t>
  </si>
  <si>
    <t>tsân</t>
  </si>
  <si>
    <t>khi3</t>
  </si>
  <si>
    <t>khì</t>
  </si>
  <si>
    <t>ue3</t>
  </si>
  <si>
    <t>ùe</t>
  </si>
  <si>
    <t>suan3</t>
  </si>
  <si>
    <t>suàn</t>
  </si>
  <si>
    <t>goo7</t>
  </si>
  <si>
    <t>gōo</t>
  </si>
  <si>
    <t>ziah4</t>
  </si>
  <si>
    <t>siunn5</t>
  </si>
  <si>
    <t>sîunn</t>
  </si>
  <si>
    <t>sai7</t>
  </si>
  <si>
    <t>sāi</t>
  </si>
  <si>
    <t>kiong2</t>
  </si>
  <si>
    <t>kíong</t>
  </si>
  <si>
    <t>hô</t>
  </si>
  <si>
    <t>hun3</t>
  </si>
  <si>
    <t>hùn</t>
  </si>
  <si>
    <t>ti3</t>
  </si>
  <si>
    <t>tì</t>
  </si>
  <si>
    <t>(29, 13)</t>
  </si>
  <si>
    <t>penn7</t>
  </si>
  <si>
    <t>pēnn</t>
  </si>
  <si>
    <t>kuan1</t>
  </si>
  <si>
    <t>kuan</t>
  </si>
  <si>
    <t>hau7</t>
  </si>
  <si>
    <t>hāu</t>
  </si>
  <si>
    <t>siong7</t>
  </si>
  <si>
    <t>sīong</t>
  </si>
  <si>
    <t>(33, 18)</t>
  </si>
  <si>
    <t>ziong1</t>
  </si>
  <si>
    <t>tsiong</t>
  </si>
  <si>
    <t>zap8</t>
  </si>
  <si>
    <t>tsa̍p</t>
  </si>
  <si>
    <t>be7</t>
  </si>
  <si>
    <t>bē</t>
  </si>
  <si>
    <t>(13, 12); (37, 18)</t>
  </si>
  <si>
    <t>too5</t>
  </si>
  <si>
    <t>tôo</t>
  </si>
  <si>
    <t>khioh4</t>
  </si>
  <si>
    <t>khioh</t>
  </si>
  <si>
    <t>ji7</t>
  </si>
  <si>
    <t>jī</t>
  </si>
  <si>
    <t>thai7</t>
  </si>
  <si>
    <t>thāi</t>
  </si>
  <si>
    <t>ke7</t>
  </si>
  <si>
    <t>kē</t>
  </si>
  <si>
    <t>(25, 6); (33, 7); (41, 11)</t>
  </si>
  <si>
    <t>nai2</t>
  </si>
  <si>
    <t>ńai</t>
  </si>
  <si>
    <t>zia2</t>
  </si>
  <si>
    <t>tsía</t>
  </si>
  <si>
    <t>tan2</t>
  </si>
  <si>
    <t>tán</t>
  </si>
  <si>
    <t>hinn7</t>
  </si>
  <si>
    <t>hīnn</t>
  </si>
  <si>
    <t>(37, 4); (45, 8)</t>
  </si>
  <si>
    <t>(37, 5); (45, 9)</t>
  </si>
  <si>
    <t>(37, 6); (45, 10)</t>
  </si>
  <si>
    <t>si5</t>
  </si>
  <si>
    <t>sî</t>
  </si>
  <si>
    <t>kui1</t>
  </si>
  <si>
    <t>kui</t>
  </si>
  <si>
    <t>hiong1</t>
  </si>
  <si>
    <t>hiong</t>
  </si>
  <si>
    <t>kih4</t>
  </si>
  <si>
    <t>kih</t>
  </si>
  <si>
    <t>siau5</t>
  </si>
  <si>
    <t>sîau</t>
  </si>
  <si>
    <t>sia2</t>
  </si>
  <si>
    <t>sía</t>
  </si>
  <si>
    <t>(5, 13); (49, 12)</t>
  </si>
  <si>
    <t>(37, 10); (49, 13)</t>
  </si>
  <si>
    <t>(49, 8); (49, 15)</t>
  </si>
  <si>
    <t>thak8</t>
  </si>
  <si>
    <t>tha̍k</t>
  </si>
  <si>
    <t>zu1</t>
  </si>
  <si>
    <t>tsu</t>
  </si>
  <si>
    <t>tang1</t>
  </si>
  <si>
    <t>tang</t>
  </si>
  <si>
    <t>cun1</t>
  </si>
  <si>
    <t>tshun</t>
  </si>
  <si>
    <t>zoh8</t>
  </si>
  <si>
    <t>tso̍h</t>
  </si>
  <si>
    <t>lah8</t>
  </si>
  <si>
    <t>la̍h</t>
  </si>
  <si>
    <t>kiu5</t>
  </si>
  <si>
    <t>kîu</t>
  </si>
  <si>
    <t>tih4</t>
  </si>
  <si>
    <t>tih</t>
  </si>
  <si>
    <t>(53, 11)</t>
  </si>
  <si>
    <t>(53, 13)</t>
  </si>
  <si>
    <t>te3</t>
  </si>
  <si>
    <t>tè</t>
  </si>
  <si>
    <t>thoo5</t>
  </si>
  <si>
    <t>thôo</t>
  </si>
  <si>
    <t>pe3</t>
  </si>
  <si>
    <t>pè</t>
  </si>
  <si>
    <t>zeh8</t>
  </si>
  <si>
    <t>tse̍h</t>
  </si>
  <si>
    <t>pin1</t>
  </si>
  <si>
    <t>pin</t>
  </si>
  <si>
    <t>khik4</t>
  </si>
  <si>
    <t>khik</t>
  </si>
  <si>
    <t>ong2</t>
  </si>
  <si>
    <t>óng</t>
  </si>
  <si>
    <t>(57, 9)</t>
  </si>
  <si>
    <t>hiann5</t>
  </si>
  <si>
    <t>hîann</t>
  </si>
  <si>
    <t>i3</t>
  </si>
  <si>
    <t>ì</t>
  </si>
  <si>
    <t>tin1</t>
  </si>
  <si>
    <t>tin</t>
  </si>
  <si>
    <t>tu1</t>
  </si>
  <si>
    <t>tu</t>
  </si>
  <si>
    <t>ut4</t>
  </si>
  <si>
    <t>ut</t>
  </si>
  <si>
    <t>(61, 15)</t>
  </si>
  <si>
    <t>(61, 17)</t>
  </si>
  <si>
    <t>tian2</t>
  </si>
  <si>
    <t>tían</t>
  </si>
  <si>
    <t>sui7</t>
  </si>
  <si>
    <t>sūi</t>
  </si>
  <si>
    <t>king1</t>
  </si>
  <si>
    <t>king</t>
  </si>
  <si>
    <t>kok4</t>
  </si>
  <si>
    <t>kok</t>
  </si>
  <si>
    <t>tho2</t>
  </si>
  <si>
    <t>thó</t>
  </si>
  <si>
    <t>(61, 18); (65, 9)</t>
  </si>
  <si>
    <t>(65, 8)</t>
  </si>
  <si>
    <t>cat8</t>
  </si>
  <si>
    <t>tsha̍p</t>
  </si>
  <si>
    <t>kau5</t>
  </si>
  <si>
    <t>kâu</t>
  </si>
  <si>
    <t>zing1</t>
  </si>
  <si>
    <t>tsing</t>
  </si>
  <si>
    <t>si1</t>
  </si>
  <si>
    <t>si</t>
  </si>
  <si>
    <t>ziang1</t>
  </si>
  <si>
    <t>tsiang</t>
  </si>
  <si>
    <t>(17, 12); (69, 12)</t>
  </si>
  <si>
    <t>(17, 17); (69, 5)</t>
  </si>
  <si>
    <t>(69, 4)</t>
  </si>
  <si>
    <t>(69, 6)</t>
  </si>
  <si>
    <t>tue5</t>
  </si>
  <si>
    <t>tûe</t>
  </si>
  <si>
    <t>boo7</t>
  </si>
  <si>
    <t>bōo</t>
  </si>
  <si>
    <t>kong2</t>
  </si>
  <si>
    <t>kóng</t>
  </si>
  <si>
    <t>(65, 7); (69, 16); (73, 16)</t>
  </si>
  <si>
    <t>(69, 14); (73, 14)</t>
  </si>
  <si>
    <t>(73, 5)</t>
  </si>
  <si>
    <t>ki5</t>
  </si>
  <si>
    <t>kî</t>
  </si>
  <si>
    <t>(73, 6); (77, 5)</t>
  </si>
  <si>
    <t>ji5</t>
  </si>
  <si>
    <t>jî</t>
  </si>
  <si>
    <t>zo1</t>
  </si>
  <si>
    <t>tso</t>
  </si>
  <si>
    <t>tong2</t>
  </si>
  <si>
    <t>tóng</t>
  </si>
  <si>
    <t>toh4</t>
  </si>
  <si>
    <t>toh</t>
  </si>
  <si>
    <t>hing1</t>
  </si>
  <si>
    <t>hing</t>
  </si>
  <si>
    <t>gi7</t>
  </si>
  <si>
    <t>gī</t>
  </si>
  <si>
    <t>phiann1</t>
  </si>
  <si>
    <t>phiann</t>
  </si>
  <si>
    <t>(9, 6); (25, 12); (45, 12); (81, 13)</t>
  </si>
  <si>
    <t>(49, 5); (81, 18)</t>
  </si>
  <si>
    <t>(81, 5)</t>
  </si>
  <si>
    <t>(81, 6)</t>
  </si>
  <si>
    <t>(81, 7)</t>
  </si>
  <si>
    <t>(81, 8)</t>
  </si>
  <si>
    <t>(81, 10)</t>
  </si>
  <si>
    <t>(81, 12)</t>
  </si>
  <si>
    <t>kah4</t>
  </si>
  <si>
    <t>kah</t>
  </si>
  <si>
    <t>zue7</t>
  </si>
  <si>
    <t>tsūe</t>
  </si>
  <si>
    <t>sun2</t>
  </si>
  <si>
    <t>sún</t>
  </si>
  <si>
    <t>(85, 4)</t>
  </si>
  <si>
    <t>sing7</t>
  </si>
  <si>
    <t>(85, 8); (89, 4); (89, 12)</t>
  </si>
  <si>
    <t>thong2</t>
  </si>
  <si>
    <t>thóng</t>
  </si>
  <si>
    <t>zun3</t>
  </si>
  <si>
    <t>tsùn</t>
  </si>
  <si>
    <t>soo3</t>
  </si>
  <si>
    <t>sòo</t>
  </si>
  <si>
    <t>(9, 5); (21, 18); (45, 11); (93, 11)</t>
  </si>
  <si>
    <t>(57, 10); (93, 15)</t>
  </si>
  <si>
    <t>(93, 7)</t>
  </si>
  <si>
    <t>(93, 14)</t>
  </si>
  <si>
    <t>(93, 17)</t>
  </si>
  <si>
    <t>(93, 18)</t>
  </si>
  <si>
    <t>iong5</t>
  </si>
  <si>
    <t>îong</t>
  </si>
  <si>
    <t>ziu1</t>
  </si>
  <si>
    <t>tsiu</t>
  </si>
  <si>
    <t>iah8</t>
  </si>
  <si>
    <t>i̍ah</t>
  </si>
  <si>
    <t>koh4</t>
  </si>
  <si>
    <t>koh</t>
  </si>
  <si>
    <t>kua3</t>
  </si>
  <si>
    <t>kùa</t>
  </si>
  <si>
    <t>(97, 8)</t>
  </si>
  <si>
    <t>(97, 9)</t>
  </si>
  <si>
    <t>(97, 13)</t>
  </si>
  <si>
    <t>(97, 14)</t>
  </si>
  <si>
    <t>huah8</t>
  </si>
  <si>
    <t>hua̍h</t>
  </si>
  <si>
    <t>nia2</t>
  </si>
  <si>
    <t>ńia</t>
  </si>
  <si>
    <t>(5, 9); (9, 15); (101, 9)</t>
  </si>
  <si>
    <t>(97, 4); (101, 4)</t>
  </si>
  <si>
    <t>(101, 12)</t>
  </si>
  <si>
    <t>(101, 16)</t>
  </si>
  <si>
    <t>(101, 17)</t>
  </si>
  <si>
    <t>pho3</t>
  </si>
  <si>
    <t>phò</t>
  </si>
  <si>
    <t>kang3</t>
  </si>
  <si>
    <t>kàng</t>
  </si>
  <si>
    <t>ng5</t>
  </si>
  <si>
    <t>n̂g</t>
  </si>
  <si>
    <t>iu7</t>
  </si>
  <si>
    <t>īu</t>
  </si>
  <si>
    <t>uân</t>
  </si>
  <si>
    <t>sut8</t>
  </si>
  <si>
    <t>su̍t</t>
  </si>
  <si>
    <t>ciam3</t>
  </si>
  <si>
    <t>tshìam</t>
  </si>
  <si>
    <t>ho1</t>
  </si>
  <si>
    <t>ho</t>
  </si>
  <si>
    <t>(105, 6)</t>
  </si>
  <si>
    <t>(105, 7)</t>
  </si>
  <si>
    <t>(105, 8)</t>
  </si>
  <si>
    <t>(105, 17)</t>
  </si>
  <si>
    <t>kiu2</t>
  </si>
  <si>
    <t>kíu</t>
  </si>
  <si>
    <t>kai1</t>
  </si>
  <si>
    <t>kai</t>
  </si>
  <si>
    <t>sin5</t>
  </si>
  <si>
    <t>sîn</t>
  </si>
  <si>
    <t>bun5</t>
  </si>
  <si>
    <t>bûn</t>
  </si>
  <si>
    <t>uat8</t>
  </si>
  <si>
    <t>u̍at</t>
  </si>
  <si>
    <t>(17, 16); (109, 16)</t>
  </si>
  <si>
    <t>(105, 18); (109, 17)</t>
  </si>
  <si>
    <t>(109, 5)</t>
  </si>
  <si>
    <t>(109, 14); (109, 18)</t>
  </si>
  <si>
    <t>i1</t>
  </si>
  <si>
    <t>i</t>
  </si>
  <si>
    <t>phue7</t>
  </si>
  <si>
    <t>phūe</t>
  </si>
  <si>
    <t>boo2</t>
  </si>
  <si>
    <t>bóo</t>
  </si>
  <si>
    <t>(93, 5); (113, 17)</t>
  </si>
  <si>
    <t>(113, 5)</t>
  </si>
  <si>
    <t>(113, 6)</t>
  </si>
  <si>
    <t>(113, 12)</t>
  </si>
  <si>
    <t>(113, 14)</t>
  </si>
  <si>
    <t>(113, 15)</t>
  </si>
  <si>
    <t>(113, 16)</t>
  </si>
  <si>
    <t>au7</t>
  </si>
  <si>
    <t>āu</t>
  </si>
  <si>
    <t>ke3</t>
  </si>
  <si>
    <t>kè</t>
  </si>
  <si>
    <t>khng3</t>
  </si>
  <si>
    <t>khǹg</t>
  </si>
  <si>
    <t>(117, 4)</t>
  </si>
  <si>
    <t>(117, 5)</t>
  </si>
  <si>
    <t>(117, 14)</t>
  </si>
  <si>
    <t>(117, 18)</t>
  </si>
  <si>
    <t>ui7</t>
  </si>
  <si>
    <t>ūi</t>
  </si>
  <si>
    <t>loo7</t>
  </si>
  <si>
    <t>lōo</t>
  </si>
  <si>
    <t>poo3</t>
  </si>
  <si>
    <t>pòo</t>
  </si>
  <si>
    <t>tap4</t>
  </si>
  <si>
    <t>tap</t>
  </si>
  <si>
    <t>ang1</t>
  </si>
  <si>
    <t>ang</t>
  </si>
  <si>
    <t>(33, 14); (121, 17)</t>
  </si>
  <si>
    <t>(121, 7)</t>
  </si>
  <si>
    <t>(121, 8)</t>
  </si>
  <si>
    <t>(121, 12)</t>
  </si>
  <si>
    <t>khinn5</t>
  </si>
  <si>
    <t>khînn</t>
  </si>
  <si>
    <t>hik8</t>
  </si>
  <si>
    <t>hi̍k</t>
  </si>
  <si>
    <t>(65, 18); (125, 12)</t>
  </si>
  <si>
    <t>(125, 13)</t>
  </si>
  <si>
    <t>king5</t>
  </si>
  <si>
    <t>kîng</t>
  </si>
  <si>
    <t>bong5</t>
  </si>
  <si>
    <t>bông</t>
  </si>
  <si>
    <t>kue2</t>
  </si>
  <si>
    <t>kúe</t>
  </si>
  <si>
    <t>ua3</t>
  </si>
  <si>
    <t>ùa</t>
  </si>
  <si>
    <t>(33, 4); (129, 17)</t>
  </si>
  <si>
    <t>(105, 16); (117, 15); (129, 10)</t>
  </si>
  <si>
    <t>(129, 11)</t>
  </si>
  <si>
    <t>(129, 12)</t>
  </si>
  <si>
    <t>(129, 13)</t>
  </si>
  <si>
    <t>(129, 14)</t>
  </si>
  <si>
    <t>(129, 16)</t>
  </si>
  <si>
    <t>kip8</t>
  </si>
  <si>
    <t>ki̍p</t>
  </si>
  <si>
    <t>siau7</t>
  </si>
  <si>
    <t>sīau</t>
  </si>
  <si>
    <t>ku3</t>
  </si>
  <si>
    <t>kù</t>
  </si>
  <si>
    <t>(105, 15); (133, 8)</t>
  </si>
  <si>
    <t>(133, 11)</t>
  </si>
  <si>
    <t>(133, 12)</t>
  </si>
  <si>
    <t>to5</t>
  </si>
  <si>
    <t>tô</t>
  </si>
  <si>
    <t>sit8</t>
  </si>
  <si>
    <t>si̍t</t>
  </si>
  <si>
    <t>na7</t>
  </si>
  <si>
    <t>n̄a</t>
  </si>
  <si>
    <t>tau5</t>
  </si>
  <si>
    <t>tâu</t>
  </si>
  <si>
    <t>(93, 4); (137, 11)</t>
  </si>
  <si>
    <t>(137, 16)</t>
  </si>
  <si>
    <t>biat8</t>
  </si>
  <si>
    <t>bi̍at</t>
  </si>
  <si>
    <t>sue5</t>
  </si>
  <si>
    <t>sûe</t>
  </si>
  <si>
    <t>hing7</t>
  </si>
  <si>
    <t>hīng</t>
  </si>
  <si>
    <t>(105, 5); (141, 18)</t>
  </si>
  <si>
    <t>(141, 8)</t>
  </si>
  <si>
    <t>(141, 16)</t>
  </si>
  <si>
    <t>hiau1</t>
  </si>
  <si>
    <t>hiau</t>
  </si>
  <si>
    <t>piau2</t>
  </si>
  <si>
    <t>píau</t>
  </si>
  <si>
    <t>zong1</t>
  </si>
  <si>
    <t>tsong</t>
  </si>
  <si>
    <t>sik4</t>
  </si>
  <si>
    <t>sik</t>
  </si>
  <si>
    <t>(133, 9); (145, 4)</t>
  </si>
  <si>
    <t>(145, 6)</t>
  </si>
  <si>
    <t>(145, 12)</t>
  </si>
  <si>
    <t>(145, 13)</t>
  </si>
  <si>
    <t>(145, 17)</t>
  </si>
  <si>
    <t>bau1</t>
  </si>
  <si>
    <t>bau</t>
  </si>
  <si>
    <t>za7</t>
  </si>
  <si>
    <t>tsā</t>
  </si>
  <si>
    <t>kuann3</t>
  </si>
  <si>
    <t>kuànn</t>
  </si>
  <si>
    <t>lai7</t>
  </si>
  <si>
    <t>lāi</t>
  </si>
  <si>
    <t>(41, 10); (149, 13)</t>
  </si>
  <si>
    <t>(149, 5)</t>
  </si>
  <si>
    <t>(149, 6)</t>
  </si>
  <si>
    <t>(149, 7)</t>
  </si>
  <si>
    <t>(149, 10); (149, 12)</t>
  </si>
  <si>
    <t>(149, 16)</t>
  </si>
  <si>
    <t>tng3</t>
  </si>
  <si>
    <t>tǹg</t>
  </si>
  <si>
    <t>(97, 10); (101, 18); (153, 8)</t>
  </si>
  <si>
    <t>(117, 10); (153, 12)</t>
  </si>
  <si>
    <t>(133, 10); (153, 5)</t>
  </si>
  <si>
    <t>zai2</t>
  </si>
  <si>
    <t>tsái</t>
  </si>
  <si>
    <t>tui3</t>
  </si>
  <si>
    <t>tùi</t>
  </si>
  <si>
    <t>kik8</t>
  </si>
  <si>
    <t>ki̍k</t>
  </si>
  <si>
    <t>(61, 5); (69, 9); (157, 18)</t>
  </si>
  <si>
    <t>(157, 7)</t>
  </si>
  <si>
    <t>(157, 13)</t>
  </si>
  <si>
    <t>(157, 15)</t>
  </si>
  <si>
    <t>na2</t>
  </si>
  <si>
    <t>ńa</t>
  </si>
  <si>
    <t>zin7</t>
  </si>
  <si>
    <t>tsīn</t>
  </si>
  <si>
    <t>(165, 17)</t>
  </si>
  <si>
    <t>hui3</t>
  </si>
  <si>
    <t>hùi</t>
  </si>
  <si>
    <t>siat4</t>
  </si>
  <si>
    <t>siat</t>
  </si>
  <si>
    <t>(45, 15); (85, 10); (169, 7)</t>
  </si>
  <si>
    <t>(169, 6)</t>
  </si>
  <si>
    <t>(169, 9)</t>
  </si>
  <si>
    <t>ong5</t>
  </si>
  <si>
    <t>ông</t>
  </si>
  <si>
    <t>(121, 4); (173, 8)</t>
  </si>
  <si>
    <t>(173, 5); (173, 10)</t>
  </si>
  <si>
    <t>(173, 15)</t>
  </si>
  <si>
    <t>sing3</t>
  </si>
  <si>
    <t>sìng</t>
  </si>
  <si>
    <t>sin3</t>
  </si>
  <si>
    <t>sìn</t>
  </si>
  <si>
    <t>(89, 15); (133, 17); (177, 6)</t>
  </si>
  <si>
    <t>(177, 9)</t>
  </si>
  <si>
    <t>(177, 18)</t>
  </si>
  <si>
    <t>phîng</t>
  </si>
  <si>
    <t>sun3</t>
  </si>
  <si>
    <t>sùn</t>
  </si>
  <si>
    <t>bong7</t>
  </si>
  <si>
    <t>bōng</t>
  </si>
  <si>
    <t>cun2</t>
  </si>
  <si>
    <t>tshún</t>
  </si>
  <si>
    <t>(5, 10); (77, 10); (101, 10); (117, 7); (181, 13)</t>
  </si>
  <si>
    <t>(137, 6); (181, 18)</t>
  </si>
  <si>
    <t>(157, 8); (181, 5); (181, 16)</t>
  </si>
  <si>
    <t>(181, 6)</t>
  </si>
  <si>
    <t>(181, 11)</t>
  </si>
  <si>
    <t>(181, 15)</t>
  </si>
  <si>
    <t>(181, 17)</t>
  </si>
  <si>
    <t>mui2</t>
  </si>
  <si>
    <t>ḿui</t>
  </si>
  <si>
    <t>iong7</t>
  </si>
  <si>
    <t>īong</t>
  </si>
  <si>
    <t>king2</t>
  </si>
  <si>
    <t>kíng</t>
  </si>
  <si>
    <t>ze5</t>
  </si>
  <si>
    <t>tsê</t>
  </si>
  <si>
    <t>zin3</t>
  </si>
  <si>
    <t>tsìn</t>
  </si>
  <si>
    <t>(109, 10); (173, 7); (173, 12); (185, 18)</t>
  </si>
  <si>
    <t>(185, 6)</t>
  </si>
  <si>
    <t>(185, 7); (185, 8)</t>
  </si>
  <si>
    <t>(185, 10)</t>
  </si>
  <si>
    <t>(185, 14)</t>
  </si>
  <si>
    <t>kng2</t>
  </si>
  <si>
    <t>kńg</t>
  </si>
  <si>
    <t>hong7</t>
  </si>
  <si>
    <t>(189, 6)</t>
  </si>
  <si>
    <t>(189, 13)</t>
  </si>
  <si>
    <t>lun7</t>
  </si>
  <si>
    <t>lūn</t>
  </si>
  <si>
    <t>gu2</t>
  </si>
  <si>
    <t>gú</t>
  </si>
  <si>
    <t>un5</t>
  </si>
  <si>
    <t>ûn</t>
  </si>
  <si>
    <t>bun7</t>
  </si>
  <si>
    <t>būn</t>
  </si>
  <si>
    <t>(193, 10)</t>
  </si>
  <si>
    <t>(193, 13)</t>
  </si>
  <si>
    <t>hok8</t>
  </si>
  <si>
    <t>ho̍k</t>
  </si>
  <si>
    <t>un1</t>
  </si>
  <si>
    <t>un</t>
  </si>
  <si>
    <t>(197, 10)</t>
  </si>
  <si>
    <t>(197, 12)</t>
  </si>
  <si>
    <t>poo1</t>
  </si>
  <si>
    <t>poo</t>
  </si>
  <si>
    <t>sio2</t>
  </si>
  <si>
    <t>sío</t>
  </si>
  <si>
    <t>lok8</t>
  </si>
  <si>
    <t>lo̍k</t>
  </si>
  <si>
    <t>(61, 9); (85, 7); (189, 17); (201, 10)</t>
  </si>
  <si>
    <t>(201, 9)</t>
  </si>
  <si>
    <t>(201, 17)</t>
  </si>
  <si>
    <t>zo2</t>
  </si>
  <si>
    <t>tsó</t>
  </si>
  <si>
    <t>tiau7</t>
  </si>
  <si>
    <t>tīau</t>
  </si>
  <si>
    <t>ian3</t>
  </si>
  <si>
    <t>ìan</t>
  </si>
  <si>
    <t>(45, 7); (89, 17); (205, 11)</t>
  </si>
  <si>
    <t>(201, 18); (205, 16)</t>
  </si>
  <si>
    <t>(205, 4); (205, 17)</t>
  </si>
  <si>
    <t>(205, 5)</t>
  </si>
  <si>
    <t>(205, 18)</t>
  </si>
  <si>
    <t>khip4</t>
  </si>
  <si>
    <t>khip</t>
  </si>
  <si>
    <t>ziau1</t>
  </si>
  <si>
    <t>tsiau</t>
  </si>
  <si>
    <t>(141, 12); (185, 17); (209, 5)</t>
  </si>
  <si>
    <t>(189, 16); (209, 17)</t>
  </si>
  <si>
    <t>(209, 6)</t>
  </si>
  <si>
    <t>(209, 14)</t>
  </si>
  <si>
    <t>le7</t>
  </si>
  <si>
    <t>lē</t>
  </si>
  <si>
    <t>hoo3</t>
  </si>
  <si>
    <t>hòo</t>
  </si>
  <si>
    <t>but8</t>
  </si>
  <si>
    <t>bu̍t</t>
  </si>
  <si>
    <t>(21, 14); (121, 18); (213, 13)</t>
  </si>
  <si>
    <t>(125, 18); (213, 9)</t>
  </si>
  <si>
    <t>(165, 9); (213, 8)</t>
  </si>
  <si>
    <t>(213, 10)</t>
  </si>
  <si>
    <t>(213, 12)</t>
  </si>
  <si>
    <t>(213, 17)</t>
  </si>
  <si>
    <t>lun2</t>
  </si>
  <si>
    <t>boo5</t>
  </si>
  <si>
    <t>bôo</t>
  </si>
  <si>
    <t>hong2</t>
  </si>
  <si>
    <t>(205, 6); (205, 8); (217, 11)</t>
  </si>
  <si>
    <t>(205, 14); (217, 17)</t>
  </si>
  <si>
    <t>(217, 9)</t>
  </si>
  <si>
    <t>(217, 10)</t>
  </si>
  <si>
    <t>(217, 14)</t>
  </si>
  <si>
    <t>(217, 16)</t>
  </si>
  <si>
    <t>su5</t>
  </si>
  <si>
    <t>sû</t>
  </si>
  <si>
    <t>hoonn3</t>
  </si>
  <si>
    <t>hònn</t>
  </si>
  <si>
    <t>hoo5</t>
  </si>
  <si>
    <t>hôo</t>
  </si>
  <si>
    <t>hai7</t>
  </si>
  <si>
    <t>hāi</t>
  </si>
  <si>
    <t>thai5</t>
  </si>
  <si>
    <t>thâi</t>
  </si>
  <si>
    <t>tiam7</t>
  </si>
  <si>
    <t>tīam</t>
  </si>
  <si>
    <t>(109, 15); (209, 9); (221, 17)</t>
  </si>
  <si>
    <t>(221, 4)</t>
  </si>
  <si>
    <t>(221, 5)</t>
  </si>
  <si>
    <t>(221, 8)</t>
  </si>
  <si>
    <t>(221, 9)</t>
  </si>
  <si>
    <t>(221, 11)</t>
  </si>
  <si>
    <t>(221, 12)</t>
  </si>
  <si>
    <t>(221, 13); (221, 16)</t>
  </si>
  <si>
    <t>ngoo5</t>
  </si>
  <si>
    <t>ngôo</t>
  </si>
  <si>
    <t>zik1</t>
  </si>
  <si>
    <t>tsik</t>
  </si>
  <si>
    <t>zin5</t>
  </si>
  <si>
    <t>tsîn</t>
  </si>
  <si>
    <t>(225, 14)</t>
  </si>
  <si>
    <t>(225, 17)</t>
  </si>
  <si>
    <t>(37, 11); (41, 13); (49, 14); (105, 10); (229, 12)</t>
  </si>
  <si>
    <t>(69, 15); (73, 15); (125, 16); (229, 9)</t>
  </si>
  <si>
    <t>(77, 9); (101, 8); (125, 14); (129, 4); (145, 7); (189, 10); (197, 6); (229, 16)</t>
  </si>
  <si>
    <t>(109, 11); (157, 11); (209, 12); (213, 7); (229, 8)</t>
  </si>
  <si>
    <t>(133, 15); (137, 7); (189, 12); (229, 17)</t>
  </si>
  <si>
    <t>(141, 11); (229, 18)</t>
  </si>
  <si>
    <t>(229, 13)</t>
  </si>
  <si>
    <t>phainn7</t>
  </si>
  <si>
    <t>phāinn</t>
  </si>
  <si>
    <t>puan7</t>
  </si>
  <si>
    <t>puān</t>
  </si>
  <si>
    <t>pit4</t>
  </si>
  <si>
    <t>pit</t>
  </si>
  <si>
    <t>(17, 9); (233, 14)</t>
  </si>
  <si>
    <t>(81, 14); (141, 7); (233, 15)</t>
  </si>
  <si>
    <t>(133, 4); (137, 17); (233, 12)</t>
  </si>
  <si>
    <t>(233, 5)</t>
  </si>
  <si>
    <t>(233, 6)</t>
  </si>
  <si>
    <t>(233, 11)</t>
  </si>
  <si>
    <t>uan2</t>
  </si>
  <si>
    <t>uán</t>
  </si>
  <si>
    <t>(17, 14); (237, 9)</t>
  </si>
  <si>
    <t>(173, 13); (205, 9); (209, 15); (213, 5); (237, 13)</t>
  </si>
  <si>
    <t>(185, 5); (237, 18)</t>
  </si>
  <si>
    <t>(225, 7); (237, 6); (237, 12)</t>
  </si>
  <si>
    <t>(237, 4)</t>
  </si>
  <si>
    <t>(237, 11)</t>
  </si>
  <si>
    <t>tam1</t>
  </si>
  <si>
    <t>tam</t>
  </si>
  <si>
    <t>ciong1</t>
  </si>
  <si>
    <t>tshiong</t>
  </si>
  <si>
    <t>liu3</t>
  </si>
  <si>
    <t>lìu</t>
  </si>
  <si>
    <t>the3</t>
  </si>
  <si>
    <t>thè</t>
  </si>
  <si>
    <t>(53, 8); (241, 4)</t>
  </si>
  <si>
    <t>(241, 13)</t>
  </si>
  <si>
    <t>(241, 15)</t>
  </si>
  <si>
    <t>(241, 16)</t>
  </si>
  <si>
    <t>zoo2</t>
  </si>
  <si>
    <t>tsóo</t>
  </si>
  <si>
    <t>pe7</t>
  </si>
  <si>
    <t>pē</t>
  </si>
  <si>
    <t>tang7</t>
  </si>
  <si>
    <t>tāng</t>
  </si>
  <si>
    <t>(141, 9); (157, 5); (249, 10)</t>
  </si>
  <si>
    <t>(249, 5)</t>
  </si>
  <si>
    <t>(249, 6)</t>
  </si>
  <si>
    <t>(249, 14)</t>
  </si>
  <si>
    <t>(249, 15)</t>
  </si>
  <si>
    <t>(249, 17)</t>
  </si>
  <si>
    <t>hiann1</t>
  </si>
  <si>
    <t>hiann</t>
  </si>
  <si>
    <t>ti7</t>
  </si>
  <si>
    <t>tī</t>
  </si>
  <si>
    <t>(97, 17); (161, 5); (253, 18)</t>
  </si>
  <si>
    <t>(133, 6); (225, 9); (253, 12)</t>
  </si>
  <si>
    <t>(185, 11); (253, 14)</t>
  </si>
  <si>
    <t>(253, 15)</t>
  </si>
  <si>
    <t>(253, 16)</t>
  </si>
  <si>
    <t>seh4</t>
  </si>
  <si>
    <t>seh</t>
  </si>
  <si>
    <t>(21, 7); (149, 17); (213, 18); (229, 4); (257, 6)</t>
  </si>
  <si>
    <t>(25, 16); (257, 13)</t>
  </si>
  <si>
    <t>(161, 6); (201, 6); (229, 5); (253, 9); (257, 7)</t>
  </si>
  <si>
    <t>(209, 8); (257, 12)</t>
  </si>
  <si>
    <t>(217, 13); (257, 11)</t>
  </si>
  <si>
    <t>(257, 14)</t>
  </si>
  <si>
    <t>(257, 15)</t>
  </si>
  <si>
    <t>ce1</t>
  </si>
  <si>
    <t>tshe</t>
  </si>
  <si>
    <t>ciap4</t>
  </si>
  <si>
    <t>tshiap</t>
  </si>
  <si>
    <t>cim1</t>
  </si>
  <si>
    <t>tshim</t>
  </si>
  <si>
    <t>(25, 17); (85, 13); (261, 4)</t>
  </si>
  <si>
    <t>(193, 11); (261, 6)</t>
  </si>
  <si>
    <t>(261, 7)</t>
  </si>
  <si>
    <t>(261, 8)</t>
  </si>
  <si>
    <t>(261, 12)</t>
  </si>
  <si>
    <t>(5, 16); (73, 17); (121, 15); (265, 16)</t>
  </si>
  <si>
    <t>(9, 10); (33, 12); (37, 8); (41, 14); (265, 11)</t>
  </si>
  <si>
    <t>(33, 10); (61, 14); (73, 4); (97, 6); (101, 15); (125, 10); (141, 14); (217, 5); (217, 18); (265, 13)</t>
  </si>
  <si>
    <t>(33, 17); (265, 8)</t>
  </si>
  <si>
    <t>(153, 7); (173, 4); (249, 13); (265, 18)</t>
  </si>
  <si>
    <t>(265, 9)</t>
  </si>
  <si>
    <t>(265, 15)</t>
  </si>
  <si>
    <t>thuan5</t>
  </si>
  <si>
    <t>thuân</t>
  </si>
  <si>
    <t>(5, 11); (261, 11); (269, 8)</t>
  </si>
  <si>
    <t>(13, 4); (21, 10); (169, 18); (233, 10); (261, 13); (269, 18)</t>
  </si>
  <si>
    <t>(21, 6); (117, 16); (129, 9); (169, 10); (269, 14)</t>
  </si>
  <si>
    <t>(73, 7); (269, 10)</t>
  </si>
  <si>
    <t>(213, 14); (269, 15)</t>
  </si>
  <si>
    <t>(225, 6); (269, 11)</t>
  </si>
  <si>
    <t>(269, 4)</t>
  </si>
  <si>
    <t>(269, 5)</t>
  </si>
  <si>
    <t>(269, 9)</t>
  </si>
  <si>
    <t>kik4</t>
  </si>
  <si>
    <t>kik</t>
  </si>
  <si>
    <t>(73, 9); (121, 13); (165, 6); (165, 16); (181, 8); (265, 5); (273, 9)</t>
  </si>
  <si>
    <t>(109, 9); (113, 7); (249, 12); (261, 10); (265, 17); (269, 17); (273, 10)</t>
  </si>
  <si>
    <t>(273, 11)</t>
  </si>
  <si>
    <t>(273, 12)</t>
  </si>
  <si>
    <t>(273, 14)</t>
  </si>
  <si>
    <t>khun5</t>
  </si>
  <si>
    <t>khûn</t>
  </si>
  <si>
    <t>khun2</t>
  </si>
  <si>
    <t>khún</t>
  </si>
  <si>
    <t>(13, 16); (173, 18); (253, 6); (277, 13)</t>
  </si>
  <si>
    <t>(121, 16); (277, 15)</t>
  </si>
  <si>
    <t>(193, 5); (197, 14); (277, 14)</t>
  </si>
  <si>
    <t>(277, 4); (277, 5)</t>
  </si>
  <si>
    <t>(277, 6); (277, 7)</t>
  </si>
  <si>
    <t>(277, 8)</t>
  </si>
  <si>
    <t>(277, 10)</t>
  </si>
  <si>
    <t>(277, 18)</t>
  </si>
  <si>
    <t>thing5</t>
  </si>
  <si>
    <t>thîng</t>
  </si>
  <si>
    <t>(5, 8); (21, 9); (281, 10)</t>
  </si>
  <si>
    <t>(21, 13); (29, 17); (45, 17); (73, 12); (93, 13); (169, 4); (281, 18)</t>
  </si>
  <si>
    <t>(177, 11); (225, 15); (253, 7); (281, 15)</t>
  </si>
  <si>
    <t>(281, 4)</t>
  </si>
  <si>
    <t>nia7</t>
  </si>
  <si>
    <t>n̄ia</t>
  </si>
  <si>
    <t>ui2</t>
  </si>
  <si>
    <t>úi</t>
  </si>
  <si>
    <t>(65, 6); (285, 13)</t>
  </si>
  <si>
    <t>(105, 12); (129, 6); (285, 15)</t>
  </si>
  <si>
    <t>(285, 8)</t>
  </si>
  <si>
    <t>(285, 9)</t>
  </si>
  <si>
    <t>(285, 10)</t>
  </si>
  <si>
    <t>(285, 11)</t>
  </si>
  <si>
    <t>zip4</t>
  </si>
  <si>
    <t>tsip</t>
  </si>
  <si>
    <t>tō</t>
  </si>
  <si>
    <t>bu2</t>
  </si>
  <si>
    <t>bú</t>
  </si>
  <si>
    <t>(49, 6); (289, 7)</t>
  </si>
  <si>
    <t>(289, 4)</t>
  </si>
  <si>
    <t>(289, 8)</t>
  </si>
  <si>
    <t>ziann5</t>
  </si>
  <si>
    <t>tsîann</t>
  </si>
  <si>
    <t>li7</t>
  </si>
  <si>
    <t>lī</t>
  </si>
  <si>
    <t>ki3</t>
  </si>
  <si>
    <t>kì</t>
  </si>
  <si>
    <t>(13, 9); (29, 12); (177, 17); (281, 12); (293, 8)</t>
  </si>
  <si>
    <t>(45, 13); (89, 10); (173, 16); (189, 7); (233, 16); (253, 8); (277, 11); (293, 5)</t>
  </si>
  <si>
    <t>(81, 15); (85, 5); (89, 13); (133, 14); (189, 11); (229, 10); (285, 14); (293, 11)</t>
  </si>
  <si>
    <t>(293, 7)</t>
  </si>
  <si>
    <t>(293, 10)</t>
  </si>
  <si>
    <t>(293, 18)</t>
  </si>
  <si>
    <t>zik4</t>
  </si>
  <si>
    <t>piann3</t>
  </si>
  <si>
    <t>pìann</t>
  </si>
  <si>
    <t>(29, 14); (65, 17); (169, 12); (297, 14)</t>
  </si>
  <si>
    <t>(81, 17); (297, 18)</t>
  </si>
  <si>
    <t>(105, 14); (145, 11); (177, 8); (297, 9)</t>
  </si>
  <si>
    <t>(117, 9); (157, 14); (161, 4); (217, 6); (293, 9); (297, 10)</t>
  </si>
  <si>
    <t>(225, 12); (297, 6)</t>
  </si>
  <si>
    <t>(297, 11)</t>
  </si>
  <si>
    <t>(297, 12)</t>
  </si>
  <si>
    <t>(297, 15)</t>
  </si>
  <si>
    <t>(297, 16)</t>
  </si>
  <si>
    <t>hu1</t>
  </si>
  <si>
    <t>hu</t>
  </si>
  <si>
    <t>(13, 5); (17, 18); (37, 14); (109, 13); (301, 9)</t>
  </si>
  <si>
    <t>(29, 15); (93, 10); (293, 15); (301, 13)</t>
  </si>
  <si>
    <t>(41, 9); (77, 8); (101, 7); (165, 7); (241, 5); (257, 16); (261, 14); (273, 8); (301, 15)</t>
  </si>
  <si>
    <t>(137, 9); (289, 14); (301, 12)</t>
  </si>
  <si>
    <t>(301, 7)</t>
  </si>
  <si>
    <t>(301, 8)</t>
  </si>
  <si>
    <t>tiau1</t>
  </si>
  <si>
    <t>tiau</t>
  </si>
  <si>
    <t>in1</t>
  </si>
  <si>
    <t>in</t>
  </si>
  <si>
    <t>(69, 11); (73, 18); (289, 11); (305, 14)</t>
  </si>
  <si>
    <t>(113, 10); (145, 9); (225, 11); (253, 13); (297, 5); (305, 12)</t>
  </si>
  <si>
    <t>(149, 11); (305, 7)</t>
  </si>
  <si>
    <t>(305, 8)</t>
  </si>
  <si>
    <t>(305, 9)</t>
  </si>
  <si>
    <t>(305, 16)</t>
  </si>
  <si>
    <t>ing5</t>
  </si>
  <si>
    <t>îng</t>
  </si>
  <si>
    <t>(65, 13); (93, 8); (97, 12); (309, 7)</t>
  </si>
  <si>
    <t>(97, 15); (153, 11); (309, 14)</t>
  </si>
  <si>
    <t>(309, 4); (309, 9)</t>
  </si>
  <si>
    <t>(309, 17)</t>
  </si>
  <si>
    <t>gua7</t>
  </si>
  <si>
    <t>gūa</t>
  </si>
  <si>
    <t>uan7</t>
  </si>
  <si>
    <t>uān</t>
  </si>
  <si>
    <t>an1</t>
  </si>
  <si>
    <t>an</t>
  </si>
  <si>
    <t>phinn1</t>
  </si>
  <si>
    <t>phinn</t>
  </si>
  <si>
    <t>kai3</t>
  </si>
  <si>
    <t>kài</t>
  </si>
  <si>
    <t>the1</t>
  </si>
  <si>
    <t>the</t>
  </si>
  <si>
    <t>(13, 10); (17, 6); (29, 6); (37, 15); (61, 16); (65, 15); (93, 9); (113, 8); (113, 18); (137, 18); (145, 16); (157, 6); (165, 10); (293, 12); (297, 4); (305, 4); (305, 13); (309, 16); (313, 6); (313, 10)</t>
  </si>
  <si>
    <t>(17, 5); (53, 5); (57, 7); (65, 14); (69, 8); (85, 18); (165, 14); (205, 10); (269, 7); (285, 6); (309, 8); (309, 13); (313, 4)</t>
  </si>
  <si>
    <t>(117, 8); (137, 15); (297, 7); (313, 13)</t>
  </si>
  <si>
    <t>(313, 7)</t>
  </si>
  <si>
    <t>(313, 8)</t>
  </si>
  <si>
    <t>(313, 12)</t>
  </si>
  <si>
    <t>(313, 16)</t>
  </si>
  <si>
    <t>(313, 17)</t>
  </si>
  <si>
    <t>phiah4</t>
  </si>
  <si>
    <t>phiah</t>
  </si>
  <si>
    <t>su1</t>
  </si>
  <si>
    <t>su</t>
  </si>
  <si>
    <t>co2</t>
  </si>
  <si>
    <t>tshó</t>
  </si>
  <si>
    <t>siong2</t>
  </si>
  <si>
    <t>síong</t>
  </si>
  <si>
    <t>(185, 13); (317, 6)</t>
  </si>
  <si>
    <t>(241, 11); (317, 17)</t>
  </si>
  <si>
    <t>(317, 5)</t>
  </si>
  <si>
    <t>(317, 9)</t>
  </si>
  <si>
    <t>(317, 10)</t>
  </si>
  <si>
    <t>(317, 12)</t>
  </si>
  <si>
    <t>(317, 13)</t>
  </si>
  <si>
    <t>(317, 14)</t>
  </si>
  <si>
    <t>than3</t>
  </si>
  <si>
    <t>thàn</t>
  </si>
  <si>
    <t>senn2</t>
  </si>
  <si>
    <t>sénn</t>
  </si>
  <si>
    <t>ui1</t>
  </si>
  <si>
    <t>ui</t>
  </si>
  <si>
    <t>(5, 7); (9, 13); (41, 4); (57, 11); (85, 14); (137, 5); (145, 14); (165, 11); (225, 5); (233, 9); (281, 9); (321, 11)</t>
  </si>
  <si>
    <t>(37, 9); (101, 11); (117, 13); (153, 6); (169, 14); (181, 9); (197, 5); (277, 16); (321, 9)</t>
  </si>
  <si>
    <t>(53, 9); (241, 8); (281, 7); (321, 5)</t>
  </si>
  <si>
    <t>(65, 16); (141, 4); (169, 11); (213, 15); (289, 12); (297, 13); (321, 16)</t>
  </si>
  <si>
    <t>(189, 18); (321, 15)</t>
  </si>
  <si>
    <t>(321, 4)</t>
  </si>
  <si>
    <t>(321, 7)</t>
  </si>
  <si>
    <t>(321, 12)</t>
  </si>
  <si>
    <t>(321, 17)</t>
  </si>
  <si>
    <t>(321, 18)</t>
  </si>
  <si>
    <t>tiong7</t>
  </si>
  <si>
    <t>tīong</t>
  </si>
  <si>
    <t>ziann2</t>
  </si>
  <si>
    <t>tsíann</t>
  </si>
  <si>
    <t>khik1</t>
  </si>
  <si>
    <t>(29, 7); (89, 18); (133, 16); (177, 5); (325, 14)</t>
  </si>
  <si>
    <t>(69, 13); (73, 13); (325, 7)</t>
  </si>
  <si>
    <t>(201, 14); (325, 17)</t>
  </si>
  <si>
    <t>(301, 11); (325, 16)</t>
  </si>
  <si>
    <t>(313, 18); (325, 10)</t>
  </si>
  <si>
    <t>(325, 5)</t>
  </si>
  <si>
    <t>(325, 6)</t>
  </si>
  <si>
    <t>(325, 8)</t>
  </si>
  <si>
    <t>(325, 11)</t>
  </si>
  <si>
    <t>(325, 13)</t>
  </si>
  <si>
    <t>khim5</t>
  </si>
  <si>
    <t>khîm</t>
  </si>
  <si>
    <t>(25, 10); (149, 8); (181, 4); (269, 12); (277, 9); (329, 17)</t>
  </si>
  <si>
    <t>(25, 14); (329, 14)</t>
  </si>
  <si>
    <t>(41, 5); (205, 13); (329, 10)</t>
  </si>
  <si>
    <t>(61, 12); (65, 11); (89, 14); (157, 17); (261, 15); (329, 7)</t>
  </si>
  <si>
    <t>(149, 18); (177, 15); (193, 4); (197, 11); (201, 13); (209, 13); (209, 18); (289, 5); (329, 15)</t>
  </si>
  <si>
    <t>(165, 12); (189, 14); (201, 12); (329, 5)</t>
  </si>
  <si>
    <t>(169, 5); (169, 13); (329, 13)</t>
  </si>
  <si>
    <t>(329, 4)</t>
  </si>
  <si>
    <t>(329, 12)</t>
  </si>
  <si>
    <t>hiunn3</t>
  </si>
  <si>
    <t>hìunn</t>
  </si>
  <si>
    <t>tong7</t>
  </si>
  <si>
    <t>tōng</t>
  </si>
  <si>
    <t>(13, 15); (29, 9); (89, 7); (185, 15); (273, 17); (285, 12); (293, 14); (301, 16); (329, 9); (333, 4)</t>
  </si>
  <si>
    <t>(21, 15); (333, 10)</t>
  </si>
  <si>
    <t>(41, 18); (53, 18); (109, 8); (121, 10); (153, 18); (197, 4); (333, 16)</t>
  </si>
  <si>
    <t>(65, 12); (117, 17); (129, 8); (153, 15); (333, 12)</t>
  </si>
  <si>
    <t>(333, 5)</t>
  </si>
  <si>
    <t>(333, 8)</t>
  </si>
  <si>
    <t>(333, 13)</t>
  </si>
  <si>
    <t>tsú</t>
  </si>
  <si>
    <t>zoo7</t>
  </si>
  <si>
    <t>tsōo</t>
  </si>
  <si>
    <t>(5, 14); (73, 11); (337, 12)</t>
  </si>
  <si>
    <t>(9, 16); (257, 10); (309, 12); (337, 15)</t>
  </si>
  <si>
    <t>(13, 13); (101, 5); (117, 12); (129, 5); (157, 10); (165, 15); (173, 6); (173, 11); (173, 17); (225, 8); (237, 7); (241, 7); (269, 16); (281, 13); (293, 13); (337, 16)</t>
  </si>
  <si>
    <t>(41, 17); (113, 9); (121, 9); (153, 17); (177, 12); (193, 18); (213, 4); (333, 15); (337, 10)</t>
  </si>
  <si>
    <t>(145, 18); (193, 6); (337, 13)</t>
  </si>
  <si>
    <t>(177, 13); (337, 6)</t>
  </si>
  <si>
    <t>(197, 18); (253, 5); (261, 18); (337, 9)</t>
  </si>
  <si>
    <t>(237, 5); (337, 4)</t>
  </si>
  <si>
    <t>(337, 5)</t>
  </si>
  <si>
    <t>(337, 11)</t>
  </si>
  <si>
    <t>(337, 17)</t>
  </si>
  <si>
    <t>kham1</t>
  </si>
  <si>
    <t>kham</t>
  </si>
  <si>
    <t>(49, 4); (125, 15); (341, 8)</t>
  </si>
  <si>
    <t>(61, 7); (69, 18); (85, 12); (89, 9); (217, 4); (233, 8); (241, 14); (285, 4); (341, 5)</t>
  </si>
  <si>
    <t>(69, 10); (305, 10); (317, 7); (341, 6)</t>
  </si>
  <si>
    <t>(197, 16); (201, 5); (341, 17)</t>
  </si>
  <si>
    <t>(293, 4); (333, 7); (341, 16)</t>
  </si>
  <si>
    <t>(341, 7)</t>
  </si>
  <si>
    <t>(341, 18)</t>
  </si>
  <si>
    <t>zenn7</t>
  </si>
  <si>
    <t>tsēnn</t>
  </si>
  <si>
    <t>ip4</t>
  </si>
  <si>
    <t>ip</t>
  </si>
  <si>
    <t>(5, 5); (345, 13)</t>
  </si>
  <si>
    <t>(37, 13); (125, 5); (241, 10); (317, 16); (345, 8)</t>
  </si>
  <si>
    <t>(49, 10); (109, 4); (141, 13); (225, 16); (257, 4); (345, 17)</t>
  </si>
  <si>
    <t>(61, 8); (85, 17); (97, 16); (137, 10); (169, 17); (177, 10); (181, 10); (217, 8); (233, 18); (241, 12); (281, 14); (289, 15); (301, 5); (301, 17); (305, 18); (317, 18); (333, 9); (333, 18); (345, 11)</t>
  </si>
  <si>
    <t>(109, 6); (345, 6)</t>
  </si>
  <si>
    <t>(121, 5); (345, 14)</t>
  </si>
  <si>
    <t>(133, 7); (189, 4); (201, 4); (225, 10); (249, 8); (345, 16)</t>
  </si>
  <si>
    <t>(345, 7)</t>
  </si>
  <si>
    <t>(345, 9)</t>
  </si>
  <si>
    <t>(345, 18)</t>
  </si>
  <si>
    <t>too3</t>
  </si>
  <si>
    <t>tòo</t>
  </si>
  <si>
    <t>(33, 5); (97, 7); (285, 18); (349, 13)</t>
  </si>
  <si>
    <t>(53, 7); (349, 15)</t>
  </si>
  <si>
    <t>(61, 10); (85, 9); (301, 6); (301, 18); (349, 7)</t>
  </si>
  <si>
    <t>(81, 4); (129, 18); (141, 17); (209, 4); (233, 13); (301, 10); (321, 6); (325, 18); (349, 8)</t>
  </si>
  <si>
    <t>(125, 6); (197, 17); (253, 4); (289, 16); (337, 8); (345, 12); (349, 6)</t>
  </si>
  <si>
    <t>(165, 4); (189, 5); (229, 7); (309, 6); (349, 11)</t>
  </si>
  <si>
    <t>(305, 17); (349, 9)</t>
  </si>
  <si>
    <t>(349, 4)</t>
  </si>
  <si>
    <t>(349, 12)</t>
  </si>
  <si>
    <t>(349, 14)</t>
  </si>
  <si>
    <t>(349, 17)</t>
  </si>
  <si>
    <t>(5, 6); (341, 9); (353, 6)</t>
  </si>
  <si>
    <t>(25, 9); (153, 16); (289, 10); (333, 14); (353, 15)</t>
  </si>
  <si>
    <t>(41, 12); (145, 8); (197, 7); (241, 6); (353, 9)</t>
  </si>
  <si>
    <t>(97, 18); (105, 9); (193, 16); (225, 18); (229, 11); (257, 5); (305, 11); (341, 13); (353, 5)</t>
  </si>
  <si>
    <t>(105, 11); (229, 14); (265, 10); (313, 11); (341, 14); (353, 10); (353, 16)</t>
  </si>
  <si>
    <t>(137, 14); (353, 12)</t>
  </si>
  <si>
    <t>(289, 9); (353, 14)</t>
  </si>
  <si>
    <t>(341, 11); (353, 13)</t>
  </si>
  <si>
    <t>(341, 12); (353, 8); (353, 17)</t>
  </si>
  <si>
    <t>(353, 4)</t>
  </si>
  <si>
    <t>ce2</t>
  </si>
  <si>
    <t>tshé</t>
  </si>
  <si>
    <t>pong3</t>
  </si>
  <si>
    <t>pòng</t>
  </si>
  <si>
    <t>kiam2</t>
  </si>
  <si>
    <t>kíam</t>
  </si>
  <si>
    <t>(9, 4); (125, 11); (137, 4); (153, 10); (165, 5); (169, 15); (177, 4); (237, 17); (249, 4); (249, 9); (257, 9); (261, 17); (273, 7); (285, 7); (313, 15); (357, 13)</t>
  </si>
  <si>
    <t>(9, 11); (33, 15); (357, 11)</t>
  </si>
  <si>
    <t>(9, 14); (17, 15); (29, 5); (29, 18); (45, 18); (57, 8); (89, 8); (141, 6); (145, 15); (149, 15); (185, 16); (189, 9); (197, 9); (201, 11); (233, 4); (237, 10); (249, 7); (253, 11); (261, 5); (273, 18); (281, 8); (285, 17); (301, 4); (309, 15); (313, 5); (321, 10); (325, 12); (357, 5)</t>
  </si>
  <si>
    <t>(13, 6); (13, 14); (21, 11); (33, 9); (41, 6); (57, 4); (61, 4); (77, 4); (81, 9); (89, 5); (93, 16); (113, 11); (137, 12); (153, 13); (157, 12); (177, 14); (181, 12); (197, 15); (205, 12); (217, 12); (221, 10); (237, 8); (249, 16); (265, 4); (265, 12); (273, 4); (273, 13); (281, 6); (281, 16); (309, 10); (317, 4); (317, 11); (329, 8); (329, 18); (345, 4); (357, 14)</t>
  </si>
  <si>
    <t>(77, 11); (101, 13); (125, 7); (193, 7); (201, 15); (221, 14); (237, 14); (241, 17); (257, 17); (273, 15); (289, 17); (293, 16); (305, 5); (321, 13); (337, 18); (357, 16)</t>
  </si>
  <si>
    <t>(85, 15); (357, 7)</t>
  </si>
  <si>
    <t>(193, 17); (357, 6)</t>
  </si>
  <si>
    <t>(357, 4)</t>
  </si>
  <si>
    <t>(357, 8)</t>
  </si>
  <si>
    <t>(357, 9)</t>
  </si>
  <si>
    <t>(357, 12)</t>
  </si>
  <si>
    <t>(357, 15)</t>
  </si>
  <si>
    <t>【河洛白話注音-台羅拼音】《讓縣自明本志令》.xlsx</t>
    <phoneticPr fontId="1" type="noConversion"/>
  </si>
  <si>
    <t>cao-cao-luoyang-palace.jpg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</si>
</sst>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.000_);[Red]\(#,##0.000\)"/>
  </numFmts>
  <fonts count="6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18"/>
      <color theme="1"/>
      <name val="Calibri"/>
      <family val="2"/>
    </font>
    <font>
      <b/>
      <sz val="48"/>
      <color rgb="FFFF0000"/>
      <name val="吳守禮細明台語注音"/>
      <family val="1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theme="1"/>
      <name val="Arial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sz val="11"/>
      <color theme="1"/>
      <name val="新細明體"/>
      <family val="2"/>
      <scheme val="minor"/>
    </font>
    <font>
      <b/>
      <sz val="11"/>
      <color rgb="FFFF0000"/>
      <name val="Microsoft JhengHei"/>
      <family val="2"/>
      <charset val="136"/>
    </font>
    <font>
      <b/>
      <sz val="11"/>
      <color rgb="FFFFFF00"/>
      <name val="Microsoft JhengHei"/>
      <family val="2"/>
    </font>
    <font>
      <b/>
      <sz val="11"/>
      <color rgb="FF0070C0"/>
      <name val="Microsoft JhengHei"/>
      <family val="2"/>
      <charset val="136"/>
    </font>
    <font>
      <b/>
      <sz val="18"/>
      <color rgb="FFFFFFFF"/>
      <name val="Microsoft JhengHei"/>
      <family val="2"/>
      <charset val="136"/>
    </font>
    <font>
      <sz val="18"/>
      <name val="Microsoft JhengHei"/>
      <family val="2"/>
      <charset val="136"/>
    </font>
    <font>
      <sz val="18"/>
      <name val="Charis SIL"/>
    </font>
    <font>
      <sz val="16"/>
      <color theme="1"/>
      <name val="Charis SIL"/>
    </font>
    <font>
      <sz val="16"/>
      <color theme="1"/>
      <name val="Microsoft JhengHei UI"/>
      <family val="2"/>
      <charset val="136"/>
    </font>
    <font>
      <sz val="26"/>
      <color rgb="FF009900"/>
      <name val="Charis SIL"/>
    </font>
    <font>
      <sz val="16"/>
      <color rgb="FFFF0000"/>
      <name val="Charis SIL"/>
    </font>
    <font>
      <sz val="16"/>
      <color rgb="FFFF0000"/>
      <name val="Microsoft JhengHei UI"/>
      <family val="2"/>
      <charset val="136"/>
    </font>
    <font>
      <sz val="16"/>
      <color theme="3" tint="0.499984740745262"/>
      <name val="Charis SIL"/>
    </font>
    <font>
      <sz val="16"/>
      <color theme="3" tint="0.499984740745262"/>
      <name val="Microsoft JhengHei UI"/>
      <family val="2"/>
      <charset val="136"/>
    </font>
    <font>
      <sz val="16"/>
      <color theme="3" tint="0.499984740745262"/>
      <name val="細明體"/>
      <family val="3"/>
      <charset val="136"/>
    </font>
    <font>
      <sz val="16"/>
      <color rgb="FFFF0000"/>
      <name val="細明體"/>
      <family val="3"/>
      <charset val="136"/>
    </font>
    <font>
      <sz val="12"/>
      <color theme="1"/>
      <name val="新細明體"/>
      <family val="2"/>
      <charset val="136"/>
    </font>
    <font>
      <sz val="18"/>
      <color theme="1"/>
      <name val="新細明體"/>
      <family val="2"/>
      <charset val="136"/>
      <scheme val="minor"/>
    </font>
    <font>
      <sz val="18"/>
      <color theme="1"/>
      <name val="Charis Medium"/>
    </font>
    <font>
      <sz val="18"/>
      <color theme="1"/>
      <name val="Noto Sans TC"/>
      <family val="2"/>
      <charset val="136"/>
    </font>
    <font>
      <sz val="18"/>
      <color theme="1"/>
      <name val="Charis SemiBold"/>
    </font>
    <font>
      <sz val="12"/>
      <color theme="1"/>
      <name val="Charis SIL"/>
    </font>
    <font>
      <sz val="18"/>
      <color theme="1"/>
      <name val="等距更紗黑體 TC SemiBold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6" fillId="0" borderId="0" applyNumberFormat="0" applyFill="0" applyBorder="0" applyAlignment="0" applyProtection="0">
      <alignment vertical="center"/>
    </xf>
    <xf numFmtId="0" fontId="36" fillId="4" borderId="0">
      <alignment horizontal="center" vertical="center"/>
    </xf>
    <xf numFmtId="0" fontId="42" fillId="0" borderId="0"/>
    <xf numFmtId="43" fontId="39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7" fillId="0" borderId="0" xfId="3" applyFont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2" fillId="0" borderId="0" xfId="3" applyFont="1" applyAlignment="1">
      <alignment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shrinkToFit="1" readingOrder="1"/>
    </xf>
    <xf numFmtId="0" fontId="24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8" fillId="0" borderId="0" xfId="1" applyFont="1">
      <alignment vertical="center"/>
    </xf>
    <xf numFmtId="0" fontId="29" fillId="0" borderId="0" xfId="3" applyFont="1" applyAlignment="1">
      <alignment horizontal="left" vertical="center"/>
    </xf>
    <xf numFmtId="0" fontId="30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1" fillId="0" borderId="0" xfId="1" applyFont="1" applyAlignment="1">
      <alignment horizontal="left" vertical="center"/>
    </xf>
    <xf numFmtId="0" fontId="32" fillId="3" borderId="0" xfId="1" applyFont="1" applyFill="1">
      <alignment vertical="center"/>
    </xf>
    <xf numFmtId="0" fontId="30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4" fillId="0" borderId="0" xfId="3" applyFont="1" applyAlignment="1">
      <alignment horizontal="center" vertical="center"/>
    </xf>
    <xf numFmtId="0" fontId="33" fillId="2" borderId="3" xfId="3" applyFont="1" applyFill="1" applyBorder="1" applyAlignment="1" applyProtection="1">
      <alignment horizontal="center" vertical="center" wrapText="1" readingOrder="1"/>
      <protection locked="0"/>
    </xf>
    <xf numFmtId="0" fontId="35" fillId="0" borderId="0" xfId="1" applyFont="1">
      <alignment vertical="center"/>
    </xf>
    <xf numFmtId="0" fontId="37" fillId="4" borderId="0" xfId="4" applyFont="1" applyFill="1" applyAlignment="1">
      <alignment vertical="center" readingOrder="1"/>
    </xf>
    <xf numFmtId="0" fontId="38" fillId="0" borderId="0" xfId="1" applyFont="1">
      <alignment vertical="center"/>
    </xf>
    <xf numFmtId="0" fontId="49" fillId="0" borderId="0" xfId="0" applyFont="1">
      <alignment vertical="center"/>
    </xf>
    <xf numFmtId="49" fontId="48" fillId="2" borderId="6" xfId="0" applyNumberFormat="1" applyFont="1" applyFill="1" applyBorder="1" applyAlignment="1">
      <alignment horizontal="left" vertical="center" wrapText="1"/>
    </xf>
    <xf numFmtId="49" fontId="47" fillId="2" borderId="6" xfId="0" applyNumberFormat="1" applyFont="1" applyFill="1" applyBorder="1" applyAlignment="1">
      <alignment horizontal="left" vertical="center" wrapText="1"/>
    </xf>
    <xf numFmtId="0" fontId="40" fillId="5" borderId="6" xfId="0" applyFont="1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0" fillId="0" borderId="0" xfId="0" applyAlignment="1"/>
    <xf numFmtId="0" fontId="44" fillId="7" borderId="6" xfId="0" applyFont="1" applyFill="1" applyBorder="1" applyAlignment="1">
      <alignment horizontal="center" vertical="center"/>
    </xf>
    <xf numFmtId="0" fontId="45" fillId="8" borderId="6" xfId="0" applyFont="1" applyFill="1" applyBorder="1" applyAlignment="1">
      <alignment horizontal="center" vertical="center" wrapText="1"/>
    </xf>
    <xf numFmtId="0" fontId="40" fillId="5" borderId="6" xfId="0" applyFont="1" applyFill="1" applyBorder="1" applyAlignment="1">
      <alignment horizontal="center" vertical="center" wrapText="1"/>
    </xf>
    <xf numFmtId="0" fontId="44" fillId="7" borderId="6" xfId="0" applyFont="1" applyFill="1" applyBorder="1" applyAlignment="1">
      <alignment horizontal="center" vertical="center" wrapText="1"/>
    </xf>
    <xf numFmtId="38" fontId="41" fillId="2" borderId="6" xfId="7" applyNumberFormat="1" applyFont="1" applyFill="1" applyBorder="1" applyAlignment="1" applyProtection="1">
      <alignment horizontal="right" vertical="center"/>
    </xf>
    <xf numFmtId="38" fontId="41" fillId="6" borderId="6" xfId="7" applyNumberFormat="1" applyFont="1" applyFill="1" applyBorder="1" applyAlignment="1" applyProtection="1">
      <alignment horizontal="right" vertical="center"/>
    </xf>
    <xf numFmtId="0" fontId="45" fillId="8" borderId="6" xfId="0" applyFont="1" applyFill="1" applyBorder="1" applyAlignment="1">
      <alignment horizontal="centerContinuous" vertical="center"/>
    </xf>
    <xf numFmtId="0" fontId="43" fillId="9" borderId="6" xfId="0" applyFont="1" applyFill="1" applyBorder="1" applyAlignment="1" applyProtection="1">
      <alignment horizontal="center" vertical="center"/>
      <protection locked="0"/>
    </xf>
    <xf numFmtId="0" fontId="41" fillId="9" borderId="6" xfId="0" applyFont="1" applyFill="1" applyBorder="1" applyAlignment="1">
      <alignment horizontal="center" vertical="center"/>
    </xf>
    <xf numFmtId="177" fontId="41" fillId="9" borderId="6" xfId="7" applyNumberFormat="1" applyFont="1" applyFill="1" applyBorder="1" applyAlignment="1" applyProtection="1">
      <alignment horizontal="right" vertical="center"/>
    </xf>
    <xf numFmtId="38" fontId="41" fillId="2" borderId="6" xfId="7" applyNumberFormat="1" applyFont="1" applyFill="1" applyBorder="1" applyAlignment="1" applyProtection="1">
      <alignment horizontal="right" vertical="center" wrapText="1"/>
    </xf>
    <xf numFmtId="38" fontId="41" fillId="10" borderId="6" xfId="7" applyNumberFormat="1" applyFont="1" applyFill="1" applyBorder="1" applyAlignment="1" applyProtection="1">
      <alignment horizontal="right" vertical="center"/>
    </xf>
    <xf numFmtId="176" fontId="41" fillId="10" borderId="6" xfId="7" applyNumberFormat="1" applyFont="1" applyFill="1" applyBorder="1" applyAlignment="1" applyProtection="1">
      <alignment horizontal="right" vertical="center"/>
    </xf>
    <xf numFmtId="0" fontId="41" fillId="10" borderId="6" xfId="0" applyFont="1" applyFill="1" applyBorder="1" applyAlignment="1">
      <alignment horizontal="center" vertical="center"/>
    </xf>
    <xf numFmtId="0" fontId="46" fillId="5" borderId="6" xfId="0" applyFont="1" applyFill="1" applyBorder="1" applyAlignment="1">
      <alignment horizontal="center" vertical="center"/>
    </xf>
    <xf numFmtId="0" fontId="52" fillId="0" borderId="0" xfId="0" applyFont="1">
      <alignment vertical="center"/>
    </xf>
    <xf numFmtId="0" fontId="51" fillId="0" borderId="0" xfId="3" applyFont="1" applyAlignment="1">
      <alignment horizontal="center" vertical="center"/>
    </xf>
    <xf numFmtId="0" fontId="53" fillId="0" borderId="0" xfId="0" applyFont="1">
      <alignment vertical="center"/>
    </xf>
    <xf numFmtId="0" fontId="48" fillId="2" borderId="6" xfId="0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19" fillId="10" borderId="0" xfId="3" applyFont="1" applyFill="1" applyAlignment="1">
      <alignment horizontal="center" vertical="center"/>
    </xf>
    <xf numFmtId="0" fontId="59" fillId="3" borderId="7" xfId="0" applyFont="1" applyFill="1" applyBorder="1">
      <alignment vertical="center"/>
    </xf>
    <xf numFmtId="0" fontId="62" fillId="0" borderId="7" xfId="0" applyFont="1" applyBorder="1" applyAlignment="1">
      <alignment horizontal="left" vertical="center"/>
    </xf>
    <xf numFmtId="0" fontId="63" fillId="0" borderId="0" xfId="0" applyFont="1">
      <alignment vertical="center"/>
    </xf>
    <xf numFmtId="0" fontId="64" fillId="0" borderId="7" xfId="0" applyFont="1" applyBorder="1" applyAlignment="1">
      <alignment horizontal="left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19" fillId="0" borderId="0" xfId="3" applyFont="1" applyFill="1" applyAlignment="1">
      <alignment horizontal="center" vertical="center"/>
    </xf>
    <xf numFmtId="0" fontId="34" fillId="0" borderId="0" xfId="3" applyFont="1" applyFill="1" applyAlignment="1">
      <alignment horizontal="center" vertical="center"/>
    </xf>
    <xf numFmtId="0" fontId="51" fillId="0" borderId="0" xfId="3" applyFont="1" applyFill="1" applyAlignment="1">
      <alignment horizontal="center" vertical="center"/>
    </xf>
  </cellXfs>
  <cellStyles count="9">
    <cellStyle name="一般" xfId="0" builtinId="0"/>
    <cellStyle name="一般 2" xfId="1" xr:uid="{4FD2CE07-C666-4AC5-9045-FB736D1889EE}"/>
    <cellStyle name="一般 2 2" xfId="8" xr:uid="{EBA072E0-A0D2-4361-BC90-5A4E021815D2}"/>
    <cellStyle name="一般 2 3" xfId="6" xr:uid="{DB58D167-0668-4A1B-82D5-9FC676312192}"/>
    <cellStyle name="一般 3" xfId="3" xr:uid="{0DB1BAA5-A6FE-4E94-BB2A-2EBCEF59C2EB}"/>
    <cellStyle name="人工標音儲存格" xfId="5" xr:uid="{5AE8588D-0914-4D03-A132-65900D328DBE}"/>
    <cellStyle name="千分位 2" xfId="7" xr:uid="{2D2C0B5F-E139-4578-8C7C-17253E2DA496}"/>
    <cellStyle name="超連結" xfId="4" builtinId="8"/>
    <cellStyle name="超連結 2" xfId="2" xr:uid="{35CF4CF4-6C05-4C83-A404-416353358D27}"/>
  </cellStyles>
  <dxfs count="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8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2" t="s">
        <v>0</v>
      </c>
      <c r="C1" s="42" t="s">
        <v>1</v>
      </c>
    </row>
    <row r="2" spans="2:4" ht="30">
      <c r="B2" s="37" t="s">
        <v>23</v>
      </c>
      <c r="C2" s="40">
        <v>1</v>
      </c>
    </row>
    <row r="3" spans="2:4" ht="30">
      <c r="B3" s="37" t="s">
        <v>24</v>
      </c>
      <c r="C3" s="45" t="s">
        <v>25</v>
      </c>
    </row>
    <row r="4" spans="2:4">
      <c r="B4" s="4" t="s">
        <v>2</v>
      </c>
      <c r="C4" s="2"/>
    </row>
    <row r="5" spans="2:4">
      <c r="B5" s="4" t="s">
        <v>3</v>
      </c>
      <c r="C5" s="50" t="s">
        <v>2058</v>
      </c>
    </row>
    <row r="6" spans="2:4">
      <c r="B6" s="4" t="s">
        <v>4</v>
      </c>
      <c r="C6" s="3" t="s">
        <v>1086</v>
      </c>
    </row>
    <row r="7" spans="2:4">
      <c r="B7" s="4" t="s">
        <v>5</v>
      </c>
      <c r="C7" s="49" t="s">
        <v>2059</v>
      </c>
      <c r="D7" s="44"/>
    </row>
    <row r="8" spans="2:4">
      <c r="B8" s="4" t="s">
        <v>6</v>
      </c>
      <c r="C8" s="41" t="s">
        <v>28</v>
      </c>
    </row>
    <row r="9" spans="2:4" ht="30">
      <c r="B9" s="37" t="s">
        <v>7</v>
      </c>
      <c r="C9" s="40"/>
    </row>
    <row r="10" spans="2:4">
      <c r="B10" s="38" t="s">
        <v>8</v>
      </c>
      <c r="C10" s="40" t="b">
        <v>1</v>
      </c>
    </row>
    <row r="11" spans="2:4" ht="30">
      <c r="B11" s="37" t="s">
        <v>9</v>
      </c>
      <c r="C11" s="40">
        <v>90</v>
      </c>
      <c r="D11" s="1">
        <f>每頁總列數*4+5</f>
        <v>365</v>
      </c>
    </row>
    <row r="12" spans="2:4" ht="30">
      <c r="B12" s="37" t="s">
        <v>10</v>
      </c>
      <c r="C12" s="40">
        <v>15</v>
      </c>
    </row>
    <row r="13" spans="2:4" ht="30">
      <c r="B13" s="37" t="s">
        <v>11</v>
      </c>
      <c r="C13" s="39" t="s">
        <v>495</v>
      </c>
    </row>
    <row r="14" spans="2:4" ht="30">
      <c r="B14" s="37" t="s">
        <v>12</v>
      </c>
      <c r="C14" s="39" t="s">
        <v>31</v>
      </c>
    </row>
    <row r="15" spans="2:4" ht="30">
      <c r="B15" s="37" t="s">
        <v>13</v>
      </c>
      <c r="C15" s="39" t="s">
        <v>496</v>
      </c>
    </row>
    <row r="16" spans="2:4" ht="30">
      <c r="B16" s="37" t="s">
        <v>14</v>
      </c>
      <c r="C16" s="39" t="s">
        <v>26</v>
      </c>
    </row>
    <row r="17" spans="2:3" ht="30">
      <c r="B17" s="37" t="s">
        <v>15</v>
      </c>
      <c r="C17" s="39" t="s">
        <v>27</v>
      </c>
    </row>
    <row r="18" spans="2:3" ht="30">
      <c r="B18" s="37" t="s">
        <v>16</v>
      </c>
      <c r="C18" s="39" t="s">
        <v>496</v>
      </c>
    </row>
    <row r="19" spans="2:3" ht="30">
      <c r="B19" s="37" t="s">
        <v>17</v>
      </c>
      <c r="C19" s="39" t="s">
        <v>352</v>
      </c>
    </row>
    <row r="20" spans="2:3" ht="30">
      <c r="B20" s="37" t="s">
        <v>22</v>
      </c>
      <c r="C20" s="43">
        <v>0</v>
      </c>
    </row>
    <row r="21" spans="2:3" ht="30">
      <c r="B21" s="37" t="s">
        <v>326</v>
      </c>
      <c r="C21" s="39" t="s">
        <v>319</v>
      </c>
    </row>
    <row r="22" spans="2:3" ht="30">
      <c r="B22" s="37" t="s">
        <v>395</v>
      </c>
      <c r="C22" s="39" t="s">
        <v>396</v>
      </c>
    </row>
    <row r="28" spans="2:3">
      <c r="C28" s="48"/>
    </row>
  </sheetData>
  <phoneticPr fontId="1" type="noConversion"/>
  <dataValidations count="7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 C21" xr:uid="{4B8A1C7E-4BB3-4C1C-9065-B81F5BED0DFB}">
      <formula1>" ,十五音, 雅俗通,方音符號,注音二式,台語音標, 白話字, 台羅拼音,閩拼調號, 閩拼調符"</formula1>
    </dataValidation>
    <dataValidation type="list" allowBlank="1" showInputMessage="1" showErrorMessage="1" sqref="C22" xr:uid="{3B462607-59EA-4614-9C01-D2BD8472AADD}">
      <formula1>"否,是"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55AE-7CDC-4512-ABB0-84FC6338A0E0}">
  <sheetPr>
    <tabColor rgb="FFFF0000"/>
  </sheetPr>
  <dimension ref="B2:E15"/>
  <sheetViews>
    <sheetView workbookViewId="0">
      <selection activeCell="B10" sqref="B10"/>
    </sheetView>
  </sheetViews>
  <sheetFormatPr defaultRowHeight="29.25"/>
  <cols>
    <col min="1" max="1" width="9" style="51"/>
    <col min="2" max="2" width="62.75" style="51" customWidth="1"/>
    <col min="3" max="3" width="33.625" style="76" customWidth="1"/>
    <col min="4" max="4" width="16.625" style="51" customWidth="1"/>
    <col min="5" max="5" width="29.75" style="51" customWidth="1"/>
    <col min="6" max="16384" width="9" style="51"/>
  </cols>
  <sheetData>
    <row r="2" spans="2:5">
      <c r="B2" s="51" t="s">
        <v>81</v>
      </c>
    </row>
    <row r="3" spans="2:5">
      <c r="B3" s="51" t="s">
        <v>82</v>
      </c>
    </row>
    <row r="4" spans="2:5">
      <c r="B4" s="51" t="s">
        <v>84</v>
      </c>
      <c r="C4" s="78" t="s">
        <v>162</v>
      </c>
    </row>
    <row r="5" spans="2:5">
      <c r="B5" s="72" t="s">
        <v>91</v>
      </c>
      <c r="C5" s="77" t="s">
        <v>161</v>
      </c>
      <c r="D5" s="74" t="s">
        <v>87</v>
      </c>
      <c r="E5" s="74" t="s">
        <v>88</v>
      </c>
    </row>
    <row r="6" spans="2:5">
      <c r="B6" s="72"/>
      <c r="D6" s="74" t="s">
        <v>89</v>
      </c>
      <c r="E6" s="74" t="s">
        <v>90</v>
      </c>
    </row>
    <row r="7" spans="2:5">
      <c r="B7" s="72"/>
    </row>
    <row r="8" spans="2:5">
      <c r="B8" s="72" t="s">
        <v>91</v>
      </c>
      <c r="C8" s="77" t="s">
        <v>160</v>
      </c>
      <c r="E8" s="74"/>
    </row>
    <row r="9" spans="2:5">
      <c r="B9" s="72" t="s">
        <v>167</v>
      </c>
      <c r="C9" s="77"/>
      <c r="E9" s="74"/>
    </row>
    <row r="10" spans="2:5">
      <c r="B10" s="51" t="s">
        <v>83</v>
      </c>
    </row>
    <row r="11" spans="2:5">
      <c r="B11" s="72"/>
      <c r="C11" s="77"/>
      <c r="E11" s="74"/>
    </row>
    <row r="12" spans="2:5">
      <c r="B12" s="51" t="s">
        <v>85</v>
      </c>
      <c r="C12" s="78" t="s">
        <v>165</v>
      </c>
    </row>
    <row r="13" spans="2:5">
      <c r="B13" s="72" t="s">
        <v>163</v>
      </c>
      <c r="C13" s="78" t="s">
        <v>164</v>
      </c>
    </row>
    <row r="15" spans="2:5">
      <c r="B15" s="51" t="s">
        <v>86</v>
      </c>
      <c r="C15" s="78" t="s">
        <v>166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66D2-FA9C-4C47-876B-E069DFBD07F2}">
  <sheetPr>
    <tabColor rgb="FFFF0000"/>
  </sheetPr>
  <dimension ref="B2:I12"/>
  <sheetViews>
    <sheetView workbookViewId="0">
      <selection activeCell="K17" sqref="K17"/>
    </sheetView>
  </sheetViews>
  <sheetFormatPr defaultRowHeight="22.5"/>
  <cols>
    <col min="2" max="2" width="17.5" bestFit="1" customWidth="1"/>
    <col min="3" max="5" width="21" customWidth="1"/>
    <col min="7" max="7" width="9" customWidth="1"/>
    <col min="9" max="9" width="9" style="82"/>
  </cols>
  <sheetData>
    <row r="2" spans="2:9" ht="25.5">
      <c r="B2" s="80" t="s">
        <v>353</v>
      </c>
      <c r="C2" s="80" t="s">
        <v>356</v>
      </c>
      <c r="D2" s="80" t="s">
        <v>354</v>
      </c>
      <c r="E2" s="80" t="s">
        <v>355</v>
      </c>
    </row>
    <row r="3" spans="2:9" ht="30" customHeight="1">
      <c r="B3" s="83" t="s">
        <v>387</v>
      </c>
      <c r="C3" s="83" t="s">
        <v>363</v>
      </c>
      <c r="D3" s="83" t="s">
        <v>363</v>
      </c>
      <c r="E3" s="83" t="s">
        <v>386</v>
      </c>
      <c r="I3" s="82" t="s">
        <v>365</v>
      </c>
    </row>
    <row r="4" spans="2:9" ht="30" customHeight="1">
      <c r="B4" s="83" t="s">
        <v>388</v>
      </c>
      <c r="C4" s="83" t="s">
        <v>364</v>
      </c>
      <c r="D4" s="83" t="s">
        <v>363</v>
      </c>
      <c r="E4" s="83" t="s">
        <v>386</v>
      </c>
      <c r="I4" s="82" t="s">
        <v>366</v>
      </c>
    </row>
    <row r="5" spans="2:9" ht="30" customHeight="1">
      <c r="B5" s="83" t="s">
        <v>389</v>
      </c>
      <c r="C5" s="81" t="s">
        <v>382</v>
      </c>
      <c r="D5" s="81" t="s">
        <v>383</v>
      </c>
      <c r="E5" s="81" t="s">
        <v>384</v>
      </c>
      <c r="I5" s="82" t="s">
        <v>371</v>
      </c>
    </row>
    <row r="6" spans="2:9" ht="30" customHeight="1">
      <c r="B6" s="83" t="s">
        <v>328</v>
      </c>
      <c r="C6" s="81" t="s">
        <v>362</v>
      </c>
      <c r="D6" s="81" t="s">
        <v>372</v>
      </c>
      <c r="E6" s="81" t="s">
        <v>379</v>
      </c>
      <c r="I6" s="82" t="s">
        <v>385</v>
      </c>
    </row>
    <row r="7" spans="2:9" ht="30" customHeight="1">
      <c r="B7" s="83" t="s">
        <v>390</v>
      </c>
      <c r="C7" s="81" t="s">
        <v>359</v>
      </c>
      <c r="D7" s="81" t="s">
        <v>372</v>
      </c>
      <c r="E7" s="81" t="s">
        <v>379</v>
      </c>
      <c r="I7" s="82" t="s">
        <v>377</v>
      </c>
    </row>
    <row r="8" spans="2:9" ht="30" customHeight="1">
      <c r="B8" s="83" t="s">
        <v>391</v>
      </c>
      <c r="C8" s="81" t="s">
        <v>361</v>
      </c>
      <c r="D8" s="81" t="s">
        <v>373</v>
      </c>
      <c r="E8" s="81" t="s">
        <v>380</v>
      </c>
      <c r="I8" s="82" t="s">
        <v>367</v>
      </c>
    </row>
    <row r="9" spans="2:9" ht="30" customHeight="1">
      <c r="B9" s="83" t="s">
        <v>392</v>
      </c>
      <c r="C9" s="81" t="s">
        <v>360</v>
      </c>
      <c r="D9" s="81" t="s">
        <v>374</v>
      </c>
      <c r="E9" s="81" t="s">
        <v>381</v>
      </c>
      <c r="I9" s="82" t="s">
        <v>378</v>
      </c>
    </row>
    <row r="10" spans="2:9" ht="30" customHeight="1">
      <c r="B10" s="83" t="s">
        <v>393</v>
      </c>
      <c r="C10" s="81" t="s">
        <v>357</v>
      </c>
      <c r="D10" s="81" t="s">
        <v>375</v>
      </c>
      <c r="E10" s="81" t="s">
        <v>376</v>
      </c>
      <c r="I10" s="82" t="s">
        <v>368</v>
      </c>
    </row>
    <row r="11" spans="2:9" ht="30" customHeight="1">
      <c r="B11" s="83" t="s">
        <v>394</v>
      </c>
      <c r="C11" s="81" t="s">
        <v>358</v>
      </c>
      <c r="D11" s="81" t="s">
        <v>375</v>
      </c>
      <c r="E11" s="81" t="s">
        <v>376</v>
      </c>
      <c r="I11" s="82" t="s">
        <v>369</v>
      </c>
    </row>
    <row r="12" spans="2:9" ht="30" customHeight="1">
      <c r="I12" s="82" t="s">
        <v>370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DD59-E3B8-4123-97F1-12B63FA84F3B}">
  <sheetPr>
    <tabColor rgb="FF00B0F0"/>
  </sheetPr>
  <dimension ref="A1:V2270"/>
  <sheetViews>
    <sheetView showGridLines="0" zoomScale="50" zoomScaleNormal="50" workbookViewId="0">
      <pane xSplit="3" ySplit="1" topLeftCell="D59" activePane="bottomRight" state="frozen"/>
      <selection activeCell="R22" sqref="R22"/>
      <selection pane="topRight" activeCell="R22" sqref="R22"/>
      <selection pane="bottomLeft" activeCell="R22" sqref="R22"/>
      <selection pane="bottomRight" activeCell="R22" sqref="R22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148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255</v>
      </c>
    </row>
    <row r="4" spans="1:22" s="6" customFormat="1" ht="36" customHeight="1">
      <c r="B4" s="16"/>
      <c r="D4" s="46"/>
      <c r="E4" s="46" t="s">
        <v>176</v>
      </c>
      <c r="F4" s="46" t="s">
        <v>256</v>
      </c>
      <c r="G4" s="46" t="s">
        <v>257</v>
      </c>
      <c r="H4" s="46"/>
      <c r="I4" s="46" t="s">
        <v>258</v>
      </c>
      <c r="J4" s="46" t="s">
        <v>259</v>
      </c>
      <c r="K4" s="46" t="s">
        <v>260</v>
      </c>
      <c r="L4" s="46" t="s">
        <v>261</v>
      </c>
      <c r="M4" s="46"/>
      <c r="N4" s="46"/>
      <c r="O4" s="46" t="s">
        <v>262</v>
      </c>
      <c r="P4" s="46"/>
      <c r="Q4" s="46" t="s">
        <v>259</v>
      </c>
      <c r="R4" s="46" t="s">
        <v>263</v>
      </c>
      <c r="S4" s="17"/>
      <c r="V4" s="85"/>
    </row>
    <row r="5" spans="1:22" s="6" customFormat="1" ht="80.099999999999994" customHeight="1">
      <c r="B5" s="18">
        <v>1</v>
      </c>
      <c r="D5" s="36" t="s">
        <v>34</v>
      </c>
      <c r="E5" s="79" t="s">
        <v>168</v>
      </c>
      <c r="F5" s="79" t="s">
        <v>185</v>
      </c>
      <c r="G5" s="36" t="s">
        <v>186</v>
      </c>
      <c r="H5" s="36" t="s">
        <v>342</v>
      </c>
      <c r="I5" s="79" t="s">
        <v>187</v>
      </c>
      <c r="J5" s="36" t="s">
        <v>188</v>
      </c>
      <c r="K5" s="79" t="s">
        <v>189</v>
      </c>
      <c r="L5" s="36" t="s">
        <v>190</v>
      </c>
      <c r="M5" s="36" t="s">
        <v>37</v>
      </c>
      <c r="N5" s="36" t="s">
        <v>101</v>
      </c>
      <c r="O5" s="36" t="s">
        <v>191</v>
      </c>
      <c r="P5" s="36" t="s">
        <v>115</v>
      </c>
      <c r="Q5" s="79" t="s">
        <v>192</v>
      </c>
      <c r="R5" s="79" t="s">
        <v>193</v>
      </c>
      <c r="S5" s="19"/>
      <c r="V5" s="85"/>
    </row>
    <row r="6" spans="1:22" s="23" customFormat="1" ht="36" customHeight="1">
      <c r="B6" s="20"/>
      <c r="C6" s="21"/>
      <c r="D6" s="73" t="s">
        <v>34</v>
      </c>
      <c r="E6" s="73" t="s">
        <v>397</v>
      </c>
      <c r="F6" s="73" t="s">
        <v>398</v>
      </c>
      <c r="G6" s="73" t="s">
        <v>399</v>
      </c>
      <c r="H6" s="73" t="s">
        <v>19</v>
      </c>
      <c r="I6" s="73" t="s">
        <v>376</v>
      </c>
      <c r="J6" s="73" t="s">
        <v>400</v>
      </c>
      <c r="K6" s="73" t="s">
        <v>401</v>
      </c>
      <c r="L6" s="73" t="s">
        <v>402</v>
      </c>
      <c r="M6" s="73" t="s">
        <v>37</v>
      </c>
      <c r="N6" s="73" t="s">
        <v>101</v>
      </c>
      <c r="O6" s="73" t="s">
        <v>403</v>
      </c>
      <c r="P6" s="73" t="s">
        <v>115</v>
      </c>
      <c r="Q6" s="73" t="s">
        <v>404</v>
      </c>
      <c r="R6" s="73" t="s">
        <v>405</v>
      </c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46" t="s">
        <v>156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17"/>
      <c r="V8" s="85"/>
    </row>
    <row r="9" spans="1:22" s="6" customFormat="1" ht="80.099999999999994" customHeight="1">
      <c r="B9" s="18">
        <f>B5+1</f>
        <v>2</v>
      </c>
      <c r="D9" s="36" t="s">
        <v>194</v>
      </c>
      <c r="E9" s="36" t="s">
        <v>102</v>
      </c>
      <c r="F9" s="36" t="str">
        <f>CHAR(10)</f>
        <v xml:space="preserve">
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19"/>
      <c r="T9" s="15"/>
      <c r="V9" s="85"/>
    </row>
    <row r="10" spans="1:22" s="6" customFormat="1" ht="36" customHeight="1">
      <c r="B10" s="20"/>
      <c r="D10" s="73" t="s">
        <v>406</v>
      </c>
      <c r="E10" s="73" t="s">
        <v>102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46" t="s">
        <v>258</v>
      </c>
      <c r="E12" s="46" t="s">
        <v>259</v>
      </c>
      <c r="F12" s="46" t="s">
        <v>260</v>
      </c>
      <c r="G12" s="46" t="s">
        <v>261</v>
      </c>
      <c r="H12" s="46"/>
      <c r="I12" s="46" t="s">
        <v>143</v>
      </c>
      <c r="J12" s="46" t="s">
        <v>265</v>
      </c>
      <c r="K12" s="46" t="s">
        <v>182</v>
      </c>
      <c r="L12" s="46"/>
      <c r="M12" s="46" t="s">
        <v>266</v>
      </c>
      <c r="N12" s="46" t="s">
        <v>331</v>
      </c>
      <c r="O12" s="46" t="s">
        <v>267</v>
      </c>
      <c r="P12" s="46" t="s">
        <v>268</v>
      </c>
      <c r="Q12" s="46" t="s">
        <v>338</v>
      </c>
      <c r="R12" s="46" t="s">
        <v>134</v>
      </c>
      <c r="S12" s="17"/>
      <c r="V12" s="85"/>
    </row>
    <row r="13" spans="1:22" s="6" customFormat="1" ht="80.099999999999994" customHeight="1">
      <c r="B13" s="18">
        <f>B9+1</f>
        <v>3</v>
      </c>
      <c r="D13" s="79" t="s">
        <v>187</v>
      </c>
      <c r="E13" s="36" t="s">
        <v>188</v>
      </c>
      <c r="F13" s="79" t="s">
        <v>189</v>
      </c>
      <c r="G13" s="36" t="s">
        <v>190</v>
      </c>
      <c r="H13" s="36" t="s">
        <v>18</v>
      </c>
      <c r="I13" s="79" t="s">
        <v>195</v>
      </c>
      <c r="J13" s="79" t="s">
        <v>196</v>
      </c>
      <c r="K13" s="36" t="s">
        <v>172</v>
      </c>
      <c r="L13" s="36" t="s">
        <v>18</v>
      </c>
      <c r="M13" s="79" t="s">
        <v>197</v>
      </c>
      <c r="N13" s="36" t="s">
        <v>198</v>
      </c>
      <c r="O13" s="79" t="s">
        <v>199</v>
      </c>
      <c r="P13" s="36" t="s">
        <v>200</v>
      </c>
      <c r="Q13" s="79" t="s">
        <v>117</v>
      </c>
      <c r="R13" s="36" t="s">
        <v>201</v>
      </c>
      <c r="S13" s="19"/>
      <c r="V13" s="85"/>
    </row>
    <row r="14" spans="1:22" s="6" customFormat="1" ht="36" customHeight="1">
      <c r="B14" s="20"/>
      <c r="D14" s="73" t="s">
        <v>376</v>
      </c>
      <c r="E14" s="73" t="s">
        <v>400</v>
      </c>
      <c r="F14" s="73" t="s">
        <v>401</v>
      </c>
      <c r="G14" s="73" t="s">
        <v>402</v>
      </c>
      <c r="H14" s="73" t="s">
        <v>18</v>
      </c>
      <c r="I14" s="73" t="s">
        <v>407</v>
      </c>
      <c r="J14" s="73" t="s">
        <v>408</v>
      </c>
      <c r="K14" s="73" t="s">
        <v>409</v>
      </c>
      <c r="L14" s="73" t="s">
        <v>18</v>
      </c>
      <c r="M14" s="73" t="s">
        <v>410</v>
      </c>
      <c r="N14" s="73" t="s">
        <v>411</v>
      </c>
      <c r="O14" s="73" t="s">
        <v>412</v>
      </c>
      <c r="P14" s="73" t="s">
        <v>413</v>
      </c>
      <c r="Q14" s="73" t="s">
        <v>414</v>
      </c>
      <c r="R14" s="73" t="s">
        <v>415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17"/>
      <c r="V16" s="85"/>
    </row>
    <row r="17" spans="2:22" s="6" customFormat="1" ht="80.099999999999994" customHeight="1">
      <c r="B17" s="18">
        <f>B13+1</f>
        <v>4</v>
      </c>
      <c r="D17" s="36" t="s">
        <v>19</v>
      </c>
      <c r="E17" s="36" t="str">
        <f>CHAR(10)</f>
        <v xml:space="preserve">
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19"/>
      <c r="V17" s="85"/>
    </row>
    <row r="18" spans="2:22" s="6" customFormat="1" ht="36" customHeight="1">
      <c r="B18" s="20"/>
      <c r="D18" s="73" t="s">
        <v>19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46" t="s">
        <v>332</v>
      </c>
      <c r="E20" s="46" t="s">
        <v>175</v>
      </c>
      <c r="F20" s="46" t="s">
        <v>131</v>
      </c>
      <c r="G20" s="46" t="s">
        <v>158</v>
      </c>
      <c r="H20" s="46"/>
      <c r="I20" s="46" t="s">
        <v>129</v>
      </c>
      <c r="J20" s="46" t="s">
        <v>183</v>
      </c>
      <c r="K20" s="46" t="s">
        <v>38</v>
      </c>
      <c r="L20" s="46"/>
      <c r="M20" s="46" t="s">
        <v>137</v>
      </c>
      <c r="N20" s="46" t="s">
        <v>155</v>
      </c>
      <c r="O20" s="46" t="s">
        <v>144</v>
      </c>
      <c r="P20" s="46" t="s">
        <v>97</v>
      </c>
      <c r="Q20" s="46" t="s">
        <v>126</v>
      </c>
      <c r="R20" s="46" t="s">
        <v>145</v>
      </c>
      <c r="S20" s="17"/>
      <c r="V20" s="85"/>
    </row>
    <row r="21" spans="2:22" s="6" customFormat="1" ht="80.099999999999994" customHeight="1">
      <c r="B21" s="18">
        <f>B17+1</f>
        <v>5</v>
      </c>
      <c r="D21" s="79" t="s">
        <v>202</v>
      </c>
      <c r="E21" s="36" t="s">
        <v>171</v>
      </c>
      <c r="F21" s="79" t="s">
        <v>203</v>
      </c>
      <c r="G21" s="36" t="s">
        <v>124</v>
      </c>
      <c r="H21" s="36" t="s">
        <v>18</v>
      </c>
      <c r="I21" s="79" t="s">
        <v>110</v>
      </c>
      <c r="J21" s="79" t="s">
        <v>173</v>
      </c>
      <c r="K21" s="36" t="s">
        <v>35</v>
      </c>
      <c r="L21" s="36" t="s">
        <v>18</v>
      </c>
      <c r="M21" s="79" t="s">
        <v>114</v>
      </c>
      <c r="N21" s="36" t="s">
        <v>170</v>
      </c>
      <c r="O21" s="79" t="s">
        <v>116</v>
      </c>
      <c r="P21" s="36" t="s">
        <v>204</v>
      </c>
      <c r="Q21" s="79" t="s">
        <v>103</v>
      </c>
      <c r="R21" s="36" t="s">
        <v>205</v>
      </c>
      <c r="S21" s="19"/>
      <c r="V21" s="85"/>
    </row>
    <row r="22" spans="2:22" s="6" customFormat="1" ht="36" customHeight="1">
      <c r="B22" s="20"/>
      <c r="D22" s="73" t="s">
        <v>416</v>
      </c>
      <c r="E22" s="73" t="s">
        <v>417</v>
      </c>
      <c r="F22" s="73" t="s">
        <v>418</v>
      </c>
      <c r="G22" s="73" t="s">
        <v>419</v>
      </c>
      <c r="H22" s="73" t="s">
        <v>18</v>
      </c>
      <c r="I22" s="73" t="s">
        <v>420</v>
      </c>
      <c r="J22" s="73" t="s">
        <v>421</v>
      </c>
      <c r="K22" s="73" t="s">
        <v>422</v>
      </c>
      <c r="L22" s="73" t="s">
        <v>18</v>
      </c>
      <c r="M22" s="73" t="s">
        <v>423</v>
      </c>
      <c r="N22" s="73" t="s">
        <v>424</v>
      </c>
      <c r="O22" s="73" t="s">
        <v>425</v>
      </c>
      <c r="P22" s="73" t="s">
        <v>426</v>
      </c>
      <c r="Q22" s="73" t="s">
        <v>427</v>
      </c>
      <c r="R22" s="73" t="s">
        <v>428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17"/>
      <c r="V24" s="85"/>
    </row>
    <row r="25" spans="2:22" s="6" customFormat="1" ht="80.099999999999994" customHeight="1">
      <c r="B25" s="18">
        <f>B21+1</f>
        <v>6</v>
      </c>
      <c r="D25" s="36" t="s">
        <v>111</v>
      </c>
      <c r="E25" s="36" t="str">
        <f>CHAR(10)</f>
        <v xml:space="preserve">
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19"/>
      <c r="V25" s="85"/>
    </row>
    <row r="26" spans="2:22" s="6" customFormat="1" ht="36" customHeight="1">
      <c r="B26" s="20"/>
      <c r="D26" s="73" t="s">
        <v>111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46" t="s">
        <v>100</v>
      </c>
      <c r="E28" s="46" t="s">
        <v>274</v>
      </c>
      <c r="F28" s="46" t="s">
        <v>144</v>
      </c>
      <c r="G28" s="46" t="s">
        <v>99</v>
      </c>
      <c r="H28" s="46"/>
      <c r="I28" s="46" t="s">
        <v>98</v>
      </c>
      <c r="J28" s="46" t="s">
        <v>275</v>
      </c>
      <c r="K28" s="46" t="s">
        <v>142</v>
      </c>
      <c r="L28" s="46" t="s">
        <v>344</v>
      </c>
      <c r="M28" s="46"/>
      <c r="N28" s="46" t="s">
        <v>276</v>
      </c>
      <c r="O28" s="46" t="s">
        <v>94</v>
      </c>
      <c r="P28" s="46" t="s">
        <v>40</v>
      </c>
      <c r="Q28" s="46" t="s">
        <v>277</v>
      </c>
      <c r="R28" s="46" t="s">
        <v>138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79" t="s">
        <v>96</v>
      </c>
      <c r="E29" s="36" t="s">
        <v>206</v>
      </c>
      <c r="F29" s="79" t="s">
        <v>169</v>
      </c>
      <c r="G29" s="36" t="s">
        <v>95</v>
      </c>
      <c r="H29" s="36" t="s">
        <v>18</v>
      </c>
      <c r="I29" s="79" t="s">
        <v>207</v>
      </c>
      <c r="J29" s="36" t="s">
        <v>208</v>
      </c>
      <c r="K29" s="79" t="s">
        <v>113</v>
      </c>
      <c r="L29" s="36" t="s">
        <v>108</v>
      </c>
      <c r="M29" s="36" t="s">
        <v>18</v>
      </c>
      <c r="N29" s="79" t="s">
        <v>209</v>
      </c>
      <c r="O29" s="36" t="s">
        <v>93</v>
      </c>
      <c r="P29" s="79" t="s">
        <v>36</v>
      </c>
      <c r="Q29" s="79" t="s">
        <v>210</v>
      </c>
      <c r="R29" s="36" t="s">
        <v>211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73" t="s">
        <v>429</v>
      </c>
      <c r="E30" s="73" t="s">
        <v>430</v>
      </c>
      <c r="F30" s="73" t="s">
        <v>425</v>
      </c>
      <c r="G30" s="73" t="s">
        <v>431</v>
      </c>
      <c r="H30" s="73" t="s">
        <v>18</v>
      </c>
      <c r="I30" s="73" t="s">
        <v>432</v>
      </c>
      <c r="J30" s="73" t="s">
        <v>433</v>
      </c>
      <c r="K30" s="73" t="s">
        <v>434</v>
      </c>
      <c r="L30" s="73" t="s">
        <v>435</v>
      </c>
      <c r="M30" s="73" t="s">
        <v>18</v>
      </c>
      <c r="N30" s="73" t="s">
        <v>436</v>
      </c>
      <c r="O30" s="73" t="s">
        <v>437</v>
      </c>
      <c r="P30" s="73" t="s">
        <v>438</v>
      </c>
      <c r="Q30" s="73" t="s">
        <v>439</v>
      </c>
      <c r="R30" s="73" t="s">
        <v>440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36" t="s">
        <v>19</v>
      </c>
      <c r="E33" s="36" t="str">
        <f>CHAR(10)</f>
        <v xml:space="preserve">
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19"/>
      <c r="V33" s="85"/>
    </row>
    <row r="34" spans="2:22" s="6" customFormat="1" ht="36" customHeight="1">
      <c r="B34" s="20"/>
      <c r="D34" s="73" t="s">
        <v>19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 t="s">
        <v>135</v>
      </c>
      <c r="N35" s="47" t="s">
        <v>134</v>
      </c>
      <c r="O35" s="47"/>
      <c r="P35" s="47"/>
      <c r="Q35" s="47"/>
      <c r="R35" s="47"/>
      <c r="V35" s="85"/>
    </row>
    <row r="36" spans="2:22" s="6" customFormat="1" ht="36" customHeight="1">
      <c r="B36" s="16"/>
      <c r="D36" s="46" t="s">
        <v>279</v>
      </c>
      <c r="E36" s="46" t="s">
        <v>130</v>
      </c>
      <c r="F36" s="46" t="s">
        <v>135</v>
      </c>
      <c r="G36" s="46" t="s">
        <v>280</v>
      </c>
      <c r="H36" s="46"/>
      <c r="I36" s="46" t="s">
        <v>30</v>
      </c>
      <c r="J36" s="46" t="s">
        <v>129</v>
      </c>
      <c r="K36" s="46" t="s">
        <v>339</v>
      </c>
      <c r="L36" s="46" t="s">
        <v>281</v>
      </c>
      <c r="M36" s="46" t="s">
        <v>135</v>
      </c>
      <c r="N36" s="46" t="s">
        <v>134</v>
      </c>
      <c r="O36" s="46"/>
      <c r="P36" s="46"/>
      <c r="Q36" s="46"/>
      <c r="R36" s="46"/>
      <c r="S36" s="17"/>
      <c r="V36" s="85"/>
    </row>
    <row r="37" spans="2:22" s="6" customFormat="1" ht="80.099999999999994" customHeight="1">
      <c r="B37" s="18">
        <f>B33+1</f>
        <v>9</v>
      </c>
      <c r="D37" s="79" t="s">
        <v>212</v>
      </c>
      <c r="E37" s="36" t="s">
        <v>213</v>
      </c>
      <c r="F37" s="79" t="s">
        <v>214</v>
      </c>
      <c r="G37" s="36" t="s">
        <v>215</v>
      </c>
      <c r="H37" s="36" t="s">
        <v>18</v>
      </c>
      <c r="I37" s="79" t="s">
        <v>29</v>
      </c>
      <c r="J37" s="36" t="s">
        <v>110</v>
      </c>
      <c r="K37" s="79" t="s">
        <v>216</v>
      </c>
      <c r="L37" s="36" t="s">
        <v>217</v>
      </c>
      <c r="M37" s="79" t="s">
        <v>218</v>
      </c>
      <c r="N37" s="36" t="s">
        <v>219</v>
      </c>
      <c r="O37" s="36" t="s">
        <v>111</v>
      </c>
      <c r="P37" s="36" t="str">
        <f>CHAR(10)</f>
        <v xml:space="preserve">
</v>
      </c>
      <c r="Q37" s="36"/>
      <c r="R37" s="36"/>
      <c r="S37" s="19"/>
      <c r="V37" s="85"/>
    </row>
    <row r="38" spans="2:22" s="6" customFormat="1" ht="36" customHeight="1">
      <c r="B38" s="20"/>
      <c r="D38" s="73" t="s">
        <v>441</v>
      </c>
      <c r="E38" s="73" t="s">
        <v>442</v>
      </c>
      <c r="F38" s="73" t="s">
        <v>443</v>
      </c>
      <c r="G38" s="73" t="s">
        <v>444</v>
      </c>
      <c r="H38" s="73" t="s">
        <v>18</v>
      </c>
      <c r="I38" s="73" t="s">
        <v>445</v>
      </c>
      <c r="J38" s="73" t="s">
        <v>446</v>
      </c>
      <c r="K38" s="73" t="s">
        <v>447</v>
      </c>
      <c r="L38" s="73" t="s">
        <v>448</v>
      </c>
      <c r="M38" s="73" t="s">
        <v>443</v>
      </c>
      <c r="N38" s="73" t="s">
        <v>415</v>
      </c>
      <c r="O38" s="73" t="s">
        <v>111</v>
      </c>
      <c r="P38" s="73"/>
      <c r="Q38" s="73"/>
      <c r="R38" s="73"/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46" t="s">
        <v>151</v>
      </c>
      <c r="E40" s="46" t="s">
        <v>148</v>
      </c>
      <c r="F40" s="46" t="s">
        <v>340</v>
      </c>
      <c r="G40" s="46" t="s">
        <v>133</v>
      </c>
      <c r="H40" s="46" t="s">
        <v>282</v>
      </c>
      <c r="I40" s="46" t="s">
        <v>283</v>
      </c>
      <c r="J40" s="46"/>
      <c r="K40" s="46" t="s">
        <v>139</v>
      </c>
      <c r="L40" s="46" t="s">
        <v>284</v>
      </c>
      <c r="M40" s="46" t="s">
        <v>146</v>
      </c>
      <c r="N40" s="46" t="s">
        <v>157</v>
      </c>
      <c r="O40" s="46"/>
      <c r="P40" s="46" t="s">
        <v>285</v>
      </c>
      <c r="Q40" s="46" t="s">
        <v>154</v>
      </c>
      <c r="R40" s="46" t="s">
        <v>149</v>
      </c>
      <c r="S40" s="17"/>
      <c r="V40" s="85"/>
    </row>
    <row r="41" spans="2:22" s="6" customFormat="1" ht="80.099999999999994" customHeight="1">
      <c r="B41" s="18">
        <f>B37+1</f>
        <v>10</v>
      </c>
      <c r="D41" s="79" t="s">
        <v>121</v>
      </c>
      <c r="E41" s="36" t="s">
        <v>220</v>
      </c>
      <c r="F41" s="79" t="s">
        <v>221</v>
      </c>
      <c r="G41" s="36" t="s">
        <v>118</v>
      </c>
      <c r="H41" s="79" t="s">
        <v>222</v>
      </c>
      <c r="I41" s="36" t="s">
        <v>223</v>
      </c>
      <c r="J41" s="36" t="s">
        <v>18</v>
      </c>
      <c r="K41" s="79" t="s">
        <v>224</v>
      </c>
      <c r="L41" s="36" t="s">
        <v>225</v>
      </c>
      <c r="M41" s="79" t="s">
        <v>226</v>
      </c>
      <c r="N41" s="36" t="s">
        <v>227</v>
      </c>
      <c r="O41" s="36" t="s">
        <v>18</v>
      </c>
      <c r="P41" s="36" t="s">
        <v>228</v>
      </c>
      <c r="Q41" s="79" t="s">
        <v>229</v>
      </c>
      <c r="R41" s="36" t="s">
        <v>230</v>
      </c>
      <c r="S41" s="19"/>
      <c r="V41" s="85"/>
    </row>
    <row r="42" spans="2:22" s="6" customFormat="1" ht="36" customHeight="1">
      <c r="B42" s="20"/>
      <c r="D42" s="73" t="s">
        <v>449</v>
      </c>
      <c r="E42" s="73" t="s">
        <v>450</v>
      </c>
      <c r="F42" s="73" t="s">
        <v>451</v>
      </c>
      <c r="G42" s="73" t="s">
        <v>452</v>
      </c>
      <c r="H42" s="73" t="s">
        <v>453</v>
      </c>
      <c r="I42" s="73" t="s">
        <v>454</v>
      </c>
      <c r="J42" s="73" t="s">
        <v>18</v>
      </c>
      <c r="K42" s="73" t="s">
        <v>455</v>
      </c>
      <c r="L42" s="73" t="s">
        <v>456</v>
      </c>
      <c r="M42" s="73" t="s">
        <v>457</v>
      </c>
      <c r="N42" s="73" t="s">
        <v>458</v>
      </c>
      <c r="O42" s="73" t="s">
        <v>18</v>
      </c>
      <c r="P42" s="73" t="s">
        <v>459</v>
      </c>
      <c r="Q42" s="73" t="s">
        <v>460</v>
      </c>
      <c r="R42" s="73" t="s">
        <v>461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46" t="s">
        <v>132</v>
      </c>
      <c r="E44" s="46" t="s">
        <v>288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17"/>
      <c r="V44" s="85"/>
    </row>
    <row r="45" spans="2:22" s="6" customFormat="1" ht="80.099999999999994" customHeight="1">
      <c r="B45" s="18">
        <f>B41+1</f>
        <v>11</v>
      </c>
      <c r="D45" s="79" t="s">
        <v>231</v>
      </c>
      <c r="E45" s="36" t="s">
        <v>232</v>
      </c>
      <c r="F45" s="36" t="s">
        <v>19</v>
      </c>
      <c r="G45" s="36" t="str">
        <f>CHAR(10)</f>
        <v xml:space="preserve">
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19"/>
      <c r="V45" s="85"/>
    </row>
    <row r="46" spans="2:22" s="6" customFormat="1" ht="36" customHeight="1">
      <c r="B46" s="20"/>
      <c r="D46" s="73" t="s">
        <v>462</v>
      </c>
      <c r="E46" s="73" t="s">
        <v>463</v>
      </c>
      <c r="F46" s="73" t="s">
        <v>19</v>
      </c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46" t="s">
        <v>290</v>
      </c>
      <c r="E48" s="46" t="s">
        <v>333</v>
      </c>
      <c r="F48" s="46" t="s">
        <v>137</v>
      </c>
      <c r="G48" s="46" t="s">
        <v>334</v>
      </c>
      <c r="H48" s="46"/>
      <c r="I48" s="46" t="s">
        <v>147</v>
      </c>
      <c r="J48" s="46" t="s">
        <v>100</v>
      </c>
      <c r="K48" s="46" t="s">
        <v>274</v>
      </c>
      <c r="L48" s="46"/>
      <c r="M48" s="46" t="s">
        <v>291</v>
      </c>
      <c r="N48" s="46" t="s">
        <v>39</v>
      </c>
      <c r="O48" s="46" t="s">
        <v>292</v>
      </c>
      <c r="P48" s="46" t="s">
        <v>128</v>
      </c>
      <c r="Q48" s="46" t="s">
        <v>341</v>
      </c>
      <c r="R48" s="46" t="s">
        <v>145</v>
      </c>
      <c r="S48" s="17"/>
      <c r="V48" s="85"/>
    </row>
    <row r="49" spans="2:22" s="6" customFormat="1" ht="80.099999999999994" customHeight="1">
      <c r="B49" s="18">
        <f>B45+1</f>
        <v>12</v>
      </c>
      <c r="D49" s="79" t="s">
        <v>233</v>
      </c>
      <c r="E49" s="36" t="s">
        <v>234</v>
      </c>
      <c r="F49" s="79" t="s">
        <v>235</v>
      </c>
      <c r="G49" s="36" t="s">
        <v>236</v>
      </c>
      <c r="H49" s="36" t="s">
        <v>18</v>
      </c>
      <c r="I49" s="79" t="s">
        <v>119</v>
      </c>
      <c r="J49" s="79" t="s">
        <v>96</v>
      </c>
      <c r="K49" s="36" t="s">
        <v>206</v>
      </c>
      <c r="L49" s="36" t="s">
        <v>18</v>
      </c>
      <c r="M49" s="79" t="s">
        <v>237</v>
      </c>
      <c r="N49" s="36" t="s">
        <v>109</v>
      </c>
      <c r="O49" s="79" t="s">
        <v>238</v>
      </c>
      <c r="P49" s="36" t="s">
        <v>107</v>
      </c>
      <c r="Q49" s="79" t="s">
        <v>104</v>
      </c>
      <c r="R49" s="36" t="s">
        <v>120</v>
      </c>
      <c r="S49" s="19"/>
      <c r="V49" s="85"/>
    </row>
    <row r="50" spans="2:22" s="6" customFormat="1" ht="36" customHeight="1">
      <c r="B50" s="20"/>
      <c r="D50" s="73" t="s">
        <v>464</v>
      </c>
      <c r="E50" s="73" t="s">
        <v>465</v>
      </c>
      <c r="F50" s="73" t="s">
        <v>423</v>
      </c>
      <c r="G50" s="73" t="s">
        <v>466</v>
      </c>
      <c r="H50" s="73" t="s">
        <v>18</v>
      </c>
      <c r="I50" s="73" t="s">
        <v>467</v>
      </c>
      <c r="J50" s="73" t="s">
        <v>429</v>
      </c>
      <c r="K50" s="73" t="s">
        <v>430</v>
      </c>
      <c r="L50" s="73" t="s">
        <v>18</v>
      </c>
      <c r="M50" s="73" t="s">
        <v>468</v>
      </c>
      <c r="N50" s="73" t="s">
        <v>469</v>
      </c>
      <c r="O50" s="73" t="s">
        <v>470</v>
      </c>
      <c r="P50" s="73" t="s">
        <v>471</v>
      </c>
      <c r="Q50" s="73" t="s">
        <v>472</v>
      </c>
      <c r="R50" s="73" t="s">
        <v>428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17"/>
      <c r="V52" s="85"/>
    </row>
    <row r="53" spans="2:22" s="6" customFormat="1" ht="80.099999999999994" customHeight="1">
      <c r="B53" s="18">
        <f>B49+1</f>
        <v>13</v>
      </c>
      <c r="D53" s="36" t="s">
        <v>19</v>
      </c>
      <c r="E53" s="36" t="str">
        <f>CHAR(10)</f>
        <v xml:space="preserve">
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19"/>
      <c r="V53" s="85"/>
    </row>
    <row r="54" spans="2:22" s="6" customFormat="1" ht="36" customHeight="1">
      <c r="B54" s="20"/>
      <c r="D54" s="73" t="s">
        <v>19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46" t="s">
        <v>152</v>
      </c>
      <c r="E56" s="46" t="s">
        <v>295</v>
      </c>
      <c r="F56" s="46" t="s">
        <v>153</v>
      </c>
      <c r="G56" s="46" t="s">
        <v>127</v>
      </c>
      <c r="H56" s="46"/>
      <c r="I56" s="46" t="s">
        <v>296</v>
      </c>
      <c r="J56" s="46" t="s">
        <v>184</v>
      </c>
      <c r="K56" s="46" t="s">
        <v>296</v>
      </c>
      <c r="L56" s="46" t="s">
        <v>297</v>
      </c>
      <c r="M56" s="46"/>
      <c r="N56" s="46" t="s">
        <v>298</v>
      </c>
      <c r="O56" s="46" t="s">
        <v>140</v>
      </c>
      <c r="P56" s="46" t="s">
        <v>174</v>
      </c>
      <c r="Q56" s="46" t="s">
        <v>299</v>
      </c>
      <c r="R56" s="46" t="s">
        <v>300</v>
      </c>
      <c r="S56" s="17"/>
      <c r="V56" s="85"/>
    </row>
    <row r="57" spans="2:22" s="6" customFormat="1" ht="80.099999999999994" customHeight="1">
      <c r="B57" s="18">
        <f>B53+1</f>
        <v>14</v>
      </c>
      <c r="D57" s="79" t="s">
        <v>122</v>
      </c>
      <c r="E57" s="36" t="s">
        <v>239</v>
      </c>
      <c r="F57" s="79" t="s">
        <v>123</v>
      </c>
      <c r="G57" s="36" t="s">
        <v>105</v>
      </c>
      <c r="H57" s="36" t="s">
        <v>18</v>
      </c>
      <c r="I57" s="79" t="s">
        <v>240</v>
      </c>
      <c r="J57" s="36" t="s">
        <v>241</v>
      </c>
      <c r="K57" s="79" t="s">
        <v>240</v>
      </c>
      <c r="L57" s="36" t="s">
        <v>242</v>
      </c>
      <c r="M57" s="36" t="s">
        <v>18</v>
      </c>
      <c r="N57" s="79" t="s">
        <v>243</v>
      </c>
      <c r="O57" s="36" t="s">
        <v>112</v>
      </c>
      <c r="P57" s="79" t="s">
        <v>244</v>
      </c>
      <c r="Q57" s="79" t="s">
        <v>245</v>
      </c>
      <c r="R57" s="36" t="s">
        <v>246</v>
      </c>
      <c r="S57" s="19"/>
      <c r="V57" s="85"/>
    </row>
    <row r="58" spans="2:22" s="6" customFormat="1" ht="36" customHeight="1">
      <c r="B58" s="20"/>
      <c r="D58" s="73" t="s">
        <v>473</v>
      </c>
      <c r="E58" s="73" t="s">
        <v>474</v>
      </c>
      <c r="F58" s="73" t="s">
        <v>475</v>
      </c>
      <c r="G58" s="73" t="s">
        <v>476</v>
      </c>
      <c r="H58" s="73" t="s">
        <v>18</v>
      </c>
      <c r="I58" s="73" t="s">
        <v>477</v>
      </c>
      <c r="J58" s="73" t="s">
        <v>478</v>
      </c>
      <c r="K58" s="73" t="s">
        <v>477</v>
      </c>
      <c r="L58" s="73" t="s">
        <v>479</v>
      </c>
      <c r="M58" s="73" t="s">
        <v>18</v>
      </c>
      <c r="N58" s="73" t="s">
        <v>480</v>
      </c>
      <c r="O58" s="73" t="s">
        <v>481</v>
      </c>
      <c r="P58" s="73" t="s">
        <v>482</v>
      </c>
      <c r="Q58" s="73" t="s">
        <v>483</v>
      </c>
      <c r="R58" s="73" t="s">
        <v>484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7"/>
      <c r="V60" s="85"/>
    </row>
    <row r="61" spans="2:22" s="6" customFormat="1" ht="80.099999999999994" customHeight="1">
      <c r="B61" s="18">
        <f>B57+1</f>
        <v>15</v>
      </c>
      <c r="D61" s="36" t="s">
        <v>19</v>
      </c>
      <c r="E61" s="36" t="str">
        <f>CHAR(10)</f>
        <v xml:space="preserve">
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19"/>
      <c r="V61" s="85"/>
    </row>
    <row r="62" spans="2:22" s="6" customFormat="1" ht="36" customHeight="1">
      <c r="B62" s="20"/>
      <c r="D62" s="73" t="s">
        <v>19</v>
      </c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46" t="s">
        <v>305</v>
      </c>
      <c r="E64" s="46" t="s">
        <v>141</v>
      </c>
      <c r="F64" s="46" t="s">
        <v>268</v>
      </c>
      <c r="G64" s="46" t="s">
        <v>306</v>
      </c>
      <c r="H64" s="46"/>
      <c r="I64" s="46" t="s">
        <v>307</v>
      </c>
      <c r="J64" s="46" t="s">
        <v>159</v>
      </c>
      <c r="K64" s="46" t="s">
        <v>127</v>
      </c>
      <c r="L64" s="46" t="s">
        <v>335</v>
      </c>
      <c r="M64" s="46" t="s">
        <v>308</v>
      </c>
      <c r="N64" s="46" t="s">
        <v>309</v>
      </c>
      <c r="O64" s="46"/>
      <c r="P64" s="46"/>
      <c r="Q64" s="46"/>
      <c r="R64" s="46"/>
      <c r="S64" s="17"/>
      <c r="V64" s="85"/>
    </row>
    <row r="65" spans="2:22" s="6" customFormat="1" ht="80.099999999999994" customHeight="1">
      <c r="B65" s="18">
        <f>B61+1</f>
        <v>16</v>
      </c>
      <c r="D65" s="79" t="s">
        <v>247</v>
      </c>
      <c r="E65" s="36" t="s">
        <v>248</v>
      </c>
      <c r="F65" s="79" t="s">
        <v>249</v>
      </c>
      <c r="G65" s="36" t="s">
        <v>250</v>
      </c>
      <c r="H65" s="36" t="s">
        <v>18</v>
      </c>
      <c r="I65" s="79" t="s">
        <v>251</v>
      </c>
      <c r="J65" s="36" t="s">
        <v>125</v>
      </c>
      <c r="K65" s="79" t="s">
        <v>106</v>
      </c>
      <c r="L65" s="36" t="s">
        <v>252</v>
      </c>
      <c r="M65" s="79" t="s">
        <v>253</v>
      </c>
      <c r="N65" s="36" t="s">
        <v>254</v>
      </c>
      <c r="O65" s="36" t="s">
        <v>19</v>
      </c>
      <c r="P65" s="36" t="str">
        <f>CHAR(10)</f>
        <v xml:space="preserve">
</v>
      </c>
      <c r="Q65" s="36"/>
      <c r="R65" s="36"/>
      <c r="S65" s="19"/>
      <c r="V65" s="85"/>
    </row>
    <row r="66" spans="2:22" s="6" customFormat="1" ht="36" customHeight="1">
      <c r="B66" s="20"/>
      <c r="D66" s="73" t="s">
        <v>485</v>
      </c>
      <c r="E66" s="73" t="s">
        <v>486</v>
      </c>
      <c r="F66" s="73" t="s">
        <v>487</v>
      </c>
      <c r="G66" s="73" t="s">
        <v>488</v>
      </c>
      <c r="H66" s="73" t="s">
        <v>18</v>
      </c>
      <c r="I66" s="73" t="s">
        <v>489</v>
      </c>
      <c r="J66" s="73" t="s">
        <v>490</v>
      </c>
      <c r="K66" s="73" t="s">
        <v>491</v>
      </c>
      <c r="L66" s="73" t="s">
        <v>492</v>
      </c>
      <c r="M66" s="73" t="s">
        <v>493</v>
      </c>
      <c r="N66" s="73" t="s">
        <v>494</v>
      </c>
      <c r="O66" s="73" t="s">
        <v>19</v>
      </c>
      <c r="P66" s="73"/>
      <c r="Q66" s="73"/>
      <c r="R66" s="73"/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17"/>
      <c r="V68" s="85"/>
    </row>
    <row r="69" spans="2:22" s="6" customFormat="1" ht="80.099999999999994" customHeight="1">
      <c r="B69" s="18">
        <f>B65+1</f>
        <v>17</v>
      </c>
      <c r="D69" s="36" t="s">
        <v>20</v>
      </c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19"/>
      <c r="V69" s="85"/>
    </row>
    <row r="70" spans="2:22" s="6" customFormat="1" ht="36" customHeight="1">
      <c r="B70" s="20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7"/>
      <c r="V72" s="85"/>
    </row>
    <row r="73" spans="2:22" s="6" customFormat="1" ht="80.099999999999994" customHeight="1">
      <c r="B73" s="18">
        <f>B69+1</f>
        <v>18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19"/>
      <c r="V73" s="85"/>
    </row>
    <row r="74" spans="2:22" s="6" customFormat="1" ht="36" customHeight="1">
      <c r="B74" s="20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17"/>
      <c r="V80" s="85"/>
    </row>
    <row r="81" spans="2:22" s="6" customFormat="1" ht="80.099999999999994" customHeight="1">
      <c r="B81" s="18">
        <f>B77+1</f>
        <v>20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19"/>
      <c r="V81" s="85"/>
    </row>
    <row r="82" spans="2:22" s="6" customFormat="1" ht="36" customHeight="1">
      <c r="B82" s="20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17"/>
      <c r="V84" s="7"/>
    </row>
    <row r="85" spans="2:22" s="6" customFormat="1" ht="80.099999999999994" customHeight="1">
      <c r="B85" s="18">
        <f>B81+1</f>
        <v>21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9"/>
      <c r="V85" s="7"/>
    </row>
    <row r="86" spans="2:22" s="6" customFormat="1" ht="36" customHeight="1">
      <c r="B86" s="20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17"/>
      <c r="V88" s="7"/>
    </row>
    <row r="89" spans="2:22" s="6" customFormat="1" ht="80.099999999999994" customHeight="1">
      <c r="B89" s="18">
        <f>B85+1</f>
        <v>22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19"/>
      <c r="V89" s="7"/>
    </row>
    <row r="90" spans="2:22" s="6" customFormat="1" ht="36" customHeight="1">
      <c r="B90" s="20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7"/>
      <c r="V92" s="7"/>
    </row>
    <row r="93" spans="2:22" s="6" customFormat="1" ht="80.099999999999994" customHeight="1">
      <c r="B93" s="18">
        <f>B89+1</f>
        <v>23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19"/>
      <c r="V93" s="7"/>
    </row>
    <row r="94" spans="2:22" s="6" customFormat="1" ht="36" customHeight="1">
      <c r="B94" s="20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</row>
    <row r="97" spans="2:18" s="6" customFormat="1" ht="80.099999999999994" customHeight="1">
      <c r="B97" s="18">
        <f>B93+1</f>
        <v>24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spans="2:18" s="6" customFormat="1" ht="36" customHeight="1">
      <c r="B98" s="20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</row>
    <row r="101" spans="2:18" s="6" customFormat="1" ht="80.099999999999994" customHeight="1">
      <c r="B101" s="18">
        <f>B97+1</f>
        <v>25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spans="2:18" s="6" customFormat="1" ht="36" customHeight="1">
      <c r="B102" s="20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</row>
    <row r="105" spans="2:18" s="6" customFormat="1" ht="80.099999999999994" customHeight="1">
      <c r="B105" s="18">
        <f>B101+1</f>
        <v>26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spans="2:18" s="6" customFormat="1" ht="36" customHeight="1">
      <c r="B106" s="20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</row>
    <row r="109" spans="2:18" s="6" customFormat="1" ht="80.099999999999994" customHeight="1">
      <c r="B109" s="18">
        <f>B105+1</f>
        <v>27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spans="2:18" s="6" customFormat="1" ht="36" customHeight="1">
      <c r="B110" s="20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</row>
    <row r="113" spans="2:18" s="6" customFormat="1" ht="80.099999999999994" customHeight="1">
      <c r="B113" s="18">
        <f t="shared" ref="B113" si="2">B109+1</f>
        <v>28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spans="2:18" s="6" customFormat="1" ht="36" customHeight="1">
      <c r="B114" s="20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</row>
    <row r="117" spans="2:18" s="6" customFormat="1" ht="80.099999999999994" customHeight="1">
      <c r="B117" s="18">
        <f t="shared" ref="B117" si="3">B113+1</f>
        <v>29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spans="2:18" s="6" customFormat="1" ht="36" customHeight="1">
      <c r="B118" s="20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</row>
    <row r="121" spans="2:18" s="6" customFormat="1" ht="80.099999999999994" customHeight="1">
      <c r="B121" s="18">
        <f t="shared" ref="B121" si="4">B117+1</f>
        <v>30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spans="2:18" s="6" customFormat="1" ht="36" customHeight="1">
      <c r="B122" s="20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</row>
    <row r="125" spans="2:18" s="6" customFormat="1" ht="80.099999999999994" customHeight="1">
      <c r="B125" s="18">
        <f t="shared" ref="B125" si="5">B121+1</f>
        <v>31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spans="2:18" s="6" customFormat="1" ht="36" customHeight="1">
      <c r="B126" s="20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</row>
    <row r="129" spans="2:18" s="6" customFormat="1" ht="80.099999999999994" customHeight="1">
      <c r="B129" s="18">
        <f t="shared" ref="B129" si="6">B125+1</f>
        <v>32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spans="2:18" s="6" customFormat="1" ht="36" customHeight="1">
      <c r="B130" s="20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</row>
    <row r="133" spans="2:18" s="6" customFormat="1" ht="80.099999999999994" customHeight="1">
      <c r="B133" s="18">
        <f t="shared" ref="B133" si="7">B129+1</f>
        <v>33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spans="2:18" s="6" customFormat="1" ht="36" customHeight="1">
      <c r="B134" s="20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</row>
    <row r="137" spans="2:18" s="6" customFormat="1" ht="80.099999999999994" customHeight="1">
      <c r="B137" s="18">
        <f t="shared" ref="B137" si="8">B133+1</f>
        <v>34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spans="2:18" s="6" customFormat="1" ht="36" customHeight="1">
      <c r="B138" s="20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</row>
    <row r="141" spans="2:18" s="6" customFormat="1" ht="80.099999999999994" customHeight="1">
      <c r="B141" s="18">
        <f t="shared" ref="B141" si="9">B137+1</f>
        <v>35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spans="2:18" s="6" customFormat="1" ht="36" customHeight="1">
      <c r="B142" s="20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</row>
    <row r="145" spans="2:18" s="6" customFormat="1" ht="80.099999999999994" customHeight="1">
      <c r="B145" s="18">
        <f t="shared" ref="B145" si="10">B141+1</f>
        <v>36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spans="2:18" s="6" customFormat="1" ht="36" customHeight="1">
      <c r="B146" s="20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</row>
    <row r="149" spans="2:18" s="6" customFormat="1" ht="80.099999999999994" customHeight="1">
      <c r="B149" s="18">
        <f t="shared" ref="B149" si="11">B145+1</f>
        <v>37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spans="2:18" s="6" customFormat="1" ht="36" customHeight="1">
      <c r="B150" s="20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</row>
    <row r="153" spans="2:18" s="6" customFormat="1" ht="80.099999999999994" customHeight="1">
      <c r="B153" s="18">
        <f t="shared" ref="B153" si="12">B149+1</f>
        <v>38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spans="2:18" s="6" customFormat="1" ht="36" customHeight="1">
      <c r="B154" s="20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</row>
    <row r="157" spans="2:18" s="6" customFormat="1" ht="80.099999999999994" customHeight="1">
      <c r="B157" s="18">
        <f t="shared" ref="B157" si="13">B153+1</f>
        <v>39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spans="2:18" s="6" customFormat="1" ht="36" customHeight="1">
      <c r="B158" s="20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</row>
    <row r="165" spans="2:18" s="6" customFormat="1" ht="80.099999999999994" customHeight="1">
      <c r="B165" s="18">
        <f t="shared" ref="B165" si="15">B161+1</f>
        <v>41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spans="2:18" s="6" customFormat="1" ht="36" customHeight="1">
      <c r="B166" s="20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</row>
    <row r="169" spans="2:18" ht="58.5">
      <c r="B169" s="18">
        <f t="shared" ref="B169" si="16">B165+1</f>
        <v>42</v>
      </c>
      <c r="C169" s="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spans="2:18" ht="48.75">
      <c r="B170" s="20"/>
      <c r="C170" s="6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</row>
    <row r="173" spans="2:18" ht="58.5">
      <c r="B173" s="18">
        <f t="shared" ref="B173" si="17">B169+1</f>
        <v>43</v>
      </c>
      <c r="C173" s="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spans="2:18" ht="48.75">
      <c r="B174" s="20"/>
      <c r="C174" s="6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</row>
    <row r="177" spans="2:18" ht="58.5">
      <c r="B177" s="18">
        <f t="shared" ref="B177" si="18">B173+1</f>
        <v>44</v>
      </c>
      <c r="C177" s="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spans="2:18" ht="48.75">
      <c r="B178" s="20"/>
      <c r="C178" s="6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</row>
    <row r="181" spans="2:18" ht="58.5">
      <c r="B181" s="18">
        <f t="shared" ref="B181" si="19">B177+1</f>
        <v>45</v>
      </c>
      <c r="C181" s="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spans="2:18" ht="48.75">
      <c r="B182" s="20"/>
      <c r="C182" s="6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</row>
    <row r="185" spans="2:18" ht="58.5">
      <c r="B185" s="18">
        <f t="shared" ref="B185" si="20">B181+1</f>
        <v>46</v>
      </c>
      <c r="C185" s="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spans="2:18" ht="48.75">
      <c r="B186" s="20"/>
      <c r="C186" s="6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</row>
    <row r="189" spans="2:18" ht="58.5">
      <c r="B189" s="18">
        <f t="shared" ref="B189" si="21">B185+1</f>
        <v>47</v>
      </c>
      <c r="C189" s="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spans="2:18" ht="48.75">
      <c r="B190" s="20"/>
      <c r="C190" s="6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</row>
    <row r="193" spans="2:18" ht="58.5">
      <c r="B193" s="18">
        <f t="shared" ref="B193" si="22">B189+1</f>
        <v>48</v>
      </c>
      <c r="C193" s="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spans="2:18" ht="48.75">
      <c r="B194" s="20"/>
      <c r="C194" s="6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</row>
    <row r="197" spans="2:18" ht="58.5">
      <c r="B197" s="18">
        <f t="shared" ref="B197" si="23">B193+1</f>
        <v>49</v>
      </c>
      <c r="C197" s="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spans="2:18" ht="48.75">
      <c r="B198" s="20"/>
      <c r="C198" s="6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</row>
    <row r="201" spans="2:18" ht="58.5">
      <c r="B201" s="18">
        <f t="shared" ref="B201" si="24">B197+1</f>
        <v>50</v>
      </c>
      <c r="C201" s="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spans="2:18" ht="48.75">
      <c r="B202" s="20"/>
      <c r="C202" s="6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</row>
    <row r="205" spans="2:18" ht="58.5">
      <c r="B205" s="18">
        <f>B201+1</f>
        <v>51</v>
      </c>
      <c r="C205" s="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spans="2:18" ht="48.75">
      <c r="B206" s="20"/>
      <c r="C206" s="6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</row>
    <row r="209" spans="2:18" ht="58.5">
      <c r="B209" s="18">
        <f>B205+1</f>
        <v>52</v>
      </c>
      <c r="C209" s="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spans="2:18" ht="48.75">
      <c r="B210" s="20"/>
      <c r="C210" s="6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</row>
    <row r="213" spans="2:18" ht="58.5">
      <c r="B213" s="18">
        <f>B209+1</f>
        <v>53</v>
      </c>
      <c r="C213" s="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spans="2:18" ht="48.75">
      <c r="B214" s="20"/>
      <c r="C214" s="6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</row>
    <row r="217" spans="2:18" ht="58.5">
      <c r="B217" s="18">
        <f>B213+1</f>
        <v>54</v>
      </c>
      <c r="C217" s="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spans="2:18" ht="48.75">
      <c r="B218" s="20"/>
      <c r="C218" s="6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</row>
    <row r="221" spans="2:18" ht="58.5">
      <c r="B221" s="18">
        <f>B217+1</f>
        <v>55</v>
      </c>
      <c r="C221" s="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spans="2:18" ht="48.75">
      <c r="B222" s="20"/>
      <c r="C222" s="6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</row>
    <row r="225" spans="2:18" ht="58.5">
      <c r="B225" s="18">
        <f>B221+1</f>
        <v>56</v>
      </c>
      <c r="C225" s="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spans="2:18" ht="48.75">
      <c r="B226" s="20"/>
      <c r="C226" s="6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</row>
    <row r="229" spans="2:18" ht="58.5">
      <c r="B229" s="18">
        <f>B225+1</f>
        <v>57</v>
      </c>
      <c r="C229" s="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spans="2:18" ht="48.75">
      <c r="B230" s="20"/>
      <c r="C230" s="6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</row>
    <row r="233" spans="2:18" ht="58.5">
      <c r="B233" s="18">
        <f>B229+1</f>
        <v>58</v>
      </c>
      <c r="C233" s="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spans="2:18" ht="48.75">
      <c r="B234" s="20"/>
      <c r="C234" s="6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</row>
    <row r="237" spans="2:18" ht="58.5">
      <c r="B237" s="18">
        <f>B233+1</f>
        <v>59</v>
      </c>
      <c r="C237" s="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spans="2:18" ht="48.75">
      <c r="B238" s="20"/>
      <c r="C238" s="6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</row>
    <row r="241" spans="2:18" ht="58.5">
      <c r="B241" s="18">
        <f>B237+1</f>
        <v>60</v>
      </c>
      <c r="C241" s="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spans="2:18" ht="48.75">
      <c r="B242" s="20"/>
      <c r="C242" s="6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</row>
    <row r="249" spans="2:18" ht="58.5">
      <c r="B249" s="18">
        <f>B245+1</f>
        <v>62</v>
      </c>
      <c r="C249" s="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spans="2:18" ht="48.75">
      <c r="B250" s="20"/>
      <c r="C250" s="6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</row>
    <row r="253" spans="2:18" ht="58.5">
      <c r="B253" s="18">
        <f>B249+1</f>
        <v>63</v>
      </c>
      <c r="C253" s="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spans="2:18" ht="48.75">
      <c r="B254" s="20"/>
      <c r="C254" s="6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</row>
    <row r="257" spans="2:18" ht="58.5">
      <c r="B257" s="18">
        <f>B253+1</f>
        <v>64</v>
      </c>
      <c r="C257" s="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spans="2:18" ht="48.75">
      <c r="B258" s="20"/>
      <c r="C258" s="6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</row>
    <row r="261" spans="2:18" ht="58.5">
      <c r="B261" s="18">
        <f>B257+1</f>
        <v>65</v>
      </c>
      <c r="C261" s="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spans="2:18" ht="48.75">
      <c r="B262" s="20"/>
      <c r="C262" s="6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</row>
    <row r="265" spans="2:18" ht="58.5">
      <c r="B265" s="18">
        <f>B261+1</f>
        <v>66</v>
      </c>
      <c r="C265" s="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spans="2:18" ht="48.75">
      <c r="B266" s="20"/>
      <c r="C266" s="6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</row>
    <row r="269" spans="2:18" ht="58.5">
      <c r="B269" s="18">
        <f>B265+1</f>
        <v>67</v>
      </c>
      <c r="C269" s="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spans="2:18" ht="48.75">
      <c r="B270" s="20"/>
      <c r="C270" s="6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</row>
    <row r="273" spans="2:18" ht="58.5">
      <c r="B273" s="18">
        <f>B269+1</f>
        <v>68</v>
      </c>
      <c r="C273" s="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spans="2:18" ht="48.75">
      <c r="B274" s="20"/>
      <c r="C274" s="6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</row>
    <row r="277" spans="2:18" ht="58.5">
      <c r="B277" s="18">
        <f>B273+1</f>
        <v>69</v>
      </c>
      <c r="C277" s="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spans="2:18" ht="48.75">
      <c r="B278" s="20"/>
      <c r="C278" s="6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</row>
    <row r="281" spans="2:18" ht="58.5">
      <c r="B281" s="18">
        <f>B277+1</f>
        <v>70</v>
      </c>
      <c r="C281" s="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spans="2:18" ht="48.75">
      <c r="B282" s="20"/>
      <c r="C282" s="6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</row>
    <row r="285" spans="2:18" ht="58.5">
      <c r="B285" s="18">
        <f>B281+1</f>
        <v>71</v>
      </c>
      <c r="C285" s="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spans="2:18" ht="48.75">
      <c r="B286" s="20"/>
      <c r="C286" s="6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</row>
    <row r="289" spans="2:18" ht="58.5">
      <c r="B289" s="18">
        <f>B285+1</f>
        <v>72</v>
      </c>
      <c r="C289" s="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spans="2:18" ht="48.75">
      <c r="B290" s="20"/>
      <c r="C290" s="6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</row>
    <row r="293" spans="2:18" ht="58.5">
      <c r="B293" s="18">
        <f>B289+1</f>
        <v>73</v>
      </c>
      <c r="C293" s="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spans="2:18" ht="48.75">
      <c r="B294" s="20"/>
      <c r="C294" s="6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</row>
    <row r="297" spans="2:18" ht="58.5">
      <c r="B297" s="18">
        <f>B293+1</f>
        <v>74</v>
      </c>
      <c r="C297" s="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spans="2:18" ht="48.75">
      <c r="B298" s="20"/>
      <c r="C298" s="6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</row>
    <row r="301" spans="2:18" ht="58.5">
      <c r="B301" s="18">
        <f>B297+1</f>
        <v>75</v>
      </c>
      <c r="C301" s="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spans="2:18" ht="48.75">
      <c r="B302" s="20"/>
      <c r="C302" s="6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</row>
    <row r="305" spans="2:18" ht="58.5">
      <c r="B305" s="18">
        <f>B301+1</f>
        <v>76</v>
      </c>
      <c r="C305" s="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spans="2:18" ht="48.75">
      <c r="B306" s="20"/>
      <c r="C306" s="6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</row>
    <row r="309" spans="2:18" ht="58.5">
      <c r="B309" s="18">
        <f>B305+1</f>
        <v>77</v>
      </c>
      <c r="C309" s="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spans="2:18" ht="48.75">
      <c r="B310" s="20"/>
      <c r="C310" s="6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</row>
    <row r="313" spans="2:18" ht="58.5">
      <c r="B313" s="18">
        <f t="shared" ref="B313" si="25">B309+1</f>
        <v>78</v>
      </c>
      <c r="C313" s="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spans="2:18" ht="48.75">
      <c r="B314" s="20"/>
      <c r="C314" s="6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</row>
    <row r="317" spans="2:18" ht="58.5">
      <c r="B317" s="18">
        <f t="shared" ref="B317" si="26">B313+1</f>
        <v>79</v>
      </c>
      <c r="C317" s="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spans="2:18" ht="48.75">
      <c r="B318" s="20"/>
      <c r="C318" s="6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</row>
    <row r="321" spans="2:18" ht="58.5">
      <c r="B321" s="18">
        <f t="shared" ref="B321" si="27">B317+1</f>
        <v>80</v>
      </c>
      <c r="C321" s="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spans="2:18" ht="48.75">
      <c r="B322" s="20"/>
      <c r="C322" s="6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</row>
    <row r="325" spans="2:18" ht="58.5">
      <c r="B325" s="18">
        <f t="shared" ref="B325" si="28">B321+1</f>
        <v>81</v>
      </c>
      <c r="C325" s="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spans="2:18" ht="48.75">
      <c r="B326" s="20"/>
      <c r="C326" s="6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</row>
    <row r="329" spans="2:18" ht="58.5">
      <c r="B329" s="18">
        <f t="shared" ref="B329" si="29">B325+1</f>
        <v>82</v>
      </c>
      <c r="C329" s="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spans="2:18" ht="48.75">
      <c r="B330" s="20"/>
      <c r="C330" s="6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</row>
    <row r="333" spans="2:18" ht="58.5">
      <c r="B333" s="18">
        <f t="shared" ref="B333" si="30">B329+1</f>
        <v>83</v>
      </c>
      <c r="C333" s="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spans="2:18" ht="48.75">
      <c r="B334" s="20"/>
      <c r="C334" s="6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</row>
    <row r="337" spans="2:18" ht="58.5">
      <c r="B337" s="18">
        <f t="shared" ref="B337" si="31">B333+1</f>
        <v>84</v>
      </c>
      <c r="C337" s="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spans="2:18" ht="48.75">
      <c r="B338" s="20"/>
      <c r="C338" s="6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</row>
    <row r="341" spans="2:18" ht="58.5">
      <c r="B341" s="18">
        <f t="shared" ref="B341" si="32">B337+1</f>
        <v>85</v>
      </c>
      <c r="C341" s="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spans="2:18" ht="48.75">
      <c r="B342" s="20"/>
      <c r="C342" s="6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</row>
    <row r="345" spans="2:18" ht="58.5">
      <c r="B345" s="18">
        <f t="shared" ref="B345" si="33">B341+1</f>
        <v>86</v>
      </c>
      <c r="C345" s="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spans="2:18" ht="48.75">
      <c r="B346" s="20"/>
      <c r="C346" s="6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</row>
    <row r="349" spans="2:18" ht="58.5">
      <c r="B349" s="18">
        <f t="shared" ref="B349" si="34">B345+1</f>
        <v>87</v>
      </c>
      <c r="C349" s="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spans="2:18" ht="48.75">
      <c r="B350" s="20"/>
      <c r="C350" s="6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</row>
    <row r="353" spans="2:18" ht="58.5">
      <c r="B353" s="18">
        <f t="shared" ref="B353" si="35">B349+1</f>
        <v>88</v>
      </c>
      <c r="C353" s="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spans="2:18" ht="48.75">
      <c r="B354" s="20"/>
      <c r="C354" s="6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</row>
    <row r="357" spans="2:18" ht="58.5">
      <c r="B357" s="18">
        <f t="shared" ref="B357" si="36">B353+1</f>
        <v>89</v>
      </c>
      <c r="C357" s="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spans="2:18" ht="48.75">
      <c r="B358" s="20"/>
      <c r="C358" s="6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3" priority="3">
      <formula>顯示注音輸入</formula>
    </cfRule>
    <cfRule type="expression" dxfId="2" priority="4">
      <formula>"'= TRUE(顯示注音輸入)"</formula>
    </cfRule>
  </conditionalFormatting>
  <conditionalFormatting sqref="D2267:R2267">
    <cfRule type="expression" dxfId="1" priority="1">
      <formula>顯示注音輸入</formula>
    </cfRule>
    <cfRule type="expression" dxfId="0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9043-1C77-40C7-B081-C27A463CE739}">
  <sheetPr>
    <tabColor rgb="FF00B0F0"/>
  </sheetPr>
  <dimension ref="A1:T12"/>
  <sheetViews>
    <sheetView topLeftCell="A8" zoomScale="80" zoomScaleNormal="80" workbookViewId="0">
      <selection activeCell="R22" sqref="R22"/>
    </sheetView>
  </sheetViews>
  <sheetFormatPr defaultRowHeight="16.5" outlineLevelCol="1"/>
  <cols>
    <col min="2" max="3" width="14.125" customWidth="1"/>
    <col min="6" max="11" width="0" hidden="1" customWidth="1" outlineLevel="1"/>
    <col min="12" max="16" width="12" hidden="1" customWidth="1" outlineLevel="1"/>
    <col min="17" max="17" width="68.875" customWidth="1" collapsed="1"/>
    <col min="18" max="18" width="82.75" customWidth="1"/>
    <col min="20" max="20" width="142.625" bestFit="1" customWidth="1"/>
  </cols>
  <sheetData>
    <row r="1" spans="1:20">
      <c r="B1" s="56"/>
      <c r="F1" s="63" t="s">
        <v>41</v>
      </c>
      <c r="G1" s="63"/>
      <c r="H1" s="63"/>
      <c r="I1" s="63"/>
      <c r="J1" s="63"/>
      <c r="K1" s="63"/>
      <c r="L1" s="57"/>
      <c r="M1" s="57"/>
      <c r="N1" s="57" t="s">
        <v>42</v>
      </c>
      <c r="O1" s="57"/>
      <c r="P1" s="57"/>
    </row>
    <row r="3" spans="1:20" ht="60">
      <c r="A3" s="54" t="s">
        <v>43</v>
      </c>
      <c r="B3" s="54" t="s">
        <v>44</v>
      </c>
      <c r="C3" s="54" t="s">
        <v>45</v>
      </c>
      <c r="D3" s="59" t="s">
        <v>46</v>
      </c>
      <c r="E3" s="59" t="s">
        <v>47</v>
      </c>
      <c r="F3" s="58" t="s">
        <v>48</v>
      </c>
      <c r="G3" s="58" t="s">
        <v>49</v>
      </c>
      <c r="H3" s="58" t="s">
        <v>32</v>
      </c>
      <c r="I3" s="58" t="s">
        <v>50</v>
      </c>
      <c r="J3" s="58" t="s">
        <v>51</v>
      </c>
      <c r="K3" s="58" t="s">
        <v>52</v>
      </c>
      <c r="L3" s="60" t="s">
        <v>53</v>
      </c>
      <c r="M3" s="57" t="s">
        <v>32</v>
      </c>
      <c r="N3" s="57" t="s">
        <v>50</v>
      </c>
      <c r="O3" s="57" t="s">
        <v>51</v>
      </c>
      <c r="P3" s="57" t="s">
        <v>52</v>
      </c>
      <c r="Q3" s="71" t="s">
        <v>33</v>
      </c>
      <c r="R3" s="71" t="s">
        <v>54</v>
      </c>
      <c r="T3" s="71" t="s">
        <v>92</v>
      </c>
    </row>
    <row r="4" spans="1:20" ht="69">
      <c r="A4" s="55">
        <v>1</v>
      </c>
      <c r="B4" s="64" t="s">
        <v>55</v>
      </c>
      <c r="C4" s="66" t="s">
        <v>56</v>
      </c>
      <c r="D4" s="67">
        <v>20</v>
      </c>
      <c r="E4" s="67">
        <v>25</v>
      </c>
      <c r="F4" s="68">
        <v>0</v>
      </c>
      <c r="G4" s="69">
        <v>25000</v>
      </c>
      <c r="H4" s="70" t="s">
        <v>57</v>
      </c>
      <c r="I4" s="70" t="s">
        <v>57</v>
      </c>
      <c r="J4" s="70" t="s">
        <v>58</v>
      </c>
      <c r="K4" s="70" t="s">
        <v>59</v>
      </c>
      <c r="L4" s="62">
        <v>20000</v>
      </c>
      <c r="M4" s="62" t="s">
        <v>57</v>
      </c>
      <c r="N4" s="62" t="s">
        <v>57</v>
      </c>
      <c r="O4" s="62" t="s">
        <v>60</v>
      </c>
      <c r="P4" s="62" t="s">
        <v>59</v>
      </c>
      <c r="Q4" s="53" t="s">
        <v>345</v>
      </c>
      <c r="R4" s="52" t="s">
        <v>346</v>
      </c>
      <c r="T4" s="75" t="str">
        <f xml:space="preserve"> _xlfn.CONCAT(Q4, CHAR(10), R4)</f>
        <v>《念奴嬌。斷虹霽雨》（宋：黃庭堅）
Liâm lóo giāo. Duàn hóng zè wǔ sòng: hóng díng giān</v>
      </c>
    </row>
    <row r="5" spans="1:20" ht="69">
      <c r="A5" s="55">
        <v>2</v>
      </c>
      <c r="B5" s="65" t="s">
        <v>61</v>
      </c>
      <c r="C5" s="66" t="s">
        <v>62</v>
      </c>
      <c r="D5" s="61">
        <v>2</v>
      </c>
      <c r="E5" s="61">
        <v>5</v>
      </c>
      <c r="F5" s="68">
        <v>25000</v>
      </c>
      <c r="G5" s="69">
        <v>30000</v>
      </c>
      <c r="H5" s="70" t="s">
        <v>57</v>
      </c>
      <c r="I5" s="70" t="s">
        <v>57</v>
      </c>
      <c r="J5" s="70" t="s">
        <v>63</v>
      </c>
      <c r="K5" s="70" t="s">
        <v>59</v>
      </c>
      <c r="L5" s="62">
        <v>27000</v>
      </c>
      <c r="M5" s="62" t="s">
        <v>57</v>
      </c>
      <c r="N5" s="62" t="s">
        <v>57</v>
      </c>
      <c r="O5" s="62" t="s">
        <v>64</v>
      </c>
      <c r="P5" s="62" t="s">
        <v>59</v>
      </c>
      <c r="Q5" s="53" t="s">
        <v>311</v>
      </c>
      <c r="R5" s="52" t="s">
        <v>347</v>
      </c>
      <c r="T5" s="75" t="str">
        <f t="shared" ref="T5:T10" si="0" xml:space="preserve"> _xlfn.CONCAT(Q5, CHAR(10), R5)</f>
        <v>斷虹霽雨，淨秋空，山染修眉新綠。
Duàn hóng zè wǔ, zîng cīu kōng, sān liǎm sīu bbí sīn liók.</v>
      </c>
    </row>
    <row r="6" spans="1:20" ht="69">
      <c r="A6" s="55">
        <v>3</v>
      </c>
      <c r="B6" s="65" t="s">
        <v>65</v>
      </c>
      <c r="C6" s="66" t="s">
        <v>66</v>
      </c>
      <c r="D6" s="61">
        <v>2</v>
      </c>
      <c r="E6" s="61">
        <v>5</v>
      </c>
      <c r="F6" s="68">
        <v>30000</v>
      </c>
      <c r="G6" s="69">
        <v>35000</v>
      </c>
      <c r="H6" s="70" t="s">
        <v>57</v>
      </c>
      <c r="I6" s="70" t="s">
        <v>57</v>
      </c>
      <c r="J6" s="70" t="s">
        <v>67</v>
      </c>
      <c r="K6" s="70" t="s">
        <v>59</v>
      </c>
      <c r="L6" s="62">
        <v>32000</v>
      </c>
      <c r="M6" s="62" t="s">
        <v>57</v>
      </c>
      <c r="N6" s="62" t="s">
        <v>57</v>
      </c>
      <c r="O6" s="62" t="s">
        <v>68</v>
      </c>
      <c r="P6" s="62" t="s">
        <v>59</v>
      </c>
      <c r="Q6" s="53" t="s">
        <v>312</v>
      </c>
      <c r="R6" s="52" t="s">
        <v>336</v>
      </c>
      <c r="T6" s="75" t="str">
        <f t="shared" si="0"/>
        <v>桂影扶疏，誰便道，今夕清輝不足？
Gùi yǐng hú sōo, súi bián dô, gīm sík cīng hūi būt ziōk?</v>
      </c>
    </row>
    <row r="7" spans="1:20" ht="69">
      <c r="A7" s="55">
        <v>4</v>
      </c>
      <c r="B7" s="65" t="s">
        <v>69</v>
      </c>
      <c r="C7" s="66" t="s">
        <v>70</v>
      </c>
      <c r="D7" s="61">
        <v>2</v>
      </c>
      <c r="E7" s="61">
        <v>5</v>
      </c>
      <c r="F7" s="68">
        <v>35000</v>
      </c>
      <c r="G7" s="69">
        <v>40000</v>
      </c>
      <c r="H7" s="70" t="s">
        <v>57</v>
      </c>
      <c r="I7" s="70" t="s">
        <v>57</v>
      </c>
      <c r="J7" s="70" t="s">
        <v>71</v>
      </c>
      <c r="K7" s="70" t="s">
        <v>59</v>
      </c>
      <c r="L7" s="62">
        <v>37000</v>
      </c>
      <c r="M7" s="62" t="s">
        <v>57</v>
      </c>
      <c r="N7" s="62" t="s">
        <v>57</v>
      </c>
      <c r="O7" s="62" t="s">
        <v>72</v>
      </c>
      <c r="P7" s="62" t="s">
        <v>59</v>
      </c>
      <c r="Q7" s="53" t="s">
        <v>313</v>
      </c>
      <c r="R7" s="52" t="s">
        <v>348</v>
      </c>
      <c r="T7" s="75" t="str">
        <f t="shared" si="0"/>
        <v>萬里青天，姮娥何處，駕此一輪玉。
Bbân lǐ cīng tiān, híng ggó hó cù, gà cǔ yīt lún ggiók.</v>
      </c>
    </row>
    <row r="8" spans="1:20" ht="69">
      <c r="A8" s="55">
        <v>5</v>
      </c>
      <c r="B8" s="65" t="s">
        <v>73</v>
      </c>
      <c r="C8" s="66" t="s">
        <v>74</v>
      </c>
      <c r="D8" s="61">
        <v>2</v>
      </c>
      <c r="E8" s="61">
        <v>5</v>
      </c>
      <c r="F8" s="68">
        <v>40000</v>
      </c>
      <c r="G8" s="69">
        <v>45000</v>
      </c>
      <c r="H8" s="70" t="s">
        <v>57</v>
      </c>
      <c r="I8" s="70" t="s">
        <v>57</v>
      </c>
      <c r="J8" s="70" t="s">
        <v>75</v>
      </c>
      <c r="K8" s="70" t="s">
        <v>59</v>
      </c>
      <c r="L8" s="62">
        <v>42000</v>
      </c>
      <c r="M8" s="62" t="s">
        <v>57</v>
      </c>
      <c r="N8" s="62" t="s">
        <v>57</v>
      </c>
      <c r="O8" s="62" t="s">
        <v>76</v>
      </c>
      <c r="P8" s="62" t="s">
        <v>59</v>
      </c>
      <c r="Q8" s="53" t="s">
        <v>314</v>
      </c>
      <c r="R8" s="52" t="s">
        <v>349</v>
      </c>
      <c r="T8" s="75" t="str">
        <f xml:space="preserve"> _xlfn.CONCAT(Q8, CHAR(10), R8)</f>
        <v>寒光零亂，為誰偏照醽醁？
Hán gōng líng luân, wí súi piān ziào líng liók?</v>
      </c>
    </row>
    <row r="9" spans="1:20" ht="69">
      <c r="A9" s="55" t="s">
        <v>77</v>
      </c>
      <c r="B9" s="65" t="s">
        <v>74</v>
      </c>
      <c r="C9" s="66" t="s">
        <v>78</v>
      </c>
      <c r="D9" s="61">
        <v>2</v>
      </c>
      <c r="E9" s="61">
        <v>5</v>
      </c>
      <c r="F9" s="68">
        <v>42000</v>
      </c>
      <c r="G9" s="69">
        <v>47000</v>
      </c>
      <c r="H9" s="70" t="s">
        <v>57</v>
      </c>
      <c r="I9" s="70" t="s">
        <v>57</v>
      </c>
      <c r="J9" s="70" t="s">
        <v>79</v>
      </c>
      <c r="K9" s="70" t="s">
        <v>59</v>
      </c>
      <c r="L9" s="62">
        <v>44000</v>
      </c>
      <c r="M9" s="62" t="s">
        <v>57</v>
      </c>
      <c r="N9" s="62" t="s">
        <v>57</v>
      </c>
      <c r="O9" s="62" t="s">
        <v>80</v>
      </c>
      <c r="P9" s="62" t="s">
        <v>59</v>
      </c>
      <c r="Q9" s="53" t="s">
        <v>315</v>
      </c>
      <c r="R9" s="52" t="s">
        <v>350</v>
      </c>
      <c r="T9" s="75" t="str">
        <f t="shared" si="0"/>
        <v>年少從我追遊，晚涼幽徑，繞張園森木。
Lián siào zióng ggnǒo dūi yú, bbuǎn lióng yū gìng, zziǎo diōng wán sīm bbók.</v>
      </c>
    </row>
    <row r="10" spans="1:20" ht="69">
      <c r="A10" s="55"/>
      <c r="B10" s="65"/>
      <c r="C10" s="66"/>
      <c r="D10" s="61"/>
      <c r="E10" s="61"/>
      <c r="F10" s="68"/>
      <c r="G10" s="69"/>
      <c r="H10" s="70"/>
      <c r="I10" s="70"/>
      <c r="J10" s="70"/>
      <c r="K10" s="70"/>
      <c r="L10" s="62"/>
      <c r="M10" s="62"/>
      <c r="N10" s="62"/>
      <c r="O10" s="62"/>
      <c r="P10" s="62"/>
      <c r="Q10" s="53" t="s">
        <v>316</v>
      </c>
      <c r="R10" s="52" t="s">
        <v>351</v>
      </c>
      <c r="T10" s="52" t="str">
        <f t="shared" si="0"/>
        <v>共倒金荷，家萬里，難得尊前相屬。
Giông dǒ gīm hó, gā bbân lǐ, lán dīk zūn zián siōng ziōk.</v>
      </c>
    </row>
    <row r="11" spans="1:20" ht="69" customHeight="1">
      <c r="A11" s="55"/>
      <c r="B11" s="64"/>
      <c r="C11" s="66"/>
      <c r="D11" s="67"/>
      <c r="E11" s="67"/>
      <c r="F11" s="68"/>
      <c r="G11" s="69"/>
      <c r="H11" s="70"/>
      <c r="I11" s="70"/>
      <c r="J11" s="70"/>
      <c r="K11" s="70"/>
      <c r="L11" s="62"/>
      <c r="M11" s="62"/>
      <c r="N11" s="62"/>
      <c r="O11" s="62"/>
      <c r="P11" s="62"/>
      <c r="Q11" s="53" t="s">
        <v>317</v>
      </c>
      <c r="R11" s="52" t="s">
        <v>325</v>
      </c>
      <c r="T11" s="75" t="str">
        <f xml:space="preserve"> _xlfn.CONCAT(Q11, CHAR(10), R11)</f>
        <v>老子平生，江南江北，最愛臨風笛。
Lǒ zǔ píng sīng, gāng lám gāng bōk, zuè ài lím hōng dík.</v>
      </c>
    </row>
    <row r="12" spans="1:20" ht="69" customHeight="1">
      <c r="A12" s="55"/>
      <c r="B12" s="64"/>
      <c r="C12" s="66"/>
      <c r="D12" s="67"/>
      <c r="E12" s="67"/>
      <c r="F12" s="68"/>
      <c r="G12" s="69"/>
      <c r="H12" s="70"/>
      <c r="I12" s="70"/>
      <c r="J12" s="70"/>
      <c r="K12" s="70"/>
      <c r="L12" s="62"/>
      <c r="M12" s="62"/>
      <c r="N12" s="62"/>
      <c r="O12" s="62"/>
      <c r="P12" s="62"/>
      <c r="Q12" s="53" t="s">
        <v>318</v>
      </c>
      <c r="R12" s="52" t="s">
        <v>337</v>
      </c>
      <c r="T12" s="75" t="str">
        <f xml:space="preserve"> _xlfn.CONCAT(Q12, CHAR(10), R12)</f>
        <v>孫郎微笑，坐來聲噴霜竹。
Sūn lóng bbí ciò, zê lái sīng pùn sōng diōk.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8C09-BAB5-4C60-A402-BD5862DB335E}">
  <dimension ref="A1:D2"/>
  <sheetViews>
    <sheetView workbookViewId="0"/>
  </sheetViews>
  <sheetFormatPr defaultRowHeight="16.5"/>
  <sheetData>
    <row r="1" spans="1:4">
      <c r="A1" t="s">
        <v>327</v>
      </c>
      <c r="B1" t="s">
        <v>328</v>
      </c>
      <c r="C1" t="s">
        <v>329</v>
      </c>
      <c r="D1" t="s">
        <v>330</v>
      </c>
    </row>
    <row r="2" spans="1:4">
      <c r="A2" t="s">
        <v>850</v>
      </c>
      <c r="B2" t="s">
        <v>21</v>
      </c>
      <c r="C2" t="s">
        <v>21</v>
      </c>
      <c r="D2" t="s">
        <v>1388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E7B5-E995-4DE4-88FE-7DA700690E0C}">
  <dimension ref="A1:D452"/>
  <sheetViews>
    <sheetView workbookViewId="0"/>
  </sheetViews>
  <sheetFormatPr defaultRowHeight="16.5"/>
  <sheetData>
    <row r="1" spans="1:4">
      <c r="A1" t="s">
        <v>327</v>
      </c>
      <c r="B1" t="s">
        <v>328</v>
      </c>
      <c r="C1" t="s">
        <v>329</v>
      </c>
      <c r="D1" t="s">
        <v>330</v>
      </c>
    </row>
    <row r="2" spans="1:4">
      <c r="A2" t="s">
        <v>692</v>
      </c>
      <c r="B2" t="s">
        <v>1087</v>
      </c>
      <c r="C2" t="s">
        <v>21</v>
      </c>
      <c r="D2" t="s">
        <v>2007</v>
      </c>
    </row>
    <row r="3" spans="1:4">
      <c r="A3" t="s">
        <v>693</v>
      </c>
      <c r="B3" t="s">
        <v>1089</v>
      </c>
      <c r="C3" t="s">
        <v>21</v>
      </c>
      <c r="D3" t="s">
        <v>2030</v>
      </c>
    </row>
    <row r="4" spans="1:4">
      <c r="A4" t="s">
        <v>694</v>
      </c>
      <c r="B4" t="s">
        <v>1091</v>
      </c>
      <c r="C4" t="s">
        <v>21</v>
      </c>
      <c r="D4" t="s">
        <v>1933</v>
      </c>
    </row>
    <row r="5" spans="1:4">
      <c r="A5" t="s">
        <v>695</v>
      </c>
      <c r="B5" t="s">
        <v>1093</v>
      </c>
      <c r="C5" t="s">
        <v>21</v>
      </c>
      <c r="D5" t="s">
        <v>1821</v>
      </c>
    </row>
    <row r="6" spans="1:4">
      <c r="A6" t="s">
        <v>696</v>
      </c>
      <c r="B6" t="s">
        <v>1095</v>
      </c>
      <c r="C6" t="s">
        <v>21</v>
      </c>
      <c r="D6" t="s">
        <v>1384</v>
      </c>
    </row>
    <row r="7" spans="1:4">
      <c r="A7" t="s">
        <v>697</v>
      </c>
      <c r="B7" t="s">
        <v>1097</v>
      </c>
      <c r="C7" t="s">
        <v>21</v>
      </c>
      <c r="D7" t="s">
        <v>1581</v>
      </c>
    </row>
    <row r="8" spans="1:4">
      <c r="A8" t="s">
        <v>698</v>
      </c>
      <c r="B8" t="s">
        <v>1099</v>
      </c>
      <c r="C8" t="s">
        <v>21</v>
      </c>
      <c r="D8" t="s">
        <v>1791</v>
      </c>
    </row>
    <row r="9" spans="1:4">
      <c r="A9" t="s">
        <v>699</v>
      </c>
      <c r="B9" t="s">
        <v>1101</v>
      </c>
      <c r="C9" t="s">
        <v>21</v>
      </c>
      <c r="D9" t="s">
        <v>1237</v>
      </c>
    </row>
    <row r="10" spans="1:4">
      <c r="A10" t="s">
        <v>700</v>
      </c>
      <c r="B10" t="s">
        <v>1103</v>
      </c>
      <c r="C10" t="s">
        <v>21</v>
      </c>
      <c r="D10" t="s">
        <v>1983</v>
      </c>
    </row>
    <row r="11" spans="1:4">
      <c r="A11" t="s">
        <v>701</v>
      </c>
      <c r="B11" t="s">
        <v>1105</v>
      </c>
      <c r="C11" t="s">
        <v>21</v>
      </c>
      <c r="D11" t="s">
        <v>1782</v>
      </c>
    </row>
    <row r="12" spans="1:4">
      <c r="A12" t="s">
        <v>702</v>
      </c>
      <c r="B12" t="s">
        <v>1107</v>
      </c>
      <c r="C12" t="s">
        <v>21</v>
      </c>
      <c r="D12" t="s">
        <v>264</v>
      </c>
    </row>
    <row r="13" spans="1:4">
      <c r="A13" t="s">
        <v>703</v>
      </c>
      <c r="B13" t="s">
        <v>1109</v>
      </c>
      <c r="C13" t="s">
        <v>21</v>
      </c>
      <c r="D13" t="s">
        <v>2046</v>
      </c>
    </row>
    <row r="14" spans="1:4">
      <c r="A14" t="s">
        <v>704</v>
      </c>
      <c r="B14" t="s">
        <v>624</v>
      </c>
      <c r="C14" t="s">
        <v>21</v>
      </c>
      <c r="D14" t="s">
        <v>1360</v>
      </c>
    </row>
    <row r="15" spans="1:4">
      <c r="A15" t="s">
        <v>705</v>
      </c>
      <c r="B15" t="s">
        <v>1111</v>
      </c>
      <c r="C15" t="s">
        <v>21</v>
      </c>
      <c r="D15" t="s">
        <v>1337</v>
      </c>
    </row>
    <row r="16" spans="1:4">
      <c r="A16" t="s">
        <v>706</v>
      </c>
      <c r="B16" t="s">
        <v>1113</v>
      </c>
      <c r="C16" t="s">
        <v>21</v>
      </c>
      <c r="D16" t="s">
        <v>513</v>
      </c>
    </row>
    <row r="17" spans="1:4">
      <c r="A17" t="s">
        <v>707</v>
      </c>
      <c r="B17" t="s">
        <v>1115</v>
      </c>
      <c r="C17" t="s">
        <v>21</v>
      </c>
      <c r="D17" t="s">
        <v>617</v>
      </c>
    </row>
    <row r="18" spans="1:4">
      <c r="A18" t="s">
        <v>121</v>
      </c>
      <c r="B18" t="s">
        <v>151</v>
      </c>
      <c r="C18" t="s">
        <v>21</v>
      </c>
      <c r="D18" t="s">
        <v>1783</v>
      </c>
    </row>
    <row r="19" spans="1:4">
      <c r="A19" t="s">
        <v>220</v>
      </c>
      <c r="B19" t="s">
        <v>148</v>
      </c>
      <c r="C19" t="s">
        <v>21</v>
      </c>
      <c r="D19" t="s">
        <v>2047</v>
      </c>
    </row>
    <row r="20" spans="1:4">
      <c r="A20" t="s">
        <v>708</v>
      </c>
      <c r="B20" t="s">
        <v>1117</v>
      </c>
      <c r="C20" t="s">
        <v>21</v>
      </c>
      <c r="D20" t="s">
        <v>2048</v>
      </c>
    </row>
    <row r="21" spans="1:4">
      <c r="A21" t="s">
        <v>709</v>
      </c>
      <c r="B21" t="s">
        <v>97</v>
      </c>
      <c r="C21" t="s">
        <v>21</v>
      </c>
      <c r="D21" t="s">
        <v>1984</v>
      </c>
    </row>
    <row r="22" spans="1:4">
      <c r="A22" t="s">
        <v>710</v>
      </c>
      <c r="B22" t="s">
        <v>1119</v>
      </c>
      <c r="C22" t="s">
        <v>21</v>
      </c>
      <c r="D22" t="s">
        <v>514</v>
      </c>
    </row>
    <row r="23" spans="1:4">
      <c r="A23" t="s">
        <v>711</v>
      </c>
      <c r="B23" t="s">
        <v>1121</v>
      </c>
      <c r="C23" t="s">
        <v>21</v>
      </c>
      <c r="D23" t="s">
        <v>515</v>
      </c>
    </row>
    <row r="24" spans="1:4">
      <c r="A24" t="s">
        <v>712</v>
      </c>
      <c r="B24" t="s">
        <v>657</v>
      </c>
      <c r="C24" t="s">
        <v>21</v>
      </c>
      <c r="D24" t="s">
        <v>1792</v>
      </c>
    </row>
    <row r="25" spans="1:4">
      <c r="A25" t="s">
        <v>608</v>
      </c>
      <c r="B25" t="s">
        <v>664</v>
      </c>
      <c r="C25" t="s">
        <v>21</v>
      </c>
      <c r="D25" t="s">
        <v>1869</v>
      </c>
    </row>
    <row r="26" spans="1:4">
      <c r="A26" t="s">
        <v>713</v>
      </c>
      <c r="B26" t="s">
        <v>1123</v>
      </c>
      <c r="C26" t="s">
        <v>21</v>
      </c>
      <c r="D26" t="s">
        <v>2049</v>
      </c>
    </row>
    <row r="27" spans="1:4">
      <c r="A27" t="s">
        <v>714</v>
      </c>
      <c r="B27" t="s">
        <v>1125</v>
      </c>
      <c r="C27" t="s">
        <v>21</v>
      </c>
      <c r="D27" t="s">
        <v>1161</v>
      </c>
    </row>
    <row r="28" spans="1:4">
      <c r="A28" t="s">
        <v>715</v>
      </c>
      <c r="B28" t="s">
        <v>1127</v>
      </c>
      <c r="C28" t="s">
        <v>21</v>
      </c>
      <c r="D28" t="s">
        <v>1849</v>
      </c>
    </row>
    <row r="29" spans="1:4">
      <c r="A29" t="s">
        <v>29</v>
      </c>
      <c r="B29" t="s">
        <v>30</v>
      </c>
      <c r="C29" t="s">
        <v>21</v>
      </c>
      <c r="D29" t="s">
        <v>1903</v>
      </c>
    </row>
    <row r="30" spans="1:4">
      <c r="A30" t="s">
        <v>716</v>
      </c>
      <c r="B30" t="s">
        <v>1129</v>
      </c>
      <c r="C30" t="s">
        <v>21</v>
      </c>
      <c r="D30" t="s">
        <v>269</v>
      </c>
    </row>
    <row r="31" spans="1:4">
      <c r="A31" t="s">
        <v>717</v>
      </c>
      <c r="B31" t="s">
        <v>1131</v>
      </c>
      <c r="C31" t="s">
        <v>21</v>
      </c>
      <c r="D31" t="s">
        <v>1202</v>
      </c>
    </row>
    <row r="32" spans="1:4">
      <c r="A32" t="s">
        <v>587</v>
      </c>
      <c r="B32" t="s">
        <v>678</v>
      </c>
      <c r="C32" t="s">
        <v>21</v>
      </c>
      <c r="D32" t="s">
        <v>1985</v>
      </c>
    </row>
    <row r="33" spans="1:4">
      <c r="A33" t="s">
        <v>718</v>
      </c>
      <c r="B33" t="s">
        <v>1133</v>
      </c>
      <c r="C33" t="s">
        <v>21</v>
      </c>
      <c r="D33" t="s">
        <v>1973</v>
      </c>
    </row>
    <row r="34" spans="1:4">
      <c r="A34" t="s">
        <v>719</v>
      </c>
      <c r="B34" t="s">
        <v>1135</v>
      </c>
      <c r="C34" t="s">
        <v>21</v>
      </c>
      <c r="D34" t="s">
        <v>1811</v>
      </c>
    </row>
    <row r="35" spans="1:4">
      <c r="A35" t="s">
        <v>720</v>
      </c>
      <c r="B35" t="s">
        <v>1137</v>
      </c>
      <c r="C35" t="s">
        <v>21</v>
      </c>
      <c r="D35" t="s">
        <v>270</v>
      </c>
    </row>
    <row r="36" spans="1:4">
      <c r="A36" t="s">
        <v>721</v>
      </c>
      <c r="B36" t="s">
        <v>1139</v>
      </c>
      <c r="C36" t="s">
        <v>21</v>
      </c>
      <c r="D36" t="s">
        <v>271</v>
      </c>
    </row>
    <row r="37" spans="1:4">
      <c r="A37" t="s">
        <v>609</v>
      </c>
      <c r="B37" t="s">
        <v>688</v>
      </c>
      <c r="C37" t="s">
        <v>21</v>
      </c>
      <c r="D37" t="s">
        <v>1904</v>
      </c>
    </row>
    <row r="38" spans="1:4">
      <c r="A38" t="s">
        <v>36</v>
      </c>
      <c r="B38" t="s">
        <v>537</v>
      </c>
      <c r="C38" t="s">
        <v>21</v>
      </c>
      <c r="D38" t="s">
        <v>525</v>
      </c>
    </row>
    <row r="39" spans="1:4">
      <c r="A39" t="s">
        <v>722</v>
      </c>
      <c r="B39" t="s">
        <v>1141</v>
      </c>
      <c r="C39" t="s">
        <v>21</v>
      </c>
      <c r="D39" t="s">
        <v>626</v>
      </c>
    </row>
    <row r="40" spans="1:4">
      <c r="A40" t="s">
        <v>723</v>
      </c>
      <c r="B40" t="s">
        <v>1143</v>
      </c>
      <c r="C40" t="s">
        <v>21</v>
      </c>
      <c r="D40" t="s">
        <v>1715</v>
      </c>
    </row>
    <row r="41" spans="1:4">
      <c r="A41" t="s">
        <v>593</v>
      </c>
      <c r="B41" t="s">
        <v>680</v>
      </c>
      <c r="C41" t="s">
        <v>21</v>
      </c>
      <c r="D41" t="s">
        <v>526</v>
      </c>
    </row>
    <row r="42" spans="1:4">
      <c r="A42" t="s">
        <v>724</v>
      </c>
      <c r="B42" t="s">
        <v>1145</v>
      </c>
      <c r="C42" t="s">
        <v>21</v>
      </c>
      <c r="D42" t="s">
        <v>1307</v>
      </c>
    </row>
    <row r="43" spans="1:4">
      <c r="A43" t="s">
        <v>725</v>
      </c>
      <c r="B43" t="s">
        <v>1147</v>
      </c>
      <c r="C43" t="s">
        <v>21</v>
      </c>
      <c r="D43" t="s">
        <v>527</v>
      </c>
    </row>
    <row r="44" spans="1:4">
      <c r="A44" t="s">
        <v>726</v>
      </c>
      <c r="B44" t="s">
        <v>276</v>
      </c>
      <c r="C44" t="s">
        <v>21</v>
      </c>
      <c r="D44" t="s">
        <v>1723</v>
      </c>
    </row>
    <row r="45" spans="1:4">
      <c r="A45" t="s">
        <v>727</v>
      </c>
      <c r="B45" t="s">
        <v>1149</v>
      </c>
      <c r="C45" t="s">
        <v>21</v>
      </c>
      <c r="D45" t="s">
        <v>1418</v>
      </c>
    </row>
    <row r="46" spans="1:4">
      <c r="A46" t="s">
        <v>728</v>
      </c>
      <c r="B46" t="s">
        <v>1151</v>
      </c>
      <c r="C46" t="s">
        <v>21</v>
      </c>
      <c r="D46" t="s">
        <v>1308</v>
      </c>
    </row>
    <row r="47" spans="1:4">
      <c r="A47" t="s">
        <v>729</v>
      </c>
      <c r="B47" t="s">
        <v>1153</v>
      </c>
      <c r="C47" t="s">
        <v>21</v>
      </c>
      <c r="D47" t="s">
        <v>272</v>
      </c>
    </row>
    <row r="48" spans="1:4">
      <c r="A48" t="s">
        <v>730</v>
      </c>
      <c r="B48" t="s">
        <v>1155</v>
      </c>
      <c r="C48" t="s">
        <v>21</v>
      </c>
      <c r="D48" t="s">
        <v>1793</v>
      </c>
    </row>
    <row r="49" spans="1:4">
      <c r="A49" t="s">
        <v>598</v>
      </c>
      <c r="B49" t="s">
        <v>637</v>
      </c>
      <c r="C49" t="s">
        <v>21</v>
      </c>
      <c r="D49" t="s">
        <v>1764</v>
      </c>
    </row>
    <row r="50" spans="1:4">
      <c r="A50" t="s">
        <v>732</v>
      </c>
      <c r="B50" t="s">
        <v>1157</v>
      </c>
      <c r="C50" t="s">
        <v>21</v>
      </c>
      <c r="D50" t="s">
        <v>1822</v>
      </c>
    </row>
    <row r="51" spans="1:4">
      <c r="A51" t="s">
        <v>733</v>
      </c>
      <c r="B51" t="s">
        <v>1159</v>
      </c>
      <c r="C51" t="s">
        <v>21</v>
      </c>
      <c r="D51" t="s">
        <v>1658</v>
      </c>
    </row>
    <row r="52" spans="1:4">
      <c r="A52" t="s">
        <v>734</v>
      </c>
      <c r="B52" t="s">
        <v>260</v>
      </c>
      <c r="C52" t="s">
        <v>21</v>
      </c>
      <c r="D52" t="s">
        <v>1974</v>
      </c>
    </row>
    <row r="53" spans="1:4">
      <c r="A53" t="s">
        <v>241</v>
      </c>
      <c r="B53" t="s">
        <v>184</v>
      </c>
      <c r="C53" t="s">
        <v>21</v>
      </c>
      <c r="D53" t="s">
        <v>273</v>
      </c>
    </row>
    <row r="54" spans="1:4">
      <c r="A54" t="s">
        <v>735</v>
      </c>
      <c r="B54" t="s">
        <v>1162</v>
      </c>
      <c r="C54" t="s">
        <v>21</v>
      </c>
      <c r="D54" t="s">
        <v>539</v>
      </c>
    </row>
    <row r="55" spans="1:4">
      <c r="A55" t="s">
        <v>736</v>
      </c>
      <c r="B55" t="s">
        <v>1164</v>
      </c>
      <c r="C55" t="s">
        <v>21</v>
      </c>
      <c r="D55" t="s">
        <v>540</v>
      </c>
    </row>
    <row r="56" spans="1:4">
      <c r="A56" t="s">
        <v>737</v>
      </c>
      <c r="B56" t="s">
        <v>1166</v>
      </c>
      <c r="C56" t="s">
        <v>21</v>
      </c>
      <c r="D56" t="s">
        <v>1213</v>
      </c>
    </row>
    <row r="57" spans="1:4">
      <c r="A57" t="s">
        <v>738</v>
      </c>
      <c r="B57" t="s">
        <v>1168</v>
      </c>
      <c r="C57" t="s">
        <v>21</v>
      </c>
      <c r="D57" t="s">
        <v>541</v>
      </c>
    </row>
    <row r="58" spans="1:4">
      <c r="A58" t="s">
        <v>123</v>
      </c>
      <c r="B58" t="s">
        <v>568</v>
      </c>
      <c r="C58" t="s">
        <v>21</v>
      </c>
      <c r="D58" t="s">
        <v>2031</v>
      </c>
    </row>
    <row r="59" spans="1:4">
      <c r="A59" t="s">
        <v>604</v>
      </c>
      <c r="B59" t="s">
        <v>132</v>
      </c>
      <c r="C59" t="s">
        <v>21</v>
      </c>
      <c r="D59" t="s">
        <v>1960</v>
      </c>
    </row>
    <row r="60" spans="1:4">
      <c r="A60" t="s">
        <v>739</v>
      </c>
      <c r="B60" t="s">
        <v>1170</v>
      </c>
      <c r="C60" t="s">
        <v>21</v>
      </c>
      <c r="D60" t="s">
        <v>542</v>
      </c>
    </row>
    <row r="61" spans="1:4">
      <c r="A61" t="s">
        <v>740</v>
      </c>
      <c r="B61" t="s">
        <v>30</v>
      </c>
      <c r="C61" t="s">
        <v>21</v>
      </c>
      <c r="D61" t="s">
        <v>1961</v>
      </c>
    </row>
    <row r="62" spans="1:4">
      <c r="A62" t="s">
        <v>741</v>
      </c>
      <c r="B62" t="s">
        <v>1172</v>
      </c>
      <c r="C62" t="s">
        <v>21</v>
      </c>
      <c r="D62" t="s">
        <v>543</v>
      </c>
    </row>
    <row r="63" spans="1:4">
      <c r="A63" t="s">
        <v>742</v>
      </c>
      <c r="B63" t="s">
        <v>1174</v>
      </c>
      <c r="C63" t="s">
        <v>21</v>
      </c>
      <c r="D63" t="s">
        <v>1765</v>
      </c>
    </row>
    <row r="64" spans="1:4">
      <c r="A64" t="s">
        <v>743</v>
      </c>
      <c r="B64" t="s">
        <v>1175</v>
      </c>
      <c r="C64" t="s">
        <v>21</v>
      </c>
      <c r="D64" t="s">
        <v>1777</v>
      </c>
    </row>
    <row r="65" spans="1:4">
      <c r="A65" t="s">
        <v>744</v>
      </c>
      <c r="B65" t="s">
        <v>1177</v>
      </c>
      <c r="C65" t="s">
        <v>21</v>
      </c>
      <c r="D65" t="s">
        <v>544</v>
      </c>
    </row>
    <row r="66" spans="1:4">
      <c r="A66" t="s">
        <v>745</v>
      </c>
      <c r="B66" t="s">
        <v>1179</v>
      </c>
      <c r="C66" t="s">
        <v>21</v>
      </c>
      <c r="D66" t="s">
        <v>1948</v>
      </c>
    </row>
    <row r="67" spans="1:4">
      <c r="A67" t="s">
        <v>746</v>
      </c>
      <c r="B67" t="s">
        <v>142</v>
      </c>
      <c r="C67" t="s">
        <v>21</v>
      </c>
      <c r="D67" t="s">
        <v>639</v>
      </c>
    </row>
    <row r="68" spans="1:4">
      <c r="A68" t="s">
        <v>747</v>
      </c>
      <c r="B68" t="s">
        <v>1182</v>
      </c>
      <c r="C68" t="s">
        <v>21</v>
      </c>
      <c r="D68" t="s">
        <v>278</v>
      </c>
    </row>
    <row r="69" spans="1:4">
      <c r="A69" t="s">
        <v>748</v>
      </c>
      <c r="B69" t="s">
        <v>1184</v>
      </c>
      <c r="C69" t="s">
        <v>21</v>
      </c>
      <c r="D69" t="s">
        <v>1186</v>
      </c>
    </row>
    <row r="70" spans="1:4">
      <c r="A70" t="s">
        <v>119</v>
      </c>
      <c r="B70" t="s">
        <v>147</v>
      </c>
      <c r="C70" t="s">
        <v>21</v>
      </c>
      <c r="D70" t="s">
        <v>1858</v>
      </c>
    </row>
    <row r="71" spans="1:4">
      <c r="A71" t="s">
        <v>497</v>
      </c>
      <c r="B71" t="s">
        <v>670</v>
      </c>
      <c r="C71" t="s">
        <v>21</v>
      </c>
      <c r="D71" t="s">
        <v>1870</v>
      </c>
    </row>
    <row r="72" spans="1:4">
      <c r="A72" t="s">
        <v>749</v>
      </c>
      <c r="B72" t="s">
        <v>1187</v>
      </c>
      <c r="C72" t="s">
        <v>21</v>
      </c>
      <c r="D72" t="s">
        <v>1473</v>
      </c>
    </row>
    <row r="73" spans="1:4">
      <c r="A73" t="s">
        <v>750</v>
      </c>
      <c r="B73" t="s">
        <v>98</v>
      </c>
      <c r="C73" t="s">
        <v>21</v>
      </c>
      <c r="D73" t="s">
        <v>2019</v>
      </c>
    </row>
    <row r="74" spans="1:4">
      <c r="A74" t="s">
        <v>751</v>
      </c>
      <c r="B74" t="s">
        <v>1189</v>
      </c>
      <c r="C74" t="s">
        <v>21</v>
      </c>
      <c r="D74" t="s">
        <v>654</v>
      </c>
    </row>
    <row r="75" spans="1:4">
      <c r="A75" t="s">
        <v>752</v>
      </c>
      <c r="B75" t="s">
        <v>1191</v>
      </c>
      <c r="C75" t="s">
        <v>21</v>
      </c>
      <c r="D75" t="s">
        <v>1784</v>
      </c>
    </row>
    <row r="76" spans="1:4">
      <c r="A76" t="s">
        <v>753</v>
      </c>
      <c r="B76" t="s">
        <v>1111</v>
      </c>
      <c r="C76" t="s">
        <v>21</v>
      </c>
      <c r="D76" t="s">
        <v>548</v>
      </c>
    </row>
    <row r="77" spans="1:4">
      <c r="A77" t="s">
        <v>754</v>
      </c>
      <c r="B77" t="s">
        <v>1193</v>
      </c>
      <c r="C77" t="s">
        <v>21</v>
      </c>
      <c r="D77" t="s">
        <v>1455</v>
      </c>
    </row>
    <row r="78" spans="1:4">
      <c r="A78" t="s">
        <v>755</v>
      </c>
      <c r="B78" t="s">
        <v>1157</v>
      </c>
      <c r="C78" t="s">
        <v>21</v>
      </c>
      <c r="D78" t="s">
        <v>1785</v>
      </c>
    </row>
    <row r="79" spans="1:4">
      <c r="A79" t="s">
        <v>756</v>
      </c>
      <c r="B79" t="s">
        <v>1159</v>
      </c>
      <c r="C79" t="s">
        <v>21</v>
      </c>
      <c r="D79" t="s">
        <v>1195</v>
      </c>
    </row>
    <row r="80" spans="1:4">
      <c r="A80" t="s">
        <v>596</v>
      </c>
      <c r="B80" t="s">
        <v>683</v>
      </c>
      <c r="C80" t="s">
        <v>21</v>
      </c>
      <c r="D80" t="s">
        <v>1222</v>
      </c>
    </row>
    <row r="81" spans="1:4">
      <c r="A81" t="s">
        <v>757</v>
      </c>
      <c r="B81" t="s">
        <v>260</v>
      </c>
      <c r="C81" t="s">
        <v>21</v>
      </c>
      <c r="D81" t="s">
        <v>1223</v>
      </c>
    </row>
    <row r="82" spans="1:4">
      <c r="A82" t="s">
        <v>758</v>
      </c>
      <c r="B82" t="s">
        <v>1196</v>
      </c>
      <c r="C82" t="s">
        <v>21</v>
      </c>
      <c r="D82" t="s">
        <v>1224</v>
      </c>
    </row>
    <row r="83" spans="1:4">
      <c r="A83" t="s">
        <v>599</v>
      </c>
      <c r="B83" t="s">
        <v>640</v>
      </c>
      <c r="C83" t="s">
        <v>21</v>
      </c>
      <c r="D83" t="s">
        <v>1934</v>
      </c>
    </row>
    <row r="84" spans="1:4">
      <c r="A84" t="s">
        <v>759</v>
      </c>
      <c r="B84" t="s">
        <v>1172</v>
      </c>
      <c r="C84" t="s">
        <v>21</v>
      </c>
      <c r="D84" t="s">
        <v>1238</v>
      </c>
    </row>
    <row r="85" spans="1:4">
      <c r="A85" t="s">
        <v>760</v>
      </c>
      <c r="B85" t="s">
        <v>1198</v>
      </c>
      <c r="C85" t="s">
        <v>21</v>
      </c>
      <c r="D85" t="s">
        <v>1702</v>
      </c>
    </row>
    <row r="86" spans="1:4">
      <c r="A86" t="s">
        <v>761</v>
      </c>
      <c r="B86" t="s">
        <v>1200</v>
      </c>
      <c r="C86" t="s">
        <v>21</v>
      </c>
      <c r="D86" t="s">
        <v>2008</v>
      </c>
    </row>
    <row r="87" spans="1:4">
      <c r="A87" t="s">
        <v>122</v>
      </c>
      <c r="B87" t="s">
        <v>564</v>
      </c>
      <c r="C87" t="s">
        <v>21</v>
      </c>
      <c r="D87" t="s">
        <v>555</v>
      </c>
    </row>
    <row r="88" spans="1:4">
      <c r="A88" t="s">
        <v>762</v>
      </c>
      <c r="B88" t="s">
        <v>1203</v>
      </c>
      <c r="C88" t="s">
        <v>21</v>
      </c>
      <c r="D88" t="s">
        <v>1962</v>
      </c>
    </row>
    <row r="89" spans="1:4">
      <c r="A89" t="s">
        <v>221</v>
      </c>
      <c r="B89" t="s">
        <v>550</v>
      </c>
      <c r="C89" t="s">
        <v>21</v>
      </c>
      <c r="D89" t="s">
        <v>286</v>
      </c>
    </row>
    <row r="90" spans="1:4">
      <c r="A90" t="s">
        <v>93</v>
      </c>
      <c r="B90" t="s">
        <v>94</v>
      </c>
      <c r="C90" t="s">
        <v>21</v>
      </c>
      <c r="D90" t="s">
        <v>1871</v>
      </c>
    </row>
    <row r="91" spans="1:4">
      <c r="A91" t="s">
        <v>763</v>
      </c>
      <c r="B91" t="s">
        <v>1205</v>
      </c>
      <c r="C91" t="s">
        <v>21</v>
      </c>
      <c r="D91" t="s">
        <v>1529</v>
      </c>
    </row>
    <row r="92" spans="1:4">
      <c r="A92" t="s">
        <v>764</v>
      </c>
      <c r="B92" t="s">
        <v>1207</v>
      </c>
      <c r="C92" t="s">
        <v>21</v>
      </c>
      <c r="D92" t="s">
        <v>2032</v>
      </c>
    </row>
    <row r="93" spans="1:4">
      <c r="A93" t="s">
        <v>765</v>
      </c>
      <c r="B93" t="s">
        <v>1209</v>
      </c>
      <c r="C93" t="s">
        <v>21</v>
      </c>
      <c r="D93" t="s">
        <v>287</v>
      </c>
    </row>
    <row r="94" spans="1:4">
      <c r="A94" t="s">
        <v>95</v>
      </c>
      <c r="B94" t="s">
        <v>681</v>
      </c>
      <c r="C94" t="s">
        <v>21</v>
      </c>
      <c r="D94" t="s">
        <v>1986</v>
      </c>
    </row>
    <row r="95" spans="1:4">
      <c r="A95" t="s">
        <v>766</v>
      </c>
      <c r="B95" t="s">
        <v>1211</v>
      </c>
      <c r="C95" t="s">
        <v>21</v>
      </c>
      <c r="D95" t="s">
        <v>1975</v>
      </c>
    </row>
    <row r="96" spans="1:4">
      <c r="A96" t="s">
        <v>116</v>
      </c>
      <c r="B96" t="s">
        <v>521</v>
      </c>
      <c r="C96" t="s">
        <v>21</v>
      </c>
      <c r="D96" t="s">
        <v>289</v>
      </c>
    </row>
    <row r="97" spans="1:4">
      <c r="A97" t="s">
        <v>767</v>
      </c>
      <c r="B97" t="s">
        <v>1214</v>
      </c>
      <c r="C97" t="s">
        <v>21</v>
      </c>
      <c r="D97" t="s">
        <v>562</v>
      </c>
    </row>
    <row r="98" spans="1:4">
      <c r="A98" t="s">
        <v>768</v>
      </c>
      <c r="B98" t="s">
        <v>501</v>
      </c>
      <c r="C98" t="s">
        <v>21</v>
      </c>
      <c r="D98" t="s">
        <v>1639</v>
      </c>
    </row>
    <row r="99" spans="1:4">
      <c r="A99" t="s">
        <v>769</v>
      </c>
      <c r="B99" t="s">
        <v>1216</v>
      </c>
      <c r="C99" t="s">
        <v>21</v>
      </c>
      <c r="D99" t="s">
        <v>1850</v>
      </c>
    </row>
    <row r="100" spans="1:4">
      <c r="A100" t="s">
        <v>770</v>
      </c>
      <c r="B100" t="s">
        <v>1218</v>
      </c>
      <c r="C100" t="s">
        <v>21</v>
      </c>
      <c r="D100" t="s">
        <v>563</v>
      </c>
    </row>
    <row r="101" spans="1:4">
      <c r="A101" t="s">
        <v>771</v>
      </c>
      <c r="B101" t="s">
        <v>1220</v>
      </c>
      <c r="C101" t="s">
        <v>21</v>
      </c>
      <c r="D101" t="s">
        <v>1559</v>
      </c>
    </row>
    <row r="102" spans="1:4">
      <c r="A102" t="s">
        <v>603</v>
      </c>
      <c r="B102" t="s">
        <v>652</v>
      </c>
      <c r="C102" t="s">
        <v>21</v>
      </c>
      <c r="D102" t="s">
        <v>1996</v>
      </c>
    </row>
    <row r="103" spans="1:4">
      <c r="A103" t="s">
        <v>32</v>
      </c>
      <c r="B103" t="s">
        <v>1225</v>
      </c>
      <c r="C103" t="s">
        <v>21</v>
      </c>
      <c r="D103" t="s">
        <v>1338</v>
      </c>
    </row>
    <row r="104" spans="1:4">
      <c r="A104" t="s">
        <v>772</v>
      </c>
      <c r="B104" t="s">
        <v>1227</v>
      </c>
      <c r="C104" t="s">
        <v>21</v>
      </c>
      <c r="D104" t="s">
        <v>1840</v>
      </c>
    </row>
    <row r="105" spans="1:4">
      <c r="A105" t="s">
        <v>773</v>
      </c>
      <c r="B105" t="s">
        <v>1229</v>
      </c>
      <c r="C105" t="s">
        <v>21</v>
      </c>
      <c r="D105" t="s">
        <v>293</v>
      </c>
    </row>
    <row r="106" spans="1:4">
      <c r="A106" t="s">
        <v>206</v>
      </c>
      <c r="B106" t="s">
        <v>274</v>
      </c>
      <c r="C106" t="s">
        <v>21</v>
      </c>
      <c r="D106" t="s">
        <v>1239</v>
      </c>
    </row>
    <row r="107" spans="1:4">
      <c r="A107" t="s">
        <v>774</v>
      </c>
      <c r="B107" t="s">
        <v>1153</v>
      </c>
      <c r="C107" t="s">
        <v>21</v>
      </c>
      <c r="D107" t="s">
        <v>2009</v>
      </c>
    </row>
    <row r="108" spans="1:4">
      <c r="A108" t="s">
        <v>775</v>
      </c>
      <c r="B108" t="s">
        <v>615</v>
      </c>
      <c r="C108" t="s">
        <v>21</v>
      </c>
      <c r="D108" t="s">
        <v>669</v>
      </c>
    </row>
    <row r="109" spans="1:4">
      <c r="A109" t="s">
        <v>776</v>
      </c>
      <c r="B109" t="s">
        <v>1231</v>
      </c>
      <c r="C109" t="s">
        <v>21</v>
      </c>
      <c r="D109" t="s">
        <v>177</v>
      </c>
    </row>
    <row r="110" spans="1:4">
      <c r="A110" t="s">
        <v>777</v>
      </c>
      <c r="B110" t="s">
        <v>1233</v>
      </c>
      <c r="C110" t="s">
        <v>21</v>
      </c>
      <c r="D110" t="s">
        <v>178</v>
      </c>
    </row>
    <row r="111" spans="1:4">
      <c r="A111" t="s">
        <v>778</v>
      </c>
      <c r="B111" t="s">
        <v>1235</v>
      </c>
      <c r="C111" t="s">
        <v>21</v>
      </c>
      <c r="D111" t="s">
        <v>294</v>
      </c>
    </row>
    <row r="112" spans="1:4">
      <c r="A112" t="s">
        <v>196</v>
      </c>
      <c r="B112" t="s">
        <v>265</v>
      </c>
      <c r="C112" t="s">
        <v>21</v>
      </c>
      <c r="D112" t="s">
        <v>577</v>
      </c>
    </row>
    <row r="113" spans="1:4">
      <c r="A113" t="s">
        <v>779</v>
      </c>
      <c r="B113" t="s">
        <v>627</v>
      </c>
      <c r="C113" t="s">
        <v>21</v>
      </c>
      <c r="D113" t="s">
        <v>2020</v>
      </c>
    </row>
    <row r="114" spans="1:4">
      <c r="A114" t="s">
        <v>780</v>
      </c>
      <c r="B114" t="s">
        <v>1240</v>
      </c>
      <c r="C114" t="s">
        <v>21</v>
      </c>
      <c r="D114" t="s">
        <v>1737</v>
      </c>
    </row>
    <row r="115" spans="1:4">
      <c r="A115" t="s">
        <v>781</v>
      </c>
      <c r="B115" t="s">
        <v>1242</v>
      </c>
      <c r="C115" t="s">
        <v>21</v>
      </c>
      <c r="D115" t="s">
        <v>1935</v>
      </c>
    </row>
    <row r="116" spans="1:4">
      <c r="A116" t="s">
        <v>782</v>
      </c>
      <c r="B116" t="s">
        <v>1244</v>
      </c>
      <c r="C116" t="s">
        <v>21</v>
      </c>
      <c r="D116" t="s">
        <v>1256</v>
      </c>
    </row>
    <row r="117" spans="1:4">
      <c r="A117" t="s">
        <v>783</v>
      </c>
      <c r="B117" t="s">
        <v>1246</v>
      </c>
      <c r="C117" t="s">
        <v>21</v>
      </c>
      <c r="D117" t="s">
        <v>578</v>
      </c>
    </row>
    <row r="118" spans="1:4">
      <c r="A118" t="s">
        <v>784</v>
      </c>
      <c r="B118" t="s">
        <v>1248</v>
      </c>
      <c r="C118" t="s">
        <v>21</v>
      </c>
      <c r="D118" t="s">
        <v>1257</v>
      </c>
    </row>
    <row r="119" spans="1:4">
      <c r="A119" t="s">
        <v>785</v>
      </c>
      <c r="B119" t="s">
        <v>1250</v>
      </c>
      <c r="C119" t="s">
        <v>21</v>
      </c>
      <c r="D119" t="s">
        <v>579</v>
      </c>
    </row>
    <row r="120" spans="1:4">
      <c r="A120" t="s">
        <v>786</v>
      </c>
      <c r="B120" t="s">
        <v>1252</v>
      </c>
      <c r="C120" t="s">
        <v>21</v>
      </c>
      <c r="D120" t="s">
        <v>580</v>
      </c>
    </row>
    <row r="121" spans="1:4">
      <c r="A121" t="s">
        <v>787</v>
      </c>
      <c r="B121" t="s">
        <v>1254</v>
      </c>
      <c r="C121" t="s">
        <v>21</v>
      </c>
      <c r="D121" t="s">
        <v>581</v>
      </c>
    </row>
    <row r="122" spans="1:4">
      <c r="A122" t="s">
        <v>788</v>
      </c>
      <c r="B122" t="s">
        <v>1258</v>
      </c>
      <c r="C122" t="s">
        <v>21</v>
      </c>
      <c r="D122" t="s">
        <v>179</v>
      </c>
    </row>
    <row r="123" spans="1:4">
      <c r="A123" t="s">
        <v>789</v>
      </c>
      <c r="B123" t="s">
        <v>1260</v>
      </c>
      <c r="C123" t="s">
        <v>21</v>
      </c>
      <c r="D123" t="s">
        <v>1272</v>
      </c>
    </row>
    <row r="124" spans="1:4">
      <c r="A124" t="s">
        <v>611</v>
      </c>
      <c r="B124" t="s">
        <v>690</v>
      </c>
      <c r="C124" t="s">
        <v>21</v>
      </c>
      <c r="D124" t="s">
        <v>1361</v>
      </c>
    </row>
    <row r="125" spans="1:4">
      <c r="A125" t="s">
        <v>790</v>
      </c>
      <c r="B125" t="s">
        <v>1262</v>
      </c>
      <c r="C125" t="s">
        <v>21</v>
      </c>
      <c r="D125" t="s">
        <v>180</v>
      </c>
    </row>
    <row r="126" spans="1:4">
      <c r="A126" t="s">
        <v>791</v>
      </c>
      <c r="B126" t="s">
        <v>1264</v>
      </c>
      <c r="C126" t="s">
        <v>21</v>
      </c>
      <c r="D126" t="s">
        <v>181</v>
      </c>
    </row>
    <row r="127" spans="1:4">
      <c r="A127" t="s">
        <v>792</v>
      </c>
      <c r="B127" t="s">
        <v>1266</v>
      </c>
      <c r="C127" t="s">
        <v>21</v>
      </c>
      <c r="D127" t="s">
        <v>301</v>
      </c>
    </row>
    <row r="128" spans="1:4">
      <c r="A128" t="s">
        <v>793</v>
      </c>
      <c r="B128" t="s">
        <v>1268</v>
      </c>
      <c r="C128" t="s">
        <v>21</v>
      </c>
      <c r="D128" t="s">
        <v>302</v>
      </c>
    </row>
    <row r="129" spans="1:4">
      <c r="A129" t="s">
        <v>794</v>
      </c>
      <c r="B129" t="s">
        <v>1270</v>
      </c>
      <c r="C129" t="s">
        <v>21</v>
      </c>
      <c r="D129" t="s">
        <v>303</v>
      </c>
    </row>
    <row r="130" spans="1:4">
      <c r="A130" t="s">
        <v>125</v>
      </c>
      <c r="B130" t="s">
        <v>159</v>
      </c>
      <c r="C130" t="s">
        <v>21</v>
      </c>
      <c r="D130" t="s">
        <v>304</v>
      </c>
    </row>
    <row r="131" spans="1:4">
      <c r="A131" t="s">
        <v>795</v>
      </c>
      <c r="B131" t="s">
        <v>622</v>
      </c>
      <c r="C131" t="s">
        <v>21</v>
      </c>
      <c r="D131" t="s">
        <v>1546</v>
      </c>
    </row>
    <row r="132" spans="1:4">
      <c r="A132" t="s">
        <v>796</v>
      </c>
      <c r="B132" t="s">
        <v>1273</v>
      </c>
      <c r="C132" t="s">
        <v>21</v>
      </c>
      <c r="D132" t="s">
        <v>1997</v>
      </c>
    </row>
    <row r="133" spans="1:4">
      <c r="A133" t="s">
        <v>103</v>
      </c>
      <c r="B133" t="s">
        <v>126</v>
      </c>
      <c r="C133" t="s">
        <v>21</v>
      </c>
      <c r="D133" t="s">
        <v>2010</v>
      </c>
    </row>
    <row r="134" spans="1:4">
      <c r="A134" t="s">
        <v>797</v>
      </c>
      <c r="B134" t="s">
        <v>670</v>
      </c>
      <c r="C134" t="s">
        <v>21</v>
      </c>
      <c r="D134" t="s">
        <v>1630</v>
      </c>
    </row>
    <row r="135" spans="1:4">
      <c r="A135" t="s">
        <v>109</v>
      </c>
      <c r="B135" t="s">
        <v>39</v>
      </c>
      <c r="C135" t="s">
        <v>21</v>
      </c>
      <c r="D135" t="s">
        <v>2021</v>
      </c>
    </row>
    <row r="136" spans="1:4">
      <c r="A136" t="s">
        <v>597</v>
      </c>
      <c r="B136" t="s">
        <v>631</v>
      </c>
      <c r="C136" t="s">
        <v>21</v>
      </c>
      <c r="D136" t="s">
        <v>586</v>
      </c>
    </row>
    <row r="137" spans="1:4">
      <c r="A137" t="s">
        <v>798</v>
      </c>
      <c r="B137" t="s">
        <v>1275</v>
      </c>
      <c r="C137" t="s">
        <v>21</v>
      </c>
      <c r="D137" t="s">
        <v>1963</v>
      </c>
    </row>
    <row r="138" spans="1:4">
      <c r="A138" t="s">
        <v>799</v>
      </c>
      <c r="B138" t="s">
        <v>1277</v>
      </c>
      <c r="C138" t="s">
        <v>21</v>
      </c>
      <c r="D138" t="s">
        <v>1283</v>
      </c>
    </row>
    <row r="139" spans="1:4">
      <c r="A139" t="s">
        <v>800</v>
      </c>
      <c r="B139" t="s">
        <v>1279</v>
      </c>
      <c r="C139" t="s">
        <v>21</v>
      </c>
      <c r="D139" t="s">
        <v>1284</v>
      </c>
    </row>
    <row r="140" spans="1:4">
      <c r="A140" t="s">
        <v>801</v>
      </c>
      <c r="B140" t="s">
        <v>1281</v>
      </c>
      <c r="C140" t="s">
        <v>21</v>
      </c>
      <c r="D140" t="s">
        <v>1295</v>
      </c>
    </row>
    <row r="141" spans="1:4">
      <c r="A141" t="s">
        <v>802</v>
      </c>
      <c r="B141" t="s">
        <v>618</v>
      </c>
      <c r="C141" t="s">
        <v>21</v>
      </c>
      <c r="D141" t="s">
        <v>310</v>
      </c>
    </row>
    <row r="142" spans="1:4">
      <c r="A142" t="s">
        <v>803</v>
      </c>
      <c r="B142" t="s">
        <v>1285</v>
      </c>
      <c r="C142" t="s">
        <v>21</v>
      </c>
      <c r="D142" t="s">
        <v>1829</v>
      </c>
    </row>
    <row r="143" spans="1:4">
      <c r="A143" t="s">
        <v>804</v>
      </c>
      <c r="B143" t="s">
        <v>1189</v>
      </c>
      <c r="C143" t="s">
        <v>21</v>
      </c>
      <c r="D143" t="s">
        <v>1317</v>
      </c>
    </row>
    <row r="144" spans="1:4">
      <c r="A144" t="s">
        <v>805</v>
      </c>
      <c r="B144" t="s">
        <v>633</v>
      </c>
      <c r="C144" t="s">
        <v>21</v>
      </c>
      <c r="D144" t="s">
        <v>1296</v>
      </c>
    </row>
    <row r="145" spans="1:4">
      <c r="A145" t="s">
        <v>806</v>
      </c>
      <c r="B145" t="s">
        <v>1287</v>
      </c>
      <c r="C145" t="s">
        <v>21</v>
      </c>
      <c r="D145" t="s">
        <v>1976</v>
      </c>
    </row>
    <row r="146" spans="1:4">
      <c r="A146" t="s">
        <v>807</v>
      </c>
      <c r="B146" t="s">
        <v>1289</v>
      </c>
      <c r="C146" t="s">
        <v>21</v>
      </c>
      <c r="D146" t="s">
        <v>1887</v>
      </c>
    </row>
    <row r="147" spans="1:4">
      <c r="A147" t="s">
        <v>808</v>
      </c>
      <c r="B147" t="s">
        <v>1291</v>
      </c>
      <c r="C147" t="s">
        <v>21</v>
      </c>
      <c r="D147" t="s">
        <v>1936</v>
      </c>
    </row>
    <row r="148" spans="1:4">
      <c r="A148" t="s">
        <v>809</v>
      </c>
      <c r="B148" t="s">
        <v>1293</v>
      </c>
      <c r="C148" t="s">
        <v>21</v>
      </c>
      <c r="D148" t="s">
        <v>1463</v>
      </c>
    </row>
    <row r="149" spans="1:4">
      <c r="A149" t="s">
        <v>810</v>
      </c>
      <c r="B149" t="s">
        <v>1297</v>
      </c>
      <c r="C149" t="s">
        <v>21</v>
      </c>
      <c r="D149" t="s">
        <v>1309</v>
      </c>
    </row>
    <row r="150" spans="1:4">
      <c r="A150" t="s">
        <v>811</v>
      </c>
      <c r="B150" t="s">
        <v>296</v>
      </c>
      <c r="C150" t="s">
        <v>21</v>
      </c>
      <c r="D150" t="s">
        <v>1310</v>
      </c>
    </row>
    <row r="151" spans="1:4">
      <c r="A151" t="s">
        <v>812</v>
      </c>
      <c r="B151" t="s">
        <v>299</v>
      </c>
      <c r="C151" t="s">
        <v>21</v>
      </c>
      <c r="D151" t="s">
        <v>1998</v>
      </c>
    </row>
    <row r="152" spans="1:4">
      <c r="A152" t="s">
        <v>813</v>
      </c>
      <c r="B152" t="s">
        <v>1299</v>
      </c>
      <c r="C152" t="s">
        <v>21</v>
      </c>
      <c r="D152" t="s">
        <v>1879</v>
      </c>
    </row>
    <row r="153" spans="1:4">
      <c r="A153" t="s">
        <v>814</v>
      </c>
      <c r="B153" t="s">
        <v>1301</v>
      </c>
      <c r="C153" t="s">
        <v>21</v>
      </c>
      <c r="D153" t="s">
        <v>1949</v>
      </c>
    </row>
    <row r="154" spans="1:4">
      <c r="A154" t="s">
        <v>815</v>
      </c>
      <c r="B154" t="s">
        <v>1303</v>
      </c>
      <c r="C154" t="s">
        <v>21</v>
      </c>
      <c r="D154" t="s">
        <v>1318</v>
      </c>
    </row>
    <row r="155" spans="1:4">
      <c r="A155" t="s">
        <v>816</v>
      </c>
      <c r="B155" t="s">
        <v>1305</v>
      </c>
      <c r="C155" t="s">
        <v>21</v>
      </c>
      <c r="D155" t="s">
        <v>1703</v>
      </c>
    </row>
    <row r="156" spans="1:4">
      <c r="A156" t="s">
        <v>817</v>
      </c>
      <c r="B156" t="s">
        <v>1311</v>
      </c>
      <c r="C156" t="s">
        <v>21</v>
      </c>
      <c r="D156" t="s">
        <v>1319</v>
      </c>
    </row>
    <row r="157" spans="1:4">
      <c r="A157" t="s">
        <v>818</v>
      </c>
      <c r="B157" t="s">
        <v>1313</v>
      </c>
      <c r="C157" t="s">
        <v>21</v>
      </c>
      <c r="D157" t="s">
        <v>1322</v>
      </c>
    </row>
    <row r="158" spans="1:4">
      <c r="A158" t="s">
        <v>35</v>
      </c>
      <c r="B158" t="s">
        <v>518</v>
      </c>
      <c r="C158" t="s">
        <v>21</v>
      </c>
      <c r="D158" t="s">
        <v>1794</v>
      </c>
    </row>
    <row r="159" spans="1:4">
      <c r="A159" t="s">
        <v>819</v>
      </c>
      <c r="B159" t="s">
        <v>1315</v>
      </c>
      <c r="C159" t="s">
        <v>21</v>
      </c>
      <c r="D159" t="s">
        <v>1802</v>
      </c>
    </row>
    <row r="160" spans="1:4">
      <c r="A160" t="s">
        <v>822</v>
      </c>
      <c r="B160" t="s">
        <v>1320</v>
      </c>
      <c r="C160" t="s">
        <v>21</v>
      </c>
      <c r="D160" t="s">
        <v>1704</v>
      </c>
    </row>
    <row r="161" spans="1:4">
      <c r="A161" t="s">
        <v>595</v>
      </c>
      <c r="B161" t="s">
        <v>629</v>
      </c>
      <c r="C161" t="s">
        <v>21</v>
      </c>
      <c r="D161" t="s">
        <v>2050</v>
      </c>
    </row>
    <row r="162" spans="1:4">
      <c r="A162" t="s">
        <v>823</v>
      </c>
      <c r="B162" t="s">
        <v>1323</v>
      </c>
      <c r="C162" t="s">
        <v>21</v>
      </c>
      <c r="D162" t="s">
        <v>2022</v>
      </c>
    </row>
    <row r="163" spans="1:4">
      <c r="A163" t="s">
        <v>824</v>
      </c>
      <c r="B163" t="s">
        <v>1325</v>
      </c>
      <c r="C163" t="s">
        <v>21</v>
      </c>
      <c r="D163" t="s">
        <v>1339</v>
      </c>
    </row>
    <row r="164" spans="1:4">
      <c r="A164" t="s">
        <v>601</v>
      </c>
      <c r="B164" t="s">
        <v>646</v>
      </c>
      <c r="C164" t="s">
        <v>21</v>
      </c>
      <c r="D164" t="s">
        <v>1340</v>
      </c>
    </row>
    <row r="165" spans="1:4">
      <c r="A165" t="s">
        <v>825</v>
      </c>
      <c r="B165" t="s">
        <v>1327</v>
      </c>
      <c r="C165" t="s">
        <v>21</v>
      </c>
      <c r="D165" t="s">
        <v>1341</v>
      </c>
    </row>
    <row r="166" spans="1:4">
      <c r="A166" t="s">
        <v>826</v>
      </c>
      <c r="B166" t="s">
        <v>1329</v>
      </c>
      <c r="C166" t="s">
        <v>21</v>
      </c>
      <c r="D166" t="s">
        <v>1342</v>
      </c>
    </row>
    <row r="167" spans="1:4">
      <c r="A167" t="s">
        <v>237</v>
      </c>
      <c r="B167" t="s">
        <v>558</v>
      </c>
      <c r="C167" t="s">
        <v>21</v>
      </c>
      <c r="D167" t="s">
        <v>1343</v>
      </c>
    </row>
    <row r="168" spans="1:4">
      <c r="A168" t="s">
        <v>827</v>
      </c>
      <c r="B168" t="s">
        <v>1331</v>
      </c>
      <c r="C168" t="s">
        <v>21</v>
      </c>
      <c r="D168" t="s">
        <v>1344</v>
      </c>
    </row>
    <row r="169" spans="1:4">
      <c r="A169" t="s">
        <v>828</v>
      </c>
      <c r="B169" t="s">
        <v>1333</v>
      </c>
      <c r="C169" t="s">
        <v>21</v>
      </c>
      <c r="D169" t="s">
        <v>1716</v>
      </c>
    </row>
    <row r="170" spans="1:4">
      <c r="A170" t="s">
        <v>829</v>
      </c>
      <c r="B170" t="s">
        <v>1335</v>
      </c>
      <c r="C170" t="s">
        <v>21</v>
      </c>
      <c r="D170" t="s">
        <v>1851</v>
      </c>
    </row>
    <row r="171" spans="1:4">
      <c r="A171" t="s">
        <v>396</v>
      </c>
      <c r="B171" t="s">
        <v>624</v>
      </c>
      <c r="C171" t="s">
        <v>21</v>
      </c>
      <c r="D171" t="s">
        <v>1859</v>
      </c>
    </row>
    <row r="172" spans="1:4">
      <c r="A172" t="s">
        <v>830</v>
      </c>
      <c r="B172" t="s">
        <v>1345</v>
      </c>
      <c r="C172" t="s">
        <v>21</v>
      </c>
      <c r="D172" t="s">
        <v>1351</v>
      </c>
    </row>
    <row r="173" spans="1:4">
      <c r="A173" t="s">
        <v>831</v>
      </c>
      <c r="B173" t="s">
        <v>1347</v>
      </c>
      <c r="C173" t="s">
        <v>21</v>
      </c>
      <c r="D173" t="s">
        <v>1353</v>
      </c>
    </row>
    <row r="174" spans="1:4">
      <c r="A174" t="s">
        <v>832</v>
      </c>
      <c r="B174" t="s">
        <v>1349</v>
      </c>
      <c r="C174" t="s">
        <v>21</v>
      </c>
      <c r="D174" t="s">
        <v>2051</v>
      </c>
    </row>
    <row r="175" spans="1:4">
      <c r="A175" t="s">
        <v>833</v>
      </c>
      <c r="B175" t="s">
        <v>1352</v>
      </c>
      <c r="C175" t="s">
        <v>21</v>
      </c>
      <c r="D175" t="s">
        <v>1571</v>
      </c>
    </row>
    <row r="176" spans="1:4">
      <c r="A176" t="s">
        <v>834</v>
      </c>
      <c r="B176" t="s">
        <v>300</v>
      </c>
      <c r="C176" t="s">
        <v>21</v>
      </c>
      <c r="D176" t="s">
        <v>1497</v>
      </c>
    </row>
    <row r="177" spans="1:4">
      <c r="A177" t="s">
        <v>835</v>
      </c>
      <c r="B177" t="s">
        <v>1301</v>
      </c>
      <c r="C177" t="s">
        <v>21</v>
      </c>
      <c r="D177" t="s">
        <v>1428</v>
      </c>
    </row>
    <row r="178" spans="1:4">
      <c r="A178" t="s">
        <v>836</v>
      </c>
      <c r="B178" t="s">
        <v>1354</v>
      </c>
      <c r="C178" t="s">
        <v>21</v>
      </c>
      <c r="D178" t="s">
        <v>1362</v>
      </c>
    </row>
    <row r="179" spans="1:4">
      <c r="A179" t="s">
        <v>837</v>
      </c>
      <c r="B179" t="s">
        <v>516</v>
      </c>
      <c r="C179" t="s">
        <v>21</v>
      </c>
      <c r="D179" t="s">
        <v>1363</v>
      </c>
    </row>
    <row r="180" spans="1:4">
      <c r="A180" t="s">
        <v>838</v>
      </c>
      <c r="B180" t="s">
        <v>1356</v>
      </c>
      <c r="C180" t="s">
        <v>21</v>
      </c>
      <c r="D180" t="s">
        <v>1364</v>
      </c>
    </row>
    <row r="181" spans="1:4">
      <c r="A181" t="s">
        <v>839</v>
      </c>
      <c r="B181" t="s">
        <v>1358</v>
      </c>
      <c r="C181" t="s">
        <v>21</v>
      </c>
      <c r="D181" t="s">
        <v>1365</v>
      </c>
    </row>
    <row r="182" spans="1:4">
      <c r="A182" t="s">
        <v>591</v>
      </c>
      <c r="B182" t="s">
        <v>618</v>
      </c>
      <c r="C182" t="s">
        <v>21</v>
      </c>
      <c r="D182" t="s">
        <v>1385</v>
      </c>
    </row>
    <row r="183" spans="1:4">
      <c r="A183" t="s">
        <v>840</v>
      </c>
      <c r="B183" t="s">
        <v>648</v>
      </c>
      <c r="C183" t="s">
        <v>21</v>
      </c>
      <c r="D183" t="s">
        <v>1376</v>
      </c>
    </row>
    <row r="184" spans="1:4">
      <c r="A184" t="s">
        <v>841</v>
      </c>
      <c r="B184" t="s">
        <v>1366</v>
      </c>
      <c r="C184" t="s">
        <v>21</v>
      </c>
      <c r="D184" t="s">
        <v>1377</v>
      </c>
    </row>
    <row r="185" spans="1:4">
      <c r="A185" t="s">
        <v>842</v>
      </c>
      <c r="B185" t="s">
        <v>1368</v>
      </c>
      <c r="C185" t="s">
        <v>21</v>
      </c>
      <c r="D185" t="s">
        <v>1537</v>
      </c>
    </row>
    <row r="186" spans="1:4">
      <c r="A186" t="s">
        <v>843</v>
      </c>
      <c r="B186" t="s">
        <v>1313</v>
      </c>
      <c r="C186" t="s">
        <v>21</v>
      </c>
      <c r="D186" t="s">
        <v>1378</v>
      </c>
    </row>
    <row r="187" spans="1:4">
      <c r="A187" t="s">
        <v>844</v>
      </c>
      <c r="B187" t="s">
        <v>1370</v>
      </c>
      <c r="C187" t="s">
        <v>21</v>
      </c>
      <c r="D187" t="s">
        <v>1379</v>
      </c>
    </row>
    <row r="188" spans="1:4">
      <c r="A188" t="s">
        <v>845</v>
      </c>
      <c r="B188" t="s">
        <v>1372</v>
      </c>
      <c r="C188" t="s">
        <v>21</v>
      </c>
      <c r="D188" t="s">
        <v>1888</v>
      </c>
    </row>
    <row r="189" spans="1:4">
      <c r="A189" t="s">
        <v>846</v>
      </c>
      <c r="B189" t="s">
        <v>1374</v>
      </c>
      <c r="C189" t="s">
        <v>21</v>
      </c>
      <c r="D189" t="s">
        <v>1757</v>
      </c>
    </row>
    <row r="190" spans="1:4">
      <c r="A190" t="s">
        <v>847</v>
      </c>
      <c r="B190" t="s">
        <v>508</v>
      </c>
      <c r="C190" t="s">
        <v>21</v>
      </c>
      <c r="D190" t="s">
        <v>2033</v>
      </c>
    </row>
    <row r="191" spans="1:4">
      <c r="A191" t="s">
        <v>848</v>
      </c>
      <c r="B191" t="s">
        <v>1380</v>
      </c>
      <c r="C191" t="s">
        <v>21</v>
      </c>
      <c r="D191" t="s">
        <v>1386</v>
      </c>
    </row>
    <row r="192" spans="1:4">
      <c r="A192" t="s">
        <v>849</v>
      </c>
      <c r="B192" t="s">
        <v>1382</v>
      </c>
      <c r="C192" t="s">
        <v>21</v>
      </c>
      <c r="D192" t="s">
        <v>1387</v>
      </c>
    </row>
    <row r="193" spans="1:4">
      <c r="A193" t="s">
        <v>851</v>
      </c>
      <c r="B193" t="s">
        <v>1389</v>
      </c>
      <c r="C193" t="s">
        <v>21</v>
      </c>
      <c r="D193" t="s">
        <v>1505</v>
      </c>
    </row>
    <row r="194" spans="1:4">
      <c r="A194" t="s">
        <v>852</v>
      </c>
      <c r="B194" t="s">
        <v>1391</v>
      </c>
      <c r="C194" t="s">
        <v>21</v>
      </c>
      <c r="D194" t="s">
        <v>1404</v>
      </c>
    </row>
    <row r="195" spans="1:4">
      <c r="A195" t="s">
        <v>192</v>
      </c>
      <c r="B195" t="s">
        <v>1393</v>
      </c>
      <c r="C195" t="s">
        <v>21</v>
      </c>
      <c r="D195" t="s">
        <v>1405</v>
      </c>
    </row>
    <row r="196" spans="1:4">
      <c r="A196" t="s">
        <v>853</v>
      </c>
      <c r="B196" t="s">
        <v>686</v>
      </c>
      <c r="C196" t="s">
        <v>21</v>
      </c>
      <c r="D196" t="s">
        <v>1406</v>
      </c>
    </row>
    <row r="197" spans="1:4">
      <c r="A197" t="s">
        <v>96</v>
      </c>
      <c r="B197" t="s">
        <v>100</v>
      </c>
      <c r="C197" t="s">
        <v>21</v>
      </c>
      <c r="D197" t="s">
        <v>2034</v>
      </c>
    </row>
    <row r="198" spans="1:4">
      <c r="A198" t="s">
        <v>854</v>
      </c>
      <c r="B198" t="s">
        <v>1147</v>
      </c>
      <c r="C198" t="s">
        <v>21</v>
      </c>
      <c r="D198" t="s">
        <v>1830</v>
      </c>
    </row>
    <row r="199" spans="1:4">
      <c r="A199" t="s">
        <v>855</v>
      </c>
      <c r="B199" t="s">
        <v>1395</v>
      </c>
      <c r="C199" t="s">
        <v>21</v>
      </c>
      <c r="D199" t="s">
        <v>1860</v>
      </c>
    </row>
    <row r="200" spans="1:4">
      <c r="A200" t="s">
        <v>856</v>
      </c>
      <c r="B200" t="s">
        <v>149</v>
      </c>
      <c r="C200" t="s">
        <v>21</v>
      </c>
      <c r="D200" t="s">
        <v>1486</v>
      </c>
    </row>
    <row r="201" spans="1:4">
      <c r="A201" t="s">
        <v>857</v>
      </c>
      <c r="B201" t="s">
        <v>1398</v>
      </c>
      <c r="C201" t="s">
        <v>21</v>
      </c>
      <c r="D201" t="s">
        <v>1474</v>
      </c>
    </row>
    <row r="202" spans="1:4">
      <c r="A202" t="s">
        <v>858</v>
      </c>
      <c r="B202" t="s">
        <v>1400</v>
      </c>
      <c r="C202" t="s">
        <v>21</v>
      </c>
      <c r="D202" t="s">
        <v>1407</v>
      </c>
    </row>
    <row r="203" spans="1:4">
      <c r="A203" t="s">
        <v>859</v>
      </c>
      <c r="B203" t="s">
        <v>1402</v>
      </c>
      <c r="C203" t="s">
        <v>21</v>
      </c>
      <c r="D203" t="s">
        <v>1419</v>
      </c>
    </row>
    <row r="204" spans="1:4">
      <c r="A204" t="s">
        <v>860</v>
      </c>
      <c r="B204" t="s">
        <v>1408</v>
      </c>
      <c r="C204" t="s">
        <v>21</v>
      </c>
      <c r="D204" t="s">
        <v>1420</v>
      </c>
    </row>
    <row r="205" spans="1:4">
      <c r="A205" t="s">
        <v>240</v>
      </c>
      <c r="B205" t="s">
        <v>296</v>
      </c>
      <c r="C205" t="s">
        <v>21</v>
      </c>
      <c r="D205" t="s">
        <v>2011</v>
      </c>
    </row>
    <row r="206" spans="1:4">
      <c r="A206" t="s">
        <v>861</v>
      </c>
      <c r="B206" t="s">
        <v>1410</v>
      </c>
      <c r="C206" t="s">
        <v>21</v>
      </c>
      <c r="D206" t="s">
        <v>1803</v>
      </c>
    </row>
    <row r="207" spans="1:4">
      <c r="A207" t="s">
        <v>862</v>
      </c>
      <c r="B207" t="s">
        <v>144</v>
      </c>
      <c r="C207" t="s">
        <v>21</v>
      </c>
      <c r="D207" t="s">
        <v>1598</v>
      </c>
    </row>
    <row r="208" spans="1:4">
      <c r="A208" t="s">
        <v>863</v>
      </c>
      <c r="B208" t="s">
        <v>1412</v>
      </c>
      <c r="C208" t="s">
        <v>21</v>
      </c>
      <c r="D208" t="s">
        <v>1705</v>
      </c>
    </row>
    <row r="209" spans="1:4">
      <c r="A209" t="s">
        <v>864</v>
      </c>
      <c r="B209" t="s">
        <v>1414</v>
      </c>
      <c r="C209" t="s">
        <v>21</v>
      </c>
      <c r="D209" t="s">
        <v>1421</v>
      </c>
    </row>
    <row r="210" spans="1:4">
      <c r="A210" t="s">
        <v>865</v>
      </c>
      <c r="B210" t="s">
        <v>1416</v>
      </c>
      <c r="C210" t="s">
        <v>21</v>
      </c>
      <c r="D210" t="s">
        <v>1686</v>
      </c>
    </row>
    <row r="211" spans="1:4">
      <c r="A211" t="s">
        <v>866</v>
      </c>
      <c r="B211" t="s">
        <v>1422</v>
      </c>
      <c r="C211" t="s">
        <v>21</v>
      </c>
      <c r="D211" t="s">
        <v>1429</v>
      </c>
    </row>
    <row r="212" spans="1:4">
      <c r="A212" t="s">
        <v>867</v>
      </c>
      <c r="B212" t="s">
        <v>1424</v>
      </c>
      <c r="C212" t="s">
        <v>21</v>
      </c>
      <c r="D212" t="s">
        <v>1430</v>
      </c>
    </row>
    <row r="213" spans="1:4">
      <c r="A213" t="s">
        <v>239</v>
      </c>
      <c r="B213" t="s">
        <v>566</v>
      </c>
      <c r="C213" t="s">
        <v>21</v>
      </c>
      <c r="D213" t="s">
        <v>1880</v>
      </c>
    </row>
    <row r="214" spans="1:4">
      <c r="A214" t="s">
        <v>868</v>
      </c>
      <c r="B214" t="s">
        <v>260</v>
      </c>
      <c r="C214" t="s">
        <v>21</v>
      </c>
      <c r="D214" t="s">
        <v>1431</v>
      </c>
    </row>
    <row r="215" spans="1:4">
      <c r="A215" t="s">
        <v>590</v>
      </c>
      <c r="B215" t="s">
        <v>614</v>
      </c>
      <c r="C215" t="s">
        <v>21</v>
      </c>
      <c r="D215" t="s">
        <v>1432</v>
      </c>
    </row>
    <row r="216" spans="1:4">
      <c r="A216" t="s">
        <v>869</v>
      </c>
      <c r="B216" t="s">
        <v>1426</v>
      </c>
      <c r="C216" t="s">
        <v>21</v>
      </c>
      <c r="D216" t="s">
        <v>1433</v>
      </c>
    </row>
    <row r="217" spans="1:4">
      <c r="A217" t="s">
        <v>870</v>
      </c>
      <c r="B217" t="s">
        <v>640</v>
      </c>
      <c r="C217" t="s">
        <v>21</v>
      </c>
      <c r="D217" t="s">
        <v>1434</v>
      </c>
    </row>
    <row r="218" spans="1:4">
      <c r="A218" t="s">
        <v>871</v>
      </c>
      <c r="B218" t="s">
        <v>259</v>
      </c>
      <c r="C218" t="s">
        <v>21</v>
      </c>
      <c r="D218" t="s">
        <v>1441</v>
      </c>
    </row>
    <row r="219" spans="1:4">
      <c r="A219" t="s">
        <v>872</v>
      </c>
      <c r="B219" t="s">
        <v>1435</v>
      </c>
      <c r="C219" t="s">
        <v>21</v>
      </c>
      <c r="D219" t="s">
        <v>1442</v>
      </c>
    </row>
    <row r="220" spans="1:4">
      <c r="A220" t="s">
        <v>873</v>
      </c>
      <c r="B220" t="s">
        <v>1437</v>
      </c>
      <c r="C220" t="s">
        <v>21</v>
      </c>
      <c r="D220" t="s">
        <v>1905</v>
      </c>
    </row>
    <row r="221" spans="1:4">
      <c r="A221" t="s">
        <v>874</v>
      </c>
      <c r="B221" t="s">
        <v>1117</v>
      </c>
      <c r="C221" t="s">
        <v>21</v>
      </c>
      <c r="D221" t="s">
        <v>1861</v>
      </c>
    </row>
    <row r="222" spans="1:4">
      <c r="A222" t="s">
        <v>605</v>
      </c>
      <c r="B222" t="s">
        <v>655</v>
      </c>
      <c r="C222" t="s">
        <v>21</v>
      </c>
      <c r="D222" t="s">
        <v>1538</v>
      </c>
    </row>
    <row r="223" spans="1:4">
      <c r="A223" t="s">
        <v>875</v>
      </c>
      <c r="B223" t="s">
        <v>1439</v>
      </c>
      <c r="C223" t="s">
        <v>21</v>
      </c>
      <c r="D223" t="s">
        <v>1443</v>
      </c>
    </row>
    <row r="224" spans="1:4">
      <c r="A224" t="s">
        <v>876</v>
      </c>
      <c r="B224" t="s">
        <v>1174</v>
      </c>
      <c r="C224" t="s">
        <v>21</v>
      </c>
      <c r="D224" t="s">
        <v>1444</v>
      </c>
    </row>
    <row r="225" spans="1:4">
      <c r="A225" t="s">
        <v>877</v>
      </c>
      <c r="B225" t="s">
        <v>1258</v>
      </c>
      <c r="C225" t="s">
        <v>21</v>
      </c>
      <c r="D225" t="s">
        <v>1564</v>
      </c>
    </row>
    <row r="226" spans="1:4">
      <c r="A226" t="s">
        <v>878</v>
      </c>
      <c r="B226" t="s">
        <v>1445</v>
      </c>
      <c r="C226" t="s">
        <v>21</v>
      </c>
      <c r="D226" t="s">
        <v>2012</v>
      </c>
    </row>
    <row r="227" spans="1:4">
      <c r="A227" t="s">
        <v>879</v>
      </c>
      <c r="B227" t="s">
        <v>1447</v>
      </c>
      <c r="C227" t="s">
        <v>21</v>
      </c>
      <c r="D227" t="s">
        <v>1456</v>
      </c>
    </row>
    <row r="228" spans="1:4">
      <c r="A228" t="s">
        <v>880</v>
      </c>
      <c r="B228" t="s">
        <v>1449</v>
      </c>
      <c r="C228" t="s">
        <v>21</v>
      </c>
      <c r="D228" t="s">
        <v>1457</v>
      </c>
    </row>
    <row r="229" spans="1:4">
      <c r="A229" t="s">
        <v>881</v>
      </c>
      <c r="B229" t="s">
        <v>1451</v>
      </c>
      <c r="C229" t="s">
        <v>21</v>
      </c>
      <c r="D229" t="s">
        <v>1458</v>
      </c>
    </row>
    <row r="230" spans="1:4">
      <c r="A230" t="s">
        <v>882</v>
      </c>
      <c r="B230" t="s">
        <v>1453</v>
      </c>
      <c r="C230" t="s">
        <v>21</v>
      </c>
      <c r="D230" t="s">
        <v>1812</v>
      </c>
    </row>
    <row r="231" spans="1:4">
      <c r="A231" t="s">
        <v>883</v>
      </c>
      <c r="B231" t="s">
        <v>612</v>
      </c>
      <c r="C231" t="s">
        <v>21</v>
      </c>
      <c r="D231" t="s">
        <v>2023</v>
      </c>
    </row>
    <row r="232" spans="1:4">
      <c r="A232" t="s">
        <v>884</v>
      </c>
      <c r="B232" t="s">
        <v>1459</v>
      </c>
      <c r="C232" t="s">
        <v>21</v>
      </c>
      <c r="D232" t="s">
        <v>1464</v>
      </c>
    </row>
    <row r="233" spans="1:4">
      <c r="A233" t="s">
        <v>885</v>
      </c>
      <c r="B233" t="s">
        <v>1461</v>
      </c>
      <c r="C233" t="s">
        <v>21</v>
      </c>
      <c r="D233" t="s">
        <v>1659</v>
      </c>
    </row>
    <row r="234" spans="1:4">
      <c r="A234" t="s">
        <v>886</v>
      </c>
      <c r="B234" t="s">
        <v>1465</v>
      </c>
      <c r="C234" t="s">
        <v>21</v>
      </c>
      <c r="D234" t="s">
        <v>1475</v>
      </c>
    </row>
    <row r="235" spans="1:4">
      <c r="A235" t="s">
        <v>887</v>
      </c>
      <c r="B235" t="s">
        <v>1467</v>
      </c>
      <c r="C235" t="s">
        <v>21</v>
      </c>
      <c r="D235" t="s">
        <v>1476</v>
      </c>
    </row>
    <row r="236" spans="1:4">
      <c r="A236" t="s">
        <v>888</v>
      </c>
      <c r="B236" t="s">
        <v>1469</v>
      </c>
      <c r="C236" t="s">
        <v>21</v>
      </c>
      <c r="D236" t="s">
        <v>1477</v>
      </c>
    </row>
    <row r="237" spans="1:4">
      <c r="A237" t="s">
        <v>889</v>
      </c>
      <c r="B237" t="s">
        <v>1242</v>
      </c>
      <c r="C237" t="s">
        <v>21</v>
      </c>
      <c r="D237" t="s">
        <v>1478</v>
      </c>
    </row>
    <row r="238" spans="1:4">
      <c r="A238" t="s">
        <v>890</v>
      </c>
      <c r="B238" t="s">
        <v>1471</v>
      </c>
      <c r="C238" t="s">
        <v>21</v>
      </c>
      <c r="D238" t="s">
        <v>1479</v>
      </c>
    </row>
    <row r="239" spans="1:4">
      <c r="A239" t="s">
        <v>594</v>
      </c>
      <c r="B239" t="s">
        <v>624</v>
      </c>
      <c r="C239" t="s">
        <v>21</v>
      </c>
      <c r="D239" t="s">
        <v>1717</v>
      </c>
    </row>
    <row r="240" spans="1:4">
      <c r="A240" t="s">
        <v>891</v>
      </c>
      <c r="B240" t="s">
        <v>1480</v>
      </c>
      <c r="C240" t="s">
        <v>21</v>
      </c>
      <c r="D240" t="s">
        <v>1758</v>
      </c>
    </row>
    <row r="241" spans="1:4">
      <c r="A241" t="s">
        <v>892</v>
      </c>
      <c r="B241" t="s">
        <v>1097</v>
      </c>
      <c r="C241" t="s">
        <v>21</v>
      </c>
      <c r="D241" t="s">
        <v>2013</v>
      </c>
    </row>
    <row r="242" spans="1:4">
      <c r="A242" t="s">
        <v>893</v>
      </c>
      <c r="B242" t="s">
        <v>1482</v>
      </c>
      <c r="C242" t="s">
        <v>21</v>
      </c>
      <c r="D242" t="s">
        <v>1516</v>
      </c>
    </row>
    <row r="243" spans="1:4">
      <c r="A243" t="s">
        <v>894</v>
      </c>
      <c r="B243" t="s">
        <v>1484</v>
      </c>
      <c r="C243" t="s">
        <v>21</v>
      </c>
      <c r="D243" t="s">
        <v>1539</v>
      </c>
    </row>
    <row r="244" spans="1:4">
      <c r="A244" t="s">
        <v>895</v>
      </c>
      <c r="B244" t="s">
        <v>142</v>
      </c>
      <c r="C244" t="s">
        <v>21</v>
      </c>
      <c r="D244" t="s">
        <v>1487</v>
      </c>
    </row>
    <row r="245" spans="1:4">
      <c r="A245" t="s">
        <v>242</v>
      </c>
      <c r="B245" t="s">
        <v>572</v>
      </c>
      <c r="C245" t="s">
        <v>21</v>
      </c>
      <c r="D245" t="s">
        <v>1488</v>
      </c>
    </row>
    <row r="246" spans="1:4">
      <c r="A246" t="s">
        <v>896</v>
      </c>
      <c r="B246" t="s">
        <v>637</v>
      </c>
      <c r="C246" t="s">
        <v>21</v>
      </c>
      <c r="D246" t="s">
        <v>1706</v>
      </c>
    </row>
    <row r="247" spans="1:4">
      <c r="A247" t="s">
        <v>897</v>
      </c>
      <c r="B247" t="s">
        <v>1489</v>
      </c>
      <c r="C247" t="s">
        <v>21</v>
      </c>
      <c r="D247" t="s">
        <v>1582</v>
      </c>
    </row>
    <row r="248" spans="1:4">
      <c r="A248" t="s">
        <v>898</v>
      </c>
      <c r="B248" t="s">
        <v>1491</v>
      </c>
      <c r="C248" t="s">
        <v>21</v>
      </c>
      <c r="D248" t="s">
        <v>1872</v>
      </c>
    </row>
    <row r="249" spans="1:4">
      <c r="A249" t="s">
        <v>899</v>
      </c>
      <c r="B249" t="s">
        <v>1493</v>
      </c>
      <c r="C249" t="s">
        <v>21</v>
      </c>
      <c r="D249" t="s">
        <v>2035</v>
      </c>
    </row>
    <row r="250" spans="1:4">
      <c r="A250" t="s">
        <v>900</v>
      </c>
      <c r="B250" t="s">
        <v>1495</v>
      </c>
      <c r="C250" t="s">
        <v>21</v>
      </c>
      <c r="D250" t="s">
        <v>1498</v>
      </c>
    </row>
    <row r="251" spans="1:4">
      <c r="A251" t="s">
        <v>901</v>
      </c>
      <c r="B251" t="s">
        <v>1499</v>
      </c>
      <c r="C251" t="s">
        <v>21</v>
      </c>
      <c r="D251" t="s">
        <v>1506</v>
      </c>
    </row>
    <row r="252" spans="1:4">
      <c r="A252" t="s">
        <v>902</v>
      </c>
      <c r="B252" t="s">
        <v>127</v>
      </c>
      <c r="C252" t="s">
        <v>21</v>
      </c>
      <c r="D252" t="s">
        <v>1747</v>
      </c>
    </row>
    <row r="253" spans="1:4">
      <c r="A253" t="s">
        <v>205</v>
      </c>
      <c r="B253" t="s">
        <v>145</v>
      </c>
      <c r="C253" t="s">
        <v>21</v>
      </c>
      <c r="D253" t="s">
        <v>1707</v>
      </c>
    </row>
    <row r="254" spans="1:4">
      <c r="A254" t="s">
        <v>903</v>
      </c>
      <c r="B254" t="s">
        <v>1501</v>
      </c>
      <c r="C254" t="s">
        <v>21</v>
      </c>
      <c r="D254" t="s">
        <v>1648</v>
      </c>
    </row>
    <row r="255" spans="1:4">
      <c r="A255" t="s">
        <v>904</v>
      </c>
      <c r="B255" t="s">
        <v>1503</v>
      </c>
      <c r="C255" t="s">
        <v>21</v>
      </c>
      <c r="D255" t="s">
        <v>1507</v>
      </c>
    </row>
    <row r="256" spans="1:4">
      <c r="A256" t="s">
        <v>905</v>
      </c>
      <c r="B256" t="s">
        <v>1508</v>
      </c>
      <c r="C256" t="s">
        <v>21</v>
      </c>
      <c r="D256" t="s">
        <v>1517</v>
      </c>
    </row>
    <row r="257" spans="1:4">
      <c r="A257" t="s">
        <v>602</v>
      </c>
      <c r="B257" t="s">
        <v>650</v>
      </c>
      <c r="C257" t="s">
        <v>21</v>
      </c>
      <c r="D257" t="s">
        <v>1518</v>
      </c>
    </row>
    <row r="258" spans="1:4">
      <c r="A258" t="s">
        <v>906</v>
      </c>
      <c r="B258" t="s">
        <v>1510</v>
      </c>
      <c r="C258" t="s">
        <v>21</v>
      </c>
      <c r="D258" t="s">
        <v>1519</v>
      </c>
    </row>
    <row r="259" spans="1:4">
      <c r="A259" t="s">
        <v>907</v>
      </c>
      <c r="B259" t="s">
        <v>1512</v>
      </c>
      <c r="C259" t="s">
        <v>21</v>
      </c>
      <c r="D259" t="s">
        <v>1520</v>
      </c>
    </row>
    <row r="260" spans="1:4">
      <c r="A260" t="s">
        <v>908</v>
      </c>
      <c r="B260" t="s">
        <v>1514</v>
      </c>
      <c r="C260" t="s">
        <v>21</v>
      </c>
      <c r="D260" t="s">
        <v>1987</v>
      </c>
    </row>
    <row r="261" spans="1:4">
      <c r="A261" t="s">
        <v>909</v>
      </c>
      <c r="B261" t="s">
        <v>1521</v>
      </c>
      <c r="C261" t="s">
        <v>21</v>
      </c>
      <c r="D261" t="s">
        <v>1530</v>
      </c>
    </row>
    <row r="262" spans="1:4">
      <c r="A262" t="s">
        <v>910</v>
      </c>
      <c r="B262" t="s">
        <v>1439</v>
      </c>
      <c r="C262" t="s">
        <v>21</v>
      </c>
      <c r="D262" t="s">
        <v>1531</v>
      </c>
    </row>
    <row r="263" spans="1:4">
      <c r="A263" t="s">
        <v>911</v>
      </c>
      <c r="B263" t="s">
        <v>635</v>
      </c>
      <c r="C263" t="s">
        <v>21</v>
      </c>
      <c r="D263" t="s">
        <v>1532</v>
      </c>
    </row>
    <row r="264" spans="1:4">
      <c r="A264" t="s">
        <v>912</v>
      </c>
      <c r="B264" t="s">
        <v>1523</v>
      </c>
      <c r="C264" t="s">
        <v>21</v>
      </c>
      <c r="D264" t="s">
        <v>1533</v>
      </c>
    </row>
    <row r="265" spans="1:4">
      <c r="A265" t="s">
        <v>107</v>
      </c>
      <c r="B265" t="s">
        <v>150</v>
      </c>
      <c r="C265" t="s">
        <v>21</v>
      </c>
      <c r="D265" t="s">
        <v>1881</v>
      </c>
    </row>
    <row r="266" spans="1:4">
      <c r="A266" t="s">
        <v>913</v>
      </c>
      <c r="B266" t="s">
        <v>1525</v>
      </c>
      <c r="C266" t="s">
        <v>21</v>
      </c>
      <c r="D266" t="s">
        <v>1534</v>
      </c>
    </row>
    <row r="267" spans="1:4">
      <c r="A267" t="s">
        <v>914</v>
      </c>
      <c r="B267" t="s">
        <v>1527</v>
      </c>
      <c r="C267" t="s">
        <v>21</v>
      </c>
      <c r="D267" t="s">
        <v>1964</v>
      </c>
    </row>
    <row r="268" spans="1:4">
      <c r="A268" t="s">
        <v>915</v>
      </c>
      <c r="B268" t="s">
        <v>1535</v>
      </c>
      <c r="C268" t="s">
        <v>21</v>
      </c>
      <c r="D268" t="s">
        <v>1786</v>
      </c>
    </row>
    <row r="269" spans="1:4">
      <c r="A269" t="s">
        <v>916</v>
      </c>
      <c r="B269" t="s">
        <v>1540</v>
      </c>
      <c r="C269" t="s">
        <v>21</v>
      </c>
      <c r="D269" t="s">
        <v>1547</v>
      </c>
    </row>
    <row r="270" spans="1:4">
      <c r="A270" t="s">
        <v>104</v>
      </c>
      <c r="B270" t="s">
        <v>676</v>
      </c>
      <c r="C270" t="s">
        <v>21</v>
      </c>
      <c r="D270" t="s">
        <v>1583</v>
      </c>
    </row>
    <row r="271" spans="1:4">
      <c r="A271" t="s">
        <v>917</v>
      </c>
      <c r="B271" t="s">
        <v>1542</v>
      </c>
      <c r="C271" t="s">
        <v>21</v>
      </c>
      <c r="D271" t="s">
        <v>1548</v>
      </c>
    </row>
    <row r="272" spans="1:4">
      <c r="A272" t="s">
        <v>918</v>
      </c>
      <c r="B272" t="s">
        <v>1544</v>
      </c>
      <c r="C272" t="s">
        <v>21</v>
      </c>
      <c r="D272" t="s">
        <v>1549</v>
      </c>
    </row>
    <row r="273" spans="1:4">
      <c r="A273" t="s">
        <v>919</v>
      </c>
      <c r="B273" t="s">
        <v>1117</v>
      </c>
      <c r="C273" t="s">
        <v>21</v>
      </c>
      <c r="D273" t="s">
        <v>1766</v>
      </c>
    </row>
    <row r="274" spans="1:4">
      <c r="A274" t="s">
        <v>114</v>
      </c>
      <c r="B274" t="s">
        <v>137</v>
      </c>
      <c r="C274" t="s">
        <v>21</v>
      </c>
      <c r="D274" t="s">
        <v>2024</v>
      </c>
    </row>
    <row r="275" spans="1:4">
      <c r="A275" t="s">
        <v>920</v>
      </c>
      <c r="B275" t="s">
        <v>1550</v>
      </c>
      <c r="C275" t="s">
        <v>21</v>
      </c>
      <c r="D275" t="s">
        <v>1660</v>
      </c>
    </row>
    <row r="276" spans="1:4">
      <c r="A276" t="s">
        <v>606</v>
      </c>
      <c r="B276" t="s">
        <v>659</v>
      </c>
      <c r="C276" t="s">
        <v>21</v>
      </c>
      <c r="D276" t="s">
        <v>1965</v>
      </c>
    </row>
    <row r="277" spans="1:4">
      <c r="A277" t="s">
        <v>921</v>
      </c>
      <c r="B277" t="s">
        <v>1552</v>
      </c>
      <c r="C277" t="s">
        <v>21</v>
      </c>
      <c r="D277" t="s">
        <v>1554</v>
      </c>
    </row>
    <row r="278" spans="1:4">
      <c r="A278" t="s">
        <v>589</v>
      </c>
      <c r="B278" t="s">
        <v>674</v>
      </c>
      <c r="C278" t="s">
        <v>21</v>
      </c>
      <c r="D278" t="s">
        <v>1966</v>
      </c>
    </row>
    <row r="279" spans="1:4">
      <c r="A279" t="s">
        <v>922</v>
      </c>
      <c r="B279" t="s">
        <v>1555</v>
      </c>
      <c r="C279" t="s">
        <v>21</v>
      </c>
      <c r="D279" t="s">
        <v>1560</v>
      </c>
    </row>
    <row r="280" spans="1:4">
      <c r="A280" t="s">
        <v>923</v>
      </c>
      <c r="B280" t="s">
        <v>1557</v>
      </c>
      <c r="C280" t="s">
        <v>21</v>
      </c>
      <c r="D280" t="s">
        <v>1561</v>
      </c>
    </row>
    <row r="281" spans="1:4">
      <c r="A281" t="s">
        <v>924</v>
      </c>
      <c r="B281" t="s">
        <v>1111</v>
      </c>
      <c r="C281" t="s">
        <v>21</v>
      </c>
      <c r="D281" t="s">
        <v>1565</v>
      </c>
    </row>
    <row r="282" spans="1:4">
      <c r="A282" t="s">
        <v>925</v>
      </c>
      <c r="B282" t="s">
        <v>1562</v>
      </c>
      <c r="C282" t="s">
        <v>21</v>
      </c>
      <c r="D282" t="s">
        <v>1724</v>
      </c>
    </row>
    <row r="283" spans="1:4">
      <c r="A283" t="s">
        <v>926</v>
      </c>
      <c r="B283" t="s">
        <v>1461</v>
      </c>
      <c r="C283" t="s">
        <v>21</v>
      </c>
      <c r="D283" t="s">
        <v>1566</v>
      </c>
    </row>
    <row r="284" spans="1:4">
      <c r="A284" t="s">
        <v>927</v>
      </c>
      <c r="B284" t="s">
        <v>1567</v>
      </c>
      <c r="C284" t="s">
        <v>21</v>
      </c>
      <c r="D284" t="s">
        <v>1572</v>
      </c>
    </row>
    <row r="285" spans="1:4">
      <c r="A285" t="s">
        <v>928</v>
      </c>
      <c r="B285" t="s">
        <v>1569</v>
      </c>
      <c r="C285" t="s">
        <v>21</v>
      </c>
      <c r="D285" t="s">
        <v>1823</v>
      </c>
    </row>
    <row r="286" spans="1:4">
      <c r="A286" t="s">
        <v>498</v>
      </c>
      <c r="B286" t="s">
        <v>672</v>
      </c>
      <c r="C286" t="s">
        <v>21</v>
      </c>
      <c r="D286" t="s">
        <v>1988</v>
      </c>
    </row>
    <row r="287" spans="1:4">
      <c r="A287" t="s">
        <v>929</v>
      </c>
      <c r="B287" t="s">
        <v>1303</v>
      </c>
      <c r="C287" t="s">
        <v>21</v>
      </c>
      <c r="D287" t="s">
        <v>1573</v>
      </c>
    </row>
    <row r="288" spans="1:4">
      <c r="A288" t="s">
        <v>930</v>
      </c>
      <c r="B288" t="s">
        <v>153</v>
      </c>
      <c r="C288" t="s">
        <v>21</v>
      </c>
      <c r="D288" t="s">
        <v>1584</v>
      </c>
    </row>
    <row r="289" spans="1:4">
      <c r="A289" t="s">
        <v>931</v>
      </c>
      <c r="B289" t="s">
        <v>1575</v>
      </c>
      <c r="C289" t="s">
        <v>21</v>
      </c>
      <c r="D289" t="s">
        <v>1585</v>
      </c>
    </row>
    <row r="290" spans="1:4">
      <c r="A290" t="s">
        <v>932</v>
      </c>
      <c r="B290" t="s">
        <v>1577</v>
      </c>
      <c r="C290" t="s">
        <v>21</v>
      </c>
      <c r="D290" t="s">
        <v>1586</v>
      </c>
    </row>
    <row r="291" spans="1:4">
      <c r="A291" t="s">
        <v>933</v>
      </c>
      <c r="B291" t="s">
        <v>1579</v>
      </c>
      <c r="C291" t="s">
        <v>21</v>
      </c>
      <c r="D291" t="s">
        <v>1587</v>
      </c>
    </row>
    <row r="292" spans="1:4">
      <c r="A292" t="s">
        <v>934</v>
      </c>
      <c r="B292" t="s">
        <v>1588</v>
      </c>
      <c r="C292" t="s">
        <v>21</v>
      </c>
      <c r="D292" t="s">
        <v>1725</v>
      </c>
    </row>
    <row r="293" spans="1:4">
      <c r="A293" t="s">
        <v>935</v>
      </c>
      <c r="B293" t="s">
        <v>1590</v>
      </c>
      <c r="C293" t="s">
        <v>21</v>
      </c>
      <c r="D293" t="s">
        <v>1599</v>
      </c>
    </row>
    <row r="294" spans="1:4">
      <c r="A294" t="s">
        <v>936</v>
      </c>
      <c r="B294" t="s">
        <v>1592</v>
      </c>
      <c r="C294" t="s">
        <v>21</v>
      </c>
      <c r="D294" t="s">
        <v>1600</v>
      </c>
    </row>
    <row r="295" spans="1:4">
      <c r="A295" t="s">
        <v>937</v>
      </c>
      <c r="B295" t="s">
        <v>1594</v>
      </c>
      <c r="C295" t="s">
        <v>21</v>
      </c>
      <c r="D295" t="s">
        <v>1601</v>
      </c>
    </row>
    <row r="296" spans="1:4">
      <c r="A296" t="s">
        <v>938</v>
      </c>
      <c r="B296" t="s">
        <v>1137</v>
      </c>
      <c r="C296" t="s">
        <v>21</v>
      </c>
      <c r="D296" t="s">
        <v>1759</v>
      </c>
    </row>
    <row r="297" spans="1:4">
      <c r="A297" t="s">
        <v>940</v>
      </c>
      <c r="B297" t="s">
        <v>1596</v>
      </c>
      <c r="C297" t="s">
        <v>21</v>
      </c>
      <c r="D297" t="s">
        <v>1919</v>
      </c>
    </row>
    <row r="298" spans="1:4">
      <c r="A298" t="s">
        <v>941</v>
      </c>
      <c r="B298" t="s">
        <v>1414</v>
      </c>
      <c r="C298" t="s">
        <v>21</v>
      </c>
      <c r="D298" t="s">
        <v>1602</v>
      </c>
    </row>
    <row r="299" spans="1:4">
      <c r="A299" t="s">
        <v>592</v>
      </c>
      <c r="B299" t="s">
        <v>620</v>
      </c>
      <c r="C299" t="s">
        <v>21</v>
      </c>
      <c r="D299" t="s">
        <v>1606</v>
      </c>
    </row>
    <row r="300" spans="1:4">
      <c r="A300" t="s">
        <v>942</v>
      </c>
      <c r="B300" t="s">
        <v>1603</v>
      </c>
      <c r="C300" t="s">
        <v>21</v>
      </c>
      <c r="D300" t="s">
        <v>1607</v>
      </c>
    </row>
    <row r="301" spans="1:4">
      <c r="A301" t="s">
        <v>943</v>
      </c>
      <c r="B301" t="s">
        <v>283</v>
      </c>
      <c r="C301" t="s">
        <v>21</v>
      </c>
      <c r="D301" t="s">
        <v>1649</v>
      </c>
    </row>
    <row r="302" spans="1:4">
      <c r="A302" t="s">
        <v>944</v>
      </c>
      <c r="B302" t="s">
        <v>1605</v>
      </c>
      <c r="C302" t="s">
        <v>21</v>
      </c>
      <c r="D302" t="s">
        <v>1937</v>
      </c>
    </row>
    <row r="303" spans="1:4">
      <c r="A303" t="s">
        <v>945</v>
      </c>
      <c r="B303" t="s">
        <v>1368</v>
      </c>
      <c r="C303" t="s">
        <v>21</v>
      </c>
      <c r="D303" t="s">
        <v>1813</v>
      </c>
    </row>
    <row r="304" spans="1:4">
      <c r="A304" t="s">
        <v>946</v>
      </c>
      <c r="B304" t="s">
        <v>1608</v>
      </c>
      <c r="C304" t="s">
        <v>21</v>
      </c>
      <c r="D304" t="s">
        <v>1616</v>
      </c>
    </row>
    <row r="305" spans="1:4">
      <c r="A305" t="s">
        <v>947</v>
      </c>
      <c r="B305" t="s">
        <v>1610</v>
      </c>
      <c r="C305" t="s">
        <v>21</v>
      </c>
      <c r="D305" t="s">
        <v>1778</v>
      </c>
    </row>
    <row r="306" spans="1:4">
      <c r="A306" t="s">
        <v>948</v>
      </c>
      <c r="B306" t="s">
        <v>1612</v>
      </c>
      <c r="C306" t="s">
        <v>21</v>
      </c>
      <c r="D306" t="s">
        <v>1617</v>
      </c>
    </row>
    <row r="307" spans="1:4">
      <c r="A307" t="s">
        <v>50</v>
      </c>
      <c r="B307" t="s">
        <v>1614</v>
      </c>
      <c r="C307" t="s">
        <v>21</v>
      </c>
      <c r="D307" t="s">
        <v>2052</v>
      </c>
    </row>
    <row r="308" spans="1:4">
      <c r="A308" t="s">
        <v>949</v>
      </c>
      <c r="B308" t="s">
        <v>1618</v>
      </c>
      <c r="C308" t="s">
        <v>21</v>
      </c>
      <c r="D308" t="s">
        <v>1622</v>
      </c>
    </row>
    <row r="309" spans="1:4">
      <c r="A309" t="s">
        <v>950</v>
      </c>
      <c r="B309" t="s">
        <v>1620</v>
      </c>
      <c r="C309" t="s">
        <v>21</v>
      </c>
      <c r="D309" t="s">
        <v>1623</v>
      </c>
    </row>
    <row r="310" spans="1:4">
      <c r="A310" t="s">
        <v>951</v>
      </c>
      <c r="B310" t="s">
        <v>39</v>
      </c>
      <c r="C310" t="s">
        <v>21</v>
      </c>
      <c r="D310" t="s">
        <v>1999</v>
      </c>
    </row>
    <row r="311" spans="1:4">
      <c r="A311" t="s">
        <v>952</v>
      </c>
      <c r="B311" t="s">
        <v>1445</v>
      </c>
      <c r="C311" t="s">
        <v>21</v>
      </c>
      <c r="D311" t="s">
        <v>1989</v>
      </c>
    </row>
    <row r="312" spans="1:4">
      <c r="A312" t="s">
        <v>953</v>
      </c>
      <c r="B312" t="s">
        <v>1624</v>
      </c>
      <c r="C312" t="s">
        <v>21</v>
      </c>
      <c r="D312" t="s">
        <v>1631</v>
      </c>
    </row>
    <row r="313" spans="1:4">
      <c r="A313" t="s">
        <v>954</v>
      </c>
      <c r="B313" t="s">
        <v>1626</v>
      </c>
      <c r="C313" t="s">
        <v>21</v>
      </c>
      <c r="D313" t="s">
        <v>1950</v>
      </c>
    </row>
    <row r="314" spans="1:4">
      <c r="A314" t="s">
        <v>955</v>
      </c>
      <c r="B314" t="s">
        <v>1514</v>
      </c>
      <c r="C314" t="s">
        <v>21</v>
      </c>
      <c r="D314" t="s">
        <v>1632</v>
      </c>
    </row>
    <row r="315" spans="1:4">
      <c r="A315" t="s">
        <v>956</v>
      </c>
      <c r="B315" t="s">
        <v>1628</v>
      </c>
      <c r="C315" t="s">
        <v>21</v>
      </c>
      <c r="D315" t="s">
        <v>1640</v>
      </c>
    </row>
    <row r="316" spans="1:4">
      <c r="A316" t="s">
        <v>957</v>
      </c>
      <c r="B316" t="s">
        <v>1333</v>
      </c>
      <c r="C316" t="s">
        <v>21</v>
      </c>
      <c r="D316" t="s">
        <v>1641</v>
      </c>
    </row>
    <row r="317" spans="1:4">
      <c r="A317" t="s">
        <v>958</v>
      </c>
      <c r="B317" t="s">
        <v>1633</v>
      </c>
      <c r="C317" t="s">
        <v>21</v>
      </c>
      <c r="D317" t="s">
        <v>1642</v>
      </c>
    </row>
    <row r="318" spans="1:4">
      <c r="A318" t="s">
        <v>959</v>
      </c>
      <c r="B318" t="s">
        <v>1635</v>
      </c>
      <c r="C318" t="s">
        <v>21</v>
      </c>
      <c r="D318" t="s">
        <v>1668</v>
      </c>
    </row>
    <row r="319" spans="1:4">
      <c r="A319" t="s">
        <v>960</v>
      </c>
      <c r="B319" t="s">
        <v>1637</v>
      </c>
      <c r="C319" t="s">
        <v>21</v>
      </c>
      <c r="D319" t="s">
        <v>1669</v>
      </c>
    </row>
    <row r="320" spans="1:4">
      <c r="A320" t="s">
        <v>961</v>
      </c>
      <c r="B320" t="s">
        <v>1618</v>
      </c>
      <c r="C320" t="s">
        <v>21</v>
      </c>
      <c r="D320" t="s">
        <v>1643</v>
      </c>
    </row>
    <row r="321" spans="1:4">
      <c r="A321" t="s">
        <v>962</v>
      </c>
      <c r="B321" t="s">
        <v>1644</v>
      </c>
      <c r="C321" t="s">
        <v>21</v>
      </c>
      <c r="D321" t="s">
        <v>1650</v>
      </c>
    </row>
    <row r="322" spans="1:4">
      <c r="A322" t="s">
        <v>963</v>
      </c>
      <c r="B322" t="s">
        <v>1542</v>
      </c>
      <c r="C322" t="s">
        <v>21</v>
      </c>
      <c r="D322" t="s">
        <v>1767</v>
      </c>
    </row>
    <row r="323" spans="1:4">
      <c r="A323" t="s">
        <v>964</v>
      </c>
      <c r="B323" t="s">
        <v>1646</v>
      </c>
      <c r="C323" t="s">
        <v>21</v>
      </c>
      <c r="D323" t="s">
        <v>1651</v>
      </c>
    </row>
    <row r="324" spans="1:4">
      <c r="A324" t="s">
        <v>965</v>
      </c>
      <c r="B324" t="s">
        <v>1652</v>
      </c>
      <c r="C324" t="s">
        <v>21</v>
      </c>
      <c r="D324" t="s">
        <v>1661</v>
      </c>
    </row>
    <row r="325" spans="1:4">
      <c r="A325" t="s">
        <v>966</v>
      </c>
      <c r="B325" t="s">
        <v>1654</v>
      </c>
      <c r="C325" t="s">
        <v>21</v>
      </c>
      <c r="D325" t="s">
        <v>1662</v>
      </c>
    </row>
    <row r="326" spans="1:4">
      <c r="A326" t="s">
        <v>967</v>
      </c>
      <c r="B326" t="s">
        <v>1422</v>
      </c>
      <c r="C326" t="s">
        <v>21</v>
      </c>
      <c r="D326" t="s">
        <v>1795</v>
      </c>
    </row>
    <row r="327" spans="1:4">
      <c r="A327" t="s">
        <v>968</v>
      </c>
      <c r="B327" t="s">
        <v>1656</v>
      </c>
      <c r="C327" t="s">
        <v>21</v>
      </c>
      <c r="D327" t="s">
        <v>1663</v>
      </c>
    </row>
    <row r="328" spans="1:4">
      <c r="A328" t="s">
        <v>969</v>
      </c>
      <c r="B328" t="s">
        <v>1664</v>
      </c>
      <c r="C328" t="s">
        <v>21</v>
      </c>
      <c r="D328" t="s">
        <v>1670</v>
      </c>
    </row>
    <row r="329" spans="1:4">
      <c r="A329" t="s">
        <v>970</v>
      </c>
      <c r="B329" t="s">
        <v>1665</v>
      </c>
      <c r="C329" t="s">
        <v>21</v>
      </c>
      <c r="D329" t="s">
        <v>1671</v>
      </c>
    </row>
    <row r="330" spans="1:4">
      <c r="A330" t="s">
        <v>971</v>
      </c>
      <c r="B330" t="s">
        <v>1203</v>
      </c>
      <c r="C330" t="s">
        <v>21</v>
      </c>
      <c r="D330" t="s">
        <v>1768</v>
      </c>
    </row>
    <row r="331" spans="1:4">
      <c r="A331" t="s">
        <v>972</v>
      </c>
      <c r="B331" t="s">
        <v>1652</v>
      </c>
      <c r="C331" t="s">
        <v>21</v>
      </c>
      <c r="D331" t="s">
        <v>1672</v>
      </c>
    </row>
    <row r="332" spans="1:4">
      <c r="A332" t="s">
        <v>973</v>
      </c>
      <c r="B332" t="s">
        <v>1667</v>
      </c>
      <c r="C332" t="s">
        <v>21</v>
      </c>
      <c r="D332" t="s">
        <v>1673</v>
      </c>
    </row>
    <row r="333" spans="1:4">
      <c r="A333" t="s">
        <v>974</v>
      </c>
      <c r="B333" t="s">
        <v>1674</v>
      </c>
      <c r="C333" t="s">
        <v>21</v>
      </c>
      <c r="D333" t="s">
        <v>1687</v>
      </c>
    </row>
    <row r="334" spans="1:4">
      <c r="A334" t="s">
        <v>975</v>
      </c>
      <c r="B334" t="s">
        <v>1676</v>
      </c>
      <c r="C334" t="s">
        <v>21</v>
      </c>
      <c r="D334" t="s">
        <v>1688</v>
      </c>
    </row>
    <row r="335" spans="1:4">
      <c r="A335" t="s">
        <v>977</v>
      </c>
      <c r="B335" t="s">
        <v>1678</v>
      </c>
      <c r="C335" t="s">
        <v>21</v>
      </c>
      <c r="D335" t="s">
        <v>1689</v>
      </c>
    </row>
    <row r="336" spans="1:4">
      <c r="A336" t="s">
        <v>978</v>
      </c>
      <c r="B336" t="s">
        <v>1680</v>
      </c>
      <c r="C336" t="s">
        <v>21</v>
      </c>
      <c r="D336" t="s">
        <v>1690</v>
      </c>
    </row>
    <row r="337" spans="1:4">
      <c r="A337" t="s">
        <v>979</v>
      </c>
      <c r="B337" t="s">
        <v>1682</v>
      </c>
      <c r="C337" t="s">
        <v>21</v>
      </c>
      <c r="D337" t="s">
        <v>1691</v>
      </c>
    </row>
    <row r="338" spans="1:4">
      <c r="A338" t="s">
        <v>980</v>
      </c>
      <c r="B338" t="s">
        <v>1467</v>
      </c>
      <c r="C338" t="s">
        <v>21</v>
      </c>
      <c r="D338" t="s">
        <v>1692</v>
      </c>
    </row>
    <row r="339" spans="1:4">
      <c r="A339" t="s">
        <v>981</v>
      </c>
      <c r="B339" t="s">
        <v>1684</v>
      </c>
      <c r="C339" t="s">
        <v>21</v>
      </c>
      <c r="D339" t="s">
        <v>1693</v>
      </c>
    </row>
    <row r="340" spans="1:4">
      <c r="A340" t="s">
        <v>982</v>
      </c>
      <c r="B340" t="s">
        <v>1694</v>
      </c>
      <c r="C340" t="s">
        <v>21</v>
      </c>
      <c r="D340" t="s">
        <v>1796</v>
      </c>
    </row>
    <row r="341" spans="1:4">
      <c r="A341" t="s">
        <v>983</v>
      </c>
      <c r="B341" t="s">
        <v>127</v>
      </c>
      <c r="C341" t="s">
        <v>21</v>
      </c>
      <c r="D341" t="s">
        <v>1726</v>
      </c>
    </row>
    <row r="342" spans="1:4">
      <c r="A342" t="s">
        <v>247</v>
      </c>
      <c r="B342" t="s">
        <v>582</v>
      </c>
      <c r="C342" t="s">
        <v>21</v>
      </c>
      <c r="D342" t="s">
        <v>1862</v>
      </c>
    </row>
    <row r="343" spans="1:4">
      <c r="A343" t="s">
        <v>984</v>
      </c>
      <c r="B343" t="s">
        <v>1696</v>
      </c>
      <c r="C343" t="s">
        <v>21</v>
      </c>
      <c r="D343" t="s">
        <v>1700</v>
      </c>
    </row>
    <row r="344" spans="1:4">
      <c r="A344" t="s">
        <v>985</v>
      </c>
      <c r="B344" t="s">
        <v>1698</v>
      </c>
      <c r="C344" t="s">
        <v>21</v>
      </c>
      <c r="D344" t="s">
        <v>1701</v>
      </c>
    </row>
    <row r="345" spans="1:4">
      <c r="A345" t="s">
        <v>986</v>
      </c>
      <c r="B345" t="s">
        <v>283</v>
      </c>
      <c r="C345" t="s">
        <v>21</v>
      </c>
      <c r="D345" t="s">
        <v>1708</v>
      </c>
    </row>
    <row r="346" spans="1:4">
      <c r="A346" t="s">
        <v>987</v>
      </c>
      <c r="B346" t="s">
        <v>1709</v>
      </c>
      <c r="C346" t="s">
        <v>21</v>
      </c>
      <c r="D346" t="s">
        <v>1718</v>
      </c>
    </row>
    <row r="347" spans="1:4">
      <c r="A347" t="s">
        <v>988</v>
      </c>
      <c r="B347" t="s">
        <v>1711</v>
      </c>
      <c r="C347" t="s">
        <v>21</v>
      </c>
      <c r="D347" t="s">
        <v>1719</v>
      </c>
    </row>
    <row r="348" spans="1:4">
      <c r="A348" t="s">
        <v>989</v>
      </c>
      <c r="B348" t="s">
        <v>1713</v>
      </c>
      <c r="C348" t="s">
        <v>21</v>
      </c>
      <c r="D348" t="s">
        <v>1720</v>
      </c>
    </row>
    <row r="349" spans="1:4">
      <c r="A349" t="s">
        <v>990</v>
      </c>
      <c r="B349" t="s">
        <v>1721</v>
      </c>
      <c r="C349" t="s">
        <v>21</v>
      </c>
      <c r="D349" t="s">
        <v>1727</v>
      </c>
    </row>
    <row r="350" spans="1:4">
      <c r="A350" t="s">
        <v>991</v>
      </c>
      <c r="B350" t="s">
        <v>134</v>
      </c>
      <c r="C350" t="s">
        <v>21</v>
      </c>
      <c r="D350" t="s">
        <v>1990</v>
      </c>
    </row>
    <row r="351" spans="1:4">
      <c r="A351" t="s">
        <v>992</v>
      </c>
      <c r="B351" t="s">
        <v>1577</v>
      </c>
      <c r="C351" t="s">
        <v>21</v>
      </c>
      <c r="D351" t="s">
        <v>1728</v>
      </c>
    </row>
    <row r="352" spans="1:4">
      <c r="A352" t="s">
        <v>993</v>
      </c>
      <c r="B352" t="s">
        <v>1729</v>
      </c>
      <c r="C352" t="s">
        <v>21</v>
      </c>
      <c r="D352" t="s">
        <v>1920</v>
      </c>
    </row>
    <row r="353" spans="1:4">
      <c r="A353" t="s">
        <v>994</v>
      </c>
      <c r="B353" t="s">
        <v>1731</v>
      </c>
      <c r="C353" t="s">
        <v>21</v>
      </c>
      <c r="D353" t="s">
        <v>1738</v>
      </c>
    </row>
    <row r="354" spans="1:4">
      <c r="A354" t="s">
        <v>995</v>
      </c>
      <c r="B354" t="s">
        <v>1733</v>
      </c>
      <c r="C354" t="s">
        <v>21</v>
      </c>
      <c r="D354" t="s">
        <v>1739</v>
      </c>
    </row>
    <row r="355" spans="1:4">
      <c r="A355" t="s">
        <v>996</v>
      </c>
      <c r="B355" t="s">
        <v>1735</v>
      </c>
      <c r="C355" t="s">
        <v>21</v>
      </c>
      <c r="D355" t="s">
        <v>1740</v>
      </c>
    </row>
    <row r="356" spans="1:4">
      <c r="A356" t="s">
        <v>997</v>
      </c>
      <c r="B356" t="s">
        <v>1741</v>
      </c>
      <c r="C356" t="s">
        <v>21</v>
      </c>
      <c r="D356" t="s">
        <v>1748</v>
      </c>
    </row>
    <row r="357" spans="1:4">
      <c r="A357" t="s">
        <v>998</v>
      </c>
      <c r="B357" t="s">
        <v>1743</v>
      </c>
      <c r="C357" t="s">
        <v>21</v>
      </c>
      <c r="D357" t="s">
        <v>1749</v>
      </c>
    </row>
    <row r="358" spans="1:4">
      <c r="A358" t="s">
        <v>999</v>
      </c>
      <c r="B358" t="s">
        <v>144</v>
      </c>
      <c r="C358" t="s">
        <v>21</v>
      </c>
      <c r="D358" t="s">
        <v>1750</v>
      </c>
    </row>
    <row r="359" spans="1:4">
      <c r="A359" t="s">
        <v>1000</v>
      </c>
      <c r="B359" t="s">
        <v>1745</v>
      </c>
      <c r="C359" t="s">
        <v>21</v>
      </c>
      <c r="D359" t="s">
        <v>1751</v>
      </c>
    </row>
    <row r="360" spans="1:4">
      <c r="A360" t="s">
        <v>1001</v>
      </c>
      <c r="B360" t="s">
        <v>174</v>
      </c>
      <c r="C360" t="s">
        <v>21</v>
      </c>
      <c r="D360" t="s">
        <v>1752</v>
      </c>
    </row>
    <row r="361" spans="1:4">
      <c r="A361" t="s">
        <v>1002</v>
      </c>
      <c r="B361" t="s">
        <v>1753</v>
      </c>
      <c r="C361" t="s">
        <v>21</v>
      </c>
      <c r="D361" t="s">
        <v>1760</v>
      </c>
    </row>
    <row r="362" spans="1:4">
      <c r="A362" t="s">
        <v>1003</v>
      </c>
      <c r="B362" t="s">
        <v>1755</v>
      </c>
      <c r="C362" t="s">
        <v>21</v>
      </c>
      <c r="D362" t="s">
        <v>1761</v>
      </c>
    </row>
    <row r="363" spans="1:4">
      <c r="A363" t="s">
        <v>1004</v>
      </c>
      <c r="B363" t="s">
        <v>642</v>
      </c>
      <c r="C363" t="s">
        <v>21</v>
      </c>
      <c r="D363" t="s">
        <v>1769</v>
      </c>
    </row>
    <row r="364" spans="1:4">
      <c r="A364" t="s">
        <v>1005</v>
      </c>
      <c r="B364" t="s">
        <v>1762</v>
      </c>
      <c r="C364" t="s">
        <v>21</v>
      </c>
      <c r="D364" t="s">
        <v>1770</v>
      </c>
    </row>
    <row r="365" spans="1:4">
      <c r="A365" t="s">
        <v>1006</v>
      </c>
      <c r="B365" t="s">
        <v>1771</v>
      </c>
      <c r="C365" t="s">
        <v>21</v>
      </c>
      <c r="D365" t="s">
        <v>1779</v>
      </c>
    </row>
    <row r="366" spans="1:4">
      <c r="A366" t="s">
        <v>1007</v>
      </c>
      <c r="B366" t="s">
        <v>1773</v>
      </c>
      <c r="C366" t="s">
        <v>21</v>
      </c>
      <c r="D366" t="s">
        <v>1780</v>
      </c>
    </row>
    <row r="367" spans="1:4">
      <c r="A367" t="s">
        <v>1008</v>
      </c>
      <c r="B367" t="s">
        <v>1775</v>
      </c>
      <c r="C367" t="s">
        <v>21</v>
      </c>
      <c r="D367" t="s">
        <v>1781</v>
      </c>
    </row>
    <row r="368" spans="1:4">
      <c r="A368" t="s">
        <v>118</v>
      </c>
      <c r="B368" t="s">
        <v>552</v>
      </c>
      <c r="C368" t="s">
        <v>21</v>
      </c>
      <c r="D368" t="s">
        <v>1787</v>
      </c>
    </row>
    <row r="369" spans="1:4">
      <c r="A369" t="s">
        <v>1009</v>
      </c>
      <c r="B369" t="s">
        <v>274</v>
      </c>
      <c r="C369" t="s">
        <v>21</v>
      </c>
      <c r="D369" t="s">
        <v>1788</v>
      </c>
    </row>
    <row r="370" spans="1:4">
      <c r="A370" t="s">
        <v>607</v>
      </c>
      <c r="B370" t="s">
        <v>662</v>
      </c>
      <c r="C370" t="s">
        <v>21</v>
      </c>
      <c r="D370" t="s">
        <v>1797</v>
      </c>
    </row>
    <row r="371" spans="1:4">
      <c r="A371" t="s">
        <v>1010</v>
      </c>
      <c r="B371" t="s">
        <v>1437</v>
      </c>
      <c r="C371" t="s">
        <v>21</v>
      </c>
      <c r="D371" t="s">
        <v>1798</v>
      </c>
    </row>
    <row r="372" spans="1:4">
      <c r="A372" t="s">
        <v>1011</v>
      </c>
      <c r="B372" t="s">
        <v>1789</v>
      </c>
      <c r="C372" t="s">
        <v>21</v>
      </c>
      <c r="D372" t="s">
        <v>1799</v>
      </c>
    </row>
    <row r="373" spans="1:4">
      <c r="A373" t="s">
        <v>1012</v>
      </c>
      <c r="B373" t="s">
        <v>635</v>
      </c>
      <c r="C373" t="s">
        <v>21</v>
      </c>
      <c r="D373" t="s">
        <v>1804</v>
      </c>
    </row>
    <row r="374" spans="1:4">
      <c r="A374" t="s">
        <v>1013</v>
      </c>
      <c r="B374" t="s">
        <v>1800</v>
      </c>
      <c r="C374" t="s">
        <v>21</v>
      </c>
      <c r="D374" t="s">
        <v>1805</v>
      </c>
    </row>
    <row r="375" spans="1:4">
      <c r="A375" t="s">
        <v>1014</v>
      </c>
      <c r="B375" t="s">
        <v>688</v>
      </c>
      <c r="C375" t="s">
        <v>21</v>
      </c>
      <c r="D375" t="s">
        <v>1806</v>
      </c>
    </row>
    <row r="376" spans="1:4">
      <c r="A376" t="s">
        <v>1015</v>
      </c>
      <c r="B376" t="s">
        <v>1807</v>
      </c>
      <c r="C376" t="s">
        <v>21</v>
      </c>
      <c r="D376" t="s">
        <v>1814</v>
      </c>
    </row>
    <row r="377" spans="1:4">
      <c r="A377" t="s">
        <v>1016</v>
      </c>
      <c r="B377" t="s">
        <v>1809</v>
      </c>
      <c r="C377" t="s">
        <v>21</v>
      </c>
      <c r="D377" t="s">
        <v>1815</v>
      </c>
    </row>
    <row r="378" spans="1:4">
      <c r="A378" t="s">
        <v>1017</v>
      </c>
      <c r="B378" t="s">
        <v>1125</v>
      </c>
      <c r="C378" t="s">
        <v>21</v>
      </c>
      <c r="D378" t="s">
        <v>1816</v>
      </c>
    </row>
    <row r="379" spans="1:4">
      <c r="A379" t="s">
        <v>1018</v>
      </c>
      <c r="B379" t="s">
        <v>503</v>
      </c>
      <c r="C379" t="s">
        <v>21</v>
      </c>
      <c r="D379" t="s">
        <v>1817</v>
      </c>
    </row>
    <row r="380" spans="1:4">
      <c r="A380" t="s">
        <v>235</v>
      </c>
      <c r="B380" t="s">
        <v>137</v>
      </c>
      <c r="C380" t="s">
        <v>21</v>
      </c>
      <c r="D380" t="s">
        <v>1818</v>
      </c>
    </row>
    <row r="381" spans="1:4">
      <c r="A381" t="s">
        <v>1019</v>
      </c>
      <c r="B381" t="s">
        <v>1819</v>
      </c>
      <c r="C381" t="s">
        <v>21</v>
      </c>
      <c r="D381" t="s">
        <v>1824</v>
      </c>
    </row>
    <row r="382" spans="1:4">
      <c r="A382" t="s">
        <v>173</v>
      </c>
      <c r="B382" t="s">
        <v>516</v>
      </c>
      <c r="C382" t="s">
        <v>21</v>
      </c>
      <c r="D382" t="s">
        <v>1831</v>
      </c>
    </row>
    <row r="383" spans="1:4">
      <c r="A383" t="s">
        <v>1020</v>
      </c>
      <c r="B383" t="s">
        <v>1825</v>
      </c>
      <c r="C383" t="s">
        <v>21</v>
      </c>
      <c r="D383" t="s">
        <v>1832</v>
      </c>
    </row>
    <row r="384" spans="1:4">
      <c r="A384" t="s">
        <v>1021</v>
      </c>
      <c r="B384" t="s">
        <v>1827</v>
      </c>
      <c r="C384" t="s">
        <v>21</v>
      </c>
      <c r="D384" t="s">
        <v>1833</v>
      </c>
    </row>
    <row r="385" spans="1:4">
      <c r="A385" t="s">
        <v>1022</v>
      </c>
      <c r="B385" t="s">
        <v>499</v>
      </c>
      <c r="C385" t="s">
        <v>21</v>
      </c>
      <c r="D385" t="s">
        <v>1834</v>
      </c>
    </row>
    <row r="386" spans="1:4">
      <c r="A386" t="s">
        <v>1023</v>
      </c>
      <c r="B386" t="s">
        <v>1835</v>
      </c>
      <c r="C386" t="s">
        <v>21</v>
      </c>
      <c r="D386" t="s">
        <v>1841</v>
      </c>
    </row>
    <row r="387" spans="1:4">
      <c r="A387" t="s">
        <v>1024</v>
      </c>
      <c r="B387" t="s">
        <v>38</v>
      </c>
      <c r="C387" t="s">
        <v>21</v>
      </c>
      <c r="D387" t="s">
        <v>1842</v>
      </c>
    </row>
    <row r="388" spans="1:4">
      <c r="A388" t="s">
        <v>1025</v>
      </c>
      <c r="B388" t="s">
        <v>1838</v>
      </c>
      <c r="C388" t="s">
        <v>21</v>
      </c>
      <c r="D388" t="s">
        <v>2036</v>
      </c>
    </row>
    <row r="389" spans="1:4">
      <c r="A389" t="s">
        <v>113</v>
      </c>
      <c r="B389" t="s">
        <v>532</v>
      </c>
      <c r="C389" t="s">
        <v>21</v>
      </c>
      <c r="D389" t="s">
        <v>2000</v>
      </c>
    </row>
    <row r="390" spans="1:4">
      <c r="A390" t="s">
        <v>1026</v>
      </c>
      <c r="B390" t="s">
        <v>1843</v>
      </c>
      <c r="C390" t="s">
        <v>21</v>
      </c>
      <c r="D390" t="s">
        <v>1852</v>
      </c>
    </row>
    <row r="391" spans="1:4">
      <c r="A391" t="s">
        <v>1027</v>
      </c>
      <c r="B391" t="s">
        <v>1845</v>
      </c>
      <c r="C391" t="s">
        <v>21</v>
      </c>
      <c r="D391" t="s">
        <v>1853</v>
      </c>
    </row>
    <row r="392" spans="1:4">
      <c r="A392" t="s">
        <v>1028</v>
      </c>
      <c r="B392" t="s">
        <v>1847</v>
      </c>
      <c r="C392" t="s">
        <v>21</v>
      </c>
      <c r="D392" t="s">
        <v>1854</v>
      </c>
    </row>
    <row r="393" spans="1:4">
      <c r="A393" t="s">
        <v>610</v>
      </c>
      <c r="B393" t="s">
        <v>667</v>
      </c>
      <c r="C393" t="s">
        <v>21</v>
      </c>
      <c r="D393" t="s">
        <v>1863</v>
      </c>
    </row>
    <row r="394" spans="1:4">
      <c r="A394" t="s">
        <v>1029</v>
      </c>
      <c r="B394" t="s">
        <v>1855</v>
      </c>
      <c r="C394" t="s">
        <v>21</v>
      </c>
      <c r="D394" t="s">
        <v>1864</v>
      </c>
    </row>
    <row r="395" spans="1:4">
      <c r="A395" t="s">
        <v>1030</v>
      </c>
      <c r="B395" t="s">
        <v>1856</v>
      </c>
      <c r="C395" t="s">
        <v>21</v>
      </c>
      <c r="D395" t="s">
        <v>1865</v>
      </c>
    </row>
    <row r="396" spans="1:4">
      <c r="A396" t="s">
        <v>1031</v>
      </c>
      <c r="B396" t="s">
        <v>30</v>
      </c>
      <c r="C396" t="s">
        <v>21</v>
      </c>
      <c r="D396" t="s">
        <v>1866</v>
      </c>
    </row>
    <row r="397" spans="1:4">
      <c r="A397" t="s">
        <v>1032</v>
      </c>
      <c r="B397" t="s">
        <v>1313</v>
      </c>
      <c r="C397" t="s">
        <v>21</v>
      </c>
      <c r="D397" t="s">
        <v>1873</v>
      </c>
    </row>
    <row r="398" spans="1:4">
      <c r="A398" t="s">
        <v>1033</v>
      </c>
      <c r="B398" t="s">
        <v>1867</v>
      </c>
      <c r="C398" t="s">
        <v>21</v>
      </c>
      <c r="D398" t="s">
        <v>1874</v>
      </c>
    </row>
    <row r="399" spans="1:4">
      <c r="A399" t="s">
        <v>108</v>
      </c>
      <c r="B399" t="s">
        <v>343</v>
      </c>
      <c r="C399" t="s">
        <v>21</v>
      </c>
      <c r="D399" t="s">
        <v>1951</v>
      </c>
    </row>
    <row r="400" spans="1:4">
      <c r="A400" t="s">
        <v>1034</v>
      </c>
      <c r="B400" t="s">
        <v>1875</v>
      </c>
      <c r="C400" t="s">
        <v>21</v>
      </c>
      <c r="D400" t="s">
        <v>1882</v>
      </c>
    </row>
    <row r="401" spans="1:4">
      <c r="A401" t="s">
        <v>1035</v>
      </c>
      <c r="B401" t="s">
        <v>1877</v>
      </c>
      <c r="C401" t="s">
        <v>21</v>
      </c>
      <c r="D401" t="s">
        <v>1883</v>
      </c>
    </row>
    <row r="402" spans="1:4">
      <c r="A402" t="s">
        <v>1036</v>
      </c>
      <c r="B402" t="s">
        <v>1157</v>
      </c>
      <c r="C402" t="s">
        <v>21</v>
      </c>
      <c r="D402" t="s">
        <v>1884</v>
      </c>
    </row>
    <row r="403" spans="1:4">
      <c r="A403" t="s">
        <v>1037</v>
      </c>
      <c r="B403" t="s">
        <v>1674</v>
      </c>
      <c r="C403" t="s">
        <v>21</v>
      </c>
      <c r="D403" t="s">
        <v>2025</v>
      </c>
    </row>
    <row r="404" spans="1:4">
      <c r="A404" t="s">
        <v>1038</v>
      </c>
      <c r="B404" t="s">
        <v>267</v>
      </c>
      <c r="C404" t="s">
        <v>21</v>
      </c>
      <c r="D404" t="s">
        <v>1889</v>
      </c>
    </row>
    <row r="405" spans="1:4">
      <c r="A405" t="s">
        <v>1039</v>
      </c>
      <c r="B405" t="s">
        <v>1885</v>
      </c>
      <c r="C405" t="s">
        <v>21</v>
      </c>
      <c r="D405" t="s">
        <v>1890</v>
      </c>
    </row>
    <row r="406" spans="1:4">
      <c r="A406" t="s">
        <v>1040</v>
      </c>
      <c r="B406" t="s">
        <v>1891</v>
      </c>
      <c r="C406" t="s">
        <v>21</v>
      </c>
      <c r="D406" t="s">
        <v>1906</v>
      </c>
    </row>
    <row r="407" spans="1:4">
      <c r="A407" t="s">
        <v>1041</v>
      </c>
      <c r="B407" t="s">
        <v>1893</v>
      </c>
      <c r="C407" t="s">
        <v>21</v>
      </c>
      <c r="D407" t="s">
        <v>1907</v>
      </c>
    </row>
    <row r="408" spans="1:4">
      <c r="A408" t="s">
        <v>1042</v>
      </c>
      <c r="B408" t="s">
        <v>1895</v>
      </c>
      <c r="C408" t="s">
        <v>21</v>
      </c>
      <c r="D408" t="s">
        <v>1908</v>
      </c>
    </row>
    <row r="409" spans="1:4">
      <c r="A409" t="s">
        <v>1043</v>
      </c>
      <c r="B409" t="s">
        <v>1897</v>
      </c>
      <c r="C409" t="s">
        <v>21</v>
      </c>
      <c r="D409" t="s">
        <v>1909</v>
      </c>
    </row>
    <row r="410" spans="1:4">
      <c r="A410" t="s">
        <v>1044</v>
      </c>
      <c r="B410" t="s">
        <v>1899</v>
      </c>
      <c r="C410" t="s">
        <v>21</v>
      </c>
      <c r="D410" t="s">
        <v>1910</v>
      </c>
    </row>
    <row r="411" spans="1:4">
      <c r="A411" t="s">
        <v>1045</v>
      </c>
      <c r="B411" t="s">
        <v>1901</v>
      </c>
      <c r="C411" t="s">
        <v>21</v>
      </c>
      <c r="D411" t="s">
        <v>1952</v>
      </c>
    </row>
    <row r="412" spans="1:4">
      <c r="A412" t="s">
        <v>1046</v>
      </c>
      <c r="B412" t="s">
        <v>1911</v>
      </c>
      <c r="C412" t="s">
        <v>21</v>
      </c>
      <c r="D412" t="s">
        <v>1921</v>
      </c>
    </row>
    <row r="413" spans="1:4">
      <c r="A413" t="s">
        <v>1047</v>
      </c>
      <c r="B413" t="s">
        <v>136</v>
      </c>
      <c r="C413" t="s">
        <v>21</v>
      </c>
      <c r="D413" t="s">
        <v>1922</v>
      </c>
    </row>
    <row r="414" spans="1:4">
      <c r="A414" t="s">
        <v>1048</v>
      </c>
      <c r="B414" t="s">
        <v>1913</v>
      </c>
      <c r="C414" t="s">
        <v>21</v>
      </c>
      <c r="D414" t="s">
        <v>1923</v>
      </c>
    </row>
    <row r="415" spans="1:4">
      <c r="A415" t="s">
        <v>1049</v>
      </c>
      <c r="B415" t="s">
        <v>1489</v>
      </c>
      <c r="C415" t="s">
        <v>21</v>
      </c>
      <c r="D415" t="s">
        <v>1924</v>
      </c>
    </row>
    <row r="416" spans="1:4">
      <c r="A416" t="s">
        <v>1050</v>
      </c>
      <c r="B416" t="s">
        <v>1915</v>
      </c>
      <c r="C416" t="s">
        <v>21</v>
      </c>
      <c r="D416" t="s">
        <v>1925</v>
      </c>
    </row>
    <row r="417" spans="1:4">
      <c r="A417" t="s">
        <v>1051</v>
      </c>
      <c r="B417" t="s">
        <v>1917</v>
      </c>
      <c r="C417" t="s">
        <v>21</v>
      </c>
      <c r="D417" t="s">
        <v>1926</v>
      </c>
    </row>
    <row r="418" spans="1:4">
      <c r="A418" t="s">
        <v>1052</v>
      </c>
      <c r="B418" t="s">
        <v>1235</v>
      </c>
      <c r="C418" t="s">
        <v>21</v>
      </c>
      <c r="D418" t="s">
        <v>1938</v>
      </c>
    </row>
    <row r="419" spans="1:4">
      <c r="A419" t="s">
        <v>1053</v>
      </c>
      <c r="B419" t="s">
        <v>1927</v>
      </c>
      <c r="C419" t="s">
        <v>21</v>
      </c>
      <c r="D419" t="s">
        <v>1939</v>
      </c>
    </row>
    <row r="420" spans="1:4">
      <c r="A420" t="s">
        <v>1054</v>
      </c>
      <c r="B420" t="s">
        <v>1929</v>
      </c>
      <c r="C420" t="s">
        <v>21</v>
      </c>
      <c r="D420" t="s">
        <v>1940</v>
      </c>
    </row>
    <row r="421" spans="1:4">
      <c r="A421" t="s">
        <v>1055</v>
      </c>
      <c r="B421" t="s">
        <v>1931</v>
      </c>
      <c r="C421" t="s">
        <v>21</v>
      </c>
      <c r="D421" t="s">
        <v>1941</v>
      </c>
    </row>
    <row r="422" spans="1:4">
      <c r="A422" t="s">
        <v>1056</v>
      </c>
      <c r="B422" t="s">
        <v>135</v>
      </c>
      <c r="C422" t="s">
        <v>21</v>
      </c>
      <c r="D422" t="s">
        <v>1942</v>
      </c>
    </row>
    <row r="423" spans="1:4">
      <c r="A423" t="s">
        <v>1057</v>
      </c>
      <c r="B423" t="s">
        <v>1943</v>
      </c>
      <c r="C423" t="s">
        <v>21</v>
      </c>
      <c r="D423" t="s">
        <v>1953</v>
      </c>
    </row>
    <row r="424" spans="1:4">
      <c r="A424" t="s">
        <v>1058</v>
      </c>
      <c r="B424" t="s">
        <v>1416</v>
      </c>
      <c r="C424" t="s">
        <v>21</v>
      </c>
      <c r="D424" t="s">
        <v>1954</v>
      </c>
    </row>
    <row r="425" spans="1:4">
      <c r="A425" t="s">
        <v>1059</v>
      </c>
      <c r="B425" t="s">
        <v>1380</v>
      </c>
      <c r="C425" t="s">
        <v>21</v>
      </c>
      <c r="D425" t="s">
        <v>1955</v>
      </c>
    </row>
    <row r="426" spans="1:4">
      <c r="A426" t="s">
        <v>1060</v>
      </c>
      <c r="B426" t="s">
        <v>1945</v>
      </c>
      <c r="C426" t="s">
        <v>21</v>
      </c>
      <c r="D426" t="s">
        <v>1956</v>
      </c>
    </row>
    <row r="427" spans="1:4">
      <c r="A427" t="s">
        <v>1061</v>
      </c>
      <c r="B427" t="s">
        <v>1947</v>
      </c>
      <c r="C427" t="s">
        <v>21</v>
      </c>
      <c r="D427" t="s">
        <v>1957</v>
      </c>
    </row>
    <row r="428" spans="1:4">
      <c r="A428" t="s">
        <v>1062</v>
      </c>
      <c r="B428" t="s">
        <v>1958</v>
      </c>
      <c r="C428" t="s">
        <v>21</v>
      </c>
      <c r="D428" t="s">
        <v>1967</v>
      </c>
    </row>
    <row r="429" spans="1:4">
      <c r="A429" t="s">
        <v>1063</v>
      </c>
      <c r="B429" t="s">
        <v>1745</v>
      </c>
      <c r="C429" t="s">
        <v>21</v>
      </c>
      <c r="D429" t="s">
        <v>1968</v>
      </c>
    </row>
    <row r="430" spans="1:4">
      <c r="A430" t="s">
        <v>1064</v>
      </c>
      <c r="B430" t="s">
        <v>1845</v>
      </c>
      <c r="C430" t="s">
        <v>21</v>
      </c>
      <c r="D430" t="s">
        <v>1977</v>
      </c>
    </row>
    <row r="431" spans="1:4">
      <c r="A431" t="s">
        <v>1065</v>
      </c>
      <c r="B431" t="s">
        <v>1969</v>
      </c>
      <c r="C431" t="s">
        <v>21</v>
      </c>
      <c r="D431" t="s">
        <v>1978</v>
      </c>
    </row>
    <row r="432" spans="1:4">
      <c r="A432" t="s">
        <v>1066</v>
      </c>
      <c r="B432" t="s">
        <v>1971</v>
      </c>
      <c r="C432" t="s">
        <v>21</v>
      </c>
      <c r="D432" t="s">
        <v>1979</v>
      </c>
    </row>
    <row r="433" spans="1:4">
      <c r="A433" t="s">
        <v>1067</v>
      </c>
      <c r="B433" t="s">
        <v>295</v>
      </c>
      <c r="C433" t="s">
        <v>21</v>
      </c>
      <c r="D433" t="s">
        <v>1991</v>
      </c>
    </row>
    <row r="434" spans="1:4">
      <c r="A434" t="s">
        <v>1068</v>
      </c>
      <c r="B434" t="s">
        <v>1981</v>
      </c>
      <c r="C434" t="s">
        <v>21</v>
      </c>
      <c r="D434" t="s">
        <v>1992</v>
      </c>
    </row>
    <row r="435" spans="1:4">
      <c r="A435" t="s">
        <v>600</v>
      </c>
      <c r="B435" t="s">
        <v>644</v>
      </c>
      <c r="C435" t="s">
        <v>21</v>
      </c>
      <c r="D435" t="s">
        <v>1993</v>
      </c>
    </row>
    <row r="436" spans="1:4">
      <c r="A436" t="s">
        <v>1069</v>
      </c>
      <c r="B436" t="s">
        <v>1115</v>
      </c>
      <c r="C436" t="s">
        <v>21</v>
      </c>
      <c r="D436" t="s">
        <v>2001</v>
      </c>
    </row>
    <row r="437" spans="1:4">
      <c r="A437" t="s">
        <v>1070</v>
      </c>
      <c r="B437" t="s">
        <v>1491</v>
      </c>
      <c r="C437" t="s">
        <v>21</v>
      </c>
      <c r="D437" t="s">
        <v>2037</v>
      </c>
    </row>
    <row r="438" spans="1:4">
      <c r="A438" t="s">
        <v>1071</v>
      </c>
      <c r="B438" t="s">
        <v>501</v>
      </c>
      <c r="C438" t="s">
        <v>21</v>
      </c>
      <c r="D438" t="s">
        <v>2038</v>
      </c>
    </row>
    <row r="439" spans="1:4">
      <c r="A439" t="s">
        <v>1072</v>
      </c>
      <c r="B439" t="s">
        <v>1994</v>
      </c>
      <c r="C439" t="s">
        <v>21</v>
      </c>
      <c r="D439" t="s">
        <v>2002</v>
      </c>
    </row>
    <row r="440" spans="1:4">
      <c r="A440" t="s">
        <v>1073</v>
      </c>
      <c r="B440" t="s">
        <v>1678</v>
      </c>
      <c r="C440" t="s">
        <v>21</v>
      </c>
      <c r="D440" t="s">
        <v>2014</v>
      </c>
    </row>
    <row r="441" spans="1:4">
      <c r="A441" t="s">
        <v>1074</v>
      </c>
      <c r="B441" t="s">
        <v>2003</v>
      </c>
      <c r="C441" t="s">
        <v>21</v>
      </c>
      <c r="D441" t="s">
        <v>2015</v>
      </c>
    </row>
    <row r="442" spans="1:4">
      <c r="A442" t="s">
        <v>1075</v>
      </c>
      <c r="B442" t="s">
        <v>2005</v>
      </c>
      <c r="C442" t="s">
        <v>21</v>
      </c>
      <c r="D442" t="s">
        <v>2016</v>
      </c>
    </row>
    <row r="443" spans="1:4">
      <c r="A443" t="s">
        <v>1076</v>
      </c>
      <c r="B443" t="s">
        <v>1260</v>
      </c>
      <c r="C443" t="s">
        <v>21</v>
      </c>
      <c r="D443" t="s">
        <v>2026</v>
      </c>
    </row>
    <row r="444" spans="1:4">
      <c r="A444" t="s">
        <v>1077</v>
      </c>
      <c r="B444" t="s">
        <v>1193</v>
      </c>
      <c r="C444" t="s">
        <v>21</v>
      </c>
      <c r="D444" t="s">
        <v>2027</v>
      </c>
    </row>
    <row r="445" spans="1:4">
      <c r="A445" t="s">
        <v>1078</v>
      </c>
      <c r="B445" t="s">
        <v>1366</v>
      </c>
      <c r="C445" t="s">
        <v>21</v>
      </c>
      <c r="D445" t="s">
        <v>2028</v>
      </c>
    </row>
    <row r="446" spans="1:4">
      <c r="A446" t="s">
        <v>1079</v>
      </c>
      <c r="B446" t="s">
        <v>2017</v>
      </c>
      <c r="C446" t="s">
        <v>21</v>
      </c>
      <c r="D446" t="s">
        <v>2029</v>
      </c>
    </row>
    <row r="447" spans="1:4">
      <c r="A447" t="s">
        <v>588</v>
      </c>
      <c r="B447" t="s">
        <v>612</v>
      </c>
      <c r="C447" t="s">
        <v>21</v>
      </c>
      <c r="D447" t="s">
        <v>2039</v>
      </c>
    </row>
    <row r="448" spans="1:4">
      <c r="A448" t="s">
        <v>1080</v>
      </c>
      <c r="B448" t="s">
        <v>2040</v>
      </c>
      <c r="C448" t="s">
        <v>21</v>
      </c>
      <c r="D448" t="s">
        <v>2053</v>
      </c>
    </row>
    <row r="449" spans="1:4">
      <c r="A449" t="s">
        <v>1081</v>
      </c>
      <c r="B449" t="s">
        <v>2042</v>
      </c>
      <c r="C449" t="s">
        <v>21</v>
      </c>
      <c r="D449" t="s">
        <v>2054</v>
      </c>
    </row>
    <row r="450" spans="1:4">
      <c r="A450" t="s">
        <v>1082</v>
      </c>
      <c r="B450" t="s">
        <v>1333</v>
      </c>
      <c r="C450" t="s">
        <v>21</v>
      </c>
      <c r="D450" t="s">
        <v>2055</v>
      </c>
    </row>
    <row r="451" spans="1:4">
      <c r="A451" t="s">
        <v>1083</v>
      </c>
      <c r="B451" t="s">
        <v>2044</v>
      </c>
      <c r="C451" t="s">
        <v>21</v>
      </c>
      <c r="D451" t="s">
        <v>2056</v>
      </c>
    </row>
    <row r="452" spans="1:4">
      <c r="A452" t="s">
        <v>1084</v>
      </c>
      <c r="B452" t="s">
        <v>1855</v>
      </c>
      <c r="C452" t="s">
        <v>21</v>
      </c>
      <c r="D452" t="s">
        <v>2057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6CBB-41AB-4BAB-AE2C-B097CF039181}">
  <dimension ref="A1:D1"/>
  <sheetViews>
    <sheetView workbookViewId="0"/>
  </sheetViews>
  <sheetFormatPr defaultRowHeight="16.5"/>
  <sheetData>
    <row r="1" spans="1:4">
      <c r="A1" t="s">
        <v>327</v>
      </c>
      <c r="B1" t="s">
        <v>328</v>
      </c>
      <c r="C1" t="s">
        <v>329</v>
      </c>
      <c r="D1" t="s">
        <v>330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sheetPr>
    <tabColor theme="9" tint="-0.249977111117893"/>
  </sheetPr>
  <dimension ref="A1:V2270"/>
  <sheetViews>
    <sheetView showGridLines="0" tabSelected="1" zoomScale="50" zoomScaleNormal="50" workbookViewId="0">
      <pane xSplit="3" ySplit="1" topLeftCell="D346" activePane="bottomRight" state="frozen"/>
      <selection pane="topRight" activeCell="D1" sqref="D1"/>
      <selection pane="bottomLeft" activeCell="A2" sqref="A2"/>
      <selection pane="bottomRight" activeCell="D361" sqref="D361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4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5">
        <f xml:space="preserve"> COLUMN()</f>
        <v>1</v>
      </c>
      <c r="B1" s="35">
        <f t="shared" ref="B1:R1" si="0" xml:space="preserve"> COLUMN()</f>
        <v>2</v>
      </c>
      <c r="C1" s="35">
        <f t="shared" si="0"/>
        <v>3</v>
      </c>
      <c r="D1" s="35">
        <f t="shared" si="0"/>
        <v>4</v>
      </c>
      <c r="E1" s="35">
        <f t="shared" si="0"/>
        <v>5</v>
      </c>
      <c r="F1" s="35">
        <f t="shared" si="0"/>
        <v>6</v>
      </c>
      <c r="G1" s="35">
        <f t="shared" si="0"/>
        <v>7</v>
      </c>
      <c r="H1" s="35">
        <f t="shared" si="0"/>
        <v>8</v>
      </c>
      <c r="I1" s="35">
        <f t="shared" si="0"/>
        <v>9</v>
      </c>
      <c r="J1" s="35">
        <f t="shared" si="0"/>
        <v>10</v>
      </c>
      <c r="K1" s="35">
        <f t="shared" si="0"/>
        <v>11</v>
      </c>
      <c r="L1" s="35">
        <f t="shared" si="0"/>
        <v>12</v>
      </c>
      <c r="M1" s="35">
        <f t="shared" si="0"/>
        <v>13</v>
      </c>
      <c r="N1" s="35">
        <f t="shared" si="0"/>
        <v>14</v>
      </c>
      <c r="O1" s="35">
        <f t="shared" si="0"/>
        <v>15</v>
      </c>
      <c r="P1" s="35">
        <f t="shared" si="0"/>
        <v>16</v>
      </c>
      <c r="Q1" s="35">
        <f t="shared" si="0"/>
        <v>17</v>
      </c>
      <c r="R1" s="35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1306</v>
      </c>
    </row>
    <row r="3" spans="1:22" s="14" customFormat="1" ht="60" customHeight="1">
      <c r="B3" s="12"/>
      <c r="C3" s="1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T3" s="15"/>
      <c r="V3" s="84" t="s">
        <v>1085</v>
      </c>
    </row>
    <row r="4" spans="1:22" s="6" customFormat="1" ht="36" customHeight="1">
      <c r="B4" s="16"/>
      <c r="D4" s="88"/>
      <c r="E4" s="88" t="s">
        <v>1087</v>
      </c>
      <c r="F4" s="88" t="s">
        <v>1089</v>
      </c>
      <c r="G4" s="88" t="s">
        <v>1091</v>
      </c>
      <c r="H4" s="88" t="s">
        <v>1093</v>
      </c>
      <c r="I4" s="88" t="s">
        <v>1095</v>
      </c>
      <c r="J4" s="88" t="s">
        <v>1097</v>
      </c>
      <c r="K4" s="88" t="s">
        <v>1099</v>
      </c>
      <c r="L4" s="88"/>
      <c r="M4" s="88" t="s">
        <v>1101</v>
      </c>
      <c r="N4" s="88" t="s">
        <v>1103</v>
      </c>
      <c r="O4" s="88"/>
      <c r="P4" s="88" t="s">
        <v>1105</v>
      </c>
      <c r="Q4" s="88" t="s">
        <v>1107</v>
      </c>
      <c r="R4" s="88"/>
      <c r="S4" s="17"/>
      <c r="V4" s="85"/>
    </row>
    <row r="5" spans="1:22" s="6" customFormat="1" ht="80.099999999999994" customHeight="1">
      <c r="B5" s="18">
        <v>1</v>
      </c>
      <c r="D5" s="87" t="s">
        <v>34</v>
      </c>
      <c r="E5" s="87" t="s">
        <v>692</v>
      </c>
      <c r="F5" s="87" t="s">
        <v>693</v>
      </c>
      <c r="G5" s="87" t="s">
        <v>694</v>
      </c>
      <c r="H5" s="87" t="s">
        <v>695</v>
      </c>
      <c r="I5" s="87" t="s">
        <v>696</v>
      </c>
      <c r="J5" s="87" t="s">
        <v>697</v>
      </c>
      <c r="K5" s="87" t="s">
        <v>698</v>
      </c>
      <c r="L5" s="87" t="s">
        <v>37</v>
      </c>
      <c r="M5" s="87" t="s">
        <v>699</v>
      </c>
      <c r="N5" s="87" t="s">
        <v>700</v>
      </c>
      <c r="O5" s="87" t="s">
        <v>115</v>
      </c>
      <c r="P5" s="87" t="s">
        <v>701</v>
      </c>
      <c r="Q5" s="87" t="s">
        <v>702</v>
      </c>
      <c r="R5" s="87" t="str">
        <f>CHAR(10)</f>
        <v xml:space="preserve">
</v>
      </c>
      <c r="S5" s="19"/>
      <c r="V5" s="85"/>
    </row>
    <row r="6" spans="1:22" s="23" customFormat="1" ht="36" customHeight="1">
      <c r="B6" s="20"/>
      <c r="C6" s="21"/>
      <c r="D6" s="89"/>
      <c r="E6" s="89" t="s">
        <v>1088</v>
      </c>
      <c r="F6" s="89" t="s">
        <v>1090</v>
      </c>
      <c r="G6" s="89" t="s">
        <v>1092</v>
      </c>
      <c r="H6" s="89" t="s">
        <v>1094</v>
      </c>
      <c r="I6" s="89" t="s">
        <v>1096</v>
      </c>
      <c r="J6" s="89" t="s">
        <v>1098</v>
      </c>
      <c r="K6" s="89" t="s">
        <v>1100</v>
      </c>
      <c r="L6" s="89"/>
      <c r="M6" s="89" t="s">
        <v>1102</v>
      </c>
      <c r="N6" s="89" t="s">
        <v>1104</v>
      </c>
      <c r="O6" s="89"/>
      <c r="P6" s="89" t="s">
        <v>1106</v>
      </c>
      <c r="Q6" s="89" t="s">
        <v>1108</v>
      </c>
      <c r="R6" s="89"/>
      <c r="S6" s="22"/>
      <c r="V6" s="85"/>
    </row>
    <row r="7" spans="1:22" s="27" customFormat="1" ht="60" customHeight="1">
      <c r="B7" s="24"/>
      <c r="C7" s="25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26"/>
      <c r="V7" s="85"/>
    </row>
    <row r="8" spans="1:22" s="6" customFormat="1" ht="36" customHeight="1">
      <c r="B8" s="16"/>
      <c r="D8" s="88" t="s">
        <v>1109</v>
      </c>
      <c r="E8" s="88" t="s">
        <v>624</v>
      </c>
      <c r="F8" s="88" t="s">
        <v>1111</v>
      </c>
      <c r="G8" s="88" t="s">
        <v>1113</v>
      </c>
      <c r="H8" s="88" t="s">
        <v>1115</v>
      </c>
      <c r="I8" s="88"/>
      <c r="J8" s="88" t="s">
        <v>151</v>
      </c>
      <c r="K8" s="88" t="s">
        <v>148</v>
      </c>
      <c r="L8" s="88"/>
      <c r="M8" s="88" t="s">
        <v>1091</v>
      </c>
      <c r="N8" s="88" t="s">
        <v>1117</v>
      </c>
      <c r="O8" s="88" t="s">
        <v>1095</v>
      </c>
      <c r="P8" s="88" t="s">
        <v>97</v>
      </c>
      <c r="Q8" s="88" t="s">
        <v>1119</v>
      </c>
      <c r="R8" s="88" t="s">
        <v>1121</v>
      </c>
      <c r="S8" s="17"/>
      <c r="V8" s="85"/>
    </row>
    <row r="9" spans="1:22" s="6" customFormat="1" ht="80.099999999999994" customHeight="1">
      <c r="B9" s="18">
        <f>B5+1</f>
        <v>2</v>
      </c>
      <c r="D9" s="87" t="s">
        <v>703</v>
      </c>
      <c r="E9" s="87" t="s">
        <v>704</v>
      </c>
      <c r="F9" s="87" t="s">
        <v>705</v>
      </c>
      <c r="G9" s="87" t="s">
        <v>706</v>
      </c>
      <c r="H9" s="87" t="s">
        <v>707</v>
      </c>
      <c r="I9" s="87" t="s">
        <v>18</v>
      </c>
      <c r="J9" s="87" t="s">
        <v>121</v>
      </c>
      <c r="K9" s="87" t="s">
        <v>220</v>
      </c>
      <c r="L9" s="87" t="s">
        <v>18</v>
      </c>
      <c r="M9" s="87" t="s">
        <v>694</v>
      </c>
      <c r="N9" s="87" t="s">
        <v>708</v>
      </c>
      <c r="O9" s="87" t="s">
        <v>696</v>
      </c>
      <c r="P9" s="87" t="s">
        <v>709</v>
      </c>
      <c r="Q9" s="87" t="s">
        <v>710</v>
      </c>
      <c r="R9" s="87" t="s">
        <v>711</v>
      </c>
      <c r="S9" s="19"/>
      <c r="T9" s="15"/>
      <c r="V9" s="85"/>
    </row>
    <row r="10" spans="1:22" s="6" customFormat="1" ht="36" customHeight="1">
      <c r="B10" s="20"/>
      <c r="D10" s="89" t="s">
        <v>1110</v>
      </c>
      <c r="E10" s="89" t="s">
        <v>625</v>
      </c>
      <c r="F10" s="89" t="s">
        <v>1112</v>
      </c>
      <c r="G10" s="89" t="s">
        <v>1114</v>
      </c>
      <c r="H10" s="89" t="s">
        <v>1116</v>
      </c>
      <c r="I10" s="89"/>
      <c r="J10" s="89" t="s">
        <v>545</v>
      </c>
      <c r="K10" s="89" t="s">
        <v>549</v>
      </c>
      <c r="L10" s="89"/>
      <c r="M10" s="89" t="s">
        <v>1092</v>
      </c>
      <c r="N10" s="89" t="s">
        <v>1118</v>
      </c>
      <c r="O10" s="89" t="s">
        <v>1096</v>
      </c>
      <c r="P10" s="89" t="s">
        <v>523</v>
      </c>
      <c r="Q10" s="89" t="s">
        <v>1120</v>
      </c>
      <c r="R10" s="89" t="s">
        <v>1122</v>
      </c>
      <c r="S10" s="28"/>
      <c r="V10" s="85"/>
    </row>
    <row r="11" spans="1:22" s="26" customFormat="1" ht="60" customHeight="1">
      <c r="B11" s="29"/>
      <c r="C11" s="30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V11" s="85"/>
    </row>
    <row r="12" spans="1:22" s="6" customFormat="1" ht="36" customHeight="1">
      <c r="B12" s="16"/>
      <c r="D12" s="88" t="s">
        <v>657</v>
      </c>
      <c r="E12" s="88" t="s">
        <v>664</v>
      </c>
      <c r="F12" s="88" t="s">
        <v>1123</v>
      </c>
      <c r="G12" s="88" t="s">
        <v>1125</v>
      </c>
      <c r="H12" s="88"/>
      <c r="I12" s="88" t="s">
        <v>1127</v>
      </c>
      <c r="J12" s="88" t="s">
        <v>30</v>
      </c>
      <c r="K12" s="88" t="s">
        <v>1129</v>
      </c>
      <c r="L12" s="88" t="s">
        <v>1131</v>
      </c>
      <c r="M12" s="88" t="s">
        <v>678</v>
      </c>
      <c r="N12" s="88" t="s">
        <v>1123</v>
      </c>
      <c r="O12" s="88" t="s">
        <v>1133</v>
      </c>
      <c r="P12" s="88" t="s">
        <v>1135</v>
      </c>
      <c r="Q12" s="88" t="s">
        <v>1137</v>
      </c>
      <c r="R12" s="88" t="s">
        <v>1139</v>
      </c>
      <c r="S12" s="17"/>
      <c r="V12" s="85"/>
    </row>
    <row r="13" spans="1:22" s="6" customFormat="1" ht="80.099999999999994" customHeight="1">
      <c r="B13" s="18">
        <f>B9+1</f>
        <v>3</v>
      </c>
      <c r="D13" s="87" t="s">
        <v>712</v>
      </c>
      <c r="E13" s="87" t="s">
        <v>608</v>
      </c>
      <c r="F13" s="87" t="s">
        <v>713</v>
      </c>
      <c r="G13" s="87" t="s">
        <v>714</v>
      </c>
      <c r="H13" s="87" t="s">
        <v>18</v>
      </c>
      <c r="I13" s="87" t="s">
        <v>715</v>
      </c>
      <c r="J13" s="87" t="s">
        <v>29</v>
      </c>
      <c r="K13" s="87" t="s">
        <v>716</v>
      </c>
      <c r="L13" s="87" t="s">
        <v>717</v>
      </c>
      <c r="M13" s="87" t="s">
        <v>587</v>
      </c>
      <c r="N13" s="87" t="s">
        <v>713</v>
      </c>
      <c r="O13" s="87" t="s">
        <v>718</v>
      </c>
      <c r="P13" s="87" t="s">
        <v>719</v>
      </c>
      <c r="Q13" s="87" t="s">
        <v>720</v>
      </c>
      <c r="R13" s="87" t="s">
        <v>721</v>
      </c>
      <c r="S13" s="19"/>
      <c r="V13" s="85"/>
    </row>
    <row r="14" spans="1:22" s="6" customFormat="1" ht="36" customHeight="1">
      <c r="B14" s="20"/>
      <c r="D14" s="89" t="s">
        <v>658</v>
      </c>
      <c r="E14" s="89" t="s">
        <v>665</v>
      </c>
      <c r="F14" s="89" t="s">
        <v>1124</v>
      </c>
      <c r="G14" s="89" t="s">
        <v>1126</v>
      </c>
      <c r="H14" s="89"/>
      <c r="I14" s="89" t="s">
        <v>1128</v>
      </c>
      <c r="J14" s="89" t="s">
        <v>546</v>
      </c>
      <c r="K14" s="89" t="s">
        <v>1130</v>
      </c>
      <c r="L14" s="89" t="s">
        <v>1132</v>
      </c>
      <c r="M14" s="89" t="s">
        <v>679</v>
      </c>
      <c r="N14" s="89" t="s">
        <v>1124</v>
      </c>
      <c r="O14" s="89" t="s">
        <v>1134</v>
      </c>
      <c r="P14" s="89" t="s">
        <v>1136</v>
      </c>
      <c r="Q14" s="89" t="s">
        <v>1138</v>
      </c>
      <c r="R14" s="89" t="s">
        <v>1140</v>
      </c>
      <c r="S14" s="28"/>
      <c r="V14" s="85"/>
    </row>
    <row r="15" spans="1:22" s="32" customFormat="1" ht="60" customHeight="1">
      <c r="B15" s="12"/>
      <c r="C15" s="31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V15" s="85"/>
    </row>
    <row r="16" spans="1:22" s="6" customFormat="1" ht="36" customHeight="1">
      <c r="B16" s="16"/>
      <c r="D16" s="88"/>
      <c r="E16" s="88" t="s">
        <v>688</v>
      </c>
      <c r="F16" s="88" t="s">
        <v>30</v>
      </c>
      <c r="G16" s="88" t="s">
        <v>537</v>
      </c>
      <c r="H16" s="88" t="s">
        <v>1141</v>
      </c>
      <c r="I16" s="88" t="s">
        <v>1143</v>
      </c>
      <c r="J16" s="88"/>
      <c r="K16" s="88" t="s">
        <v>680</v>
      </c>
      <c r="L16" s="88" t="s">
        <v>1145</v>
      </c>
      <c r="M16" s="88" t="s">
        <v>1147</v>
      </c>
      <c r="N16" s="88" t="s">
        <v>276</v>
      </c>
      <c r="O16" s="88" t="s">
        <v>1117</v>
      </c>
      <c r="P16" s="88" t="s">
        <v>1149</v>
      </c>
      <c r="Q16" s="88" t="s">
        <v>1151</v>
      </c>
      <c r="R16" s="88" t="s">
        <v>664</v>
      </c>
      <c r="S16" s="17"/>
      <c r="V16" s="85"/>
    </row>
    <row r="17" spans="2:22" s="6" customFormat="1" ht="80.099999999999994" customHeight="1">
      <c r="B17" s="18">
        <f>B13+1</f>
        <v>4</v>
      </c>
      <c r="D17" s="87" t="s">
        <v>18</v>
      </c>
      <c r="E17" s="87" t="s">
        <v>609</v>
      </c>
      <c r="F17" s="87" t="s">
        <v>29</v>
      </c>
      <c r="G17" s="87" t="s">
        <v>36</v>
      </c>
      <c r="H17" s="87" t="s">
        <v>722</v>
      </c>
      <c r="I17" s="87" t="s">
        <v>723</v>
      </c>
      <c r="J17" s="87" t="s">
        <v>18</v>
      </c>
      <c r="K17" s="87" t="s">
        <v>593</v>
      </c>
      <c r="L17" s="87" t="s">
        <v>724</v>
      </c>
      <c r="M17" s="87" t="s">
        <v>725</v>
      </c>
      <c r="N17" s="87" t="s">
        <v>726</v>
      </c>
      <c r="O17" s="87" t="s">
        <v>708</v>
      </c>
      <c r="P17" s="87" t="s">
        <v>727</v>
      </c>
      <c r="Q17" s="87" t="s">
        <v>728</v>
      </c>
      <c r="R17" s="87" t="s">
        <v>608</v>
      </c>
      <c r="S17" s="19"/>
      <c r="V17" s="85"/>
    </row>
    <row r="18" spans="2:22" s="6" customFormat="1" ht="36" customHeight="1">
      <c r="B18" s="20"/>
      <c r="D18" s="89"/>
      <c r="E18" s="89" t="s">
        <v>666</v>
      </c>
      <c r="F18" s="89" t="s">
        <v>546</v>
      </c>
      <c r="G18" s="89" t="s">
        <v>538</v>
      </c>
      <c r="H18" s="89" t="s">
        <v>1142</v>
      </c>
      <c r="I18" s="89" t="s">
        <v>1144</v>
      </c>
      <c r="J18" s="89"/>
      <c r="K18" s="89" t="s">
        <v>321</v>
      </c>
      <c r="L18" s="89" t="s">
        <v>1146</v>
      </c>
      <c r="M18" s="89" t="s">
        <v>1148</v>
      </c>
      <c r="N18" s="89" t="s">
        <v>535</v>
      </c>
      <c r="O18" s="89" t="s">
        <v>1118</v>
      </c>
      <c r="P18" s="89" t="s">
        <v>1150</v>
      </c>
      <c r="Q18" s="89" t="s">
        <v>1152</v>
      </c>
      <c r="R18" s="89" t="s">
        <v>665</v>
      </c>
      <c r="S18" s="28"/>
      <c r="V18" s="85"/>
    </row>
    <row r="19" spans="2:22" s="32" customFormat="1" ht="60" customHeight="1">
      <c r="B19" s="12"/>
      <c r="C19" s="31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V19" s="85"/>
    </row>
    <row r="20" spans="2:22" s="6" customFormat="1" ht="36" customHeight="1">
      <c r="B20" s="16"/>
      <c r="D20" s="88" t="s">
        <v>1153</v>
      </c>
      <c r="E20" s="88"/>
      <c r="F20" s="88" t="s">
        <v>1155</v>
      </c>
      <c r="G20" s="88" t="s">
        <v>637</v>
      </c>
      <c r="H20" s="88" t="s">
        <v>1125</v>
      </c>
      <c r="I20" s="88" t="s">
        <v>1093</v>
      </c>
      <c r="J20" s="88" t="s">
        <v>657</v>
      </c>
      <c r="K20" s="88" t="s">
        <v>1123</v>
      </c>
      <c r="L20" s="88"/>
      <c r="M20" s="88" t="s">
        <v>1157</v>
      </c>
      <c r="N20" s="88" t="s">
        <v>1159</v>
      </c>
      <c r="O20" s="88" t="s">
        <v>260</v>
      </c>
      <c r="P20" s="88" t="s">
        <v>184</v>
      </c>
      <c r="Q20" s="88"/>
      <c r="R20" s="88" t="s">
        <v>624</v>
      </c>
      <c r="S20" s="17"/>
      <c r="V20" s="85"/>
    </row>
    <row r="21" spans="2:22" s="6" customFormat="1" ht="80.099999999999994" customHeight="1">
      <c r="B21" s="18">
        <f>B17+1</f>
        <v>5</v>
      </c>
      <c r="D21" s="87" t="s">
        <v>729</v>
      </c>
      <c r="E21" s="87" t="s">
        <v>18</v>
      </c>
      <c r="F21" s="87" t="s">
        <v>730</v>
      </c>
      <c r="G21" s="87" t="s">
        <v>598</v>
      </c>
      <c r="H21" s="87" t="s">
        <v>714</v>
      </c>
      <c r="I21" s="87" t="s">
        <v>695</v>
      </c>
      <c r="J21" s="87" t="s">
        <v>712</v>
      </c>
      <c r="K21" s="87" t="s">
        <v>713</v>
      </c>
      <c r="L21" s="87" t="s">
        <v>731</v>
      </c>
      <c r="M21" s="87" t="s">
        <v>732</v>
      </c>
      <c r="N21" s="87" t="s">
        <v>733</v>
      </c>
      <c r="O21" s="87" t="s">
        <v>734</v>
      </c>
      <c r="P21" s="87" t="s">
        <v>241</v>
      </c>
      <c r="Q21" s="87" t="s">
        <v>18</v>
      </c>
      <c r="R21" s="87" t="s">
        <v>704</v>
      </c>
      <c r="S21" s="19"/>
      <c r="V21" s="85"/>
    </row>
    <row r="22" spans="2:22" s="6" customFormat="1" ht="36" customHeight="1">
      <c r="B22" s="20"/>
      <c r="D22" s="89" t="s">
        <v>1154</v>
      </c>
      <c r="E22" s="89"/>
      <c r="F22" s="89" t="s">
        <v>1156</v>
      </c>
      <c r="G22" s="89" t="s">
        <v>638</v>
      </c>
      <c r="H22" s="89" t="s">
        <v>1126</v>
      </c>
      <c r="I22" s="89" t="s">
        <v>1094</v>
      </c>
      <c r="J22" s="89" t="s">
        <v>658</v>
      </c>
      <c r="K22" s="89" t="s">
        <v>1124</v>
      </c>
      <c r="L22" s="89"/>
      <c r="M22" s="89" t="s">
        <v>1158</v>
      </c>
      <c r="N22" s="89" t="s">
        <v>1160</v>
      </c>
      <c r="O22" s="89" t="s">
        <v>506</v>
      </c>
      <c r="P22" s="89" t="s">
        <v>571</v>
      </c>
      <c r="Q22" s="89"/>
      <c r="R22" s="89" t="s">
        <v>625</v>
      </c>
      <c r="S22" s="28"/>
      <c r="V22" s="85"/>
    </row>
    <row r="23" spans="2:22" s="32" customFormat="1" ht="60" customHeight="1">
      <c r="B23" s="12"/>
      <c r="C23" s="31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V23" s="85"/>
    </row>
    <row r="24" spans="2:22" s="6" customFormat="1" ht="36" customHeight="1">
      <c r="B24" s="16"/>
      <c r="D24" s="88" t="s">
        <v>1162</v>
      </c>
      <c r="E24" s="88" t="s">
        <v>1164</v>
      </c>
      <c r="F24" s="88" t="s">
        <v>1166</v>
      </c>
      <c r="G24" s="88" t="s">
        <v>1168</v>
      </c>
      <c r="H24" s="88"/>
      <c r="I24" s="88" t="s">
        <v>568</v>
      </c>
      <c r="J24" s="88" t="s">
        <v>132</v>
      </c>
      <c r="K24" s="88" t="s">
        <v>1170</v>
      </c>
      <c r="L24" s="88" t="s">
        <v>1111</v>
      </c>
      <c r="M24" s="88"/>
      <c r="N24" s="88" t="s">
        <v>30</v>
      </c>
      <c r="O24" s="88" t="s">
        <v>1172</v>
      </c>
      <c r="P24" s="88" t="s">
        <v>1174</v>
      </c>
      <c r="Q24" s="88" t="s">
        <v>1175</v>
      </c>
      <c r="R24" s="88" t="s">
        <v>1177</v>
      </c>
      <c r="S24" s="17"/>
      <c r="V24" s="85"/>
    </row>
    <row r="25" spans="2:22" s="6" customFormat="1" ht="80.099999999999994" customHeight="1">
      <c r="B25" s="18">
        <f>B21+1</f>
        <v>6</v>
      </c>
      <c r="D25" s="87" t="s">
        <v>735</v>
      </c>
      <c r="E25" s="87" t="s">
        <v>736</v>
      </c>
      <c r="F25" s="87" t="s">
        <v>737</v>
      </c>
      <c r="G25" s="87" t="s">
        <v>738</v>
      </c>
      <c r="H25" s="87" t="s">
        <v>18</v>
      </c>
      <c r="I25" s="87" t="s">
        <v>123</v>
      </c>
      <c r="J25" s="87" t="s">
        <v>604</v>
      </c>
      <c r="K25" s="87" t="s">
        <v>739</v>
      </c>
      <c r="L25" s="87" t="s">
        <v>705</v>
      </c>
      <c r="M25" s="87" t="s">
        <v>18</v>
      </c>
      <c r="N25" s="87" t="s">
        <v>740</v>
      </c>
      <c r="O25" s="87" t="s">
        <v>741</v>
      </c>
      <c r="P25" s="87" t="s">
        <v>742</v>
      </c>
      <c r="Q25" s="87" t="s">
        <v>743</v>
      </c>
      <c r="R25" s="87" t="s">
        <v>744</v>
      </c>
      <c r="S25" s="19"/>
      <c r="V25" s="85"/>
    </row>
    <row r="26" spans="2:22" s="6" customFormat="1" ht="36" customHeight="1">
      <c r="B26" s="20"/>
      <c r="D26" s="89" t="s">
        <v>1163</v>
      </c>
      <c r="E26" s="89" t="s">
        <v>1165</v>
      </c>
      <c r="F26" s="89" t="s">
        <v>1167</v>
      </c>
      <c r="G26" s="89" t="s">
        <v>1169</v>
      </c>
      <c r="H26" s="89"/>
      <c r="I26" s="89" t="s">
        <v>569</v>
      </c>
      <c r="J26" s="89" t="s">
        <v>556</v>
      </c>
      <c r="K26" s="89" t="s">
        <v>1171</v>
      </c>
      <c r="L26" s="89" t="s">
        <v>1112</v>
      </c>
      <c r="M26" s="89"/>
      <c r="N26" s="89" t="s">
        <v>546</v>
      </c>
      <c r="O26" s="89" t="s">
        <v>1173</v>
      </c>
      <c r="P26" s="89" t="s">
        <v>661</v>
      </c>
      <c r="Q26" s="89" t="s">
        <v>1176</v>
      </c>
      <c r="R26" s="89" t="s">
        <v>1178</v>
      </c>
      <c r="S26" s="28"/>
      <c r="V26" s="85"/>
    </row>
    <row r="27" spans="2:22" s="32" customFormat="1" ht="60" customHeight="1">
      <c r="B27" s="12"/>
      <c r="C27" s="31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U27" s="32" t="str">
        <f t="shared" ref="U27:U32" si="1" xml:space="preserve"> MID($N$26,4,1)</f>
        <v/>
      </c>
      <c r="V27" s="85"/>
    </row>
    <row r="28" spans="2:22" s="6" customFormat="1" ht="36" customHeight="1">
      <c r="B28" s="16"/>
      <c r="D28" s="88"/>
      <c r="E28" s="88" t="s">
        <v>1117</v>
      </c>
      <c r="F28" s="88" t="s">
        <v>30</v>
      </c>
      <c r="G28" s="88" t="s">
        <v>1179</v>
      </c>
      <c r="H28" s="88" t="s">
        <v>142</v>
      </c>
      <c r="I28" s="88" t="s">
        <v>1133</v>
      </c>
      <c r="J28" s="88" t="s">
        <v>1182</v>
      </c>
      <c r="K28" s="88"/>
      <c r="L28" s="88" t="s">
        <v>1127</v>
      </c>
      <c r="M28" s="88" t="s">
        <v>1184</v>
      </c>
      <c r="N28" s="88" t="s">
        <v>147</v>
      </c>
      <c r="O28" s="88" t="s">
        <v>670</v>
      </c>
      <c r="P28" s="88"/>
      <c r="Q28" s="88" t="s">
        <v>1157</v>
      </c>
      <c r="R28" s="88" t="s">
        <v>1117</v>
      </c>
      <c r="S28" s="17"/>
      <c r="U28" s="32" t="str">
        <f t="shared" si="1"/>
        <v/>
      </c>
      <c r="V28" s="85"/>
    </row>
    <row r="29" spans="2:22" s="6" customFormat="1" ht="80.099999999999994" customHeight="1">
      <c r="B29" s="18">
        <f>B25+1</f>
        <v>7</v>
      </c>
      <c r="D29" s="87" t="s">
        <v>19</v>
      </c>
      <c r="E29" s="87" t="s">
        <v>708</v>
      </c>
      <c r="F29" s="87" t="s">
        <v>29</v>
      </c>
      <c r="G29" s="87" t="s">
        <v>745</v>
      </c>
      <c r="H29" s="87" t="s">
        <v>746</v>
      </c>
      <c r="I29" s="87" t="s">
        <v>718</v>
      </c>
      <c r="J29" s="87" t="s">
        <v>747</v>
      </c>
      <c r="K29" s="87" t="s">
        <v>18</v>
      </c>
      <c r="L29" s="87" t="s">
        <v>715</v>
      </c>
      <c r="M29" s="87" t="s">
        <v>748</v>
      </c>
      <c r="N29" s="87" t="s">
        <v>119</v>
      </c>
      <c r="O29" s="87" t="s">
        <v>497</v>
      </c>
      <c r="P29" s="87" t="s">
        <v>18</v>
      </c>
      <c r="Q29" s="87" t="s">
        <v>732</v>
      </c>
      <c r="R29" s="87" t="s">
        <v>708</v>
      </c>
      <c r="S29" s="19"/>
      <c r="U29" s="32" t="str">
        <f t="shared" si="1"/>
        <v/>
      </c>
      <c r="V29" s="85"/>
    </row>
    <row r="30" spans="2:22" s="6" customFormat="1" ht="36" customHeight="1">
      <c r="B30" s="20"/>
      <c r="D30" s="89"/>
      <c r="E30" s="89" t="s">
        <v>1118</v>
      </c>
      <c r="F30" s="89" t="s">
        <v>546</v>
      </c>
      <c r="G30" s="89" t="s">
        <v>1180</v>
      </c>
      <c r="H30" s="89" t="s">
        <v>1181</v>
      </c>
      <c r="I30" s="89" t="s">
        <v>1134</v>
      </c>
      <c r="J30" s="89" t="s">
        <v>1183</v>
      </c>
      <c r="K30" s="89"/>
      <c r="L30" s="89" t="s">
        <v>1128</v>
      </c>
      <c r="M30" s="89" t="s">
        <v>1185</v>
      </c>
      <c r="N30" s="89" t="s">
        <v>557</v>
      </c>
      <c r="O30" s="89" t="s">
        <v>671</v>
      </c>
      <c r="P30" s="89"/>
      <c r="Q30" s="89" t="s">
        <v>1158</v>
      </c>
      <c r="R30" s="89" t="s">
        <v>1118</v>
      </c>
      <c r="S30" s="28"/>
      <c r="U30" s="32" t="str">
        <f t="shared" si="1"/>
        <v/>
      </c>
      <c r="V30" s="85"/>
    </row>
    <row r="31" spans="2:22" s="32" customFormat="1" ht="60" customHeight="1">
      <c r="B31" s="12"/>
      <c r="C31" s="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U31" s="32" t="str">
        <f t="shared" si="1"/>
        <v/>
      </c>
      <c r="V31" s="85"/>
    </row>
    <row r="32" spans="2:22" s="6" customFormat="1" ht="36" customHeight="1">
      <c r="B32" s="16"/>
      <c r="D32" s="88" t="s">
        <v>1187</v>
      </c>
      <c r="E32" s="88" t="s">
        <v>98</v>
      </c>
      <c r="F32" s="88"/>
      <c r="G32" s="88" t="s">
        <v>1166</v>
      </c>
      <c r="H32" s="88" t="s">
        <v>1189</v>
      </c>
      <c r="I32" s="88" t="s">
        <v>1123</v>
      </c>
      <c r="J32" s="88" t="s">
        <v>1191</v>
      </c>
      <c r="K32" s="88"/>
      <c r="L32" s="88" t="s">
        <v>151</v>
      </c>
      <c r="M32" s="88" t="s">
        <v>1111</v>
      </c>
      <c r="N32" s="88" t="s">
        <v>1193</v>
      </c>
      <c r="O32" s="88" t="s">
        <v>148</v>
      </c>
      <c r="P32" s="88"/>
      <c r="Q32" s="88" t="s">
        <v>1157</v>
      </c>
      <c r="R32" s="88" t="s">
        <v>1159</v>
      </c>
      <c r="S32" s="17"/>
      <c r="U32" s="32" t="str">
        <f t="shared" si="1"/>
        <v/>
      </c>
      <c r="V32" s="85"/>
    </row>
    <row r="33" spans="2:22" s="6" customFormat="1" ht="80.099999999999994" customHeight="1">
      <c r="B33" s="18">
        <f>B29+1</f>
        <v>8</v>
      </c>
      <c r="D33" s="87" t="s">
        <v>749</v>
      </c>
      <c r="E33" s="87" t="s">
        <v>750</v>
      </c>
      <c r="F33" s="87" t="s">
        <v>19</v>
      </c>
      <c r="G33" s="87" t="s">
        <v>737</v>
      </c>
      <c r="H33" s="87" t="s">
        <v>751</v>
      </c>
      <c r="I33" s="87" t="s">
        <v>713</v>
      </c>
      <c r="J33" s="87" t="s">
        <v>752</v>
      </c>
      <c r="K33" s="87" t="s">
        <v>18</v>
      </c>
      <c r="L33" s="87" t="s">
        <v>121</v>
      </c>
      <c r="M33" s="87" t="s">
        <v>753</v>
      </c>
      <c r="N33" s="87" t="s">
        <v>754</v>
      </c>
      <c r="O33" s="87" t="s">
        <v>220</v>
      </c>
      <c r="P33" s="87" t="s">
        <v>18</v>
      </c>
      <c r="Q33" s="87" t="s">
        <v>755</v>
      </c>
      <c r="R33" s="87" t="s">
        <v>756</v>
      </c>
      <c r="S33" s="19"/>
      <c r="V33" s="85"/>
    </row>
    <row r="34" spans="2:22" s="6" customFormat="1" ht="36" customHeight="1">
      <c r="B34" s="20"/>
      <c r="D34" s="89" t="s">
        <v>1188</v>
      </c>
      <c r="E34" s="89" t="s">
        <v>531</v>
      </c>
      <c r="F34" s="89"/>
      <c r="G34" s="89" t="s">
        <v>1167</v>
      </c>
      <c r="H34" s="89" t="s">
        <v>1190</v>
      </c>
      <c r="I34" s="89" t="s">
        <v>1124</v>
      </c>
      <c r="J34" s="89" t="s">
        <v>1192</v>
      </c>
      <c r="K34" s="89"/>
      <c r="L34" s="89" t="s">
        <v>545</v>
      </c>
      <c r="M34" s="89" t="s">
        <v>1112</v>
      </c>
      <c r="N34" s="89" t="s">
        <v>1194</v>
      </c>
      <c r="O34" s="89" t="s">
        <v>549</v>
      </c>
      <c r="P34" s="89"/>
      <c r="Q34" s="89" t="s">
        <v>1158</v>
      </c>
      <c r="R34" s="89" t="s">
        <v>1160</v>
      </c>
      <c r="S34" s="28"/>
      <c r="V34" s="85"/>
    </row>
    <row r="35" spans="2:22" s="32" customFormat="1" ht="60" customHeight="1">
      <c r="B35" s="12"/>
      <c r="C35" s="31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V35" s="85"/>
    </row>
    <row r="36" spans="2:22" s="6" customFormat="1" ht="36" customHeight="1">
      <c r="B36" s="16"/>
      <c r="D36" s="88" t="s">
        <v>683</v>
      </c>
      <c r="E36" s="88" t="s">
        <v>260</v>
      </c>
      <c r="F36" s="88" t="s">
        <v>1196</v>
      </c>
      <c r="G36" s="88"/>
      <c r="H36" s="88" t="s">
        <v>151</v>
      </c>
      <c r="I36" s="88" t="s">
        <v>640</v>
      </c>
      <c r="J36" s="88" t="s">
        <v>1172</v>
      </c>
      <c r="K36" s="88" t="s">
        <v>1198</v>
      </c>
      <c r="L36" s="88"/>
      <c r="M36" s="88" t="s">
        <v>1200</v>
      </c>
      <c r="N36" s="88" t="s">
        <v>664</v>
      </c>
      <c r="O36" s="88" t="s">
        <v>30</v>
      </c>
      <c r="P36" s="88" t="s">
        <v>564</v>
      </c>
      <c r="Q36" s="88"/>
      <c r="R36" s="88" t="s">
        <v>1131</v>
      </c>
      <c r="S36" s="17"/>
      <c r="V36" s="85"/>
    </row>
    <row r="37" spans="2:22" s="6" customFormat="1" ht="80.099999999999994" customHeight="1">
      <c r="B37" s="18">
        <f>B33+1</f>
        <v>9</v>
      </c>
      <c r="D37" s="87" t="s">
        <v>596</v>
      </c>
      <c r="E37" s="87" t="s">
        <v>757</v>
      </c>
      <c r="F37" s="87" t="s">
        <v>758</v>
      </c>
      <c r="G37" s="87" t="s">
        <v>18</v>
      </c>
      <c r="H37" s="87" t="s">
        <v>121</v>
      </c>
      <c r="I37" s="87" t="s">
        <v>599</v>
      </c>
      <c r="J37" s="87" t="s">
        <v>759</v>
      </c>
      <c r="K37" s="87" t="s">
        <v>760</v>
      </c>
      <c r="L37" s="87" t="s">
        <v>18</v>
      </c>
      <c r="M37" s="87" t="s">
        <v>761</v>
      </c>
      <c r="N37" s="87" t="s">
        <v>608</v>
      </c>
      <c r="O37" s="87" t="s">
        <v>29</v>
      </c>
      <c r="P37" s="87" t="s">
        <v>122</v>
      </c>
      <c r="Q37" s="87" t="s">
        <v>18</v>
      </c>
      <c r="R37" s="87" t="s">
        <v>717</v>
      </c>
      <c r="S37" s="19"/>
      <c r="V37" s="85"/>
    </row>
    <row r="38" spans="2:22" s="6" customFormat="1" ht="36" customHeight="1">
      <c r="B38" s="20"/>
      <c r="D38" s="89" t="s">
        <v>684</v>
      </c>
      <c r="E38" s="89" t="s">
        <v>506</v>
      </c>
      <c r="F38" s="89" t="s">
        <v>1197</v>
      </c>
      <c r="G38" s="89"/>
      <c r="H38" s="89" t="s">
        <v>545</v>
      </c>
      <c r="I38" s="89" t="s">
        <v>641</v>
      </c>
      <c r="J38" s="89" t="s">
        <v>1173</v>
      </c>
      <c r="K38" s="89" t="s">
        <v>1199</v>
      </c>
      <c r="L38" s="89"/>
      <c r="M38" s="89" t="s">
        <v>1201</v>
      </c>
      <c r="N38" s="89" t="s">
        <v>665</v>
      </c>
      <c r="O38" s="89" t="s">
        <v>546</v>
      </c>
      <c r="P38" s="89" t="s">
        <v>565</v>
      </c>
      <c r="Q38" s="89"/>
      <c r="R38" s="89" t="s">
        <v>1132</v>
      </c>
      <c r="S38" s="28"/>
      <c r="V38" s="85"/>
    </row>
    <row r="39" spans="2:22" s="32" customFormat="1" ht="60" customHeight="1">
      <c r="B39" s="12"/>
      <c r="C39" s="31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V39" s="85"/>
    </row>
    <row r="40" spans="2:22" s="6" customFormat="1" ht="36" customHeight="1">
      <c r="B40" s="16"/>
      <c r="D40" s="88" t="s">
        <v>1091</v>
      </c>
      <c r="E40" s="88" t="s">
        <v>1203</v>
      </c>
      <c r="F40" s="88" t="s">
        <v>1123</v>
      </c>
      <c r="G40" s="88"/>
      <c r="H40" s="88" t="s">
        <v>550</v>
      </c>
      <c r="I40" s="88" t="s">
        <v>94</v>
      </c>
      <c r="J40" s="88" t="s">
        <v>1205</v>
      </c>
      <c r="K40" s="88" t="s">
        <v>1166</v>
      </c>
      <c r="L40" s="88" t="s">
        <v>1207</v>
      </c>
      <c r="M40" s="88" t="s">
        <v>1198</v>
      </c>
      <c r="N40" s="88" t="s">
        <v>151</v>
      </c>
      <c r="O40" s="88"/>
      <c r="P40" s="88" t="s">
        <v>1209</v>
      </c>
      <c r="Q40" s="88" t="s">
        <v>681</v>
      </c>
      <c r="R40" s="88" t="s">
        <v>1211</v>
      </c>
      <c r="S40" s="17"/>
      <c r="V40" s="85"/>
    </row>
    <row r="41" spans="2:22" s="6" customFormat="1" ht="80.099999999999994" customHeight="1">
      <c r="B41" s="18">
        <f>B37+1</f>
        <v>10</v>
      </c>
      <c r="D41" s="87" t="s">
        <v>694</v>
      </c>
      <c r="E41" s="87" t="s">
        <v>762</v>
      </c>
      <c r="F41" s="87" t="s">
        <v>713</v>
      </c>
      <c r="G41" s="87" t="s">
        <v>18</v>
      </c>
      <c r="H41" s="87" t="s">
        <v>221</v>
      </c>
      <c r="I41" s="87" t="s">
        <v>93</v>
      </c>
      <c r="J41" s="87" t="s">
        <v>763</v>
      </c>
      <c r="K41" s="87" t="s">
        <v>737</v>
      </c>
      <c r="L41" s="87" t="s">
        <v>764</v>
      </c>
      <c r="M41" s="87" t="s">
        <v>760</v>
      </c>
      <c r="N41" s="87" t="s">
        <v>121</v>
      </c>
      <c r="O41" s="87" t="s">
        <v>18</v>
      </c>
      <c r="P41" s="87" t="s">
        <v>765</v>
      </c>
      <c r="Q41" s="87" t="s">
        <v>95</v>
      </c>
      <c r="R41" s="87" t="s">
        <v>766</v>
      </c>
      <c r="S41" s="19"/>
      <c r="V41" s="85"/>
    </row>
    <row r="42" spans="2:22" s="6" customFormat="1" ht="36" customHeight="1">
      <c r="B42" s="20"/>
      <c r="D42" s="89" t="s">
        <v>1092</v>
      </c>
      <c r="E42" s="89" t="s">
        <v>1204</v>
      </c>
      <c r="F42" s="89" t="s">
        <v>1124</v>
      </c>
      <c r="G42" s="89"/>
      <c r="H42" s="89" t="s">
        <v>551</v>
      </c>
      <c r="I42" s="89" t="s">
        <v>536</v>
      </c>
      <c r="J42" s="89" t="s">
        <v>1206</v>
      </c>
      <c r="K42" s="89" t="s">
        <v>1167</v>
      </c>
      <c r="L42" s="89" t="s">
        <v>1208</v>
      </c>
      <c r="M42" s="89" t="s">
        <v>1199</v>
      </c>
      <c r="N42" s="89" t="s">
        <v>545</v>
      </c>
      <c r="O42" s="89"/>
      <c r="P42" s="89" t="s">
        <v>1210</v>
      </c>
      <c r="Q42" s="89" t="s">
        <v>682</v>
      </c>
      <c r="R42" s="89" t="s">
        <v>1212</v>
      </c>
      <c r="S42" s="28"/>
      <c r="V42" s="85"/>
    </row>
    <row r="43" spans="2:22" s="32" customFormat="1" ht="60" customHeight="1">
      <c r="B43" s="12"/>
      <c r="C43" s="31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V43" s="85"/>
    </row>
    <row r="44" spans="2:22" s="6" customFormat="1" ht="36" customHeight="1">
      <c r="B44" s="16"/>
      <c r="D44" s="88" t="s">
        <v>521</v>
      </c>
      <c r="E44" s="88"/>
      <c r="F44" s="88" t="s">
        <v>1214</v>
      </c>
      <c r="G44" s="88" t="s">
        <v>501</v>
      </c>
      <c r="H44" s="88" t="s">
        <v>683</v>
      </c>
      <c r="I44" s="88" t="s">
        <v>260</v>
      </c>
      <c r="J44" s="88" t="s">
        <v>1196</v>
      </c>
      <c r="K44" s="88" t="s">
        <v>624</v>
      </c>
      <c r="L44" s="88" t="s">
        <v>1111</v>
      </c>
      <c r="M44" s="88" t="s">
        <v>1216</v>
      </c>
      <c r="N44" s="88" t="s">
        <v>1218</v>
      </c>
      <c r="O44" s="88" t="s">
        <v>1220</v>
      </c>
      <c r="P44" s="88"/>
      <c r="Q44" s="88" t="s">
        <v>1157</v>
      </c>
      <c r="R44" s="88" t="s">
        <v>1117</v>
      </c>
      <c r="S44" s="17"/>
      <c r="V44" s="85"/>
    </row>
    <row r="45" spans="2:22" s="6" customFormat="1" ht="80.099999999999994" customHeight="1">
      <c r="B45" s="18">
        <f>B41+1</f>
        <v>11</v>
      </c>
      <c r="D45" s="87" t="s">
        <v>116</v>
      </c>
      <c r="E45" s="87" t="s">
        <v>18</v>
      </c>
      <c r="F45" s="87" t="s">
        <v>767</v>
      </c>
      <c r="G45" s="87" t="s">
        <v>768</v>
      </c>
      <c r="H45" s="87" t="s">
        <v>596</v>
      </c>
      <c r="I45" s="87" t="s">
        <v>757</v>
      </c>
      <c r="J45" s="87" t="s">
        <v>758</v>
      </c>
      <c r="K45" s="87" t="s">
        <v>704</v>
      </c>
      <c r="L45" s="87" t="s">
        <v>705</v>
      </c>
      <c r="M45" s="87" t="s">
        <v>769</v>
      </c>
      <c r="N45" s="87" t="s">
        <v>770</v>
      </c>
      <c r="O45" s="87" t="s">
        <v>771</v>
      </c>
      <c r="P45" s="87" t="s">
        <v>19</v>
      </c>
      <c r="Q45" s="87" t="s">
        <v>732</v>
      </c>
      <c r="R45" s="87" t="s">
        <v>708</v>
      </c>
      <c r="S45" s="19"/>
      <c r="V45" s="85"/>
    </row>
    <row r="46" spans="2:22" s="6" customFormat="1" ht="36" customHeight="1">
      <c r="B46" s="20"/>
      <c r="D46" s="89" t="s">
        <v>522</v>
      </c>
      <c r="E46" s="89"/>
      <c r="F46" s="89" t="s">
        <v>1215</v>
      </c>
      <c r="G46" s="89" t="s">
        <v>502</v>
      </c>
      <c r="H46" s="89" t="s">
        <v>684</v>
      </c>
      <c r="I46" s="89" t="s">
        <v>506</v>
      </c>
      <c r="J46" s="89" t="s">
        <v>1197</v>
      </c>
      <c r="K46" s="89" t="s">
        <v>625</v>
      </c>
      <c r="L46" s="89" t="s">
        <v>1112</v>
      </c>
      <c r="M46" s="89" t="s">
        <v>1217</v>
      </c>
      <c r="N46" s="89" t="s">
        <v>1219</v>
      </c>
      <c r="O46" s="89" t="s">
        <v>1221</v>
      </c>
      <c r="P46" s="89"/>
      <c r="Q46" s="89" t="s">
        <v>1158</v>
      </c>
      <c r="R46" s="89" t="s">
        <v>1118</v>
      </c>
      <c r="S46" s="28"/>
      <c r="V46" s="85"/>
    </row>
    <row r="47" spans="2:22" s="32" customFormat="1" ht="60" customHeight="1">
      <c r="B47" s="12"/>
      <c r="C47" s="31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V47" s="85"/>
    </row>
    <row r="48" spans="2:22" s="6" customFormat="1" ht="36" customHeight="1">
      <c r="B48" s="16"/>
      <c r="D48" s="88" t="s">
        <v>652</v>
      </c>
      <c r="E48" s="88" t="s">
        <v>1225</v>
      </c>
      <c r="F48" s="88" t="s">
        <v>1227</v>
      </c>
      <c r="G48" s="88" t="s">
        <v>1229</v>
      </c>
      <c r="H48" s="88" t="s">
        <v>274</v>
      </c>
      <c r="I48" s="88"/>
      <c r="J48" s="88" t="s">
        <v>1153</v>
      </c>
      <c r="K48" s="88" t="s">
        <v>615</v>
      </c>
      <c r="L48" s="88" t="s">
        <v>1101</v>
      </c>
      <c r="M48" s="88" t="s">
        <v>1172</v>
      </c>
      <c r="N48" s="88" t="s">
        <v>1198</v>
      </c>
      <c r="O48" s="88" t="s">
        <v>274</v>
      </c>
      <c r="P48" s="88" t="s">
        <v>1231</v>
      </c>
      <c r="Q48" s="88" t="s">
        <v>1233</v>
      </c>
      <c r="R48" s="88" t="s">
        <v>1235</v>
      </c>
      <c r="S48" s="17"/>
      <c r="V48" s="85"/>
    </row>
    <row r="49" spans="2:22" s="6" customFormat="1" ht="80.099999999999994" customHeight="1">
      <c r="B49" s="18">
        <f>B45+1</f>
        <v>12</v>
      </c>
      <c r="D49" s="87" t="s">
        <v>603</v>
      </c>
      <c r="E49" s="87" t="s">
        <v>32</v>
      </c>
      <c r="F49" s="87" t="s">
        <v>772</v>
      </c>
      <c r="G49" s="87" t="s">
        <v>773</v>
      </c>
      <c r="H49" s="87" t="s">
        <v>206</v>
      </c>
      <c r="I49" s="87" t="s">
        <v>18</v>
      </c>
      <c r="J49" s="87" t="s">
        <v>774</v>
      </c>
      <c r="K49" s="87" t="s">
        <v>775</v>
      </c>
      <c r="L49" s="87" t="s">
        <v>699</v>
      </c>
      <c r="M49" s="87" t="s">
        <v>759</v>
      </c>
      <c r="N49" s="87" t="s">
        <v>760</v>
      </c>
      <c r="O49" s="87" t="s">
        <v>206</v>
      </c>
      <c r="P49" s="87" t="s">
        <v>776</v>
      </c>
      <c r="Q49" s="87" t="s">
        <v>777</v>
      </c>
      <c r="R49" s="87" t="s">
        <v>778</v>
      </c>
      <c r="S49" s="19"/>
      <c r="V49" s="85"/>
    </row>
    <row r="50" spans="2:22" s="6" customFormat="1" ht="36" customHeight="1">
      <c r="B50" s="20"/>
      <c r="D50" s="89" t="s">
        <v>653</v>
      </c>
      <c r="E50" s="89" t="s">
        <v>1226</v>
      </c>
      <c r="F50" s="89" t="s">
        <v>1228</v>
      </c>
      <c r="G50" s="89" t="s">
        <v>1230</v>
      </c>
      <c r="H50" s="89" t="s">
        <v>529</v>
      </c>
      <c r="I50" s="89"/>
      <c r="J50" s="89" t="s">
        <v>1154</v>
      </c>
      <c r="K50" s="89" t="s">
        <v>616</v>
      </c>
      <c r="L50" s="89" t="s">
        <v>1102</v>
      </c>
      <c r="M50" s="89" t="s">
        <v>1173</v>
      </c>
      <c r="N50" s="89" t="s">
        <v>1199</v>
      </c>
      <c r="O50" s="89" t="s">
        <v>529</v>
      </c>
      <c r="P50" s="89" t="s">
        <v>1232</v>
      </c>
      <c r="Q50" s="89" t="s">
        <v>1234</v>
      </c>
      <c r="R50" s="89" t="s">
        <v>1236</v>
      </c>
      <c r="S50" s="28"/>
      <c r="V50" s="85"/>
    </row>
    <row r="51" spans="2:22" s="32" customFormat="1" ht="60" customHeight="1">
      <c r="B51" s="12"/>
      <c r="C51" s="31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V51" s="85"/>
    </row>
    <row r="52" spans="2:22" s="6" customFormat="1" ht="36" customHeight="1">
      <c r="B52" s="16"/>
      <c r="D52" s="88"/>
      <c r="E52" s="88" t="s">
        <v>688</v>
      </c>
      <c r="F52" s="88" t="s">
        <v>265</v>
      </c>
      <c r="G52" s="88" t="s">
        <v>627</v>
      </c>
      <c r="H52" s="88" t="s">
        <v>1240</v>
      </c>
      <c r="I52" s="88" t="s">
        <v>1242</v>
      </c>
      <c r="J52" s="88"/>
      <c r="K52" s="88" t="s">
        <v>1244</v>
      </c>
      <c r="L52" s="88" t="s">
        <v>1246</v>
      </c>
      <c r="M52" s="88" t="s">
        <v>1248</v>
      </c>
      <c r="N52" s="88" t="s">
        <v>1250</v>
      </c>
      <c r="O52" s="88"/>
      <c r="P52" s="88" t="s">
        <v>1252</v>
      </c>
      <c r="Q52" s="88" t="s">
        <v>1254</v>
      </c>
      <c r="R52" s="88" t="s">
        <v>1211</v>
      </c>
      <c r="S52" s="17"/>
      <c r="V52" s="85"/>
    </row>
    <row r="53" spans="2:22" s="6" customFormat="1" ht="80.099999999999994" customHeight="1">
      <c r="B53" s="18">
        <f>B49+1</f>
        <v>13</v>
      </c>
      <c r="D53" s="87" t="s">
        <v>18</v>
      </c>
      <c r="E53" s="87" t="s">
        <v>609</v>
      </c>
      <c r="F53" s="87" t="s">
        <v>196</v>
      </c>
      <c r="G53" s="87" t="s">
        <v>779</v>
      </c>
      <c r="H53" s="87" t="s">
        <v>780</v>
      </c>
      <c r="I53" s="87" t="s">
        <v>781</v>
      </c>
      <c r="J53" s="87" t="s">
        <v>18</v>
      </c>
      <c r="K53" s="87" t="s">
        <v>782</v>
      </c>
      <c r="L53" s="87" t="s">
        <v>783</v>
      </c>
      <c r="M53" s="87" t="s">
        <v>784</v>
      </c>
      <c r="N53" s="87" t="s">
        <v>785</v>
      </c>
      <c r="O53" s="87" t="s">
        <v>18</v>
      </c>
      <c r="P53" s="87" t="s">
        <v>786</v>
      </c>
      <c r="Q53" s="87" t="s">
        <v>787</v>
      </c>
      <c r="R53" s="87" t="s">
        <v>766</v>
      </c>
      <c r="S53" s="19"/>
      <c r="V53" s="85"/>
    </row>
    <row r="54" spans="2:22" s="6" customFormat="1" ht="36" customHeight="1">
      <c r="B54" s="20"/>
      <c r="D54" s="89"/>
      <c r="E54" s="89" t="s">
        <v>666</v>
      </c>
      <c r="F54" s="89" t="s">
        <v>507</v>
      </c>
      <c r="G54" s="89" t="s">
        <v>628</v>
      </c>
      <c r="H54" s="89" t="s">
        <v>1241</v>
      </c>
      <c r="I54" s="89" t="s">
        <v>1243</v>
      </c>
      <c r="J54" s="89"/>
      <c r="K54" s="89" t="s">
        <v>1245</v>
      </c>
      <c r="L54" s="89" t="s">
        <v>1247</v>
      </c>
      <c r="M54" s="89" t="s">
        <v>1249</v>
      </c>
      <c r="N54" s="89" t="s">
        <v>1251</v>
      </c>
      <c r="O54" s="89"/>
      <c r="P54" s="89" t="s">
        <v>1253</v>
      </c>
      <c r="Q54" s="89" t="s">
        <v>1255</v>
      </c>
      <c r="R54" s="89" t="s">
        <v>1212</v>
      </c>
      <c r="S54" s="28"/>
      <c r="V54" s="85"/>
    </row>
    <row r="55" spans="2:22" s="32" customFormat="1" ht="60" customHeight="1">
      <c r="B55" s="12"/>
      <c r="C55" s="31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V55" s="85"/>
    </row>
    <row r="56" spans="2:22" s="6" customFormat="1" ht="36" customHeight="1">
      <c r="B56" s="16"/>
      <c r="D56" s="88" t="s">
        <v>1123</v>
      </c>
      <c r="E56" s="88" t="s">
        <v>1258</v>
      </c>
      <c r="F56" s="88"/>
      <c r="G56" s="88" t="s">
        <v>688</v>
      </c>
      <c r="H56" s="88" t="s">
        <v>1117</v>
      </c>
      <c r="I56" s="88" t="s">
        <v>1260</v>
      </c>
      <c r="J56" s="88" t="s">
        <v>690</v>
      </c>
      <c r="K56" s="88" t="s">
        <v>1091</v>
      </c>
      <c r="L56" s="88" t="s">
        <v>1262</v>
      </c>
      <c r="M56" s="88"/>
      <c r="N56" s="88" t="s">
        <v>1264</v>
      </c>
      <c r="O56" s="88" t="s">
        <v>1266</v>
      </c>
      <c r="P56" s="88" t="s">
        <v>1268</v>
      </c>
      <c r="Q56" s="88" t="s">
        <v>1270</v>
      </c>
      <c r="R56" s="88" t="s">
        <v>159</v>
      </c>
      <c r="S56" s="17"/>
      <c r="V56" s="85"/>
    </row>
    <row r="57" spans="2:22" s="6" customFormat="1" ht="80.099999999999994" customHeight="1">
      <c r="B57" s="18">
        <f>B53+1</f>
        <v>14</v>
      </c>
      <c r="D57" s="87" t="s">
        <v>713</v>
      </c>
      <c r="E57" s="87" t="s">
        <v>788</v>
      </c>
      <c r="F57" s="87" t="s">
        <v>18</v>
      </c>
      <c r="G57" s="87" t="s">
        <v>609</v>
      </c>
      <c r="H57" s="87" t="s">
        <v>708</v>
      </c>
      <c r="I57" s="87" t="s">
        <v>789</v>
      </c>
      <c r="J57" s="87" t="s">
        <v>611</v>
      </c>
      <c r="K57" s="87" t="s">
        <v>694</v>
      </c>
      <c r="L57" s="87" t="s">
        <v>790</v>
      </c>
      <c r="M57" s="87" t="s">
        <v>18</v>
      </c>
      <c r="N57" s="87" t="s">
        <v>791</v>
      </c>
      <c r="O57" s="87" t="s">
        <v>792</v>
      </c>
      <c r="P57" s="87" t="s">
        <v>793</v>
      </c>
      <c r="Q57" s="87" t="s">
        <v>794</v>
      </c>
      <c r="R57" s="87" t="s">
        <v>125</v>
      </c>
      <c r="S57" s="19"/>
      <c r="V57" s="85"/>
    </row>
    <row r="58" spans="2:22" s="6" customFormat="1" ht="36" customHeight="1">
      <c r="B58" s="20"/>
      <c r="D58" s="89" t="s">
        <v>1124</v>
      </c>
      <c r="E58" s="89" t="s">
        <v>1259</v>
      </c>
      <c r="F58" s="89"/>
      <c r="G58" s="89" t="s">
        <v>666</v>
      </c>
      <c r="H58" s="89" t="s">
        <v>1118</v>
      </c>
      <c r="I58" s="89" t="s">
        <v>1261</v>
      </c>
      <c r="J58" s="89" t="s">
        <v>691</v>
      </c>
      <c r="K58" s="89" t="s">
        <v>1092</v>
      </c>
      <c r="L58" s="89" t="s">
        <v>1263</v>
      </c>
      <c r="M58" s="89"/>
      <c r="N58" s="89" t="s">
        <v>1265</v>
      </c>
      <c r="O58" s="89" t="s">
        <v>1267</v>
      </c>
      <c r="P58" s="89" t="s">
        <v>1269</v>
      </c>
      <c r="Q58" s="89" t="s">
        <v>1271</v>
      </c>
      <c r="R58" s="89" t="s">
        <v>584</v>
      </c>
      <c r="S58" s="28"/>
      <c r="V58" s="85"/>
    </row>
    <row r="59" spans="2:22" s="32" customFormat="1" ht="60" customHeight="1">
      <c r="B59" s="12"/>
      <c r="C59" s="31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V59" s="85"/>
    </row>
    <row r="60" spans="2:22" s="6" customFormat="1" ht="36" customHeight="1">
      <c r="B60" s="16"/>
      <c r="D60" s="88" t="s">
        <v>1123</v>
      </c>
      <c r="E60" s="88" t="s">
        <v>622</v>
      </c>
      <c r="F60" s="88"/>
      <c r="G60" s="88" t="s">
        <v>1273</v>
      </c>
      <c r="H60" s="88" t="s">
        <v>126</v>
      </c>
      <c r="I60" s="88" t="s">
        <v>670</v>
      </c>
      <c r="J60" s="88" t="s">
        <v>39</v>
      </c>
      <c r="K60" s="88" t="s">
        <v>631</v>
      </c>
      <c r="L60" s="88" t="s">
        <v>1275</v>
      </c>
      <c r="M60" s="88"/>
      <c r="N60" s="88" t="s">
        <v>1191</v>
      </c>
      <c r="O60" s="88" t="s">
        <v>1277</v>
      </c>
      <c r="P60" s="88" t="s">
        <v>30</v>
      </c>
      <c r="Q60" s="88" t="s">
        <v>1279</v>
      </c>
      <c r="R60" s="88" t="s">
        <v>1281</v>
      </c>
      <c r="S60" s="17"/>
      <c r="V60" s="85"/>
    </row>
    <row r="61" spans="2:22" s="6" customFormat="1" ht="80.099999999999994" customHeight="1">
      <c r="B61" s="18">
        <f>B57+1</f>
        <v>15</v>
      </c>
      <c r="D61" s="87" t="s">
        <v>713</v>
      </c>
      <c r="E61" s="87" t="s">
        <v>795</v>
      </c>
      <c r="F61" s="87" t="s">
        <v>18</v>
      </c>
      <c r="G61" s="87" t="s">
        <v>796</v>
      </c>
      <c r="H61" s="87" t="s">
        <v>103</v>
      </c>
      <c r="I61" s="87" t="s">
        <v>797</v>
      </c>
      <c r="J61" s="87" t="s">
        <v>109</v>
      </c>
      <c r="K61" s="87" t="s">
        <v>597</v>
      </c>
      <c r="L61" s="87" t="s">
        <v>798</v>
      </c>
      <c r="M61" s="87" t="s">
        <v>19</v>
      </c>
      <c r="N61" s="87" t="s">
        <v>752</v>
      </c>
      <c r="O61" s="87" t="s">
        <v>799</v>
      </c>
      <c r="P61" s="87" t="s">
        <v>29</v>
      </c>
      <c r="Q61" s="87" t="s">
        <v>800</v>
      </c>
      <c r="R61" s="87" t="s">
        <v>801</v>
      </c>
      <c r="S61" s="19"/>
      <c r="V61" s="85"/>
    </row>
    <row r="62" spans="2:22" s="6" customFormat="1" ht="36" customHeight="1">
      <c r="B62" s="20"/>
      <c r="D62" s="89" t="s">
        <v>1124</v>
      </c>
      <c r="E62" s="89" t="s">
        <v>623</v>
      </c>
      <c r="F62" s="89"/>
      <c r="G62" s="89" t="s">
        <v>1274</v>
      </c>
      <c r="H62" s="89" t="s">
        <v>685</v>
      </c>
      <c r="I62" s="89" t="s">
        <v>671</v>
      </c>
      <c r="J62" s="89" t="s">
        <v>560</v>
      </c>
      <c r="K62" s="89" t="s">
        <v>632</v>
      </c>
      <c r="L62" s="89" t="s">
        <v>1276</v>
      </c>
      <c r="M62" s="89"/>
      <c r="N62" s="89" t="s">
        <v>1192</v>
      </c>
      <c r="O62" s="89" t="s">
        <v>1278</v>
      </c>
      <c r="P62" s="89" t="s">
        <v>546</v>
      </c>
      <c r="Q62" s="89" t="s">
        <v>1280</v>
      </c>
      <c r="R62" s="89" t="s">
        <v>1282</v>
      </c>
      <c r="S62" s="28"/>
      <c r="V62" s="85"/>
    </row>
    <row r="63" spans="2:22" s="32" customFormat="1" ht="60" customHeight="1">
      <c r="B63" s="12"/>
      <c r="C63" s="31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V63" s="85"/>
    </row>
    <row r="64" spans="2:22" s="6" customFormat="1" ht="36" customHeight="1">
      <c r="B64" s="16"/>
      <c r="D64" s="88"/>
      <c r="E64" s="88" t="s">
        <v>618</v>
      </c>
      <c r="F64" s="88" t="s">
        <v>1285</v>
      </c>
      <c r="G64" s="88" t="s">
        <v>1189</v>
      </c>
      <c r="H64" s="88" t="s">
        <v>633</v>
      </c>
      <c r="I64" s="88" t="s">
        <v>1281</v>
      </c>
      <c r="J64" s="88"/>
      <c r="K64" s="88" t="s">
        <v>1275</v>
      </c>
      <c r="L64" s="88" t="s">
        <v>1287</v>
      </c>
      <c r="M64" s="88" t="s">
        <v>1289</v>
      </c>
      <c r="N64" s="88" t="s">
        <v>688</v>
      </c>
      <c r="O64" s="88" t="s">
        <v>30</v>
      </c>
      <c r="P64" s="88" t="s">
        <v>1291</v>
      </c>
      <c r="Q64" s="88" t="s">
        <v>147</v>
      </c>
      <c r="R64" s="88" t="s">
        <v>1293</v>
      </c>
      <c r="S64" s="17"/>
      <c r="V64" s="85"/>
    </row>
    <row r="65" spans="2:22" s="6" customFormat="1" ht="80.099999999999994" customHeight="1">
      <c r="B65" s="18">
        <f>B61+1</f>
        <v>16</v>
      </c>
      <c r="D65" s="87" t="s">
        <v>18</v>
      </c>
      <c r="E65" s="87" t="s">
        <v>802</v>
      </c>
      <c r="F65" s="87" t="s">
        <v>803</v>
      </c>
      <c r="G65" s="87" t="s">
        <v>804</v>
      </c>
      <c r="H65" s="87" t="s">
        <v>805</v>
      </c>
      <c r="I65" s="87" t="s">
        <v>801</v>
      </c>
      <c r="J65" s="87" t="s">
        <v>18</v>
      </c>
      <c r="K65" s="87" t="s">
        <v>798</v>
      </c>
      <c r="L65" s="87" t="s">
        <v>806</v>
      </c>
      <c r="M65" s="87" t="s">
        <v>807</v>
      </c>
      <c r="N65" s="87" t="s">
        <v>609</v>
      </c>
      <c r="O65" s="87" t="s">
        <v>29</v>
      </c>
      <c r="P65" s="87" t="s">
        <v>808</v>
      </c>
      <c r="Q65" s="87" t="s">
        <v>119</v>
      </c>
      <c r="R65" s="87" t="s">
        <v>809</v>
      </c>
      <c r="S65" s="19"/>
      <c r="V65" s="85"/>
    </row>
    <row r="66" spans="2:22" s="6" customFormat="1" ht="36" customHeight="1">
      <c r="B66" s="20"/>
      <c r="D66" s="89"/>
      <c r="E66" s="89" t="s">
        <v>619</v>
      </c>
      <c r="F66" s="89" t="s">
        <v>1286</v>
      </c>
      <c r="G66" s="89" t="s">
        <v>1190</v>
      </c>
      <c r="H66" s="89" t="s">
        <v>634</v>
      </c>
      <c r="I66" s="89" t="s">
        <v>1282</v>
      </c>
      <c r="J66" s="89"/>
      <c r="K66" s="89" t="s">
        <v>1276</v>
      </c>
      <c r="L66" s="89" t="s">
        <v>1288</v>
      </c>
      <c r="M66" s="89" t="s">
        <v>1290</v>
      </c>
      <c r="N66" s="89" t="s">
        <v>666</v>
      </c>
      <c r="O66" s="89" t="s">
        <v>546</v>
      </c>
      <c r="P66" s="89" t="s">
        <v>1292</v>
      </c>
      <c r="Q66" s="89" t="s">
        <v>557</v>
      </c>
      <c r="R66" s="89" t="s">
        <v>1294</v>
      </c>
      <c r="S66" s="28"/>
      <c r="V66" s="85"/>
    </row>
    <row r="67" spans="2:22" s="32" customFormat="1" ht="60" customHeight="1">
      <c r="B67" s="12"/>
      <c r="C67" s="31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V67" s="85"/>
    </row>
    <row r="68" spans="2:22" s="6" customFormat="1" ht="36" customHeight="1">
      <c r="B68" s="16"/>
      <c r="D68" s="88" t="s">
        <v>1297</v>
      </c>
      <c r="E68" s="88" t="s">
        <v>1151</v>
      </c>
      <c r="F68" s="88" t="s">
        <v>296</v>
      </c>
      <c r="G68" s="88"/>
      <c r="H68" s="88" t="s">
        <v>688</v>
      </c>
      <c r="I68" s="88" t="s">
        <v>622</v>
      </c>
      <c r="J68" s="88" t="s">
        <v>299</v>
      </c>
      <c r="K68" s="88" t="s">
        <v>1299</v>
      </c>
      <c r="L68" s="88" t="s">
        <v>1145</v>
      </c>
      <c r="M68" s="88" t="s">
        <v>1301</v>
      </c>
      <c r="N68" s="88" t="s">
        <v>1303</v>
      </c>
      <c r="O68" s="88" t="s">
        <v>1305</v>
      </c>
      <c r="P68" s="88" t="s">
        <v>1189</v>
      </c>
      <c r="Q68" s="88"/>
      <c r="R68" s="88" t="s">
        <v>1273</v>
      </c>
      <c r="S68" s="17"/>
      <c r="V68" s="85"/>
    </row>
    <row r="69" spans="2:22" s="6" customFormat="1" ht="80.099999999999994" customHeight="1">
      <c r="B69" s="18">
        <f>B65+1</f>
        <v>17</v>
      </c>
      <c r="D69" s="87" t="s">
        <v>810</v>
      </c>
      <c r="E69" s="87" t="s">
        <v>728</v>
      </c>
      <c r="F69" s="87" t="s">
        <v>811</v>
      </c>
      <c r="G69" s="87" t="s">
        <v>18</v>
      </c>
      <c r="H69" s="87" t="s">
        <v>609</v>
      </c>
      <c r="I69" s="87" t="s">
        <v>795</v>
      </c>
      <c r="J69" s="87" t="s">
        <v>812</v>
      </c>
      <c r="K69" s="87" t="s">
        <v>813</v>
      </c>
      <c r="L69" s="87" t="s">
        <v>724</v>
      </c>
      <c r="M69" s="87" t="s">
        <v>814</v>
      </c>
      <c r="N69" s="87" t="s">
        <v>815</v>
      </c>
      <c r="O69" s="87" t="s">
        <v>816</v>
      </c>
      <c r="P69" s="87" t="s">
        <v>804</v>
      </c>
      <c r="Q69" s="87" t="s">
        <v>18</v>
      </c>
      <c r="R69" s="87" t="s">
        <v>796</v>
      </c>
      <c r="S69" s="19"/>
      <c r="V69" s="85"/>
    </row>
    <row r="70" spans="2:22" s="6" customFormat="1" ht="36" customHeight="1">
      <c r="B70" s="20"/>
      <c r="D70" s="89" t="s">
        <v>1298</v>
      </c>
      <c r="E70" s="89" t="s">
        <v>1152</v>
      </c>
      <c r="F70" s="89" t="s">
        <v>570</v>
      </c>
      <c r="G70" s="89"/>
      <c r="H70" s="89" t="s">
        <v>666</v>
      </c>
      <c r="I70" s="89" t="s">
        <v>623</v>
      </c>
      <c r="J70" s="89" t="s">
        <v>575</v>
      </c>
      <c r="K70" s="89" t="s">
        <v>1300</v>
      </c>
      <c r="L70" s="89" t="s">
        <v>1146</v>
      </c>
      <c r="M70" s="89" t="s">
        <v>1302</v>
      </c>
      <c r="N70" s="89" t="s">
        <v>1304</v>
      </c>
      <c r="O70" s="89" t="s">
        <v>1306</v>
      </c>
      <c r="P70" s="89" t="s">
        <v>1190</v>
      </c>
      <c r="Q70" s="89"/>
      <c r="R70" s="89" t="s">
        <v>1274</v>
      </c>
      <c r="S70" s="28"/>
      <c r="V70" s="85"/>
    </row>
    <row r="71" spans="2:22" s="32" customFormat="1" ht="60" customHeight="1">
      <c r="B71" s="12"/>
      <c r="C71" s="31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V71" s="85"/>
    </row>
    <row r="72" spans="2:22" s="6" customFormat="1" ht="36" customHeight="1">
      <c r="B72" s="16"/>
      <c r="D72" s="88" t="s">
        <v>1191</v>
      </c>
      <c r="E72" s="88" t="s">
        <v>1311</v>
      </c>
      <c r="F72" s="88" t="s">
        <v>1313</v>
      </c>
      <c r="G72" s="88" t="s">
        <v>518</v>
      </c>
      <c r="H72" s="88"/>
      <c r="I72" s="88" t="s">
        <v>1315</v>
      </c>
      <c r="J72" s="88"/>
      <c r="K72" s="88" t="s">
        <v>1103</v>
      </c>
      <c r="L72" s="88" t="s">
        <v>1157</v>
      </c>
      <c r="M72" s="88" t="s">
        <v>1301</v>
      </c>
      <c r="N72" s="88" t="s">
        <v>1303</v>
      </c>
      <c r="O72" s="88" t="s">
        <v>1305</v>
      </c>
      <c r="P72" s="88" t="s">
        <v>1189</v>
      </c>
      <c r="Q72" s="88" t="s">
        <v>1105</v>
      </c>
      <c r="R72" s="88" t="s">
        <v>1299</v>
      </c>
      <c r="S72" s="17"/>
      <c r="V72" s="85"/>
    </row>
    <row r="73" spans="2:22" s="6" customFormat="1" ht="80.099999999999994" customHeight="1">
      <c r="B73" s="18">
        <f>B69+1</f>
        <v>18</v>
      </c>
      <c r="D73" s="87" t="s">
        <v>752</v>
      </c>
      <c r="E73" s="87" t="s">
        <v>817</v>
      </c>
      <c r="F73" s="87" t="s">
        <v>818</v>
      </c>
      <c r="G73" s="87" t="s">
        <v>35</v>
      </c>
      <c r="H73" s="87" t="s">
        <v>18</v>
      </c>
      <c r="I73" s="87" t="s">
        <v>819</v>
      </c>
      <c r="J73" s="87" t="s">
        <v>820</v>
      </c>
      <c r="K73" s="87" t="s">
        <v>700</v>
      </c>
      <c r="L73" s="87" t="s">
        <v>732</v>
      </c>
      <c r="M73" s="87" t="s">
        <v>814</v>
      </c>
      <c r="N73" s="87" t="s">
        <v>815</v>
      </c>
      <c r="O73" s="87" t="s">
        <v>816</v>
      </c>
      <c r="P73" s="87" t="s">
        <v>804</v>
      </c>
      <c r="Q73" s="87" t="s">
        <v>701</v>
      </c>
      <c r="R73" s="87" t="s">
        <v>813</v>
      </c>
      <c r="S73" s="19"/>
      <c r="V73" s="85"/>
    </row>
    <row r="74" spans="2:22" s="6" customFormat="1" ht="36" customHeight="1">
      <c r="B74" s="20"/>
      <c r="D74" s="89" t="s">
        <v>1192</v>
      </c>
      <c r="E74" s="89" t="s">
        <v>1312</v>
      </c>
      <c r="F74" s="89" t="s">
        <v>1314</v>
      </c>
      <c r="G74" s="89" t="s">
        <v>519</v>
      </c>
      <c r="H74" s="89"/>
      <c r="I74" s="89" t="s">
        <v>1316</v>
      </c>
      <c r="J74" s="89"/>
      <c r="K74" s="89" t="s">
        <v>1104</v>
      </c>
      <c r="L74" s="89" t="s">
        <v>1158</v>
      </c>
      <c r="M74" s="89" t="s">
        <v>1302</v>
      </c>
      <c r="N74" s="89" t="s">
        <v>1304</v>
      </c>
      <c r="O74" s="89" t="s">
        <v>1306</v>
      </c>
      <c r="P74" s="89" t="s">
        <v>1190</v>
      </c>
      <c r="Q74" s="89" t="s">
        <v>1106</v>
      </c>
      <c r="R74" s="89" t="s">
        <v>1300</v>
      </c>
      <c r="S74" s="28"/>
      <c r="V74" s="85"/>
    </row>
    <row r="75" spans="2:22" s="32" customFormat="1" ht="60" customHeight="1">
      <c r="B75" s="12"/>
      <c r="C75" s="3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V75" s="85"/>
    </row>
    <row r="76" spans="2:22" s="6" customFormat="1" ht="36" customHeight="1">
      <c r="B76" s="16"/>
      <c r="D76" s="88" t="s">
        <v>1123</v>
      </c>
      <c r="E76" s="88" t="s">
        <v>1313</v>
      </c>
      <c r="F76" s="88"/>
      <c r="G76" s="88"/>
      <c r="H76" s="88" t="s">
        <v>94</v>
      </c>
      <c r="I76" s="88" t="s">
        <v>1320</v>
      </c>
      <c r="J76" s="88" t="s">
        <v>1097</v>
      </c>
      <c r="K76" s="88" t="s">
        <v>629</v>
      </c>
      <c r="L76" s="88"/>
      <c r="M76" s="88"/>
      <c r="N76" s="46"/>
      <c r="O76" s="46"/>
      <c r="P76" s="46"/>
      <c r="Q76" s="46"/>
      <c r="R76" s="46"/>
      <c r="S76" s="17"/>
      <c r="V76" s="85"/>
    </row>
    <row r="77" spans="2:22" s="6" customFormat="1" ht="80.099999999999994" customHeight="1">
      <c r="B77" s="18">
        <f>B73+1</f>
        <v>19</v>
      </c>
      <c r="D77" s="87" t="s">
        <v>713</v>
      </c>
      <c r="E77" s="87" t="s">
        <v>818</v>
      </c>
      <c r="F77" s="87" t="s">
        <v>821</v>
      </c>
      <c r="G77" s="87" t="s">
        <v>18</v>
      </c>
      <c r="H77" s="87" t="s">
        <v>93</v>
      </c>
      <c r="I77" s="87" t="s">
        <v>822</v>
      </c>
      <c r="J77" s="87" t="s">
        <v>697</v>
      </c>
      <c r="K77" s="87" t="s">
        <v>595</v>
      </c>
      <c r="L77" s="87" t="s">
        <v>19</v>
      </c>
      <c r="M77" s="87" t="str">
        <f>CHAR(10)</f>
        <v xml:space="preserve">
</v>
      </c>
      <c r="N77" s="36"/>
      <c r="O77" s="36"/>
      <c r="P77" s="36"/>
      <c r="Q77" s="36"/>
      <c r="R77" s="36"/>
      <c r="S77" s="19"/>
      <c r="V77" s="85"/>
    </row>
    <row r="78" spans="2:22" s="6" customFormat="1" ht="36" customHeight="1">
      <c r="B78" s="20"/>
      <c r="D78" s="89" t="s">
        <v>1124</v>
      </c>
      <c r="E78" s="89" t="s">
        <v>1314</v>
      </c>
      <c r="F78" s="89"/>
      <c r="G78" s="89"/>
      <c r="H78" s="89" t="s">
        <v>536</v>
      </c>
      <c r="I78" s="89" t="s">
        <v>1321</v>
      </c>
      <c r="J78" s="89" t="s">
        <v>1098</v>
      </c>
      <c r="K78" s="89" t="s">
        <v>630</v>
      </c>
      <c r="L78" s="89"/>
      <c r="M78" s="89"/>
      <c r="N78" s="73"/>
      <c r="O78" s="73"/>
      <c r="P78" s="73"/>
      <c r="Q78" s="73"/>
      <c r="R78" s="73"/>
      <c r="S78" s="28"/>
      <c r="V78" s="85"/>
    </row>
    <row r="79" spans="2:22" s="32" customFormat="1" ht="60" customHeight="1">
      <c r="B79" s="12"/>
      <c r="C79" s="31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V79" s="85"/>
    </row>
    <row r="80" spans="2:22" s="6" customFormat="1" ht="36" customHeight="1">
      <c r="B80" s="16"/>
      <c r="D80" s="88" t="s">
        <v>1323</v>
      </c>
      <c r="E80" s="88" t="s">
        <v>1325</v>
      </c>
      <c r="F80" s="88" t="s">
        <v>646</v>
      </c>
      <c r="G80" s="88" t="s">
        <v>1327</v>
      </c>
      <c r="H80" s="88" t="s">
        <v>1329</v>
      </c>
      <c r="I80" s="88" t="s">
        <v>1123</v>
      </c>
      <c r="J80" s="88" t="s">
        <v>558</v>
      </c>
      <c r="K80" s="88"/>
      <c r="L80" s="88" t="s">
        <v>1331</v>
      </c>
      <c r="M80" s="88" t="s">
        <v>1111</v>
      </c>
      <c r="N80" s="88" t="s">
        <v>1333</v>
      </c>
      <c r="O80" s="88" t="s">
        <v>1335</v>
      </c>
      <c r="P80" s="88"/>
      <c r="Q80" s="88" t="s">
        <v>624</v>
      </c>
      <c r="R80" s="88" t="s">
        <v>1225</v>
      </c>
      <c r="S80" s="17"/>
      <c r="V80" s="85"/>
    </row>
    <row r="81" spans="2:22" s="6" customFormat="1" ht="80.099999999999994" customHeight="1">
      <c r="B81" s="18">
        <f>B77+1</f>
        <v>20</v>
      </c>
      <c r="D81" s="87" t="s">
        <v>823</v>
      </c>
      <c r="E81" s="87" t="s">
        <v>824</v>
      </c>
      <c r="F81" s="87" t="s">
        <v>601</v>
      </c>
      <c r="G81" s="87" t="s">
        <v>825</v>
      </c>
      <c r="H81" s="87" t="s">
        <v>826</v>
      </c>
      <c r="I81" s="87" t="s">
        <v>713</v>
      </c>
      <c r="J81" s="87" t="s">
        <v>237</v>
      </c>
      <c r="K81" s="87" t="s">
        <v>18</v>
      </c>
      <c r="L81" s="87" t="s">
        <v>827</v>
      </c>
      <c r="M81" s="87" t="s">
        <v>705</v>
      </c>
      <c r="N81" s="87" t="s">
        <v>828</v>
      </c>
      <c r="O81" s="87" t="s">
        <v>829</v>
      </c>
      <c r="P81" s="87" t="s">
        <v>19</v>
      </c>
      <c r="Q81" s="87" t="s">
        <v>396</v>
      </c>
      <c r="R81" s="87" t="s">
        <v>32</v>
      </c>
      <c r="S81" s="19"/>
      <c r="V81" s="85"/>
    </row>
    <row r="82" spans="2:22" s="6" customFormat="1" ht="36" customHeight="1">
      <c r="B82" s="20"/>
      <c r="D82" s="89" t="s">
        <v>1324</v>
      </c>
      <c r="E82" s="89" t="s">
        <v>1326</v>
      </c>
      <c r="F82" s="89" t="s">
        <v>647</v>
      </c>
      <c r="G82" s="89" t="s">
        <v>1328</v>
      </c>
      <c r="H82" s="89" t="s">
        <v>1330</v>
      </c>
      <c r="I82" s="89" t="s">
        <v>1124</v>
      </c>
      <c r="J82" s="89" t="s">
        <v>559</v>
      </c>
      <c r="K82" s="89"/>
      <c r="L82" s="89" t="s">
        <v>1332</v>
      </c>
      <c r="M82" s="89" t="s">
        <v>1112</v>
      </c>
      <c r="N82" s="89" t="s">
        <v>1334</v>
      </c>
      <c r="O82" s="89" t="s">
        <v>1336</v>
      </c>
      <c r="P82" s="89"/>
      <c r="Q82" s="89" t="s">
        <v>625</v>
      </c>
      <c r="R82" s="89" t="s">
        <v>1226</v>
      </c>
      <c r="S82" s="28"/>
      <c r="V82" s="86"/>
    </row>
    <row r="83" spans="2:22" s="32" customFormat="1" ht="60" customHeight="1">
      <c r="B83" s="12"/>
      <c r="C83" s="31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V83" s="33"/>
    </row>
    <row r="84" spans="2:22" s="6" customFormat="1" ht="36" customHeight="1">
      <c r="B84" s="16"/>
      <c r="D84" s="88" t="s">
        <v>1345</v>
      </c>
      <c r="E84" s="88" t="s">
        <v>1335</v>
      </c>
      <c r="F84" s="88"/>
      <c r="G84" s="88" t="s">
        <v>670</v>
      </c>
      <c r="H84" s="88" t="s">
        <v>1347</v>
      </c>
      <c r="I84" s="88" t="s">
        <v>39</v>
      </c>
      <c r="J84" s="88" t="s">
        <v>1220</v>
      </c>
      <c r="K84" s="88"/>
      <c r="L84" s="88" t="s">
        <v>1273</v>
      </c>
      <c r="M84" s="88" t="s">
        <v>1175</v>
      </c>
      <c r="N84" s="88" t="s">
        <v>1091</v>
      </c>
      <c r="O84" s="88" t="s">
        <v>1349</v>
      </c>
      <c r="P84" s="88"/>
      <c r="Q84" s="88" t="s">
        <v>126</v>
      </c>
      <c r="R84" s="88" t="s">
        <v>688</v>
      </c>
      <c r="S84" s="17"/>
      <c r="V84" s="7"/>
    </row>
    <row r="85" spans="2:22" s="6" customFormat="1" ht="80.099999999999994" customHeight="1">
      <c r="B85" s="18">
        <f>B81+1</f>
        <v>21</v>
      </c>
      <c r="D85" s="87" t="s">
        <v>830</v>
      </c>
      <c r="E85" s="87" t="s">
        <v>829</v>
      </c>
      <c r="F85" s="87" t="s">
        <v>18</v>
      </c>
      <c r="G85" s="87" t="s">
        <v>797</v>
      </c>
      <c r="H85" s="87" t="s">
        <v>831</v>
      </c>
      <c r="I85" s="87" t="s">
        <v>109</v>
      </c>
      <c r="J85" s="87" t="s">
        <v>771</v>
      </c>
      <c r="K85" s="87" t="s">
        <v>18</v>
      </c>
      <c r="L85" s="87" t="s">
        <v>796</v>
      </c>
      <c r="M85" s="87" t="s">
        <v>743</v>
      </c>
      <c r="N85" s="87" t="s">
        <v>694</v>
      </c>
      <c r="O85" s="87" t="s">
        <v>832</v>
      </c>
      <c r="P85" s="87" t="s">
        <v>18</v>
      </c>
      <c r="Q85" s="87" t="s">
        <v>103</v>
      </c>
      <c r="R85" s="87" t="s">
        <v>609</v>
      </c>
      <c r="S85" s="19"/>
      <c r="V85" s="7"/>
    </row>
    <row r="86" spans="2:22" s="6" customFormat="1" ht="36" customHeight="1">
      <c r="B86" s="20"/>
      <c r="D86" s="89" t="s">
        <v>1346</v>
      </c>
      <c r="E86" s="89" t="s">
        <v>1336</v>
      </c>
      <c r="F86" s="89"/>
      <c r="G86" s="89" t="s">
        <v>671</v>
      </c>
      <c r="H86" s="89" t="s">
        <v>1348</v>
      </c>
      <c r="I86" s="89" t="s">
        <v>560</v>
      </c>
      <c r="J86" s="89" t="s">
        <v>1221</v>
      </c>
      <c r="K86" s="89"/>
      <c r="L86" s="89" t="s">
        <v>1274</v>
      </c>
      <c r="M86" s="89" t="s">
        <v>1176</v>
      </c>
      <c r="N86" s="89" t="s">
        <v>1092</v>
      </c>
      <c r="O86" s="89" t="s">
        <v>1350</v>
      </c>
      <c r="P86" s="89"/>
      <c r="Q86" s="89" t="s">
        <v>685</v>
      </c>
      <c r="R86" s="89" t="s">
        <v>666</v>
      </c>
      <c r="S86" s="28"/>
      <c r="V86" s="7"/>
    </row>
    <row r="87" spans="2:22" s="32" customFormat="1" ht="60" customHeight="1">
      <c r="B87" s="12"/>
      <c r="C87" s="31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V87" s="33"/>
    </row>
    <row r="88" spans="2:22" s="6" customFormat="1" ht="36" customHeight="1">
      <c r="B88" s="16"/>
      <c r="D88" s="88" t="s">
        <v>1347</v>
      </c>
      <c r="E88" s="88" t="s">
        <v>1123</v>
      </c>
      <c r="F88" s="88"/>
      <c r="G88" s="88" t="s">
        <v>1133</v>
      </c>
      <c r="H88" s="88" t="s">
        <v>1117</v>
      </c>
      <c r="I88" s="88" t="s">
        <v>1273</v>
      </c>
      <c r="J88" s="88" t="s">
        <v>1216</v>
      </c>
      <c r="K88" s="88"/>
      <c r="L88" s="88" t="s">
        <v>1347</v>
      </c>
      <c r="M88" s="88" t="s">
        <v>1335</v>
      </c>
      <c r="N88" s="88" t="s">
        <v>1275</v>
      </c>
      <c r="O88" s="88" t="s">
        <v>1352</v>
      </c>
      <c r="P88" s="88"/>
      <c r="Q88" s="88" t="s">
        <v>501</v>
      </c>
      <c r="R88" s="88" t="s">
        <v>1179</v>
      </c>
      <c r="S88" s="17"/>
      <c r="V88" s="7"/>
    </row>
    <row r="89" spans="2:22" s="6" customFormat="1" ht="80.099999999999994" customHeight="1">
      <c r="B89" s="18">
        <f>B85+1</f>
        <v>22</v>
      </c>
      <c r="D89" s="87" t="s">
        <v>831</v>
      </c>
      <c r="E89" s="87" t="s">
        <v>713</v>
      </c>
      <c r="F89" s="87" t="s">
        <v>731</v>
      </c>
      <c r="G89" s="87" t="s">
        <v>718</v>
      </c>
      <c r="H89" s="87" t="s">
        <v>708</v>
      </c>
      <c r="I89" s="87" t="s">
        <v>796</v>
      </c>
      <c r="J89" s="87" t="s">
        <v>769</v>
      </c>
      <c r="K89" s="87" t="s">
        <v>18</v>
      </c>
      <c r="L89" s="87" t="s">
        <v>831</v>
      </c>
      <c r="M89" s="87" t="s">
        <v>829</v>
      </c>
      <c r="N89" s="87" t="s">
        <v>798</v>
      </c>
      <c r="O89" s="87" t="s">
        <v>833</v>
      </c>
      <c r="P89" s="87" t="s">
        <v>18</v>
      </c>
      <c r="Q89" s="87" t="s">
        <v>768</v>
      </c>
      <c r="R89" s="87" t="s">
        <v>745</v>
      </c>
      <c r="S89" s="19"/>
      <c r="V89" s="7"/>
    </row>
    <row r="90" spans="2:22" s="6" customFormat="1" ht="36" customHeight="1">
      <c r="B90" s="20"/>
      <c r="D90" s="89" t="s">
        <v>1348</v>
      </c>
      <c r="E90" s="89" t="s">
        <v>1124</v>
      </c>
      <c r="F90" s="89"/>
      <c r="G90" s="89" t="s">
        <v>1134</v>
      </c>
      <c r="H90" s="89" t="s">
        <v>1118</v>
      </c>
      <c r="I90" s="89" t="s">
        <v>1274</v>
      </c>
      <c r="J90" s="89" t="s">
        <v>1217</v>
      </c>
      <c r="K90" s="89"/>
      <c r="L90" s="89" t="s">
        <v>1348</v>
      </c>
      <c r="M90" s="89" t="s">
        <v>1336</v>
      </c>
      <c r="N90" s="89" t="s">
        <v>1276</v>
      </c>
      <c r="O90" s="89" t="s">
        <v>323</v>
      </c>
      <c r="P90" s="89"/>
      <c r="Q90" s="89" t="s">
        <v>502</v>
      </c>
      <c r="R90" s="89" t="s">
        <v>1180</v>
      </c>
      <c r="S90" s="28"/>
      <c r="V90" s="7"/>
    </row>
    <row r="91" spans="2:22" s="32" customFormat="1" ht="60" customHeight="1">
      <c r="B91" s="12"/>
      <c r="C91" s="31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V91" s="33"/>
    </row>
    <row r="92" spans="2:22" s="6" customFormat="1" ht="36" customHeight="1">
      <c r="B92" s="16"/>
      <c r="D92" s="88" t="s">
        <v>300</v>
      </c>
      <c r="E92" s="88" t="s">
        <v>1301</v>
      </c>
      <c r="F92" s="88"/>
      <c r="G92" s="88" t="s">
        <v>1354</v>
      </c>
      <c r="H92" s="88" t="s">
        <v>1289</v>
      </c>
      <c r="I92" s="88" t="s">
        <v>30</v>
      </c>
      <c r="J92" s="88" t="s">
        <v>670</v>
      </c>
      <c r="K92" s="88" t="s">
        <v>624</v>
      </c>
      <c r="L92" s="88"/>
      <c r="M92" s="88" t="s">
        <v>1157</v>
      </c>
      <c r="N92" s="88" t="s">
        <v>516</v>
      </c>
      <c r="O92" s="88" t="s">
        <v>690</v>
      </c>
      <c r="P92" s="88" t="s">
        <v>1123</v>
      </c>
      <c r="Q92" s="88" t="s">
        <v>1356</v>
      </c>
      <c r="R92" s="88" t="s">
        <v>1358</v>
      </c>
      <c r="S92" s="17"/>
      <c r="V92" s="7"/>
    </row>
    <row r="93" spans="2:22" s="6" customFormat="1" ht="80.099999999999994" customHeight="1">
      <c r="B93" s="18">
        <f>B89+1</f>
        <v>23</v>
      </c>
      <c r="D93" s="87" t="s">
        <v>834</v>
      </c>
      <c r="E93" s="87" t="s">
        <v>835</v>
      </c>
      <c r="F93" s="87" t="s">
        <v>18</v>
      </c>
      <c r="G93" s="87" t="s">
        <v>836</v>
      </c>
      <c r="H93" s="87" t="s">
        <v>807</v>
      </c>
      <c r="I93" s="87" t="s">
        <v>29</v>
      </c>
      <c r="J93" s="87" t="s">
        <v>497</v>
      </c>
      <c r="K93" s="87" t="s">
        <v>704</v>
      </c>
      <c r="L93" s="87" t="s">
        <v>19</v>
      </c>
      <c r="M93" s="87" t="s">
        <v>732</v>
      </c>
      <c r="N93" s="87" t="s">
        <v>837</v>
      </c>
      <c r="O93" s="87" t="s">
        <v>611</v>
      </c>
      <c r="P93" s="87" t="s">
        <v>713</v>
      </c>
      <c r="Q93" s="87" t="s">
        <v>838</v>
      </c>
      <c r="R93" s="87" t="s">
        <v>839</v>
      </c>
      <c r="S93" s="19"/>
      <c r="V93" s="7"/>
    </row>
    <row r="94" spans="2:22" s="6" customFormat="1" ht="36" customHeight="1">
      <c r="B94" s="20"/>
      <c r="D94" s="89" t="s">
        <v>576</v>
      </c>
      <c r="E94" s="89" t="s">
        <v>1302</v>
      </c>
      <c r="F94" s="89"/>
      <c r="G94" s="89" t="s">
        <v>1355</v>
      </c>
      <c r="H94" s="89" t="s">
        <v>1290</v>
      </c>
      <c r="I94" s="89" t="s">
        <v>546</v>
      </c>
      <c r="J94" s="89" t="s">
        <v>671</v>
      </c>
      <c r="K94" s="89" t="s">
        <v>625</v>
      </c>
      <c r="L94" s="89"/>
      <c r="M94" s="89" t="s">
        <v>1158</v>
      </c>
      <c r="N94" s="89" t="s">
        <v>517</v>
      </c>
      <c r="O94" s="89" t="s">
        <v>691</v>
      </c>
      <c r="P94" s="89" t="s">
        <v>1124</v>
      </c>
      <c r="Q94" s="89" t="s">
        <v>1357</v>
      </c>
      <c r="R94" s="89" t="s">
        <v>1359</v>
      </c>
      <c r="S94" s="28"/>
      <c r="V94" s="7"/>
    </row>
    <row r="95" spans="2:22">
      <c r="B95" s="12"/>
      <c r="C95" s="31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</row>
    <row r="96" spans="2:22" ht="39.75">
      <c r="B96" s="16"/>
      <c r="C96" s="6"/>
      <c r="D96" s="88" t="s">
        <v>618</v>
      </c>
      <c r="E96" s="88"/>
      <c r="F96" s="88" t="s">
        <v>1191</v>
      </c>
      <c r="G96" s="88" t="s">
        <v>98</v>
      </c>
      <c r="H96" s="88" t="s">
        <v>648</v>
      </c>
      <c r="I96" s="88" t="s">
        <v>1366</v>
      </c>
      <c r="J96" s="88" t="s">
        <v>1368</v>
      </c>
      <c r="K96" s="88"/>
      <c r="L96" s="88" t="s">
        <v>1289</v>
      </c>
      <c r="M96" s="88" t="s">
        <v>1313</v>
      </c>
      <c r="N96" s="88" t="s">
        <v>1370</v>
      </c>
      <c r="O96" s="88" t="s">
        <v>1372</v>
      </c>
      <c r="P96" s="88" t="s">
        <v>126</v>
      </c>
      <c r="Q96" s="88" t="s">
        <v>1374</v>
      </c>
      <c r="R96" s="88" t="s">
        <v>508</v>
      </c>
    </row>
    <row r="97" spans="2:18" s="6" customFormat="1" ht="80.099999999999994" customHeight="1">
      <c r="B97" s="18">
        <f>B93+1</f>
        <v>24</v>
      </c>
      <c r="D97" s="87" t="s">
        <v>591</v>
      </c>
      <c r="E97" s="87" t="s">
        <v>18</v>
      </c>
      <c r="F97" s="87" t="s">
        <v>752</v>
      </c>
      <c r="G97" s="87" t="s">
        <v>750</v>
      </c>
      <c r="H97" s="87" t="s">
        <v>840</v>
      </c>
      <c r="I97" s="87" t="s">
        <v>841</v>
      </c>
      <c r="J97" s="87" t="s">
        <v>842</v>
      </c>
      <c r="K97" s="87" t="s">
        <v>18</v>
      </c>
      <c r="L97" s="87" t="s">
        <v>807</v>
      </c>
      <c r="M97" s="87" t="s">
        <v>843</v>
      </c>
      <c r="N97" s="87" t="s">
        <v>844</v>
      </c>
      <c r="O97" s="87" t="s">
        <v>845</v>
      </c>
      <c r="P97" s="87" t="s">
        <v>103</v>
      </c>
      <c r="Q97" s="87" t="s">
        <v>846</v>
      </c>
      <c r="R97" s="87" t="s">
        <v>847</v>
      </c>
    </row>
    <row r="98" spans="2:18" s="6" customFormat="1" ht="36" customHeight="1">
      <c r="B98" s="20"/>
      <c r="D98" s="89" t="s">
        <v>619</v>
      </c>
      <c r="E98" s="89"/>
      <c r="F98" s="89" t="s">
        <v>1192</v>
      </c>
      <c r="G98" s="89" t="s">
        <v>531</v>
      </c>
      <c r="H98" s="89" t="s">
        <v>649</v>
      </c>
      <c r="I98" s="89" t="s">
        <v>1367</v>
      </c>
      <c r="J98" s="89" t="s">
        <v>1369</v>
      </c>
      <c r="K98" s="89"/>
      <c r="L98" s="89" t="s">
        <v>1290</v>
      </c>
      <c r="M98" s="89" t="s">
        <v>1314</v>
      </c>
      <c r="N98" s="89" t="s">
        <v>1371</v>
      </c>
      <c r="O98" s="89" t="s">
        <v>1373</v>
      </c>
      <c r="P98" s="89" t="s">
        <v>685</v>
      </c>
      <c r="Q98" s="89" t="s">
        <v>1375</v>
      </c>
      <c r="R98" s="89" t="s">
        <v>509</v>
      </c>
    </row>
    <row r="99" spans="2:18" s="32" customFormat="1" ht="60" customHeight="1">
      <c r="B99" s="12"/>
      <c r="C99" s="31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</row>
    <row r="100" spans="2:18" s="6" customFormat="1" ht="36" customHeight="1">
      <c r="B100" s="16"/>
      <c r="D100" s="88" t="s">
        <v>618</v>
      </c>
      <c r="E100" s="88" t="s">
        <v>678</v>
      </c>
      <c r="F100" s="88"/>
      <c r="G100" s="88" t="s">
        <v>94</v>
      </c>
      <c r="H100" s="88" t="s">
        <v>1320</v>
      </c>
      <c r="I100" s="88" t="s">
        <v>1095</v>
      </c>
      <c r="J100" s="88" t="s">
        <v>1097</v>
      </c>
      <c r="K100" s="88" t="s">
        <v>640</v>
      </c>
      <c r="L100" s="88" t="s">
        <v>1380</v>
      </c>
      <c r="M100" s="88" t="s">
        <v>629</v>
      </c>
      <c r="N100" s="88"/>
      <c r="O100" s="88" t="s">
        <v>1191</v>
      </c>
      <c r="P100" s="88" t="s">
        <v>1382</v>
      </c>
      <c r="Q100" s="88"/>
      <c r="R100" s="88" t="s">
        <v>1368</v>
      </c>
    </row>
    <row r="101" spans="2:18" s="6" customFormat="1" ht="80.099999999999994" customHeight="1">
      <c r="B101" s="18">
        <f>B97+1</f>
        <v>25</v>
      </c>
      <c r="D101" s="87" t="s">
        <v>591</v>
      </c>
      <c r="E101" s="87" t="s">
        <v>587</v>
      </c>
      <c r="F101" s="87" t="s">
        <v>18</v>
      </c>
      <c r="G101" s="87" t="s">
        <v>93</v>
      </c>
      <c r="H101" s="87" t="s">
        <v>822</v>
      </c>
      <c r="I101" s="87" t="s">
        <v>696</v>
      </c>
      <c r="J101" s="87" t="s">
        <v>697</v>
      </c>
      <c r="K101" s="87" t="s">
        <v>599</v>
      </c>
      <c r="L101" s="87" t="s">
        <v>848</v>
      </c>
      <c r="M101" s="87" t="s">
        <v>595</v>
      </c>
      <c r="N101" s="87" t="s">
        <v>19</v>
      </c>
      <c r="O101" s="87" t="s">
        <v>752</v>
      </c>
      <c r="P101" s="87" t="s">
        <v>849</v>
      </c>
      <c r="Q101" s="87" t="s">
        <v>850</v>
      </c>
      <c r="R101" s="87" t="s">
        <v>842</v>
      </c>
    </row>
    <row r="102" spans="2:18" s="6" customFormat="1" ht="36" customHeight="1">
      <c r="B102" s="20"/>
      <c r="D102" s="89" t="s">
        <v>619</v>
      </c>
      <c r="E102" s="89" t="s">
        <v>679</v>
      </c>
      <c r="F102" s="89"/>
      <c r="G102" s="89" t="s">
        <v>536</v>
      </c>
      <c r="H102" s="89" t="s">
        <v>1321</v>
      </c>
      <c r="I102" s="89" t="s">
        <v>1096</v>
      </c>
      <c r="J102" s="89" t="s">
        <v>1098</v>
      </c>
      <c r="K102" s="89" t="s">
        <v>641</v>
      </c>
      <c r="L102" s="89" t="s">
        <v>1381</v>
      </c>
      <c r="M102" s="89" t="s">
        <v>630</v>
      </c>
      <c r="N102" s="89"/>
      <c r="O102" s="89" t="s">
        <v>1192</v>
      </c>
      <c r="P102" s="89" t="s">
        <v>1383</v>
      </c>
      <c r="Q102" s="89"/>
      <c r="R102" s="89" t="s">
        <v>1369</v>
      </c>
    </row>
    <row r="103" spans="2:18" s="32" customFormat="1" ht="60" customHeight="1">
      <c r="B103" s="12"/>
      <c r="C103" s="31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</row>
    <row r="104" spans="2:18" s="6" customFormat="1" ht="36" customHeight="1">
      <c r="B104" s="16"/>
      <c r="D104" s="88"/>
      <c r="E104" s="88" t="s">
        <v>1389</v>
      </c>
      <c r="F104" s="88" t="s">
        <v>1391</v>
      </c>
      <c r="G104" s="88" t="s">
        <v>1393</v>
      </c>
      <c r="H104" s="88" t="s">
        <v>686</v>
      </c>
      <c r="I104" s="88" t="s">
        <v>508</v>
      </c>
      <c r="J104" s="88" t="s">
        <v>1198</v>
      </c>
      <c r="K104" s="88" t="s">
        <v>100</v>
      </c>
      <c r="L104" s="88" t="s">
        <v>1147</v>
      </c>
      <c r="M104" s="88"/>
      <c r="N104" s="88" t="s">
        <v>1395</v>
      </c>
      <c r="O104" s="88" t="s">
        <v>149</v>
      </c>
      <c r="P104" s="88" t="s">
        <v>1398</v>
      </c>
      <c r="Q104" s="88" t="s">
        <v>1400</v>
      </c>
      <c r="R104" s="88" t="s">
        <v>1402</v>
      </c>
    </row>
    <row r="105" spans="2:18" s="6" customFormat="1" ht="80.099999999999994" customHeight="1">
      <c r="B105" s="18">
        <f>B101+1</f>
        <v>26</v>
      </c>
      <c r="D105" s="87" t="s">
        <v>18</v>
      </c>
      <c r="E105" s="87" t="s">
        <v>851</v>
      </c>
      <c r="F105" s="87" t="s">
        <v>852</v>
      </c>
      <c r="G105" s="87" t="s">
        <v>192</v>
      </c>
      <c r="H105" s="87" t="s">
        <v>853</v>
      </c>
      <c r="I105" s="87" t="s">
        <v>847</v>
      </c>
      <c r="J105" s="87" t="s">
        <v>760</v>
      </c>
      <c r="K105" s="87" t="s">
        <v>96</v>
      </c>
      <c r="L105" s="87" t="s">
        <v>854</v>
      </c>
      <c r="M105" s="87" t="s">
        <v>19</v>
      </c>
      <c r="N105" s="87" t="s">
        <v>855</v>
      </c>
      <c r="O105" s="87" t="s">
        <v>856</v>
      </c>
      <c r="P105" s="87" t="s">
        <v>857</v>
      </c>
      <c r="Q105" s="87" t="s">
        <v>858</v>
      </c>
      <c r="R105" s="87" t="s">
        <v>859</v>
      </c>
    </row>
    <row r="106" spans="2:18" s="6" customFormat="1" ht="36" customHeight="1">
      <c r="B106" s="20"/>
      <c r="D106" s="89"/>
      <c r="E106" s="89" t="s">
        <v>1390</v>
      </c>
      <c r="F106" s="89" t="s">
        <v>1392</v>
      </c>
      <c r="G106" s="89" t="s">
        <v>1394</v>
      </c>
      <c r="H106" s="89" t="s">
        <v>687</v>
      </c>
      <c r="I106" s="89" t="s">
        <v>509</v>
      </c>
      <c r="J106" s="89" t="s">
        <v>1199</v>
      </c>
      <c r="K106" s="89" t="s">
        <v>528</v>
      </c>
      <c r="L106" s="89" t="s">
        <v>1148</v>
      </c>
      <c r="M106" s="89"/>
      <c r="N106" s="89" t="s">
        <v>1396</v>
      </c>
      <c r="O106" s="89" t="s">
        <v>1397</v>
      </c>
      <c r="P106" s="89" t="s">
        <v>1399</v>
      </c>
      <c r="Q106" s="89" t="s">
        <v>1401</v>
      </c>
      <c r="R106" s="89" t="s">
        <v>1403</v>
      </c>
    </row>
    <row r="107" spans="2:18" s="32" customFormat="1" ht="60" customHeight="1">
      <c r="B107" s="12"/>
      <c r="C107" s="31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</row>
    <row r="108" spans="2:18" s="6" customFormat="1" ht="36" customHeight="1">
      <c r="B108" s="16"/>
      <c r="D108" s="88" t="s">
        <v>1153</v>
      </c>
      <c r="E108" s="88" t="s">
        <v>1408</v>
      </c>
      <c r="F108" s="88" t="s">
        <v>296</v>
      </c>
      <c r="G108" s="88"/>
      <c r="H108" s="88" t="s">
        <v>1211</v>
      </c>
      <c r="I108" s="88" t="s">
        <v>1410</v>
      </c>
      <c r="J108" s="88" t="s">
        <v>144</v>
      </c>
      <c r="K108" s="88" t="s">
        <v>1412</v>
      </c>
      <c r="L108" s="88"/>
      <c r="M108" s="88" t="s">
        <v>664</v>
      </c>
      <c r="N108" s="88" t="s">
        <v>1414</v>
      </c>
      <c r="O108" s="88" t="s">
        <v>1416</v>
      </c>
      <c r="P108" s="88" t="s">
        <v>1149</v>
      </c>
      <c r="Q108" s="88" t="s">
        <v>1402</v>
      </c>
      <c r="R108" s="88" t="s">
        <v>1414</v>
      </c>
    </row>
    <row r="109" spans="2:18" s="6" customFormat="1" ht="80.099999999999994" customHeight="1">
      <c r="B109" s="18">
        <f>B105+1</f>
        <v>27</v>
      </c>
      <c r="D109" s="87" t="s">
        <v>774</v>
      </c>
      <c r="E109" s="87" t="s">
        <v>860</v>
      </c>
      <c r="F109" s="87" t="s">
        <v>240</v>
      </c>
      <c r="G109" s="87" t="s">
        <v>18</v>
      </c>
      <c r="H109" s="87" t="s">
        <v>766</v>
      </c>
      <c r="I109" s="87" t="s">
        <v>861</v>
      </c>
      <c r="J109" s="87" t="s">
        <v>862</v>
      </c>
      <c r="K109" s="87" t="s">
        <v>863</v>
      </c>
      <c r="L109" s="87" t="s">
        <v>18</v>
      </c>
      <c r="M109" s="87" t="s">
        <v>608</v>
      </c>
      <c r="N109" s="87" t="s">
        <v>864</v>
      </c>
      <c r="O109" s="87" t="s">
        <v>865</v>
      </c>
      <c r="P109" s="87" t="s">
        <v>727</v>
      </c>
      <c r="Q109" s="87" t="s">
        <v>859</v>
      </c>
      <c r="R109" s="87" t="s">
        <v>864</v>
      </c>
    </row>
    <row r="110" spans="2:18" s="6" customFormat="1" ht="36" customHeight="1">
      <c r="B110" s="20"/>
      <c r="D110" s="89" t="s">
        <v>1154</v>
      </c>
      <c r="E110" s="89" t="s">
        <v>1409</v>
      </c>
      <c r="F110" s="89" t="s">
        <v>570</v>
      </c>
      <c r="G110" s="89"/>
      <c r="H110" s="89" t="s">
        <v>1212</v>
      </c>
      <c r="I110" s="89" t="s">
        <v>1411</v>
      </c>
      <c r="J110" s="89" t="s">
        <v>530</v>
      </c>
      <c r="K110" s="89" t="s">
        <v>1413</v>
      </c>
      <c r="L110" s="89"/>
      <c r="M110" s="89" t="s">
        <v>665</v>
      </c>
      <c r="N110" s="89" t="s">
        <v>1415</v>
      </c>
      <c r="O110" s="89" t="s">
        <v>1417</v>
      </c>
      <c r="P110" s="89" t="s">
        <v>1150</v>
      </c>
      <c r="Q110" s="89" t="s">
        <v>1403</v>
      </c>
      <c r="R110" s="89" t="s">
        <v>1415</v>
      </c>
    </row>
    <row r="111" spans="2:18">
      <c r="B111" s="12"/>
      <c r="C111" s="31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</row>
    <row r="112" spans="2:18" ht="39.75">
      <c r="B112" s="16"/>
      <c r="C112" s="6"/>
      <c r="D112" s="88"/>
      <c r="E112" s="88" t="s">
        <v>1422</v>
      </c>
      <c r="F112" s="88" t="s">
        <v>1424</v>
      </c>
      <c r="G112" s="88" t="s">
        <v>1410</v>
      </c>
      <c r="H112" s="88" t="s">
        <v>30</v>
      </c>
      <c r="I112" s="88" t="s">
        <v>681</v>
      </c>
      <c r="J112" s="88" t="s">
        <v>566</v>
      </c>
      <c r="K112" s="88" t="s">
        <v>1123</v>
      </c>
      <c r="L112" s="88" t="s">
        <v>260</v>
      </c>
      <c r="M112" s="88"/>
      <c r="N112" s="88" t="s">
        <v>614</v>
      </c>
      <c r="O112" s="88" t="s">
        <v>1426</v>
      </c>
      <c r="P112" s="88" t="s">
        <v>640</v>
      </c>
      <c r="Q112" s="88" t="s">
        <v>1301</v>
      </c>
      <c r="R112" s="88" t="s">
        <v>30</v>
      </c>
    </row>
    <row r="113" spans="2:18" s="6" customFormat="1" ht="80.099999999999994" customHeight="1">
      <c r="B113" s="18">
        <f t="shared" ref="B113" si="2">B109+1</f>
        <v>28</v>
      </c>
      <c r="D113" s="87" t="s">
        <v>18</v>
      </c>
      <c r="E113" s="87" t="s">
        <v>866</v>
      </c>
      <c r="F113" s="87" t="s">
        <v>867</v>
      </c>
      <c r="G113" s="87" t="s">
        <v>861</v>
      </c>
      <c r="H113" s="87" t="s">
        <v>29</v>
      </c>
      <c r="I113" s="87" t="s">
        <v>95</v>
      </c>
      <c r="J113" s="87" t="s">
        <v>239</v>
      </c>
      <c r="K113" s="87" t="s">
        <v>713</v>
      </c>
      <c r="L113" s="87" t="s">
        <v>868</v>
      </c>
      <c r="M113" s="87" t="s">
        <v>18</v>
      </c>
      <c r="N113" s="87" t="s">
        <v>590</v>
      </c>
      <c r="O113" s="87" t="s">
        <v>869</v>
      </c>
      <c r="P113" s="87" t="s">
        <v>870</v>
      </c>
      <c r="Q113" s="87" t="s">
        <v>835</v>
      </c>
      <c r="R113" s="87" t="s">
        <v>29</v>
      </c>
    </row>
    <row r="114" spans="2:18" s="6" customFormat="1" ht="36" customHeight="1">
      <c r="B114" s="20"/>
      <c r="D114" s="89"/>
      <c r="E114" s="89" t="s">
        <v>1423</v>
      </c>
      <c r="F114" s="89" t="s">
        <v>1425</v>
      </c>
      <c r="G114" s="89" t="s">
        <v>1411</v>
      </c>
      <c r="H114" s="89" t="s">
        <v>546</v>
      </c>
      <c r="I114" s="89" t="s">
        <v>682</v>
      </c>
      <c r="J114" s="89" t="s">
        <v>567</v>
      </c>
      <c r="K114" s="89" t="s">
        <v>1124</v>
      </c>
      <c r="L114" s="89" t="s">
        <v>506</v>
      </c>
      <c r="M114" s="89"/>
      <c r="N114" s="89" t="s">
        <v>689</v>
      </c>
      <c r="O114" s="89" t="s">
        <v>1427</v>
      </c>
      <c r="P114" s="89" t="s">
        <v>641</v>
      </c>
      <c r="Q114" s="89" t="s">
        <v>1302</v>
      </c>
      <c r="R114" s="89" t="s">
        <v>546</v>
      </c>
    </row>
    <row r="115" spans="2:18" s="32" customFormat="1" ht="60" customHeight="1">
      <c r="B115" s="12"/>
      <c r="C115" s="31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</row>
    <row r="116" spans="2:18" s="6" customFormat="1" ht="36" customHeight="1">
      <c r="B116" s="16"/>
      <c r="D116" s="88" t="s">
        <v>259</v>
      </c>
      <c r="E116" s="88" t="s">
        <v>1435</v>
      </c>
      <c r="F116" s="88"/>
      <c r="G116" s="88" t="s">
        <v>1097</v>
      </c>
      <c r="H116" s="88" t="s">
        <v>1437</v>
      </c>
      <c r="I116" s="88" t="s">
        <v>1117</v>
      </c>
      <c r="J116" s="88" t="s">
        <v>655</v>
      </c>
      <c r="K116" s="88"/>
      <c r="L116" s="88" t="s">
        <v>678</v>
      </c>
      <c r="M116" s="88" t="s">
        <v>640</v>
      </c>
      <c r="N116" s="88" t="s">
        <v>1439</v>
      </c>
      <c r="O116" s="88" t="s">
        <v>1398</v>
      </c>
      <c r="P116" s="88" t="s">
        <v>1155</v>
      </c>
      <c r="Q116" s="88" t="s">
        <v>1287</v>
      </c>
      <c r="R116" s="88" t="s">
        <v>1174</v>
      </c>
    </row>
    <row r="117" spans="2:18" s="6" customFormat="1" ht="80.099999999999994" customHeight="1">
      <c r="B117" s="18">
        <f t="shared" ref="B117" si="3">B113+1</f>
        <v>29</v>
      </c>
      <c r="D117" s="87" t="s">
        <v>871</v>
      </c>
      <c r="E117" s="87" t="s">
        <v>872</v>
      </c>
      <c r="F117" s="87" t="s">
        <v>19</v>
      </c>
      <c r="G117" s="87" t="s">
        <v>697</v>
      </c>
      <c r="H117" s="87" t="s">
        <v>873</v>
      </c>
      <c r="I117" s="87" t="s">
        <v>874</v>
      </c>
      <c r="J117" s="87" t="s">
        <v>605</v>
      </c>
      <c r="K117" s="87" t="s">
        <v>18</v>
      </c>
      <c r="L117" s="87" t="s">
        <v>587</v>
      </c>
      <c r="M117" s="87" t="s">
        <v>599</v>
      </c>
      <c r="N117" s="87" t="s">
        <v>875</v>
      </c>
      <c r="O117" s="87" t="s">
        <v>857</v>
      </c>
      <c r="P117" s="87" t="s">
        <v>730</v>
      </c>
      <c r="Q117" s="87" t="s">
        <v>806</v>
      </c>
      <c r="R117" s="87" t="s">
        <v>876</v>
      </c>
    </row>
    <row r="118" spans="2:18" s="6" customFormat="1" ht="36" customHeight="1">
      <c r="B118" s="20"/>
      <c r="D118" s="89" t="s">
        <v>505</v>
      </c>
      <c r="E118" s="89" t="s">
        <v>1436</v>
      </c>
      <c r="F118" s="89"/>
      <c r="G118" s="89" t="s">
        <v>1098</v>
      </c>
      <c r="H118" s="89" t="s">
        <v>1438</v>
      </c>
      <c r="I118" s="89" t="s">
        <v>1118</v>
      </c>
      <c r="J118" s="89" t="s">
        <v>656</v>
      </c>
      <c r="K118" s="89"/>
      <c r="L118" s="89" t="s">
        <v>679</v>
      </c>
      <c r="M118" s="89" t="s">
        <v>641</v>
      </c>
      <c r="N118" s="89" t="s">
        <v>1440</v>
      </c>
      <c r="O118" s="89" t="s">
        <v>1399</v>
      </c>
      <c r="P118" s="89" t="s">
        <v>1156</v>
      </c>
      <c r="Q118" s="89" t="s">
        <v>1288</v>
      </c>
      <c r="R118" s="89" t="s">
        <v>661</v>
      </c>
    </row>
    <row r="119" spans="2:18" s="32" customFormat="1" ht="60" customHeight="1">
      <c r="B119" s="12"/>
      <c r="C119" s="31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</row>
    <row r="120" spans="2:18" s="6" customFormat="1" ht="36" customHeight="1">
      <c r="B120" s="16"/>
      <c r="D120" s="88" t="s">
        <v>1258</v>
      </c>
      <c r="E120" s="88" t="s">
        <v>1445</v>
      </c>
      <c r="F120" s="88"/>
      <c r="G120" s="88" t="s">
        <v>1447</v>
      </c>
      <c r="H120" s="88" t="s">
        <v>1449</v>
      </c>
      <c r="I120" s="88" t="s">
        <v>681</v>
      </c>
      <c r="J120" s="88" t="s">
        <v>1211</v>
      </c>
      <c r="K120" s="88"/>
      <c r="L120" s="88" t="s">
        <v>1451</v>
      </c>
      <c r="M120" s="88" t="s">
        <v>1315</v>
      </c>
      <c r="N120" s="88"/>
      <c r="O120" s="88" t="s">
        <v>1105</v>
      </c>
      <c r="P120" s="88" t="s">
        <v>1453</v>
      </c>
      <c r="Q120" s="88" t="s">
        <v>1193</v>
      </c>
      <c r="R120" s="88" t="s">
        <v>1159</v>
      </c>
    </row>
    <row r="121" spans="2:18" s="6" customFormat="1" ht="80.099999999999994" customHeight="1">
      <c r="B121" s="18">
        <f t="shared" ref="B121" si="4">B117+1</f>
        <v>30</v>
      </c>
      <c r="D121" s="87" t="s">
        <v>877</v>
      </c>
      <c r="E121" s="87" t="s">
        <v>878</v>
      </c>
      <c r="F121" s="87" t="s">
        <v>18</v>
      </c>
      <c r="G121" s="87" t="s">
        <v>879</v>
      </c>
      <c r="H121" s="87" t="s">
        <v>880</v>
      </c>
      <c r="I121" s="87" t="s">
        <v>95</v>
      </c>
      <c r="J121" s="87" t="s">
        <v>766</v>
      </c>
      <c r="K121" s="87" t="s">
        <v>18</v>
      </c>
      <c r="L121" s="87" t="s">
        <v>881</v>
      </c>
      <c r="M121" s="87" t="s">
        <v>819</v>
      </c>
      <c r="N121" s="87" t="s">
        <v>820</v>
      </c>
      <c r="O121" s="87" t="s">
        <v>701</v>
      </c>
      <c r="P121" s="87" t="s">
        <v>882</v>
      </c>
      <c r="Q121" s="87" t="s">
        <v>754</v>
      </c>
      <c r="R121" s="87" t="s">
        <v>733</v>
      </c>
    </row>
    <row r="122" spans="2:18" s="6" customFormat="1" ht="36" customHeight="1">
      <c r="B122" s="20"/>
      <c r="D122" s="89" t="s">
        <v>1259</v>
      </c>
      <c r="E122" s="89" t="s">
        <v>1446</v>
      </c>
      <c r="F122" s="89"/>
      <c r="G122" s="89" t="s">
        <v>1448</v>
      </c>
      <c r="H122" s="89" t="s">
        <v>1450</v>
      </c>
      <c r="I122" s="89" t="s">
        <v>682</v>
      </c>
      <c r="J122" s="89" t="s">
        <v>1212</v>
      </c>
      <c r="K122" s="89"/>
      <c r="L122" s="89" t="s">
        <v>1452</v>
      </c>
      <c r="M122" s="89" t="s">
        <v>1316</v>
      </c>
      <c r="N122" s="89"/>
      <c r="O122" s="89" t="s">
        <v>1106</v>
      </c>
      <c r="P122" s="89" t="s">
        <v>1454</v>
      </c>
      <c r="Q122" s="89" t="s">
        <v>1194</v>
      </c>
      <c r="R122" s="89" t="s">
        <v>1160</v>
      </c>
    </row>
    <row r="123" spans="2:18" s="32" customFormat="1" ht="60" customHeight="1">
      <c r="B123" s="12"/>
      <c r="C123" s="31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spans="2:18" s="6" customFormat="1" ht="36" customHeight="1">
      <c r="B124" s="16"/>
      <c r="D124" s="88"/>
      <c r="E124" s="88" t="s">
        <v>1200</v>
      </c>
      <c r="F124" s="88" t="s">
        <v>612</v>
      </c>
      <c r="G124" s="88" t="s">
        <v>629</v>
      </c>
      <c r="H124" s="88"/>
      <c r="I124" s="88"/>
      <c r="J124" s="88" t="s">
        <v>1191</v>
      </c>
      <c r="K124" s="88" t="s">
        <v>1109</v>
      </c>
      <c r="L124" s="88" t="s">
        <v>1293</v>
      </c>
      <c r="M124" s="88" t="s">
        <v>1459</v>
      </c>
      <c r="N124" s="88" t="s">
        <v>1320</v>
      </c>
      <c r="O124" s="88" t="s">
        <v>652</v>
      </c>
      <c r="P124" s="88" t="s">
        <v>1305</v>
      </c>
      <c r="Q124" s="88"/>
      <c r="R124" s="88" t="s">
        <v>1461</v>
      </c>
    </row>
    <row r="125" spans="2:18" s="6" customFormat="1" ht="80.099999999999994" customHeight="1">
      <c r="B125" s="18">
        <f t="shared" ref="B125" si="5">B121+1</f>
        <v>31</v>
      </c>
      <c r="D125" s="87" t="s">
        <v>18</v>
      </c>
      <c r="E125" s="87" t="s">
        <v>761</v>
      </c>
      <c r="F125" s="87" t="s">
        <v>883</v>
      </c>
      <c r="G125" s="87" t="s">
        <v>595</v>
      </c>
      <c r="H125" s="87" t="s">
        <v>821</v>
      </c>
      <c r="I125" s="87" t="s">
        <v>19</v>
      </c>
      <c r="J125" s="87" t="s">
        <v>752</v>
      </c>
      <c r="K125" s="87" t="s">
        <v>703</v>
      </c>
      <c r="L125" s="87" t="s">
        <v>809</v>
      </c>
      <c r="M125" s="87" t="s">
        <v>884</v>
      </c>
      <c r="N125" s="87" t="s">
        <v>822</v>
      </c>
      <c r="O125" s="87" t="s">
        <v>603</v>
      </c>
      <c r="P125" s="87" t="s">
        <v>816</v>
      </c>
      <c r="Q125" s="87" t="s">
        <v>18</v>
      </c>
      <c r="R125" s="87" t="s">
        <v>885</v>
      </c>
    </row>
    <row r="126" spans="2:18" s="6" customFormat="1" ht="36" customHeight="1">
      <c r="B126" s="20"/>
      <c r="D126" s="89"/>
      <c r="E126" s="89" t="s">
        <v>1201</v>
      </c>
      <c r="F126" s="89" t="s">
        <v>613</v>
      </c>
      <c r="G126" s="89" t="s">
        <v>630</v>
      </c>
      <c r="H126" s="89"/>
      <c r="I126" s="89"/>
      <c r="J126" s="89" t="s">
        <v>1192</v>
      </c>
      <c r="K126" s="89" t="s">
        <v>1110</v>
      </c>
      <c r="L126" s="89" t="s">
        <v>1294</v>
      </c>
      <c r="M126" s="89" t="s">
        <v>1460</v>
      </c>
      <c r="N126" s="89" t="s">
        <v>1321</v>
      </c>
      <c r="O126" s="89" t="s">
        <v>653</v>
      </c>
      <c r="P126" s="89" t="s">
        <v>1306</v>
      </c>
      <c r="Q126" s="89"/>
      <c r="R126" s="89" t="s">
        <v>1462</v>
      </c>
    </row>
    <row r="127" spans="2:18" s="32" customFormat="1" ht="60" customHeight="1">
      <c r="B127" s="12"/>
      <c r="C127" s="31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</row>
    <row r="128" spans="2:18" s="6" customFormat="1" ht="36" customHeight="1">
      <c r="B128" s="16"/>
      <c r="D128" s="88" t="s">
        <v>1320</v>
      </c>
      <c r="E128" s="88" t="s">
        <v>678</v>
      </c>
      <c r="F128" s="88" t="s">
        <v>1147</v>
      </c>
      <c r="G128" s="88"/>
      <c r="H128" s="88" t="s">
        <v>1287</v>
      </c>
      <c r="I128" s="88" t="s">
        <v>1155</v>
      </c>
      <c r="J128" s="88" t="s">
        <v>1398</v>
      </c>
      <c r="K128" s="88" t="s">
        <v>1465</v>
      </c>
      <c r="L128" s="88" t="s">
        <v>1467</v>
      </c>
      <c r="M128" s="88" t="s">
        <v>1469</v>
      </c>
      <c r="N128" s="88" t="s">
        <v>1242</v>
      </c>
      <c r="O128" s="88"/>
      <c r="P128" s="88" t="s">
        <v>1471</v>
      </c>
      <c r="Q128" s="88" t="s">
        <v>1187</v>
      </c>
      <c r="R128" s="88" t="s">
        <v>1323</v>
      </c>
    </row>
    <row r="129" spans="2:18" s="6" customFormat="1" ht="80.099999999999994" customHeight="1">
      <c r="B129" s="18">
        <f t="shared" ref="B129" si="6">B125+1</f>
        <v>32</v>
      </c>
      <c r="D129" s="87" t="s">
        <v>822</v>
      </c>
      <c r="E129" s="87" t="s">
        <v>587</v>
      </c>
      <c r="F129" s="87" t="s">
        <v>854</v>
      </c>
      <c r="G129" s="87" t="s">
        <v>18</v>
      </c>
      <c r="H129" s="87" t="s">
        <v>806</v>
      </c>
      <c r="I129" s="87" t="s">
        <v>730</v>
      </c>
      <c r="J129" s="87" t="s">
        <v>857</v>
      </c>
      <c r="K129" s="87" t="s">
        <v>886</v>
      </c>
      <c r="L129" s="87" t="s">
        <v>887</v>
      </c>
      <c r="M129" s="87" t="s">
        <v>888</v>
      </c>
      <c r="N129" s="87" t="s">
        <v>889</v>
      </c>
      <c r="O129" s="87" t="s">
        <v>18</v>
      </c>
      <c r="P129" s="87" t="s">
        <v>890</v>
      </c>
      <c r="Q129" s="87" t="s">
        <v>749</v>
      </c>
      <c r="R129" s="87" t="s">
        <v>823</v>
      </c>
    </row>
    <row r="130" spans="2:18" s="6" customFormat="1" ht="36" customHeight="1">
      <c r="B130" s="20"/>
      <c r="D130" s="89" t="s">
        <v>1321</v>
      </c>
      <c r="E130" s="89" t="s">
        <v>679</v>
      </c>
      <c r="F130" s="89" t="s">
        <v>1148</v>
      </c>
      <c r="G130" s="89"/>
      <c r="H130" s="89" t="s">
        <v>1288</v>
      </c>
      <c r="I130" s="89" t="s">
        <v>1156</v>
      </c>
      <c r="J130" s="89" t="s">
        <v>1399</v>
      </c>
      <c r="K130" s="89" t="s">
        <v>1466</v>
      </c>
      <c r="L130" s="89" t="s">
        <v>1468</v>
      </c>
      <c r="M130" s="89" t="s">
        <v>1470</v>
      </c>
      <c r="N130" s="89" t="s">
        <v>1243</v>
      </c>
      <c r="O130" s="89"/>
      <c r="P130" s="89" t="s">
        <v>1472</v>
      </c>
      <c r="Q130" s="89" t="s">
        <v>1188</v>
      </c>
      <c r="R130" s="89" t="s">
        <v>1324</v>
      </c>
    </row>
    <row r="131" spans="2:18" s="32" customFormat="1" ht="60" customHeight="1">
      <c r="B131" s="12"/>
      <c r="C131" s="31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</row>
    <row r="132" spans="2:18" s="6" customFormat="1" ht="36" customHeight="1">
      <c r="B132" s="16"/>
      <c r="D132" s="88" t="s">
        <v>624</v>
      </c>
      <c r="E132" s="88"/>
      <c r="F132" s="88" t="s">
        <v>1480</v>
      </c>
      <c r="G132" s="88" t="s">
        <v>1097</v>
      </c>
      <c r="H132" s="88" t="s">
        <v>149</v>
      </c>
      <c r="I132" s="88" t="s">
        <v>1482</v>
      </c>
      <c r="J132" s="88" t="s">
        <v>1484</v>
      </c>
      <c r="K132" s="88" t="s">
        <v>142</v>
      </c>
      <c r="L132" s="88" t="s">
        <v>572</v>
      </c>
      <c r="M132" s="88"/>
      <c r="N132" s="88" t="s">
        <v>1335</v>
      </c>
      <c r="O132" s="88" t="s">
        <v>637</v>
      </c>
      <c r="P132" s="88" t="s">
        <v>1179</v>
      </c>
      <c r="Q132" s="88" t="s">
        <v>1352</v>
      </c>
      <c r="R132" s="88"/>
    </row>
    <row r="133" spans="2:18" s="6" customFormat="1" ht="80.099999999999994" customHeight="1">
      <c r="B133" s="18">
        <f t="shared" ref="B133" si="7">B129+1</f>
        <v>33</v>
      </c>
      <c r="D133" s="87" t="s">
        <v>594</v>
      </c>
      <c r="E133" s="87" t="s">
        <v>19</v>
      </c>
      <c r="F133" s="87" t="s">
        <v>891</v>
      </c>
      <c r="G133" s="87" t="s">
        <v>892</v>
      </c>
      <c r="H133" s="87" t="s">
        <v>856</v>
      </c>
      <c r="I133" s="87" t="s">
        <v>893</v>
      </c>
      <c r="J133" s="87" t="s">
        <v>894</v>
      </c>
      <c r="K133" s="87" t="s">
        <v>895</v>
      </c>
      <c r="L133" s="87" t="s">
        <v>242</v>
      </c>
      <c r="M133" s="87" t="s">
        <v>18</v>
      </c>
      <c r="N133" s="87" t="s">
        <v>829</v>
      </c>
      <c r="O133" s="87" t="s">
        <v>896</v>
      </c>
      <c r="P133" s="87" t="s">
        <v>745</v>
      </c>
      <c r="Q133" s="87" t="s">
        <v>833</v>
      </c>
      <c r="R133" s="87" t="s">
        <v>18</v>
      </c>
    </row>
    <row r="134" spans="2:18" s="6" customFormat="1" ht="36" customHeight="1">
      <c r="B134" s="20"/>
      <c r="D134" s="89" t="s">
        <v>625</v>
      </c>
      <c r="E134" s="89"/>
      <c r="F134" s="89" t="s">
        <v>1481</v>
      </c>
      <c r="G134" s="89" t="s">
        <v>1098</v>
      </c>
      <c r="H134" s="89" t="s">
        <v>1397</v>
      </c>
      <c r="I134" s="89" t="s">
        <v>1483</v>
      </c>
      <c r="J134" s="89" t="s">
        <v>1485</v>
      </c>
      <c r="K134" s="89" t="s">
        <v>1181</v>
      </c>
      <c r="L134" s="89" t="s">
        <v>573</v>
      </c>
      <c r="M134" s="89"/>
      <c r="N134" s="89" t="s">
        <v>1336</v>
      </c>
      <c r="O134" s="89" t="s">
        <v>638</v>
      </c>
      <c r="P134" s="89" t="s">
        <v>1180</v>
      </c>
      <c r="Q134" s="89" t="s">
        <v>323</v>
      </c>
      <c r="R134" s="89"/>
    </row>
    <row r="135" spans="2:18" s="32" customFormat="1" ht="60" customHeight="1">
      <c r="B135" s="12"/>
      <c r="C135" s="31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</row>
    <row r="136" spans="2:18" s="6" customFormat="1" ht="36" customHeight="1">
      <c r="B136" s="16"/>
      <c r="D136" s="88" t="s">
        <v>1109</v>
      </c>
      <c r="E136" s="88" t="s">
        <v>1091</v>
      </c>
      <c r="F136" s="88" t="s">
        <v>1489</v>
      </c>
      <c r="G136" s="88" t="s">
        <v>637</v>
      </c>
      <c r="H136" s="88"/>
      <c r="I136" s="88" t="s">
        <v>1491</v>
      </c>
      <c r="J136" s="88" t="s">
        <v>126</v>
      </c>
      <c r="K136" s="88" t="s">
        <v>300</v>
      </c>
      <c r="L136" s="88" t="s">
        <v>1123</v>
      </c>
      <c r="M136" s="88"/>
      <c r="N136" s="88" t="s">
        <v>1493</v>
      </c>
      <c r="O136" s="88" t="s">
        <v>1437</v>
      </c>
      <c r="P136" s="88" t="s">
        <v>1495</v>
      </c>
      <c r="Q136" s="88" t="s">
        <v>624</v>
      </c>
      <c r="R136" s="88" t="s">
        <v>30</v>
      </c>
    </row>
    <row r="137" spans="2:18" s="6" customFormat="1" ht="80.099999999999994" customHeight="1">
      <c r="B137" s="18">
        <f t="shared" ref="B137" si="8">B133+1</f>
        <v>34</v>
      </c>
      <c r="D137" s="87" t="s">
        <v>703</v>
      </c>
      <c r="E137" s="87" t="s">
        <v>694</v>
      </c>
      <c r="F137" s="87" t="s">
        <v>897</v>
      </c>
      <c r="G137" s="87" t="s">
        <v>896</v>
      </c>
      <c r="H137" s="87" t="s">
        <v>18</v>
      </c>
      <c r="I137" s="87" t="s">
        <v>898</v>
      </c>
      <c r="J137" s="87" t="s">
        <v>103</v>
      </c>
      <c r="K137" s="87" t="s">
        <v>834</v>
      </c>
      <c r="L137" s="87" t="s">
        <v>713</v>
      </c>
      <c r="M137" s="87" t="s">
        <v>18</v>
      </c>
      <c r="N137" s="87" t="s">
        <v>899</v>
      </c>
      <c r="O137" s="87" t="s">
        <v>873</v>
      </c>
      <c r="P137" s="87" t="s">
        <v>900</v>
      </c>
      <c r="Q137" s="87" t="s">
        <v>594</v>
      </c>
      <c r="R137" s="87" t="s">
        <v>29</v>
      </c>
    </row>
    <row r="138" spans="2:18" s="6" customFormat="1" ht="36" customHeight="1">
      <c r="B138" s="20"/>
      <c r="D138" s="89" t="s">
        <v>1110</v>
      </c>
      <c r="E138" s="89" t="s">
        <v>1092</v>
      </c>
      <c r="F138" s="89" t="s">
        <v>1490</v>
      </c>
      <c r="G138" s="89" t="s">
        <v>638</v>
      </c>
      <c r="H138" s="89"/>
      <c r="I138" s="89" t="s">
        <v>1492</v>
      </c>
      <c r="J138" s="89" t="s">
        <v>685</v>
      </c>
      <c r="K138" s="89" t="s">
        <v>576</v>
      </c>
      <c r="L138" s="89" t="s">
        <v>1124</v>
      </c>
      <c r="M138" s="89"/>
      <c r="N138" s="89" t="s">
        <v>1494</v>
      </c>
      <c r="O138" s="89" t="s">
        <v>1438</v>
      </c>
      <c r="P138" s="89" t="s">
        <v>1496</v>
      </c>
      <c r="Q138" s="89" t="s">
        <v>625</v>
      </c>
      <c r="R138" s="89" t="s">
        <v>546</v>
      </c>
    </row>
    <row r="139" spans="2:18" s="32" customFormat="1" ht="60" customHeight="1">
      <c r="B139" s="12"/>
      <c r="C139" s="31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</row>
    <row r="140" spans="2:18" s="6" customFormat="1" ht="36" customHeight="1">
      <c r="B140" s="16"/>
      <c r="D140" s="88" t="s">
        <v>1291</v>
      </c>
      <c r="E140" s="88"/>
      <c r="F140" s="88" t="s">
        <v>1117</v>
      </c>
      <c r="G140" s="88" t="s">
        <v>1333</v>
      </c>
      <c r="H140" s="88" t="s">
        <v>1499</v>
      </c>
      <c r="I140" s="88" t="s">
        <v>127</v>
      </c>
      <c r="J140" s="88"/>
      <c r="K140" s="88" t="s">
        <v>145</v>
      </c>
      <c r="L140" s="88" t="s">
        <v>1501</v>
      </c>
      <c r="M140" s="88" t="s">
        <v>1153</v>
      </c>
      <c r="N140" s="88" t="s">
        <v>1191</v>
      </c>
      <c r="O140" s="88"/>
      <c r="P140" s="88" t="s">
        <v>1503</v>
      </c>
      <c r="Q140" s="88" t="s">
        <v>1323</v>
      </c>
      <c r="R140" s="88" t="s">
        <v>1389</v>
      </c>
    </row>
    <row r="141" spans="2:18" s="6" customFormat="1" ht="80.099999999999994" customHeight="1">
      <c r="B141" s="18">
        <f t="shared" ref="B141" si="9">B137+1</f>
        <v>35</v>
      </c>
      <c r="D141" s="87" t="s">
        <v>808</v>
      </c>
      <c r="E141" s="87" t="s">
        <v>18</v>
      </c>
      <c r="F141" s="87" t="s">
        <v>708</v>
      </c>
      <c r="G141" s="87" t="s">
        <v>828</v>
      </c>
      <c r="H141" s="87" t="s">
        <v>901</v>
      </c>
      <c r="I141" s="87" t="s">
        <v>902</v>
      </c>
      <c r="J141" s="87" t="s">
        <v>18</v>
      </c>
      <c r="K141" s="87" t="s">
        <v>205</v>
      </c>
      <c r="L141" s="87" t="s">
        <v>903</v>
      </c>
      <c r="M141" s="87" t="s">
        <v>774</v>
      </c>
      <c r="N141" s="87" t="s">
        <v>752</v>
      </c>
      <c r="O141" s="87" t="s">
        <v>19</v>
      </c>
      <c r="P141" s="87" t="s">
        <v>904</v>
      </c>
      <c r="Q141" s="87" t="s">
        <v>823</v>
      </c>
      <c r="R141" s="87" t="s">
        <v>851</v>
      </c>
    </row>
    <row r="142" spans="2:18" s="6" customFormat="1" ht="36" customHeight="1">
      <c r="B142" s="20"/>
      <c r="D142" s="89" t="s">
        <v>1292</v>
      </c>
      <c r="E142" s="89"/>
      <c r="F142" s="89" t="s">
        <v>1118</v>
      </c>
      <c r="G142" s="89" t="s">
        <v>1334</v>
      </c>
      <c r="H142" s="89" t="s">
        <v>1500</v>
      </c>
      <c r="I142" s="89" t="s">
        <v>585</v>
      </c>
      <c r="J142" s="89"/>
      <c r="K142" s="89" t="s">
        <v>524</v>
      </c>
      <c r="L142" s="89" t="s">
        <v>1502</v>
      </c>
      <c r="M142" s="89" t="s">
        <v>1154</v>
      </c>
      <c r="N142" s="89" t="s">
        <v>1192</v>
      </c>
      <c r="O142" s="89"/>
      <c r="P142" s="89" t="s">
        <v>1504</v>
      </c>
      <c r="Q142" s="89" t="s">
        <v>1324</v>
      </c>
      <c r="R142" s="89" t="s">
        <v>1390</v>
      </c>
    </row>
    <row r="143" spans="2:18" s="32" customFormat="1" ht="60" customHeight="1">
      <c r="B143" s="12"/>
      <c r="C143" s="31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</row>
    <row r="144" spans="2:18" s="6" customFormat="1" ht="36" customHeight="1">
      <c r="B144" s="16"/>
      <c r="D144" s="88" t="s">
        <v>1482</v>
      </c>
      <c r="E144" s="88"/>
      <c r="F144" s="88" t="s">
        <v>1508</v>
      </c>
      <c r="G144" s="88" t="s">
        <v>1320</v>
      </c>
      <c r="H144" s="88" t="s">
        <v>1207</v>
      </c>
      <c r="I144" s="88" t="s">
        <v>566</v>
      </c>
      <c r="J144" s="88"/>
      <c r="K144" s="88" t="s">
        <v>1395</v>
      </c>
      <c r="L144" s="88" t="s">
        <v>650</v>
      </c>
      <c r="M144" s="88" t="s">
        <v>1510</v>
      </c>
      <c r="N144" s="88" t="s">
        <v>1091</v>
      </c>
      <c r="O144" s="88" t="s">
        <v>1117</v>
      </c>
      <c r="P144" s="88" t="s">
        <v>30</v>
      </c>
      <c r="Q144" s="88" t="s">
        <v>1512</v>
      </c>
      <c r="R144" s="88" t="s">
        <v>1514</v>
      </c>
    </row>
    <row r="145" spans="2:18" s="6" customFormat="1" ht="80.099999999999994" customHeight="1">
      <c r="B145" s="18">
        <f t="shared" ref="B145" si="10">B141+1</f>
        <v>36</v>
      </c>
      <c r="D145" s="87" t="s">
        <v>893</v>
      </c>
      <c r="E145" s="87" t="s">
        <v>18</v>
      </c>
      <c r="F145" s="87" t="s">
        <v>905</v>
      </c>
      <c r="G145" s="87" t="s">
        <v>822</v>
      </c>
      <c r="H145" s="87" t="s">
        <v>764</v>
      </c>
      <c r="I145" s="87" t="s">
        <v>239</v>
      </c>
      <c r="J145" s="87" t="s">
        <v>19</v>
      </c>
      <c r="K145" s="87" t="s">
        <v>855</v>
      </c>
      <c r="L145" s="87" t="s">
        <v>602</v>
      </c>
      <c r="M145" s="87" t="s">
        <v>906</v>
      </c>
      <c r="N145" s="87" t="s">
        <v>694</v>
      </c>
      <c r="O145" s="87" t="s">
        <v>708</v>
      </c>
      <c r="P145" s="87" t="s">
        <v>29</v>
      </c>
      <c r="Q145" s="87" t="s">
        <v>907</v>
      </c>
      <c r="R145" s="87" t="s">
        <v>908</v>
      </c>
    </row>
    <row r="146" spans="2:18" s="6" customFormat="1" ht="36" customHeight="1">
      <c r="B146" s="20"/>
      <c r="D146" s="89" t="s">
        <v>1483</v>
      </c>
      <c r="E146" s="89"/>
      <c r="F146" s="89" t="s">
        <v>1509</v>
      </c>
      <c r="G146" s="89" t="s">
        <v>1321</v>
      </c>
      <c r="H146" s="89" t="s">
        <v>1208</v>
      </c>
      <c r="I146" s="89" t="s">
        <v>567</v>
      </c>
      <c r="J146" s="89"/>
      <c r="K146" s="89" t="s">
        <v>1396</v>
      </c>
      <c r="L146" s="89" t="s">
        <v>651</v>
      </c>
      <c r="M146" s="89" t="s">
        <v>1511</v>
      </c>
      <c r="N146" s="89" t="s">
        <v>1092</v>
      </c>
      <c r="O146" s="89" t="s">
        <v>1118</v>
      </c>
      <c r="P146" s="89" t="s">
        <v>546</v>
      </c>
      <c r="Q146" s="89" t="s">
        <v>1513</v>
      </c>
      <c r="R146" s="89" t="s">
        <v>1515</v>
      </c>
    </row>
    <row r="147" spans="2:18" s="32" customFormat="1" ht="60" customHeight="1">
      <c r="B147" s="12"/>
      <c r="C147" s="31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</row>
    <row r="148" spans="2:18" s="6" customFormat="1" ht="36" customHeight="1">
      <c r="B148" s="16"/>
      <c r="D148" s="88"/>
      <c r="E148" s="88" t="s">
        <v>1521</v>
      </c>
      <c r="F148" s="88" t="s">
        <v>1439</v>
      </c>
      <c r="G148" s="88" t="s">
        <v>635</v>
      </c>
      <c r="H148" s="88" t="s">
        <v>132</v>
      </c>
      <c r="I148" s="88"/>
      <c r="J148" s="88" t="s">
        <v>1523</v>
      </c>
      <c r="K148" s="88" t="s">
        <v>150</v>
      </c>
      <c r="L148" s="88" t="s">
        <v>1523</v>
      </c>
      <c r="M148" s="88" t="s">
        <v>1205</v>
      </c>
      <c r="N148" s="88"/>
      <c r="O148" s="88" t="s">
        <v>1117</v>
      </c>
      <c r="P148" s="88" t="s">
        <v>1525</v>
      </c>
      <c r="Q148" s="88" t="s">
        <v>637</v>
      </c>
      <c r="R148" s="88" t="s">
        <v>1527</v>
      </c>
    </row>
    <row r="149" spans="2:18" s="6" customFormat="1" ht="80.099999999999994" customHeight="1">
      <c r="B149" s="18">
        <f t="shared" ref="B149" si="11">B145+1</f>
        <v>37</v>
      </c>
      <c r="D149" s="87" t="s">
        <v>18</v>
      </c>
      <c r="E149" s="87" t="s">
        <v>909</v>
      </c>
      <c r="F149" s="87" t="s">
        <v>910</v>
      </c>
      <c r="G149" s="87" t="s">
        <v>911</v>
      </c>
      <c r="H149" s="87" t="s">
        <v>604</v>
      </c>
      <c r="I149" s="87" t="s">
        <v>18</v>
      </c>
      <c r="J149" s="87" t="s">
        <v>912</v>
      </c>
      <c r="K149" s="87" t="s">
        <v>107</v>
      </c>
      <c r="L149" s="87" t="s">
        <v>912</v>
      </c>
      <c r="M149" s="87" t="s">
        <v>763</v>
      </c>
      <c r="N149" s="87" t="s">
        <v>18</v>
      </c>
      <c r="O149" s="87" t="s">
        <v>708</v>
      </c>
      <c r="P149" s="87" t="s">
        <v>913</v>
      </c>
      <c r="Q149" s="87" t="s">
        <v>598</v>
      </c>
      <c r="R149" s="87" t="s">
        <v>914</v>
      </c>
    </row>
    <row r="150" spans="2:18" s="6" customFormat="1" ht="36" customHeight="1">
      <c r="B150" s="20"/>
      <c r="D150" s="89"/>
      <c r="E150" s="89" t="s">
        <v>1522</v>
      </c>
      <c r="F150" s="89" t="s">
        <v>1440</v>
      </c>
      <c r="G150" s="89" t="s">
        <v>636</v>
      </c>
      <c r="H150" s="89" t="s">
        <v>556</v>
      </c>
      <c r="I150" s="89"/>
      <c r="J150" s="89" t="s">
        <v>1524</v>
      </c>
      <c r="K150" s="89" t="s">
        <v>561</v>
      </c>
      <c r="L150" s="89" t="s">
        <v>1524</v>
      </c>
      <c r="M150" s="89" t="s">
        <v>1206</v>
      </c>
      <c r="N150" s="89"/>
      <c r="O150" s="89" t="s">
        <v>1118</v>
      </c>
      <c r="P150" s="89" t="s">
        <v>1526</v>
      </c>
      <c r="Q150" s="89" t="s">
        <v>638</v>
      </c>
      <c r="R150" s="89" t="s">
        <v>1528</v>
      </c>
    </row>
    <row r="151" spans="2:18" s="32" customFormat="1" ht="60" customHeight="1">
      <c r="B151" s="12"/>
      <c r="C151" s="31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</row>
    <row r="152" spans="2:18" s="6" customFormat="1" ht="36" customHeight="1">
      <c r="B152" s="16"/>
      <c r="D152" s="88"/>
      <c r="E152" s="88" t="s">
        <v>1484</v>
      </c>
      <c r="F152" s="88" t="s">
        <v>640</v>
      </c>
      <c r="G152" s="88" t="s">
        <v>1535</v>
      </c>
      <c r="H152" s="88" t="s">
        <v>1368</v>
      </c>
      <c r="I152" s="88"/>
      <c r="J152" s="88" t="s">
        <v>1109</v>
      </c>
      <c r="K152" s="88" t="s">
        <v>1372</v>
      </c>
      <c r="L152" s="88" t="s">
        <v>655</v>
      </c>
      <c r="M152" s="88" t="s">
        <v>1123</v>
      </c>
      <c r="N152" s="88"/>
      <c r="O152" s="88" t="s">
        <v>1287</v>
      </c>
      <c r="P152" s="88" t="s">
        <v>568</v>
      </c>
      <c r="Q152" s="88" t="s">
        <v>681</v>
      </c>
      <c r="R152" s="88" t="s">
        <v>1211</v>
      </c>
    </row>
    <row r="153" spans="2:18" s="6" customFormat="1" ht="80.099999999999994" customHeight="1">
      <c r="B153" s="18">
        <f t="shared" ref="B153" si="12">B149+1</f>
        <v>38</v>
      </c>
      <c r="D153" s="87" t="s">
        <v>18</v>
      </c>
      <c r="E153" s="87" t="s">
        <v>894</v>
      </c>
      <c r="F153" s="87" t="s">
        <v>599</v>
      </c>
      <c r="G153" s="87" t="s">
        <v>915</v>
      </c>
      <c r="H153" s="87" t="s">
        <v>842</v>
      </c>
      <c r="I153" s="87" t="s">
        <v>18</v>
      </c>
      <c r="J153" s="87" t="s">
        <v>703</v>
      </c>
      <c r="K153" s="87" t="s">
        <v>845</v>
      </c>
      <c r="L153" s="87" t="s">
        <v>605</v>
      </c>
      <c r="M153" s="87" t="s">
        <v>713</v>
      </c>
      <c r="N153" s="87" t="s">
        <v>18</v>
      </c>
      <c r="O153" s="87" t="s">
        <v>806</v>
      </c>
      <c r="P153" s="87" t="s">
        <v>123</v>
      </c>
      <c r="Q153" s="87" t="s">
        <v>95</v>
      </c>
      <c r="R153" s="87" t="s">
        <v>766</v>
      </c>
    </row>
    <row r="154" spans="2:18" s="6" customFormat="1" ht="36" customHeight="1">
      <c r="B154" s="20"/>
      <c r="D154" s="89"/>
      <c r="E154" s="89" t="s">
        <v>1485</v>
      </c>
      <c r="F154" s="89" t="s">
        <v>641</v>
      </c>
      <c r="G154" s="89" t="s">
        <v>1536</v>
      </c>
      <c r="H154" s="89" t="s">
        <v>1369</v>
      </c>
      <c r="I154" s="89"/>
      <c r="J154" s="89" t="s">
        <v>1110</v>
      </c>
      <c r="K154" s="89" t="s">
        <v>1373</v>
      </c>
      <c r="L154" s="89" t="s">
        <v>656</v>
      </c>
      <c r="M154" s="89" t="s">
        <v>1124</v>
      </c>
      <c r="N154" s="89"/>
      <c r="O154" s="89" t="s">
        <v>1288</v>
      </c>
      <c r="P154" s="89" t="s">
        <v>569</v>
      </c>
      <c r="Q154" s="89" t="s">
        <v>682</v>
      </c>
      <c r="R154" s="89" t="s">
        <v>1212</v>
      </c>
    </row>
    <row r="155" spans="2:18" s="32" customFormat="1" ht="60" customHeight="1">
      <c r="B155" s="12"/>
      <c r="C155" s="3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</row>
    <row r="156" spans="2:18" s="6" customFormat="1" ht="36" customHeight="1">
      <c r="B156" s="16"/>
      <c r="D156" s="88"/>
      <c r="E156" s="88" t="s">
        <v>127</v>
      </c>
      <c r="F156" s="88" t="s">
        <v>30</v>
      </c>
      <c r="G156" s="88" t="s">
        <v>1540</v>
      </c>
      <c r="H156" s="88" t="s">
        <v>676</v>
      </c>
      <c r="I156" s="88"/>
      <c r="J156" s="88" t="s">
        <v>678</v>
      </c>
      <c r="K156" s="88" t="s">
        <v>1412</v>
      </c>
      <c r="L156" s="88" t="s">
        <v>1123</v>
      </c>
      <c r="M156" s="88" t="s">
        <v>1542</v>
      </c>
      <c r="N156" s="88" t="s">
        <v>1117</v>
      </c>
      <c r="O156" s="88" t="s">
        <v>1544</v>
      </c>
      <c r="P156" s="88"/>
      <c r="Q156" s="88" t="s">
        <v>1275</v>
      </c>
      <c r="R156" s="88" t="s">
        <v>622</v>
      </c>
    </row>
    <row r="157" spans="2:18" s="6" customFormat="1" ht="80.099999999999994" customHeight="1">
      <c r="B157" s="18">
        <f t="shared" ref="B157" si="13">B153+1</f>
        <v>39</v>
      </c>
      <c r="D157" s="87" t="s">
        <v>19</v>
      </c>
      <c r="E157" s="87" t="s">
        <v>902</v>
      </c>
      <c r="F157" s="87" t="s">
        <v>29</v>
      </c>
      <c r="G157" s="87" t="s">
        <v>916</v>
      </c>
      <c r="H157" s="87" t="s">
        <v>104</v>
      </c>
      <c r="I157" s="87" t="s">
        <v>18</v>
      </c>
      <c r="J157" s="87" t="s">
        <v>587</v>
      </c>
      <c r="K157" s="87" t="s">
        <v>863</v>
      </c>
      <c r="L157" s="87" t="s">
        <v>713</v>
      </c>
      <c r="M157" s="87" t="s">
        <v>917</v>
      </c>
      <c r="N157" s="87" t="s">
        <v>874</v>
      </c>
      <c r="O157" s="87" t="s">
        <v>918</v>
      </c>
      <c r="P157" s="87" t="s">
        <v>18</v>
      </c>
      <c r="Q157" s="87" t="s">
        <v>798</v>
      </c>
      <c r="R157" s="87" t="s">
        <v>795</v>
      </c>
    </row>
    <row r="158" spans="2:18" s="6" customFormat="1" ht="36" customHeight="1">
      <c r="B158" s="20"/>
      <c r="D158" s="89"/>
      <c r="E158" s="89" t="s">
        <v>585</v>
      </c>
      <c r="F158" s="89" t="s">
        <v>546</v>
      </c>
      <c r="G158" s="89" t="s">
        <v>1541</v>
      </c>
      <c r="H158" s="89" t="s">
        <v>677</v>
      </c>
      <c r="I158" s="89"/>
      <c r="J158" s="89" t="s">
        <v>679</v>
      </c>
      <c r="K158" s="89" t="s">
        <v>1413</v>
      </c>
      <c r="L158" s="89" t="s">
        <v>1124</v>
      </c>
      <c r="M158" s="89" t="s">
        <v>1543</v>
      </c>
      <c r="N158" s="89" t="s">
        <v>1118</v>
      </c>
      <c r="O158" s="89" t="s">
        <v>1545</v>
      </c>
      <c r="P158" s="89"/>
      <c r="Q158" s="89" t="s">
        <v>1276</v>
      </c>
      <c r="R158" s="89" t="s">
        <v>623</v>
      </c>
    </row>
    <row r="159" spans="2:18">
      <c r="B159" s="12"/>
      <c r="C159" s="31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</row>
    <row r="160" spans="2:18" ht="39.75">
      <c r="B160" s="16"/>
      <c r="C160" s="6"/>
      <c r="D160" s="88" t="s">
        <v>1117</v>
      </c>
      <c r="E160" s="88" t="s">
        <v>1374</v>
      </c>
      <c r="F160" s="88" t="s">
        <v>1117</v>
      </c>
      <c r="G160" s="88"/>
      <c r="H160" s="88"/>
      <c r="I160" s="46"/>
      <c r="J160" s="46"/>
      <c r="K160" s="46"/>
      <c r="L160" s="46"/>
      <c r="M160" s="46"/>
      <c r="N160" s="46"/>
      <c r="O160" s="46"/>
      <c r="P160" s="46"/>
      <c r="Q160" s="46"/>
      <c r="R160" s="46"/>
    </row>
    <row r="161" spans="2:18" s="6" customFormat="1" ht="80.099999999999994" customHeight="1">
      <c r="B161" s="18">
        <f t="shared" ref="B161" si="14">B157+1</f>
        <v>40</v>
      </c>
      <c r="D161" s="87" t="s">
        <v>874</v>
      </c>
      <c r="E161" s="87" t="s">
        <v>846</v>
      </c>
      <c r="F161" s="87" t="s">
        <v>919</v>
      </c>
      <c r="G161" s="87" t="s">
        <v>19</v>
      </c>
      <c r="H161" s="87" t="str">
        <f>CHAR(10)</f>
        <v xml:space="preserve">
</v>
      </c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spans="2:18" s="6" customFormat="1" ht="36" customHeight="1">
      <c r="B162" s="20"/>
      <c r="D162" s="89" t="s">
        <v>1118</v>
      </c>
      <c r="E162" s="89" t="s">
        <v>1375</v>
      </c>
      <c r="F162" s="89" t="s">
        <v>1118</v>
      </c>
      <c r="G162" s="89"/>
      <c r="H162" s="89"/>
      <c r="I162" s="73"/>
      <c r="J162" s="73"/>
      <c r="K162" s="73"/>
      <c r="L162" s="73"/>
      <c r="M162" s="73"/>
      <c r="N162" s="73"/>
      <c r="O162" s="73"/>
      <c r="P162" s="73"/>
      <c r="Q162" s="73"/>
      <c r="R162" s="73"/>
    </row>
    <row r="163" spans="2:18" s="32" customFormat="1" ht="60" customHeight="1">
      <c r="B163" s="12"/>
      <c r="C163" s="31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</row>
    <row r="164" spans="2:18" s="6" customFormat="1" ht="36" customHeight="1">
      <c r="B164" s="16"/>
      <c r="D164" s="88" t="s">
        <v>137</v>
      </c>
      <c r="E164" s="88" t="s">
        <v>1109</v>
      </c>
      <c r="F164" s="88" t="s">
        <v>1315</v>
      </c>
      <c r="G164" s="88" t="s">
        <v>94</v>
      </c>
      <c r="H164" s="88"/>
      <c r="I164" s="88" t="s">
        <v>1550</v>
      </c>
      <c r="J164" s="88" t="s">
        <v>30</v>
      </c>
      <c r="K164" s="88" t="s">
        <v>1091</v>
      </c>
      <c r="L164" s="88" t="s">
        <v>659</v>
      </c>
      <c r="M164" s="88"/>
      <c r="N164" s="88" t="s">
        <v>688</v>
      </c>
      <c r="O164" s="88" t="s">
        <v>678</v>
      </c>
      <c r="P164" s="88" t="s">
        <v>1315</v>
      </c>
      <c r="Q164" s="88" t="s">
        <v>1552</v>
      </c>
      <c r="R164" s="88"/>
    </row>
    <row r="165" spans="2:18" s="6" customFormat="1" ht="80.099999999999994" customHeight="1">
      <c r="B165" s="18">
        <f t="shared" ref="B165" si="15">B161+1</f>
        <v>41</v>
      </c>
      <c r="D165" s="87" t="s">
        <v>114</v>
      </c>
      <c r="E165" s="87" t="s">
        <v>703</v>
      </c>
      <c r="F165" s="87" t="s">
        <v>819</v>
      </c>
      <c r="G165" s="87" t="s">
        <v>93</v>
      </c>
      <c r="H165" s="87" t="s">
        <v>18</v>
      </c>
      <c r="I165" s="87" t="s">
        <v>920</v>
      </c>
      <c r="J165" s="87" t="s">
        <v>29</v>
      </c>
      <c r="K165" s="87" t="s">
        <v>694</v>
      </c>
      <c r="L165" s="87" t="s">
        <v>606</v>
      </c>
      <c r="M165" s="87" t="s">
        <v>18</v>
      </c>
      <c r="N165" s="87" t="s">
        <v>609</v>
      </c>
      <c r="O165" s="87" t="s">
        <v>587</v>
      </c>
      <c r="P165" s="87" t="s">
        <v>819</v>
      </c>
      <c r="Q165" s="87" t="s">
        <v>921</v>
      </c>
      <c r="R165" s="87" t="s">
        <v>18</v>
      </c>
    </row>
    <row r="166" spans="2:18" s="6" customFormat="1" ht="36" customHeight="1">
      <c r="B166" s="20"/>
      <c r="D166" s="89" t="s">
        <v>520</v>
      </c>
      <c r="E166" s="89" t="s">
        <v>1110</v>
      </c>
      <c r="F166" s="89" t="s">
        <v>1316</v>
      </c>
      <c r="G166" s="89" t="s">
        <v>536</v>
      </c>
      <c r="H166" s="89"/>
      <c r="I166" s="89" t="s">
        <v>1551</v>
      </c>
      <c r="J166" s="89" t="s">
        <v>546</v>
      </c>
      <c r="K166" s="89" t="s">
        <v>1092</v>
      </c>
      <c r="L166" s="89" t="s">
        <v>660</v>
      </c>
      <c r="M166" s="89"/>
      <c r="N166" s="89" t="s">
        <v>666</v>
      </c>
      <c r="O166" s="89" t="s">
        <v>679</v>
      </c>
      <c r="P166" s="89" t="s">
        <v>1316</v>
      </c>
      <c r="Q166" s="89" t="s">
        <v>1553</v>
      </c>
      <c r="R166" s="89"/>
    </row>
    <row r="167" spans="2:18">
      <c r="B167" s="12"/>
      <c r="C167" s="31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</row>
    <row r="168" spans="2:18" ht="39.75">
      <c r="B168" s="16"/>
      <c r="C168" s="6"/>
      <c r="D168" s="88" t="s">
        <v>1157</v>
      </c>
      <c r="E168" s="88" t="s">
        <v>674</v>
      </c>
      <c r="F168" s="88" t="s">
        <v>1555</v>
      </c>
      <c r="G168" s="88" t="s">
        <v>1220</v>
      </c>
      <c r="H168" s="88"/>
      <c r="I168" s="88" t="s">
        <v>1557</v>
      </c>
      <c r="J168" s="88" t="s">
        <v>1155</v>
      </c>
      <c r="K168" s="88" t="s">
        <v>1291</v>
      </c>
      <c r="L168" s="88" t="s">
        <v>147</v>
      </c>
      <c r="M168" s="88" t="s">
        <v>674</v>
      </c>
      <c r="N168" s="88" t="s">
        <v>640</v>
      </c>
      <c r="O168" s="88" t="s">
        <v>1109</v>
      </c>
      <c r="P168" s="88"/>
      <c r="Q168" s="88" t="s">
        <v>126</v>
      </c>
      <c r="R168" s="88" t="s">
        <v>657</v>
      </c>
    </row>
    <row r="169" spans="2:18" ht="58.5">
      <c r="B169" s="18">
        <f t="shared" ref="B169" si="16">B165+1</f>
        <v>42</v>
      </c>
      <c r="C169" s="6"/>
      <c r="D169" s="87" t="s">
        <v>732</v>
      </c>
      <c r="E169" s="87" t="s">
        <v>589</v>
      </c>
      <c r="F169" s="87" t="s">
        <v>922</v>
      </c>
      <c r="G169" s="87" t="s">
        <v>771</v>
      </c>
      <c r="H169" s="87" t="s">
        <v>19</v>
      </c>
      <c r="I169" s="87" t="s">
        <v>923</v>
      </c>
      <c r="J169" s="87" t="s">
        <v>730</v>
      </c>
      <c r="K169" s="87" t="s">
        <v>808</v>
      </c>
      <c r="L169" s="87" t="s">
        <v>119</v>
      </c>
      <c r="M169" s="87" t="s">
        <v>589</v>
      </c>
      <c r="N169" s="87" t="s">
        <v>599</v>
      </c>
      <c r="O169" s="87" t="s">
        <v>703</v>
      </c>
      <c r="P169" s="87" t="s">
        <v>18</v>
      </c>
      <c r="Q169" s="87" t="s">
        <v>103</v>
      </c>
      <c r="R169" s="87" t="s">
        <v>712</v>
      </c>
    </row>
    <row r="170" spans="2:18" ht="48.75">
      <c r="B170" s="20"/>
      <c r="C170" s="6"/>
      <c r="D170" s="89" t="s">
        <v>1158</v>
      </c>
      <c r="E170" s="89" t="s">
        <v>675</v>
      </c>
      <c r="F170" s="89" t="s">
        <v>1556</v>
      </c>
      <c r="G170" s="89" t="s">
        <v>1221</v>
      </c>
      <c r="H170" s="89"/>
      <c r="I170" s="89" t="s">
        <v>1558</v>
      </c>
      <c r="J170" s="89" t="s">
        <v>1156</v>
      </c>
      <c r="K170" s="89" t="s">
        <v>1292</v>
      </c>
      <c r="L170" s="89" t="s">
        <v>557</v>
      </c>
      <c r="M170" s="89" t="s">
        <v>675</v>
      </c>
      <c r="N170" s="89" t="s">
        <v>641</v>
      </c>
      <c r="O170" s="89" t="s">
        <v>1110</v>
      </c>
      <c r="P170" s="89"/>
      <c r="Q170" s="89" t="s">
        <v>685</v>
      </c>
      <c r="R170" s="89" t="s">
        <v>658</v>
      </c>
    </row>
    <row r="171" spans="2:18">
      <c r="B171" s="12"/>
      <c r="C171" s="31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</row>
    <row r="172" spans="2:18" ht="39.75">
      <c r="B172" s="16"/>
      <c r="C172" s="6"/>
      <c r="D172" s="88" t="s">
        <v>1535</v>
      </c>
      <c r="E172" s="88" t="s">
        <v>1111</v>
      </c>
      <c r="F172" s="88" t="s">
        <v>678</v>
      </c>
      <c r="G172" s="88" t="s">
        <v>144</v>
      </c>
      <c r="H172" s="88" t="s">
        <v>1258</v>
      </c>
      <c r="I172" s="88"/>
      <c r="J172" s="88" t="s">
        <v>1111</v>
      </c>
      <c r="K172" s="88" t="s">
        <v>678</v>
      </c>
      <c r="L172" s="88" t="s">
        <v>144</v>
      </c>
      <c r="M172" s="88" t="s">
        <v>1562</v>
      </c>
      <c r="N172" s="88"/>
      <c r="O172" s="88" t="s">
        <v>1461</v>
      </c>
      <c r="P172" s="88" t="s">
        <v>1216</v>
      </c>
      <c r="Q172" s="88" t="s">
        <v>678</v>
      </c>
      <c r="R172" s="88" t="s">
        <v>1135</v>
      </c>
    </row>
    <row r="173" spans="2:18" ht="58.5">
      <c r="B173" s="18">
        <f t="shared" ref="B173" si="17">B169+1</f>
        <v>43</v>
      </c>
      <c r="C173" s="6"/>
      <c r="D173" s="87" t="s">
        <v>915</v>
      </c>
      <c r="E173" s="87" t="s">
        <v>924</v>
      </c>
      <c r="F173" s="87" t="s">
        <v>587</v>
      </c>
      <c r="G173" s="87" t="s">
        <v>862</v>
      </c>
      <c r="H173" s="87" t="s">
        <v>877</v>
      </c>
      <c r="I173" s="87" t="s">
        <v>18</v>
      </c>
      <c r="J173" s="87" t="s">
        <v>924</v>
      </c>
      <c r="K173" s="87" t="s">
        <v>587</v>
      </c>
      <c r="L173" s="87" t="s">
        <v>862</v>
      </c>
      <c r="M173" s="87" t="s">
        <v>925</v>
      </c>
      <c r="N173" s="87" t="s">
        <v>19</v>
      </c>
      <c r="O173" s="87" t="s">
        <v>926</v>
      </c>
      <c r="P173" s="87" t="s">
        <v>769</v>
      </c>
      <c r="Q173" s="87" t="s">
        <v>587</v>
      </c>
      <c r="R173" s="87" t="s">
        <v>719</v>
      </c>
    </row>
    <row r="174" spans="2:18" ht="48.75">
      <c r="B174" s="20"/>
      <c r="C174" s="6"/>
      <c r="D174" s="89" t="s">
        <v>1536</v>
      </c>
      <c r="E174" s="89" t="s">
        <v>1112</v>
      </c>
      <c r="F174" s="89" t="s">
        <v>679</v>
      </c>
      <c r="G174" s="89" t="s">
        <v>530</v>
      </c>
      <c r="H174" s="89" t="s">
        <v>1259</v>
      </c>
      <c r="I174" s="89"/>
      <c r="J174" s="89" t="s">
        <v>1112</v>
      </c>
      <c r="K174" s="89" t="s">
        <v>679</v>
      </c>
      <c r="L174" s="89" t="s">
        <v>530</v>
      </c>
      <c r="M174" s="89" t="s">
        <v>1563</v>
      </c>
      <c r="N174" s="89"/>
      <c r="O174" s="89" t="s">
        <v>1462</v>
      </c>
      <c r="P174" s="89" t="s">
        <v>1217</v>
      </c>
      <c r="Q174" s="89" t="s">
        <v>679</v>
      </c>
      <c r="R174" s="89" t="s">
        <v>1136</v>
      </c>
    </row>
    <row r="175" spans="2:18">
      <c r="B175" s="12"/>
      <c r="C175" s="31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</row>
    <row r="176" spans="2:18" ht="39.75">
      <c r="B176" s="16"/>
      <c r="C176" s="6"/>
      <c r="D176" s="88" t="s">
        <v>1109</v>
      </c>
      <c r="E176" s="88" t="s">
        <v>1179</v>
      </c>
      <c r="F176" s="88" t="s">
        <v>1352</v>
      </c>
      <c r="G176" s="88"/>
      <c r="H176" s="88" t="s">
        <v>1395</v>
      </c>
      <c r="I176" s="88" t="s">
        <v>1567</v>
      </c>
      <c r="J176" s="88" t="s">
        <v>126</v>
      </c>
      <c r="K176" s="88" t="s">
        <v>1569</v>
      </c>
      <c r="L176" s="88" t="s">
        <v>681</v>
      </c>
      <c r="M176" s="88" t="s">
        <v>672</v>
      </c>
      <c r="N176" s="88" t="s">
        <v>1123</v>
      </c>
      <c r="O176" s="88" t="s">
        <v>1527</v>
      </c>
      <c r="P176" s="88"/>
      <c r="Q176" s="88" t="s">
        <v>1127</v>
      </c>
      <c r="R176" s="88" t="s">
        <v>1303</v>
      </c>
    </row>
    <row r="177" spans="2:18" ht="58.5">
      <c r="B177" s="18">
        <f t="shared" ref="B177" si="18">B173+1</f>
        <v>44</v>
      </c>
      <c r="C177" s="6"/>
      <c r="D177" s="87" t="s">
        <v>703</v>
      </c>
      <c r="E177" s="87" t="s">
        <v>745</v>
      </c>
      <c r="F177" s="87" t="s">
        <v>833</v>
      </c>
      <c r="G177" s="87" t="s">
        <v>18</v>
      </c>
      <c r="H177" s="87" t="s">
        <v>855</v>
      </c>
      <c r="I177" s="87" t="s">
        <v>927</v>
      </c>
      <c r="J177" s="87" t="s">
        <v>103</v>
      </c>
      <c r="K177" s="87" t="s">
        <v>928</v>
      </c>
      <c r="L177" s="87" t="s">
        <v>95</v>
      </c>
      <c r="M177" s="87" t="s">
        <v>498</v>
      </c>
      <c r="N177" s="87" t="s">
        <v>713</v>
      </c>
      <c r="O177" s="87" t="s">
        <v>914</v>
      </c>
      <c r="P177" s="87" t="s">
        <v>18</v>
      </c>
      <c r="Q177" s="87" t="s">
        <v>715</v>
      </c>
      <c r="R177" s="87" t="s">
        <v>929</v>
      </c>
    </row>
    <row r="178" spans="2:18" ht="48.75">
      <c r="B178" s="20"/>
      <c r="C178" s="6"/>
      <c r="D178" s="89" t="s">
        <v>1110</v>
      </c>
      <c r="E178" s="89" t="s">
        <v>1180</v>
      </c>
      <c r="F178" s="89" t="s">
        <v>323</v>
      </c>
      <c r="G178" s="89"/>
      <c r="H178" s="89" t="s">
        <v>1396</v>
      </c>
      <c r="I178" s="89" t="s">
        <v>1568</v>
      </c>
      <c r="J178" s="89" t="s">
        <v>685</v>
      </c>
      <c r="K178" s="89" t="s">
        <v>1570</v>
      </c>
      <c r="L178" s="89" t="s">
        <v>682</v>
      </c>
      <c r="M178" s="89" t="s">
        <v>673</v>
      </c>
      <c r="N178" s="89" t="s">
        <v>1124</v>
      </c>
      <c r="O178" s="89" t="s">
        <v>1528</v>
      </c>
      <c r="P178" s="89"/>
      <c r="Q178" s="89" t="s">
        <v>1128</v>
      </c>
      <c r="R178" s="89" t="s">
        <v>1304</v>
      </c>
    </row>
    <row r="179" spans="2:18">
      <c r="B179" s="12"/>
      <c r="C179" s="31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</row>
    <row r="180" spans="2:18" ht="39.75">
      <c r="B180" s="16"/>
      <c r="C180" s="6"/>
      <c r="D180" s="88" t="s">
        <v>132</v>
      </c>
      <c r="E180" s="88" t="s">
        <v>676</v>
      </c>
      <c r="F180" s="88" t="s">
        <v>153</v>
      </c>
      <c r="G180" s="88"/>
      <c r="H180" s="88" t="s">
        <v>1315</v>
      </c>
      <c r="I180" s="88" t="s">
        <v>640</v>
      </c>
      <c r="J180" s="88" t="s">
        <v>126</v>
      </c>
      <c r="K180" s="88" t="s">
        <v>1575</v>
      </c>
      <c r="L180" s="88" t="s">
        <v>1123</v>
      </c>
      <c r="M180" s="88" t="s">
        <v>1097</v>
      </c>
      <c r="N180" s="88"/>
      <c r="O180" s="88" t="s">
        <v>1577</v>
      </c>
      <c r="P180" s="88" t="s">
        <v>676</v>
      </c>
      <c r="Q180" s="88" t="s">
        <v>1579</v>
      </c>
      <c r="R180" s="88" t="s">
        <v>1489</v>
      </c>
    </row>
    <row r="181" spans="2:18" ht="58.5">
      <c r="B181" s="18">
        <f t="shared" ref="B181" si="19">B177+1</f>
        <v>45</v>
      </c>
      <c r="C181" s="6"/>
      <c r="D181" s="87" t="s">
        <v>604</v>
      </c>
      <c r="E181" s="87" t="s">
        <v>104</v>
      </c>
      <c r="F181" s="87" t="s">
        <v>930</v>
      </c>
      <c r="G181" s="87" t="s">
        <v>18</v>
      </c>
      <c r="H181" s="87" t="s">
        <v>819</v>
      </c>
      <c r="I181" s="87" t="s">
        <v>599</v>
      </c>
      <c r="J181" s="87" t="s">
        <v>103</v>
      </c>
      <c r="K181" s="87" t="s">
        <v>931</v>
      </c>
      <c r="L181" s="87" t="s">
        <v>713</v>
      </c>
      <c r="M181" s="87" t="s">
        <v>697</v>
      </c>
      <c r="N181" s="87" t="s">
        <v>18</v>
      </c>
      <c r="O181" s="87" t="s">
        <v>932</v>
      </c>
      <c r="P181" s="87" t="s">
        <v>104</v>
      </c>
      <c r="Q181" s="87" t="s">
        <v>933</v>
      </c>
      <c r="R181" s="87" t="s">
        <v>897</v>
      </c>
    </row>
    <row r="182" spans="2:18" ht="48.75">
      <c r="B182" s="20"/>
      <c r="C182" s="6"/>
      <c r="D182" s="89" t="s">
        <v>556</v>
      </c>
      <c r="E182" s="89" t="s">
        <v>677</v>
      </c>
      <c r="F182" s="89" t="s">
        <v>1574</v>
      </c>
      <c r="G182" s="89"/>
      <c r="H182" s="89" t="s">
        <v>1316</v>
      </c>
      <c r="I182" s="89" t="s">
        <v>641</v>
      </c>
      <c r="J182" s="89" t="s">
        <v>685</v>
      </c>
      <c r="K182" s="89" t="s">
        <v>1576</v>
      </c>
      <c r="L182" s="89" t="s">
        <v>1124</v>
      </c>
      <c r="M182" s="89" t="s">
        <v>1098</v>
      </c>
      <c r="N182" s="89"/>
      <c r="O182" s="89" t="s">
        <v>1578</v>
      </c>
      <c r="P182" s="89" t="s">
        <v>677</v>
      </c>
      <c r="Q182" s="89" t="s">
        <v>1580</v>
      </c>
      <c r="R182" s="89" t="s">
        <v>1490</v>
      </c>
    </row>
    <row r="183" spans="2:18">
      <c r="B183" s="12"/>
      <c r="C183" s="31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</row>
    <row r="184" spans="2:18" ht="39.75">
      <c r="B184" s="16"/>
      <c r="C184" s="6"/>
      <c r="D184" s="88"/>
      <c r="E184" s="88" t="s">
        <v>1588</v>
      </c>
      <c r="F184" s="88" t="s">
        <v>1590</v>
      </c>
      <c r="G184" s="88" t="s">
        <v>1592</v>
      </c>
      <c r="H184" s="88" t="s">
        <v>1592</v>
      </c>
      <c r="I184" s="88"/>
      <c r="J184" s="88" t="s">
        <v>1594</v>
      </c>
      <c r="K184" s="88" t="s">
        <v>1137</v>
      </c>
      <c r="L184" s="88"/>
      <c r="M184" s="88" t="s">
        <v>1596</v>
      </c>
      <c r="N184" s="88" t="s">
        <v>1414</v>
      </c>
      <c r="O184" s="88" t="s">
        <v>1133</v>
      </c>
      <c r="P184" s="88" t="s">
        <v>1117</v>
      </c>
      <c r="Q184" s="88" t="s">
        <v>1501</v>
      </c>
      <c r="R184" s="88" t="s">
        <v>144</v>
      </c>
    </row>
    <row r="185" spans="2:18" ht="58.5">
      <c r="B185" s="18">
        <f t="shared" ref="B185" si="20">B181+1</f>
        <v>46</v>
      </c>
      <c r="C185" s="6"/>
      <c r="D185" s="87" t="s">
        <v>18</v>
      </c>
      <c r="E185" s="87" t="s">
        <v>934</v>
      </c>
      <c r="F185" s="87" t="s">
        <v>935</v>
      </c>
      <c r="G185" s="87" t="s">
        <v>936</v>
      </c>
      <c r="H185" s="87" t="s">
        <v>936</v>
      </c>
      <c r="I185" s="87" t="s">
        <v>19</v>
      </c>
      <c r="J185" s="87" t="s">
        <v>937</v>
      </c>
      <c r="K185" s="87" t="s">
        <v>938</v>
      </c>
      <c r="L185" s="87" t="s">
        <v>939</v>
      </c>
      <c r="M185" s="87" t="s">
        <v>940</v>
      </c>
      <c r="N185" s="87" t="s">
        <v>941</v>
      </c>
      <c r="O185" s="87" t="s">
        <v>718</v>
      </c>
      <c r="P185" s="87" t="s">
        <v>708</v>
      </c>
      <c r="Q185" s="87" t="s">
        <v>903</v>
      </c>
      <c r="R185" s="87" t="s">
        <v>862</v>
      </c>
    </row>
    <row r="186" spans="2:18" ht="48.75">
      <c r="B186" s="20"/>
      <c r="C186" s="6"/>
      <c r="D186" s="89"/>
      <c r="E186" s="89" t="s">
        <v>1589</v>
      </c>
      <c r="F186" s="89" t="s">
        <v>1591</v>
      </c>
      <c r="G186" s="89" t="s">
        <v>1593</v>
      </c>
      <c r="H186" s="89" t="s">
        <v>1593</v>
      </c>
      <c r="I186" s="89"/>
      <c r="J186" s="89" t="s">
        <v>1595</v>
      </c>
      <c r="K186" s="89" t="s">
        <v>1138</v>
      </c>
      <c r="L186" s="89"/>
      <c r="M186" s="89" t="s">
        <v>1597</v>
      </c>
      <c r="N186" s="89" t="s">
        <v>1415</v>
      </c>
      <c r="O186" s="89" t="s">
        <v>1134</v>
      </c>
      <c r="P186" s="89" t="s">
        <v>1118</v>
      </c>
      <c r="Q186" s="89" t="s">
        <v>1502</v>
      </c>
      <c r="R186" s="89" t="s">
        <v>530</v>
      </c>
    </row>
    <row r="187" spans="2:18">
      <c r="B187" s="12"/>
      <c r="C187" s="31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</row>
    <row r="188" spans="2:18" ht="39.75">
      <c r="B188" s="16"/>
      <c r="C188" s="6"/>
      <c r="D188" s="88" t="s">
        <v>1097</v>
      </c>
      <c r="E188" s="88" t="s">
        <v>137</v>
      </c>
      <c r="F188" s="88" t="s">
        <v>620</v>
      </c>
      <c r="G188" s="88" t="s">
        <v>1216</v>
      </c>
      <c r="H188" s="88"/>
      <c r="I188" s="88" t="s">
        <v>1117</v>
      </c>
      <c r="J188" s="88" t="s">
        <v>1320</v>
      </c>
      <c r="K188" s="88" t="s">
        <v>1335</v>
      </c>
      <c r="L188" s="88" t="s">
        <v>637</v>
      </c>
      <c r="M188" s="88" t="s">
        <v>1603</v>
      </c>
      <c r="N188" s="88" t="s">
        <v>659</v>
      </c>
      <c r="O188" s="88"/>
      <c r="P188" s="88" t="s">
        <v>283</v>
      </c>
      <c r="Q188" s="88" t="s">
        <v>670</v>
      </c>
      <c r="R188" s="88" t="s">
        <v>1605</v>
      </c>
    </row>
    <row r="189" spans="2:18" ht="58.5">
      <c r="B189" s="18">
        <f t="shared" ref="B189" si="21">B185+1</f>
        <v>47</v>
      </c>
      <c r="C189" s="6"/>
      <c r="D189" s="87" t="s">
        <v>892</v>
      </c>
      <c r="E189" s="87" t="s">
        <v>114</v>
      </c>
      <c r="F189" s="87" t="s">
        <v>592</v>
      </c>
      <c r="G189" s="87" t="s">
        <v>769</v>
      </c>
      <c r="H189" s="87" t="s">
        <v>18</v>
      </c>
      <c r="I189" s="87" t="s">
        <v>708</v>
      </c>
      <c r="J189" s="87" t="s">
        <v>822</v>
      </c>
      <c r="K189" s="87" t="s">
        <v>829</v>
      </c>
      <c r="L189" s="87" t="s">
        <v>896</v>
      </c>
      <c r="M189" s="87" t="s">
        <v>942</v>
      </c>
      <c r="N189" s="87" t="s">
        <v>606</v>
      </c>
      <c r="O189" s="87" t="s">
        <v>18</v>
      </c>
      <c r="P189" s="87" t="s">
        <v>943</v>
      </c>
      <c r="Q189" s="87" t="s">
        <v>797</v>
      </c>
      <c r="R189" s="87" t="s">
        <v>944</v>
      </c>
    </row>
    <row r="190" spans="2:18" ht="48.75">
      <c r="B190" s="20"/>
      <c r="C190" s="6"/>
      <c r="D190" s="89" t="s">
        <v>1098</v>
      </c>
      <c r="E190" s="89" t="s">
        <v>520</v>
      </c>
      <c r="F190" s="89" t="s">
        <v>621</v>
      </c>
      <c r="G190" s="89" t="s">
        <v>1217</v>
      </c>
      <c r="H190" s="89"/>
      <c r="I190" s="89" t="s">
        <v>1118</v>
      </c>
      <c r="J190" s="89" t="s">
        <v>1321</v>
      </c>
      <c r="K190" s="89" t="s">
        <v>1336</v>
      </c>
      <c r="L190" s="89" t="s">
        <v>638</v>
      </c>
      <c r="M190" s="89" t="s">
        <v>1604</v>
      </c>
      <c r="N190" s="89" t="s">
        <v>660</v>
      </c>
      <c r="O190" s="89"/>
      <c r="P190" s="89" t="s">
        <v>554</v>
      </c>
      <c r="Q190" s="89" t="s">
        <v>671</v>
      </c>
      <c r="R190" s="89" t="s">
        <v>324</v>
      </c>
    </row>
    <row r="191" spans="2:18">
      <c r="B191" s="12"/>
      <c r="C191" s="31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</row>
    <row r="192" spans="2:18" ht="39.75">
      <c r="B192" s="16"/>
      <c r="C192" s="6"/>
      <c r="D192" s="88" t="s">
        <v>1527</v>
      </c>
      <c r="E192" s="88" t="s">
        <v>1368</v>
      </c>
      <c r="F192" s="88" t="s">
        <v>1514</v>
      </c>
      <c r="G192" s="88" t="s">
        <v>629</v>
      </c>
      <c r="H192" s="88"/>
      <c r="I192" s="88"/>
      <c r="J192" s="88" t="s">
        <v>1608</v>
      </c>
      <c r="K192" s="88" t="s">
        <v>1610</v>
      </c>
      <c r="L192" s="88"/>
      <c r="M192" s="88" t="s">
        <v>1612</v>
      </c>
      <c r="N192" s="88"/>
      <c r="O192" s="88"/>
      <c r="P192" s="88" t="s">
        <v>508</v>
      </c>
      <c r="Q192" s="88" t="s">
        <v>1614</v>
      </c>
      <c r="R192" s="88" t="s">
        <v>681</v>
      </c>
    </row>
    <row r="193" spans="2:18" ht="58.5">
      <c r="B193" s="18">
        <f t="shared" ref="B193" si="22">B189+1</f>
        <v>48</v>
      </c>
      <c r="C193" s="6"/>
      <c r="D193" s="87" t="s">
        <v>914</v>
      </c>
      <c r="E193" s="87" t="s">
        <v>945</v>
      </c>
      <c r="F193" s="87" t="s">
        <v>908</v>
      </c>
      <c r="G193" s="87" t="s">
        <v>595</v>
      </c>
      <c r="H193" s="87" t="s">
        <v>19</v>
      </c>
      <c r="I193" s="87" t="s">
        <v>34</v>
      </c>
      <c r="J193" s="87" t="s">
        <v>946</v>
      </c>
      <c r="K193" s="87" t="s">
        <v>947</v>
      </c>
      <c r="L193" s="87" t="s">
        <v>37</v>
      </c>
      <c r="M193" s="87" t="s">
        <v>948</v>
      </c>
      <c r="N193" s="87" t="s">
        <v>115</v>
      </c>
      <c r="O193" s="87" t="s">
        <v>820</v>
      </c>
      <c r="P193" s="87" t="s">
        <v>847</v>
      </c>
      <c r="Q193" s="87" t="s">
        <v>50</v>
      </c>
      <c r="R193" s="87" t="s">
        <v>95</v>
      </c>
    </row>
    <row r="194" spans="2:18" ht="48.75">
      <c r="B194" s="20"/>
      <c r="C194" s="6"/>
      <c r="D194" s="89" t="s">
        <v>1528</v>
      </c>
      <c r="E194" s="89" t="s">
        <v>1369</v>
      </c>
      <c r="F194" s="89" t="s">
        <v>1515</v>
      </c>
      <c r="G194" s="89" t="s">
        <v>630</v>
      </c>
      <c r="H194" s="89"/>
      <c r="I194" s="89"/>
      <c r="J194" s="89" t="s">
        <v>1609</v>
      </c>
      <c r="K194" s="89" t="s">
        <v>1611</v>
      </c>
      <c r="L194" s="89"/>
      <c r="M194" s="89" t="s">
        <v>1613</v>
      </c>
      <c r="N194" s="89"/>
      <c r="O194" s="89"/>
      <c r="P194" s="89" t="s">
        <v>509</v>
      </c>
      <c r="Q194" s="89" t="s">
        <v>1615</v>
      </c>
      <c r="R194" s="89" t="s">
        <v>682</v>
      </c>
    </row>
    <row r="195" spans="2:18">
      <c r="B195" s="12"/>
      <c r="C195" s="31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</row>
    <row r="196" spans="2:18" ht="39.75">
      <c r="B196" s="16"/>
      <c r="C196" s="6"/>
      <c r="D196" s="88" t="s">
        <v>1211</v>
      </c>
      <c r="E196" s="88" t="s">
        <v>640</v>
      </c>
      <c r="F196" s="88" t="s">
        <v>1320</v>
      </c>
      <c r="G196" s="88" t="s">
        <v>1207</v>
      </c>
      <c r="H196" s="88"/>
      <c r="I196" s="88" t="s">
        <v>1117</v>
      </c>
      <c r="J196" s="88" t="s">
        <v>1618</v>
      </c>
      <c r="K196" s="88" t="s">
        <v>1527</v>
      </c>
      <c r="L196" s="88" t="s">
        <v>1620</v>
      </c>
      <c r="M196" s="88"/>
      <c r="N196" s="88" t="s">
        <v>1368</v>
      </c>
      <c r="O196" s="88" t="s">
        <v>1123</v>
      </c>
      <c r="P196" s="88" t="s">
        <v>39</v>
      </c>
      <c r="Q196" s="88" t="s">
        <v>612</v>
      </c>
      <c r="R196" s="88" t="s">
        <v>1445</v>
      </c>
    </row>
    <row r="197" spans="2:18" ht="58.5">
      <c r="B197" s="18">
        <f t="shared" ref="B197" si="23">B193+1</f>
        <v>49</v>
      </c>
      <c r="C197" s="6"/>
      <c r="D197" s="87" t="s">
        <v>766</v>
      </c>
      <c r="E197" s="87" t="s">
        <v>599</v>
      </c>
      <c r="F197" s="87" t="s">
        <v>822</v>
      </c>
      <c r="G197" s="87" t="s">
        <v>764</v>
      </c>
      <c r="H197" s="87" t="s">
        <v>18</v>
      </c>
      <c r="I197" s="87" t="s">
        <v>708</v>
      </c>
      <c r="J197" s="87" t="s">
        <v>949</v>
      </c>
      <c r="K197" s="87" t="s">
        <v>914</v>
      </c>
      <c r="L197" s="87" t="s">
        <v>950</v>
      </c>
      <c r="M197" s="87" t="s">
        <v>18</v>
      </c>
      <c r="N197" s="87" t="s">
        <v>945</v>
      </c>
      <c r="O197" s="87" t="s">
        <v>713</v>
      </c>
      <c r="P197" s="87" t="s">
        <v>951</v>
      </c>
      <c r="Q197" s="87" t="s">
        <v>883</v>
      </c>
      <c r="R197" s="87" t="s">
        <v>952</v>
      </c>
    </row>
    <row r="198" spans="2:18" ht="48.75">
      <c r="B198" s="20"/>
      <c r="C198" s="6"/>
      <c r="D198" s="89" t="s">
        <v>1212</v>
      </c>
      <c r="E198" s="89" t="s">
        <v>641</v>
      </c>
      <c r="F198" s="89" t="s">
        <v>1321</v>
      </c>
      <c r="G198" s="89" t="s">
        <v>1208</v>
      </c>
      <c r="H198" s="89"/>
      <c r="I198" s="89" t="s">
        <v>1118</v>
      </c>
      <c r="J198" s="89" t="s">
        <v>1619</v>
      </c>
      <c r="K198" s="89" t="s">
        <v>1528</v>
      </c>
      <c r="L198" s="89" t="s">
        <v>1621</v>
      </c>
      <c r="M198" s="89"/>
      <c r="N198" s="89" t="s">
        <v>1369</v>
      </c>
      <c r="O198" s="89" t="s">
        <v>1124</v>
      </c>
      <c r="P198" s="89" t="s">
        <v>560</v>
      </c>
      <c r="Q198" s="89" t="s">
        <v>613</v>
      </c>
      <c r="R198" s="89" t="s">
        <v>1446</v>
      </c>
    </row>
    <row r="199" spans="2:18">
      <c r="B199" s="12"/>
      <c r="C199" s="31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</row>
    <row r="200" spans="2:18" ht="39.75">
      <c r="B200" s="16"/>
      <c r="C200" s="6"/>
      <c r="D200" s="88" t="s">
        <v>1097</v>
      </c>
      <c r="E200" s="88" t="s">
        <v>39</v>
      </c>
      <c r="F200" s="88" t="s">
        <v>1117</v>
      </c>
      <c r="G200" s="88"/>
      <c r="H200" s="88"/>
      <c r="I200" s="88" t="s">
        <v>1624</v>
      </c>
      <c r="J200" s="88" t="s">
        <v>670</v>
      </c>
      <c r="K200" s="88" t="s">
        <v>1117</v>
      </c>
      <c r="L200" s="88" t="s">
        <v>659</v>
      </c>
      <c r="M200" s="88" t="s">
        <v>1527</v>
      </c>
      <c r="N200" s="88" t="s">
        <v>1626</v>
      </c>
      <c r="O200" s="88" t="s">
        <v>629</v>
      </c>
      <c r="P200" s="88"/>
      <c r="Q200" s="88" t="s">
        <v>1514</v>
      </c>
      <c r="R200" s="88" t="s">
        <v>1628</v>
      </c>
    </row>
    <row r="201" spans="2:18" ht="58.5">
      <c r="B201" s="18">
        <f t="shared" ref="B201" si="24">B197+1</f>
        <v>50</v>
      </c>
      <c r="C201" s="6"/>
      <c r="D201" s="87" t="s">
        <v>892</v>
      </c>
      <c r="E201" s="87" t="s">
        <v>951</v>
      </c>
      <c r="F201" s="87" t="s">
        <v>919</v>
      </c>
      <c r="G201" s="87" t="s">
        <v>821</v>
      </c>
      <c r="H201" s="87" t="s">
        <v>18</v>
      </c>
      <c r="I201" s="87" t="s">
        <v>953</v>
      </c>
      <c r="J201" s="87" t="s">
        <v>797</v>
      </c>
      <c r="K201" s="87" t="s">
        <v>708</v>
      </c>
      <c r="L201" s="87" t="s">
        <v>606</v>
      </c>
      <c r="M201" s="87" t="s">
        <v>914</v>
      </c>
      <c r="N201" s="87" t="s">
        <v>954</v>
      </c>
      <c r="O201" s="87" t="s">
        <v>595</v>
      </c>
      <c r="P201" s="87" t="s">
        <v>19</v>
      </c>
      <c r="Q201" s="87" t="s">
        <v>955</v>
      </c>
      <c r="R201" s="87" t="s">
        <v>956</v>
      </c>
    </row>
    <row r="202" spans="2:18" ht="48.75">
      <c r="B202" s="20"/>
      <c r="C202" s="6"/>
      <c r="D202" s="89" t="s">
        <v>1098</v>
      </c>
      <c r="E202" s="89" t="s">
        <v>560</v>
      </c>
      <c r="F202" s="89" t="s">
        <v>1118</v>
      </c>
      <c r="G202" s="89"/>
      <c r="H202" s="89"/>
      <c r="I202" s="89" t="s">
        <v>1625</v>
      </c>
      <c r="J202" s="89" t="s">
        <v>671</v>
      </c>
      <c r="K202" s="89" t="s">
        <v>1118</v>
      </c>
      <c r="L202" s="89" t="s">
        <v>660</v>
      </c>
      <c r="M202" s="89" t="s">
        <v>1528</v>
      </c>
      <c r="N202" s="89" t="s">
        <v>1627</v>
      </c>
      <c r="O202" s="89" t="s">
        <v>630</v>
      </c>
      <c r="P202" s="89"/>
      <c r="Q202" s="89" t="s">
        <v>1515</v>
      </c>
      <c r="R202" s="89" t="s">
        <v>1629</v>
      </c>
    </row>
    <row r="203" spans="2:18">
      <c r="B203" s="12"/>
      <c r="C203" s="31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</row>
    <row r="204" spans="2:18" ht="39.75">
      <c r="B204" s="16"/>
      <c r="C204" s="6"/>
      <c r="D204" s="88" t="s">
        <v>1333</v>
      </c>
      <c r="E204" s="88" t="s">
        <v>1633</v>
      </c>
      <c r="F204" s="88" t="s">
        <v>1635</v>
      </c>
      <c r="G204" s="88"/>
      <c r="H204" s="88" t="s">
        <v>1635</v>
      </c>
      <c r="I204" s="88" t="s">
        <v>1562</v>
      </c>
      <c r="J204" s="88" t="s">
        <v>688</v>
      </c>
      <c r="K204" s="88" t="s">
        <v>501</v>
      </c>
      <c r="L204" s="88" t="s">
        <v>1123</v>
      </c>
      <c r="M204" s="88" t="s">
        <v>1203</v>
      </c>
      <c r="N204" s="88" t="s">
        <v>1637</v>
      </c>
      <c r="O204" s="88"/>
      <c r="P204" s="88" t="s">
        <v>1628</v>
      </c>
      <c r="Q204" s="88" t="s">
        <v>1333</v>
      </c>
      <c r="R204" s="88" t="s">
        <v>1618</v>
      </c>
    </row>
    <row r="205" spans="2:18" ht="58.5">
      <c r="B205" s="18">
        <f>B201+1</f>
        <v>51</v>
      </c>
      <c r="C205" s="6"/>
      <c r="D205" s="87" t="s">
        <v>957</v>
      </c>
      <c r="E205" s="87" t="s">
        <v>958</v>
      </c>
      <c r="F205" s="87" t="s">
        <v>959</v>
      </c>
      <c r="G205" s="87" t="s">
        <v>18</v>
      </c>
      <c r="H205" s="87" t="s">
        <v>959</v>
      </c>
      <c r="I205" s="87" t="s">
        <v>925</v>
      </c>
      <c r="J205" s="87" t="s">
        <v>609</v>
      </c>
      <c r="K205" s="87" t="s">
        <v>768</v>
      </c>
      <c r="L205" s="87" t="s">
        <v>713</v>
      </c>
      <c r="M205" s="87" t="s">
        <v>762</v>
      </c>
      <c r="N205" s="87" t="s">
        <v>960</v>
      </c>
      <c r="O205" s="87" t="s">
        <v>18</v>
      </c>
      <c r="P205" s="87" t="s">
        <v>956</v>
      </c>
      <c r="Q205" s="87" t="s">
        <v>957</v>
      </c>
      <c r="R205" s="87" t="s">
        <v>961</v>
      </c>
    </row>
    <row r="206" spans="2:18" ht="48.75">
      <c r="B206" s="20"/>
      <c r="C206" s="6"/>
      <c r="D206" s="89" t="s">
        <v>1334</v>
      </c>
      <c r="E206" s="89" t="s">
        <v>1634</v>
      </c>
      <c r="F206" s="89" t="s">
        <v>1636</v>
      </c>
      <c r="G206" s="89"/>
      <c r="H206" s="89" t="s">
        <v>1636</v>
      </c>
      <c r="I206" s="89" t="s">
        <v>1563</v>
      </c>
      <c r="J206" s="89" t="s">
        <v>666</v>
      </c>
      <c r="K206" s="89" t="s">
        <v>502</v>
      </c>
      <c r="L206" s="89" t="s">
        <v>1124</v>
      </c>
      <c r="M206" s="89" t="s">
        <v>1204</v>
      </c>
      <c r="N206" s="89" t="s">
        <v>1638</v>
      </c>
      <c r="O206" s="89"/>
      <c r="P206" s="89" t="s">
        <v>1629</v>
      </c>
      <c r="Q206" s="89" t="s">
        <v>1334</v>
      </c>
      <c r="R206" s="89" t="s">
        <v>1619</v>
      </c>
    </row>
    <row r="207" spans="2:18">
      <c r="B207" s="24"/>
      <c r="C207" s="25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</row>
    <row r="208" spans="2:18" ht="39.75">
      <c r="B208" s="16"/>
      <c r="C208" s="6"/>
      <c r="D208" s="88" t="s">
        <v>1323</v>
      </c>
      <c r="E208" s="88" t="s">
        <v>1501</v>
      </c>
      <c r="F208" s="88" t="s">
        <v>1644</v>
      </c>
      <c r="G208" s="88"/>
      <c r="H208" s="88" t="s">
        <v>1542</v>
      </c>
      <c r="I208" s="88" t="s">
        <v>1416</v>
      </c>
      <c r="J208" s="88"/>
      <c r="K208" s="88"/>
      <c r="L208" s="88" t="s">
        <v>1412</v>
      </c>
      <c r="M208" s="88" t="s">
        <v>1527</v>
      </c>
      <c r="N208" s="88" t="s">
        <v>1646</v>
      </c>
      <c r="O208" s="88" t="s">
        <v>1562</v>
      </c>
      <c r="P208" s="88"/>
      <c r="Q208" s="88" t="s">
        <v>283</v>
      </c>
      <c r="R208" s="88" t="s">
        <v>1527</v>
      </c>
    </row>
    <row r="209" spans="2:18" ht="58.5">
      <c r="B209" s="18">
        <f>B205+1</f>
        <v>52</v>
      </c>
      <c r="C209" s="6"/>
      <c r="D209" s="87" t="s">
        <v>823</v>
      </c>
      <c r="E209" s="87" t="s">
        <v>903</v>
      </c>
      <c r="F209" s="87" t="s">
        <v>962</v>
      </c>
      <c r="G209" s="87" t="s">
        <v>18</v>
      </c>
      <c r="H209" s="87" t="s">
        <v>963</v>
      </c>
      <c r="I209" s="87" t="s">
        <v>865</v>
      </c>
      <c r="J209" s="87" t="s">
        <v>115</v>
      </c>
      <c r="K209" s="87" t="s">
        <v>820</v>
      </c>
      <c r="L209" s="87" t="s">
        <v>863</v>
      </c>
      <c r="M209" s="87" t="s">
        <v>914</v>
      </c>
      <c r="N209" s="87" t="s">
        <v>964</v>
      </c>
      <c r="O209" s="87" t="s">
        <v>925</v>
      </c>
      <c r="P209" s="87" t="s">
        <v>18</v>
      </c>
      <c r="Q209" s="87" t="s">
        <v>943</v>
      </c>
      <c r="R209" s="87" t="s">
        <v>914</v>
      </c>
    </row>
    <row r="210" spans="2:18" ht="48.75">
      <c r="B210" s="20"/>
      <c r="C210" s="6"/>
      <c r="D210" s="89" t="s">
        <v>1324</v>
      </c>
      <c r="E210" s="89" t="s">
        <v>1502</v>
      </c>
      <c r="F210" s="89" t="s">
        <v>1645</v>
      </c>
      <c r="G210" s="89"/>
      <c r="H210" s="89" t="s">
        <v>1543</v>
      </c>
      <c r="I210" s="89" t="s">
        <v>1417</v>
      </c>
      <c r="J210" s="89"/>
      <c r="K210" s="89"/>
      <c r="L210" s="89" t="s">
        <v>1413</v>
      </c>
      <c r="M210" s="89" t="s">
        <v>1528</v>
      </c>
      <c r="N210" s="89" t="s">
        <v>1647</v>
      </c>
      <c r="O210" s="89" t="s">
        <v>1563</v>
      </c>
      <c r="P210" s="89"/>
      <c r="Q210" s="89" t="s">
        <v>554</v>
      </c>
      <c r="R210" s="89" t="s">
        <v>1528</v>
      </c>
    </row>
    <row r="211" spans="2:18">
      <c r="B211" s="29"/>
      <c r="C211" s="30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</row>
    <row r="212" spans="2:18" ht="39.75">
      <c r="B212" s="16"/>
      <c r="C212" s="6"/>
      <c r="D212" s="88" t="s">
        <v>681</v>
      </c>
      <c r="E212" s="88" t="s">
        <v>1562</v>
      </c>
      <c r="F212" s="88"/>
      <c r="G212" s="88" t="s">
        <v>1412</v>
      </c>
      <c r="H212" s="88" t="s">
        <v>1550</v>
      </c>
      <c r="I212" s="88" t="s">
        <v>1461</v>
      </c>
      <c r="J212" s="88" t="s">
        <v>1652</v>
      </c>
      <c r="K212" s="88"/>
      <c r="L212" s="88" t="s">
        <v>1654</v>
      </c>
      <c r="M212" s="88" t="s">
        <v>1159</v>
      </c>
      <c r="N212" s="88" t="s">
        <v>1422</v>
      </c>
      <c r="O212" s="88" t="s">
        <v>1291</v>
      </c>
      <c r="P212" s="88"/>
      <c r="Q212" s="88" t="s">
        <v>1656</v>
      </c>
      <c r="R212" s="88" t="s">
        <v>637</v>
      </c>
    </row>
    <row r="213" spans="2:18" ht="58.5">
      <c r="B213" s="18">
        <f>B209+1</f>
        <v>53</v>
      </c>
      <c r="C213" s="6"/>
      <c r="D213" s="87" t="s">
        <v>95</v>
      </c>
      <c r="E213" s="87" t="s">
        <v>925</v>
      </c>
      <c r="F213" s="87" t="s">
        <v>731</v>
      </c>
      <c r="G213" s="87" t="s">
        <v>863</v>
      </c>
      <c r="H213" s="87" t="s">
        <v>920</v>
      </c>
      <c r="I213" s="87" t="s">
        <v>885</v>
      </c>
      <c r="J213" s="87" t="s">
        <v>965</v>
      </c>
      <c r="K213" s="87" t="s">
        <v>18</v>
      </c>
      <c r="L213" s="87" t="s">
        <v>966</v>
      </c>
      <c r="M213" s="87" t="s">
        <v>733</v>
      </c>
      <c r="N213" s="87" t="s">
        <v>967</v>
      </c>
      <c r="O213" s="87" t="s">
        <v>808</v>
      </c>
      <c r="P213" s="87" t="s">
        <v>18</v>
      </c>
      <c r="Q213" s="87" t="s">
        <v>968</v>
      </c>
      <c r="R213" s="87" t="s">
        <v>598</v>
      </c>
    </row>
    <row r="214" spans="2:18" ht="48.75">
      <c r="B214" s="20"/>
      <c r="C214" s="6"/>
      <c r="D214" s="89" t="s">
        <v>682</v>
      </c>
      <c r="E214" s="89" t="s">
        <v>1563</v>
      </c>
      <c r="F214" s="89"/>
      <c r="G214" s="89" t="s">
        <v>1413</v>
      </c>
      <c r="H214" s="89" t="s">
        <v>1551</v>
      </c>
      <c r="I214" s="89" t="s">
        <v>1462</v>
      </c>
      <c r="J214" s="89" t="s">
        <v>1653</v>
      </c>
      <c r="K214" s="89"/>
      <c r="L214" s="89" t="s">
        <v>1655</v>
      </c>
      <c r="M214" s="89" t="s">
        <v>1160</v>
      </c>
      <c r="N214" s="89" t="s">
        <v>1423</v>
      </c>
      <c r="O214" s="89" t="s">
        <v>1292</v>
      </c>
      <c r="P214" s="89"/>
      <c r="Q214" s="89" t="s">
        <v>1657</v>
      </c>
      <c r="R214" s="89" t="s">
        <v>638</v>
      </c>
    </row>
    <row r="215" spans="2:18">
      <c r="B215" s="12"/>
      <c r="C215" s="31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</row>
    <row r="216" spans="2:18" ht="39.75">
      <c r="B216" s="16"/>
      <c r="C216" s="6"/>
      <c r="D216" s="88" t="s">
        <v>1273</v>
      </c>
      <c r="E216" s="88" t="s">
        <v>1191</v>
      </c>
      <c r="F216" s="88" t="s">
        <v>1117</v>
      </c>
      <c r="G216" s="88"/>
      <c r="H216" s="88" t="s">
        <v>126</v>
      </c>
      <c r="I216" s="88" t="s">
        <v>1664</v>
      </c>
      <c r="J216" s="88" t="s">
        <v>1665</v>
      </c>
      <c r="K216" s="88" t="s">
        <v>1635</v>
      </c>
      <c r="L216" s="88" t="s">
        <v>1123</v>
      </c>
      <c r="M216" s="88" t="s">
        <v>1203</v>
      </c>
      <c r="N216" s="88" t="s">
        <v>1652</v>
      </c>
      <c r="O216" s="88"/>
      <c r="P216" s="88" t="s">
        <v>1667</v>
      </c>
      <c r="Q216" s="88" t="s">
        <v>1637</v>
      </c>
      <c r="R216" s="88" t="s">
        <v>1191</v>
      </c>
    </row>
    <row r="217" spans="2:18" ht="58.5">
      <c r="B217" s="18">
        <f>B213+1</f>
        <v>54</v>
      </c>
      <c r="C217" s="6"/>
      <c r="D217" s="87" t="s">
        <v>796</v>
      </c>
      <c r="E217" s="87" t="s">
        <v>752</v>
      </c>
      <c r="F217" s="87" t="s">
        <v>874</v>
      </c>
      <c r="G217" s="87" t="s">
        <v>18</v>
      </c>
      <c r="H217" s="87" t="s">
        <v>103</v>
      </c>
      <c r="I217" s="87" t="s">
        <v>969</v>
      </c>
      <c r="J217" s="87" t="s">
        <v>970</v>
      </c>
      <c r="K217" s="87" t="s">
        <v>959</v>
      </c>
      <c r="L217" s="87" t="s">
        <v>713</v>
      </c>
      <c r="M217" s="87" t="s">
        <v>971</v>
      </c>
      <c r="N217" s="87" t="s">
        <v>972</v>
      </c>
      <c r="O217" s="87" t="s">
        <v>18</v>
      </c>
      <c r="P217" s="87" t="s">
        <v>973</v>
      </c>
      <c r="Q217" s="87" t="s">
        <v>960</v>
      </c>
      <c r="R217" s="87" t="s">
        <v>752</v>
      </c>
    </row>
    <row r="218" spans="2:18" ht="48.75">
      <c r="B218" s="20"/>
      <c r="C218" s="6"/>
      <c r="D218" s="89" t="s">
        <v>1274</v>
      </c>
      <c r="E218" s="89" t="s">
        <v>1192</v>
      </c>
      <c r="F218" s="89" t="s">
        <v>1118</v>
      </c>
      <c r="G218" s="89"/>
      <c r="H218" s="89" t="s">
        <v>685</v>
      </c>
      <c r="I218" s="89" t="s">
        <v>322</v>
      </c>
      <c r="J218" s="89" t="s">
        <v>1666</v>
      </c>
      <c r="K218" s="89" t="s">
        <v>1636</v>
      </c>
      <c r="L218" s="89" t="s">
        <v>1124</v>
      </c>
      <c r="M218" s="89" t="s">
        <v>1204</v>
      </c>
      <c r="N218" s="89" t="s">
        <v>1653</v>
      </c>
      <c r="O218" s="89"/>
      <c r="P218" s="89" t="s">
        <v>320</v>
      </c>
      <c r="Q218" s="89" t="s">
        <v>1638</v>
      </c>
      <c r="R218" s="89" t="s">
        <v>1192</v>
      </c>
    </row>
    <row r="219" spans="2:18">
      <c r="B219" s="12"/>
      <c r="C219" s="31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</row>
    <row r="220" spans="2:18" ht="39.75">
      <c r="B220" s="16"/>
      <c r="C220" s="6"/>
      <c r="D220" s="88" t="s">
        <v>1674</v>
      </c>
      <c r="E220" s="88" t="s">
        <v>1676</v>
      </c>
      <c r="F220" s="88"/>
      <c r="G220" s="88"/>
      <c r="H220" s="88" t="s">
        <v>1678</v>
      </c>
      <c r="I220" s="88" t="s">
        <v>1680</v>
      </c>
      <c r="J220" s="88" t="s">
        <v>1123</v>
      </c>
      <c r="K220" s="88" t="s">
        <v>1682</v>
      </c>
      <c r="L220" s="88" t="s">
        <v>1467</v>
      </c>
      <c r="M220" s="88" t="s">
        <v>1684</v>
      </c>
      <c r="N220" s="88" t="s">
        <v>629</v>
      </c>
      <c r="O220" s="88"/>
      <c r="P220" s="88" t="s">
        <v>1684</v>
      </c>
      <c r="Q220" s="88" t="s">
        <v>1416</v>
      </c>
      <c r="R220" s="88"/>
    </row>
    <row r="221" spans="2:18" ht="58.5">
      <c r="B221" s="18">
        <f>B217+1</f>
        <v>55</v>
      </c>
      <c r="C221" s="6"/>
      <c r="D221" s="87" t="s">
        <v>974</v>
      </c>
      <c r="E221" s="87" t="s">
        <v>975</v>
      </c>
      <c r="F221" s="87" t="s">
        <v>976</v>
      </c>
      <c r="G221" s="87" t="s">
        <v>821</v>
      </c>
      <c r="H221" s="87" t="s">
        <v>977</v>
      </c>
      <c r="I221" s="87" t="s">
        <v>978</v>
      </c>
      <c r="J221" s="87" t="s">
        <v>713</v>
      </c>
      <c r="K221" s="87" t="s">
        <v>979</v>
      </c>
      <c r="L221" s="87" t="s">
        <v>980</v>
      </c>
      <c r="M221" s="87" t="s">
        <v>981</v>
      </c>
      <c r="N221" s="87" t="s">
        <v>595</v>
      </c>
      <c r="O221" s="87" t="s">
        <v>18</v>
      </c>
      <c r="P221" s="87" t="s">
        <v>981</v>
      </c>
      <c r="Q221" s="87" t="s">
        <v>865</v>
      </c>
      <c r="R221" s="87" t="s">
        <v>115</v>
      </c>
    </row>
    <row r="222" spans="2:18" ht="48.75">
      <c r="B222" s="20"/>
      <c r="C222" s="6"/>
      <c r="D222" s="89" t="s">
        <v>1675</v>
      </c>
      <c r="E222" s="89" t="s">
        <v>1677</v>
      </c>
      <c r="F222" s="89"/>
      <c r="G222" s="89"/>
      <c r="H222" s="89" t="s">
        <v>1679</v>
      </c>
      <c r="I222" s="89" t="s">
        <v>1681</v>
      </c>
      <c r="J222" s="89" t="s">
        <v>1124</v>
      </c>
      <c r="K222" s="89" t="s">
        <v>1683</v>
      </c>
      <c r="L222" s="89" t="s">
        <v>1468</v>
      </c>
      <c r="M222" s="89" t="s">
        <v>1685</v>
      </c>
      <c r="N222" s="89" t="s">
        <v>630</v>
      </c>
      <c r="O222" s="89"/>
      <c r="P222" s="89" t="s">
        <v>1685</v>
      </c>
      <c r="Q222" s="89" t="s">
        <v>1417</v>
      </c>
      <c r="R222" s="89"/>
    </row>
    <row r="223" spans="2:18">
      <c r="B223" s="12"/>
      <c r="C223" s="31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</row>
    <row r="224" spans="2:18" ht="39.75">
      <c r="B224" s="16"/>
      <c r="C224" s="6"/>
      <c r="D224" s="88"/>
      <c r="E224" s="88" t="s">
        <v>1091</v>
      </c>
      <c r="F224" s="88" t="s">
        <v>1694</v>
      </c>
      <c r="G224" s="88" t="s">
        <v>127</v>
      </c>
      <c r="H224" s="88" t="s">
        <v>678</v>
      </c>
      <c r="I224" s="88" t="s">
        <v>1480</v>
      </c>
      <c r="J224" s="88" t="s">
        <v>1097</v>
      </c>
      <c r="K224" s="88" t="s">
        <v>566</v>
      </c>
      <c r="L224" s="88" t="s">
        <v>582</v>
      </c>
      <c r="M224" s="88"/>
      <c r="N224" s="88" t="s">
        <v>1696</v>
      </c>
      <c r="O224" s="88" t="s">
        <v>1569</v>
      </c>
      <c r="P224" s="88" t="s">
        <v>1153</v>
      </c>
      <c r="Q224" s="88" t="s">
        <v>1698</v>
      </c>
      <c r="R224" s="88" t="s">
        <v>508</v>
      </c>
    </row>
    <row r="225" spans="2:18" ht="58.5">
      <c r="B225" s="18">
        <f>B221+1</f>
        <v>56</v>
      </c>
      <c r="C225" s="6"/>
      <c r="D225" s="87" t="s">
        <v>820</v>
      </c>
      <c r="E225" s="87" t="s">
        <v>694</v>
      </c>
      <c r="F225" s="87" t="s">
        <v>982</v>
      </c>
      <c r="G225" s="87" t="s">
        <v>983</v>
      </c>
      <c r="H225" s="87" t="s">
        <v>587</v>
      </c>
      <c r="I225" s="87" t="s">
        <v>891</v>
      </c>
      <c r="J225" s="87" t="s">
        <v>892</v>
      </c>
      <c r="K225" s="87" t="s">
        <v>239</v>
      </c>
      <c r="L225" s="87" t="s">
        <v>247</v>
      </c>
      <c r="M225" s="87" t="s">
        <v>18</v>
      </c>
      <c r="N225" s="87" t="s">
        <v>984</v>
      </c>
      <c r="O225" s="87" t="s">
        <v>928</v>
      </c>
      <c r="P225" s="87" t="s">
        <v>774</v>
      </c>
      <c r="Q225" s="87" t="s">
        <v>985</v>
      </c>
      <c r="R225" s="87" t="s">
        <v>847</v>
      </c>
    </row>
    <row r="226" spans="2:18" ht="48.75">
      <c r="B226" s="20"/>
      <c r="C226" s="6"/>
      <c r="D226" s="89"/>
      <c r="E226" s="89" t="s">
        <v>1092</v>
      </c>
      <c r="F226" s="89" t="s">
        <v>1695</v>
      </c>
      <c r="G226" s="89" t="s">
        <v>585</v>
      </c>
      <c r="H226" s="89" t="s">
        <v>679</v>
      </c>
      <c r="I226" s="89" t="s">
        <v>1481</v>
      </c>
      <c r="J226" s="89" t="s">
        <v>1098</v>
      </c>
      <c r="K226" s="89" t="s">
        <v>567</v>
      </c>
      <c r="L226" s="89" t="s">
        <v>583</v>
      </c>
      <c r="M226" s="89"/>
      <c r="N226" s="89" t="s">
        <v>1697</v>
      </c>
      <c r="O226" s="89" t="s">
        <v>1570</v>
      </c>
      <c r="P226" s="89" t="s">
        <v>1154</v>
      </c>
      <c r="Q226" s="89" t="s">
        <v>1699</v>
      </c>
      <c r="R226" s="89" t="s">
        <v>509</v>
      </c>
    </row>
    <row r="227" spans="2:18">
      <c r="B227" s="12"/>
      <c r="C227" s="31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</row>
    <row r="228" spans="2:18" ht="39.75">
      <c r="B228" s="16"/>
      <c r="C228" s="6"/>
      <c r="D228" s="88" t="s">
        <v>637</v>
      </c>
      <c r="E228" s="88" t="s">
        <v>1117</v>
      </c>
      <c r="F228" s="88"/>
      <c r="G228" s="88" t="s">
        <v>137</v>
      </c>
      <c r="H228" s="88" t="s">
        <v>1412</v>
      </c>
      <c r="I228" s="88" t="s">
        <v>1305</v>
      </c>
      <c r="J228" s="88" t="s">
        <v>1335</v>
      </c>
      <c r="K228" s="88" t="s">
        <v>508</v>
      </c>
      <c r="L228" s="88" t="s">
        <v>1198</v>
      </c>
      <c r="M228" s="88" t="s">
        <v>283</v>
      </c>
      <c r="N228" s="88" t="s">
        <v>100</v>
      </c>
      <c r="O228" s="88"/>
      <c r="P228" s="88" t="s">
        <v>1320</v>
      </c>
      <c r="Q228" s="88" t="s">
        <v>637</v>
      </c>
      <c r="R228" s="88" t="s">
        <v>145</v>
      </c>
    </row>
    <row r="229" spans="2:18" ht="58.5">
      <c r="B229" s="18">
        <f>B225+1</f>
        <v>57</v>
      </c>
      <c r="C229" s="6"/>
      <c r="D229" s="87" t="s">
        <v>598</v>
      </c>
      <c r="E229" s="87" t="s">
        <v>919</v>
      </c>
      <c r="F229" s="87" t="s">
        <v>731</v>
      </c>
      <c r="G229" s="87" t="s">
        <v>114</v>
      </c>
      <c r="H229" s="87" t="s">
        <v>863</v>
      </c>
      <c r="I229" s="87" t="s">
        <v>816</v>
      </c>
      <c r="J229" s="87" t="s">
        <v>829</v>
      </c>
      <c r="K229" s="87" t="s">
        <v>847</v>
      </c>
      <c r="L229" s="87" t="s">
        <v>760</v>
      </c>
      <c r="M229" s="87" t="s">
        <v>986</v>
      </c>
      <c r="N229" s="87" t="s">
        <v>96</v>
      </c>
      <c r="O229" s="87" t="s">
        <v>18</v>
      </c>
      <c r="P229" s="87" t="s">
        <v>822</v>
      </c>
      <c r="Q229" s="87" t="s">
        <v>896</v>
      </c>
      <c r="R229" s="87" t="s">
        <v>205</v>
      </c>
    </row>
    <row r="230" spans="2:18" ht="48.75">
      <c r="B230" s="20"/>
      <c r="C230" s="6"/>
      <c r="D230" s="89" t="s">
        <v>638</v>
      </c>
      <c r="E230" s="89" t="s">
        <v>1118</v>
      </c>
      <c r="F230" s="89"/>
      <c r="G230" s="89" t="s">
        <v>520</v>
      </c>
      <c r="H230" s="89" t="s">
        <v>1413</v>
      </c>
      <c r="I230" s="89" t="s">
        <v>1306</v>
      </c>
      <c r="J230" s="89" t="s">
        <v>1336</v>
      </c>
      <c r="K230" s="89" t="s">
        <v>509</v>
      </c>
      <c r="L230" s="89" t="s">
        <v>1199</v>
      </c>
      <c r="M230" s="89" t="s">
        <v>554</v>
      </c>
      <c r="N230" s="89" t="s">
        <v>528</v>
      </c>
      <c r="O230" s="89"/>
      <c r="P230" s="89" t="s">
        <v>1321</v>
      </c>
      <c r="Q230" s="89" t="s">
        <v>638</v>
      </c>
      <c r="R230" s="89" t="s">
        <v>524</v>
      </c>
    </row>
    <row r="231" spans="2:18">
      <c r="B231" s="12"/>
      <c r="C231" s="31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</row>
    <row r="232" spans="2:18" ht="39.75">
      <c r="B232" s="16"/>
      <c r="C232" s="6"/>
      <c r="D232" s="88" t="s">
        <v>1117</v>
      </c>
      <c r="E232" s="88" t="s">
        <v>1709</v>
      </c>
      <c r="F232" s="88" t="s">
        <v>1711</v>
      </c>
      <c r="G232" s="88"/>
      <c r="H232" s="88" t="s">
        <v>1273</v>
      </c>
      <c r="I232" s="88" t="s">
        <v>1091</v>
      </c>
      <c r="J232" s="88" t="s">
        <v>657</v>
      </c>
      <c r="K232" s="88" t="s">
        <v>1713</v>
      </c>
      <c r="L232" s="88" t="s">
        <v>624</v>
      </c>
      <c r="M232" s="88" t="s">
        <v>1323</v>
      </c>
      <c r="N232" s="88" t="s">
        <v>1143</v>
      </c>
      <c r="O232" s="88" t="s">
        <v>1333</v>
      </c>
      <c r="P232" s="88" t="s">
        <v>1216</v>
      </c>
      <c r="Q232" s="88"/>
      <c r="R232" s="88" t="s">
        <v>126</v>
      </c>
    </row>
    <row r="233" spans="2:18" ht="58.5">
      <c r="B233" s="18">
        <f>B229+1</f>
        <v>58</v>
      </c>
      <c r="C233" s="6"/>
      <c r="D233" s="87" t="s">
        <v>708</v>
      </c>
      <c r="E233" s="87" t="s">
        <v>987</v>
      </c>
      <c r="F233" s="87" t="s">
        <v>988</v>
      </c>
      <c r="G233" s="87" t="s">
        <v>18</v>
      </c>
      <c r="H233" s="87" t="s">
        <v>796</v>
      </c>
      <c r="I233" s="87" t="s">
        <v>694</v>
      </c>
      <c r="J233" s="87" t="s">
        <v>712</v>
      </c>
      <c r="K233" s="87" t="s">
        <v>989</v>
      </c>
      <c r="L233" s="87" t="s">
        <v>594</v>
      </c>
      <c r="M233" s="87" t="s">
        <v>823</v>
      </c>
      <c r="N233" s="87" t="s">
        <v>723</v>
      </c>
      <c r="O233" s="87" t="s">
        <v>828</v>
      </c>
      <c r="P233" s="87" t="s">
        <v>769</v>
      </c>
      <c r="Q233" s="87" t="s">
        <v>18</v>
      </c>
      <c r="R233" s="87" t="s">
        <v>103</v>
      </c>
    </row>
    <row r="234" spans="2:18" ht="48.75">
      <c r="B234" s="20"/>
      <c r="C234" s="6"/>
      <c r="D234" s="89" t="s">
        <v>1118</v>
      </c>
      <c r="E234" s="89" t="s">
        <v>1710</v>
      </c>
      <c r="F234" s="89" t="s">
        <v>1712</v>
      </c>
      <c r="G234" s="89"/>
      <c r="H234" s="89" t="s">
        <v>1274</v>
      </c>
      <c r="I234" s="89" t="s">
        <v>1092</v>
      </c>
      <c r="J234" s="89" t="s">
        <v>658</v>
      </c>
      <c r="K234" s="89" t="s">
        <v>1714</v>
      </c>
      <c r="L234" s="89" t="s">
        <v>625</v>
      </c>
      <c r="M234" s="89" t="s">
        <v>1324</v>
      </c>
      <c r="N234" s="89" t="s">
        <v>1144</v>
      </c>
      <c r="O234" s="89" t="s">
        <v>1334</v>
      </c>
      <c r="P234" s="89" t="s">
        <v>1217</v>
      </c>
      <c r="Q234" s="89"/>
      <c r="R234" s="89" t="s">
        <v>685</v>
      </c>
    </row>
    <row r="235" spans="2:18">
      <c r="B235" s="12"/>
      <c r="C235" s="31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</row>
    <row r="236" spans="2:18" ht="39.75">
      <c r="B236" s="16"/>
      <c r="C236" s="6"/>
      <c r="D236" s="88" t="s">
        <v>1721</v>
      </c>
      <c r="E236" s="88" t="s">
        <v>134</v>
      </c>
      <c r="F236" s="88" t="s">
        <v>127</v>
      </c>
      <c r="G236" s="88" t="s">
        <v>678</v>
      </c>
      <c r="H236" s="88" t="s">
        <v>1123</v>
      </c>
      <c r="I236" s="88" t="s">
        <v>276</v>
      </c>
      <c r="J236" s="88" t="s">
        <v>1117</v>
      </c>
      <c r="K236" s="88" t="s">
        <v>1577</v>
      </c>
      <c r="L236" s="88" t="s">
        <v>127</v>
      </c>
      <c r="M236" s="88" t="s">
        <v>1562</v>
      </c>
      <c r="N236" s="88" t="s">
        <v>629</v>
      </c>
      <c r="O236" s="88"/>
      <c r="P236" s="88"/>
      <c r="Q236" s="88" t="s">
        <v>1109</v>
      </c>
      <c r="R236" s="88" t="s">
        <v>1588</v>
      </c>
    </row>
    <row r="237" spans="2:18" ht="58.5">
      <c r="B237" s="18">
        <f>B233+1</f>
        <v>59</v>
      </c>
      <c r="C237" s="6"/>
      <c r="D237" s="87" t="s">
        <v>990</v>
      </c>
      <c r="E237" s="87" t="s">
        <v>991</v>
      </c>
      <c r="F237" s="87" t="s">
        <v>983</v>
      </c>
      <c r="G237" s="87" t="s">
        <v>587</v>
      </c>
      <c r="H237" s="87" t="s">
        <v>713</v>
      </c>
      <c r="I237" s="87" t="s">
        <v>726</v>
      </c>
      <c r="J237" s="87" t="s">
        <v>708</v>
      </c>
      <c r="K237" s="87" t="s">
        <v>992</v>
      </c>
      <c r="L237" s="87" t="s">
        <v>983</v>
      </c>
      <c r="M237" s="87" t="s">
        <v>925</v>
      </c>
      <c r="N237" s="87" t="s">
        <v>595</v>
      </c>
      <c r="O237" s="87" t="s">
        <v>19</v>
      </c>
      <c r="P237" s="87" t="s">
        <v>821</v>
      </c>
      <c r="Q237" s="87" t="s">
        <v>703</v>
      </c>
      <c r="R237" s="87" t="s">
        <v>934</v>
      </c>
    </row>
    <row r="238" spans="2:18" ht="48.75">
      <c r="B238" s="20"/>
      <c r="C238" s="6"/>
      <c r="D238" s="89" t="s">
        <v>1722</v>
      </c>
      <c r="E238" s="89" t="s">
        <v>512</v>
      </c>
      <c r="F238" s="89" t="s">
        <v>585</v>
      </c>
      <c r="G238" s="89" t="s">
        <v>679</v>
      </c>
      <c r="H238" s="89" t="s">
        <v>1124</v>
      </c>
      <c r="I238" s="89" t="s">
        <v>535</v>
      </c>
      <c r="J238" s="89" t="s">
        <v>1118</v>
      </c>
      <c r="K238" s="89" t="s">
        <v>1578</v>
      </c>
      <c r="L238" s="89" t="s">
        <v>585</v>
      </c>
      <c r="M238" s="89" t="s">
        <v>1563</v>
      </c>
      <c r="N238" s="89" t="s">
        <v>630</v>
      </c>
      <c r="O238" s="89"/>
      <c r="P238" s="89"/>
      <c r="Q238" s="89" t="s">
        <v>1110</v>
      </c>
      <c r="R238" s="89" t="s">
        <v>1589</v>
      </c>
    </row>
    <row r="239" spans="2:18">
      <c r="B239" s="12"/>
      <c r="C239" s="31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</row>
    <row r="240" spans="2:18" ht="39.75">
      <c r="B240" s="16"/>
      <c r="C240" s="6"/>
      <c r="D240" s="88" t="s">
        <v>1240</v>
      </c>
      <c r="E240" s="88" t="s">
        <v>94</v>
      </c>
      <c r="F240" s="88" t="s">
        <v>1207</v>
      </c>
      <c r="G240" s="88" t="s">
        <v>678</v>
      </c>
      <c r="H240" s="88" t="s">
        <v>1242</v>
      </c>
      <c r="I240" s="88"/>
      <c r="J240" s="88" t="s">
        <v>1200</v>
      </c>
      <c r="K240" s="88" t="s">
        <v>1729</v>
      </c>
      <c r="L240" s="88" t="s">
        <v>126</v>
      </c>
      <c r="M240" s="88" t="s">
        <v>1731</v>
      </c>
      <c r="N240" s="88" t="s">
        <v>1273</v>
      </c>
      <c r="O240" s="88" t="s">
        <v>1733</v>
      </c>
      <c r="P240" s="88" t="s">
        <v>1735</v>
      </c>
      <c r="Q240" s="88" t="s">
        <v>629</v>
      </c>
      <c r="R240" s="88"/>
    </row>
    <row r="241" spans="2:18" ht="58.5">
      <c r="B241" s="18">
        <f>B237+1</f>
        <v>60</v>
      </c>
      <c r="C241" s="6"/>
      <c r="D241" s="87" t="s">
        <v>780</v>
      </c>
      <c r="E241" s="87" t="s">
        <v>93</v>
      </c>
      <c r="F241" s="87" t="s">
        <v>764</v>
      </c>
      <c r="G241" s="87" t="s">
        <v>587</v>
      </c>
      <c r="H241" s="87" t="s">
        <v>781</v>
      </c>
      <c r="I241" s="87" t="s">
        <v>18</v>
      </c>
      <c r="J241" s="87" t="s">
        <v>761</v>
      </c>
      <c r="K241" s="87" t="s">
        <v>993</v>
      </c>
      <c r="L241" s="87" t="s">
        <v>103</v>
      </c>
      <c r="M241" s="87" t="s">
        <v>994</v>
      </c>
      <c r="N241" s="87" t="s">
        <v>796</v>
      </c>
      <c r="O241" s="87" t="s">
        <v>995</v>
      </c>
      <c r="P241" s="87" t="s">
        <v>996</v>
      </c>
      <c r="Q241" s="87" t="s">
        <v>595</v>
      </c>
      <c r="R241" s="87" t="s">
        <v>19</v>
      </c>
    </row>
    <row r="242" spans="2:18" ht="48.75">
      <c r="B242" s="20"/>
      <c r="C242" s="6"/>
      <c r="D242" s="89" t="s">
        <v>1241</v>
      </c>
      <c r="E242" s="89" t="s">
        <v>536</v>
      </c>
      <c r="F242" s="89" t="s">
        <v>1208</v>
      </c>
      <c r="G242" s="89" t="s">
        <v>679</v>
      </c>
      <c r="H242" s="89" t="s">
        <v>1243</v>
      </c>
      <c r="I242" s="89"/>
      <c r="J242" s="89" t="s">
        <v>1201</v>
      </c>
      <c r="K242" s="89" t="s">
        <v>1730</v>
      </c>
      <c r="L242" s="89" t="s">
        <v>685</v>
      </c>
      <c r="M242" s="89" t="s">
        <v>1732</v>
      </c>
      <c r="N242" s="89" t="s">
        <v>1274</v>
      </c>
      <c r="O242" s="89" t="s">
        <v>1734</v>
      </c>
      <c r="P242" s="89" t="s">
        <v>1736</v>
      </c>
      <c r="Q242" s="89" t="s">
        <v>630</v>
      </c>
      <c r="R242" s="89"/>
    </row>
    <row r="243" spans="2:18">
      <c r="B243" s="12"/>
      <c r="C243" s="31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</row>
    <row r="244" spans="2:18" ht="39.75">
      <c r="B244" s="16"/>
      <c r="C244" s="6"/>
      <c r="D244" s="88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</row>
    <row r="245" spans="2:18" ht="58.5">
      <c r="B245" s="18">
        <f>B241+1</f>
        <v>61</v>
      </c>
      <c r="C245" s="6"/>
      <c r="D245" s="87" t="str">
        <f>CHAR(10)</f>
        <v xml:space="preserve">
</v>
      </c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spans="2:18" ht="48.75">
      <c r="B246" s="20"/>
      <c r="C246" s="6"/>
      <c r="D246" s="89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</row>
    <row r="247" spans="2:18">
      <c r="B247" s="12"/>
      <c r="C247" s="31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</row>
    <row r="248" spans="2:18" ht="39.75">
      <c r="B248" s="16"/>
      <c r="C248" s="6"/>
      <c r="D248" s="88" t="s">
        <v>1109</v>
      </c>
      <c r="E248" s="88" t="s">
        <v>1741</v>
      </c>
      <c r="F248" s="88" t="s">
        <v>1743</v>
      </c>
      <c r="G248" s="88" t="s">
        <v>1117</v>
      </c>
      <c r="H248" s="88" t="s">
        <v>1097</v>
      </c>
      <c r="I248" s="88" t="s">
        <v>1109</v>
      </c>
      <c r="J248" s="88" t="s">
        <v>127</v>
      </c>
      <c r="K248" s="88"/>
      <c r="L248" s="88" t="s">
        <v>1410</v>
      </c>
      <c r="M248" s="88" t="s">
        <v>1535</v>
      </c>
      <c r="N248" s="88" t="s">
        <v>144</v>
      </c>
      <c r="O248" s="88" t="s">
        <v>1745</v>
      </c>
      <c r="P248" s="88" t="s">
        <v>1123</v>
      </c>
      <c r="Q248" s="88" t="s">
        <v>174</v>
      </c>
      <c r="R248" s="88"/>
    </row>
    <row r="249" spans="2:18" ht="58.5">
      <c r="B249" s="18">
        <f>B245+1</f>
        <v>62</v>
      </c>
      <c r="C249" s="6"/>
      <c r="D249" s="87" t="s">
        <v>703</v>
      </c>
      <c r="E249" s="87" t="s">
        <v>997</v>
      </c>
      <c r="F249" s="87" t="s">
        <v>998</v>
      </c>
      <c r="G249" s="87" t="s">
        <v>708</v>
      </c>
      <c r="H249" s="87" t="s">
        <v>892</v>
      </c>
      <c r="I249" s="87" t="s">
        <v>703</v>
      </c>
      <c r="J249" s="87" t="s">
        <v>902</v>
      </c>
      <c r="K249" s="87" t="s">
        <v>18</v>
      </c>
      <c r="L249" s="87" t="s">
        <v>861</v>
      </c>
      <c r="M249" s="87" t="s">
        <v>915</v>
      </c>
      <c r="N249" s="87" t="s">
        <v>999</v>
      </c>
      <c r="O249" s="87" t="s">
        <v>1000</v>
      </c>
      <c r="P249" s="87" t="s">
        <v>713</v>
      </c>
      <c r="Q249" s="87" t="s">
        <v>1001</v>
      </c>
      <c r="R249" s="87" t="s">
        <v>18</v>
      </c>
    </row>
    <row r="250" spans="2:18" ht="48.75">
      <c r="B250" s="20"/>
      <c r="C250" s="6"/>
      <c r="D250" s="89" t="s">
        <v>1110</v>
      </c>
      <c r="E250" s="89" t="s">
        <v>1742</v>
      </c>
      <c r="F250" s="89" t="s">
        <v>1744</v>
      </c>
      <c r="G250" s="89" t="s">
        <v>1118</v>
      </c>
      <c r="H250" s="89" t="s">
        <v>1098</v>
      </c>
      <c r="I250" s="89" t="s">
        <v>1110</v>
      </c>
      <c r="J250" s="89" t="s">
        <v>585</v>
      </c>
      <c r="K250" s="89"/>
      <c r="L250" s="89" t="s">
        <v>1411</v>
      </c>
      <c r="M250" s="89" t="s">
        <v>1536</v>
      </c>
      <c r="N250" s="89" t="s">
        <v>530</v>
      </c>
      <c r="O250" s="89" t="s">
        <v>1746</v>
      </c>
      <c r="P250" s="89" t="s">
        <v>1124</v>
      </c>
      <c r="Q250" s="89" t="s">
        <v>574</v>
      </c>
      <c r="R250" s="89"/>
    </row>
    <row r="251" spans="2:18">
      <c r="B251" s="12"/>
      <c r="C251" s="31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</row>
    <row r="252" spans="2:18" ht="39.75">
      <c r="B252" s="16"/>
      <c r="C252" s="6"/>
      <c r="D252" s="88" t="s">
        <v>612</v>
      </c>
      <c r="E252" s="88" t="s">
        <v>1445</v>
      </c>
      <c r="F252" s="88" t="s">
        <v>1135</v>
      </c>
      <c r="G252" s="88" t="s">
        <v>1569</v>
      </c>
      <c r="H252" s="88" t="s">
        <v>1216</v>
      </c>
      <c r="I252" s="88" t="s">
        <v>1117</v>
      </c>
      <c r="J252" s="88"/>
      <c r="K252" s="88" t="s">
        <v>1117</v>
      </c>
      <c r="L252" s="88" t="s">
        <v>1480</v>
      </c>
      <c r="M252" s="88" t="s">
        <v>566</v>
      </c>
      <c r="N252" s="88" t="s">
        <v>1137</v>
      </c>
      <c r="O252" s="88" t="s">
        <v>1753</v>
      </c>
      <c r="P252" s="88" t="s">
        <v>1755</v>
      </c>
      <c r="Q252" s="88"/>
      <c r="R252" s="88" t="s">
        <v>1374</v>
      </c>
    </row>
    <row r="253" spans="2:18" ht="58.5">
      <c r="B253" s="18">
        <f>B249+1</f>
        <v>63</v>
      </c>
      <c r="C253" s="6"/>
      <c r="D253" s="87" t="s">
        <v>883</v>
      </c>
      <c r="E253" s="87" t="s">
        <v>952</v>
      </c>
      <c r="F253" s="87" t="s">
        <v>719</v>
      </c>
      <c r="G253" s="87" t="s">
        <v>928</v>
      </c>
      <c r="H253" s="87" t="s">
        <v>769</v>
      </c>
      <c r="I253" s="87" t="s">
        <v>919</v>
      </c>
      <c r="J253" s="87" t="s">
        <v>18</v>
      </c>
      <c r="K253" s="87" t="s">
        <v>708</v>
      </c>
      <c r="L253" s="87" t="s">
        <v>891</v>
      </c>
      <c r="M253" s="87" t="s">
        <v>239</v>
      </c>
      <c r="N253" s="87" t="s">
        <v>938</v>
      </c>
      <c r="O253" s="87" t="s">
        <v>1002</v>
      </c>
      <c r="P253" s="87" t="s">
        <v>1003</v>
      </c>
      <c r="Q253" s="87" t="s">
        <v>18</v>
      </c>
      <c r="R253" s="87" t="s">
        <v>846</v>
      </c>
    </row>
    <row r="254" spans="2:18" ht="48.75">
      <c r="B254" s="20"/>
      <c r="C254" s="6"/>
      <c r="D254" s="89" t="s">
        <v>613</v>
      </c>
      <c r="E254" s="89" t="s">
        <v>1446</v>
      </c>
      <c r="F254" s="89" t="s">
        <v>1136</v>
      </c>
      <c r="G254" s="89" t="s">
        <v>1570</v>
      </c>
      <c r="H254" s="89" t="s">
        <v>1217</v>
      </c>
      <c r="I254" s="89" t="s">
        <v>1118</v>
      </c>
      <c r="J254" s="89"/>
      <c r="K254" s="89" t="s">
        <v>1118</v>
      </c>
      <c r="L254" s="89" t="s">
        <v>1481</v>
      </c>
      <c r="M254" s="89" t="s">
        <v>567</v>
      </c>
      <c r="N254" s="89" t="s">
        <v>1138</v>
      </c>
      <c r="O254" s="89" t="s">
        <v>1754</v>
      </c>
      <c r="P254" s="89" t="s">
        <v>1756</v>
      </c>
      <c r="Q254" s="89"/>
      <c r="R254" s="89" t="s">
        <v>1375</v>
      </c>
    </row>
    <row r="255" spans="2:18">
      <c r="B255" s="12"/>
      <c r="C255" s="31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</row>
    <row r="256" spans="2:18" ht="39.75">
      <c r="B256" s="16"/>
      <c r="C256" s="6"/>
      <c r="D256" s="88" t="s">
        <v>1153</v>
      </c>
      <c r="E256" s="88" t="s">
        <v>508</v>
      </c>
      <c r="F256" s="88" t="s">
        <v>637</v>
      </c>
      <c r="G256" s="88" t="s">
        <v>1117</v>
      </c>
      <c r="H256" s="88"/>
      <c r="I256" s="88" t="s">
        <v>1109</v>
      </c>
      <c r="J256" s="88" t="s">
        <v>97</v>
      </c>
      <c r="K256" s="88" t="s">
        <v>1203</v>
      </c>
      <c r="L256" s="88" t="s">
        <v>1542</v>
      </c>
      <c r="M256" s="88" t="s">
        <v>1174</v>
      </c>
      <c r="N256" s="88" t="s">
        <v>642</v>
      </c>
      <c r="O256" s="88" t="s">
        <v>1762</v>
      </c>
      <c r="P256" s="88" t="s">
        <v>94</v>
      </c>
      <c r="Q256" s="88" t="s">
        <v>629</v>
      </c>
      <c r="R256" s="88"/>
    </row>
    <row r="257" spans="2:18" ht="58.5">
      <c r="B257" s="18">
        <f>B253+1</f>
        <v>64</v>
      </c>
      <c r="C257" s="6"/>
      <c r="D257" s="87" t="s">
        <v>774</v>
      </c>
      <c r="E257" s="87" t="s">
        <v>847</v>
      </c>
      <c r="F257" s="87" t="s">
        <v>598</v>
      </c>
      <c r="G257" s="87" t="s">
        <v>919</v>
      </c>
      <c r="H257" s="87" t="s">
        <v>19</v>
      </c>
      <c r="I257" s="87" t="s">
        <v>703</v>
      </c>
      <c r="J257" s="87" t="s">
        <v>709</v>
      </c>
      <c r="K257" s="87" t="s">
        <v>971</v>
      </c>
      <c r="L257" s="87" t="s">
        <v>963</v>
      </c>
      <c r="M257" s="87" t="s">
        <v>742</v>
      </c>
      <c r="N257" s="87" t="s">
        <v>1004</v>
      </c>
      <c r="O257" s="87" t="s">
        <v>1005</v>
      </c>
      <c r="P257" s="87" t="s">
        <v>93</v>
      </c>
      <c r="Q257" s="87" t="s">
        <v>595</v>
      </c>
      <c r="R257" s="87" t="s">
        <v>18</v>
      </c>
    </row>
    <row r="258" spans="2:18" ht="48.75">
      <c r="B258" s="20"/>
      <c r="C258" s="6"/>
      <c r="D258" s="89" t="s">
        <v>1154</v>
      </c>
      <c r="E258" s="89" t="s">
        <v>509</v>
      </c>
      <c r="F258" s="89" t="s">
        <v>638</v>
      </c>
      <c r="G258" s="89" t="s">
        <v>1118</v>
      </c>
      <c r="H258" s="89"/>
      <c r="I258" s="89" t="s">
        <v>1110</v>
      </c>
      <c r="J258" s="89" t="s">
        <v>523</v>
      </c>
      <c r="K258" s="89" t="s">
        <v>1204</v>
      </c>
      <c r="L258" s="89" t="s">
        <v>1543</v>
      </c>
      <c r="M258" s="89" t="s">
        <v>661</v>
      </c>
      <c r="N258" s="89" t="s">
        <v>643</v>
      </c>
      <c r="O258" s="89" t="s">
        <v>1763</v>
      </c>
      <c r="P258" s="89" t="s">
        <v>536</v>
      </c>
      <c r="Q258" s="89" t="s">
        <v>630</v>
      </c>
      <c r="R258" s="89"/>
    </row>
    <row r="259" spans="2:18">
      <c r="B259" s="12"/>
      <c r="C259" s="31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</row>
    <row r="260" spans="2:18" ht="39.75">
      <c r="B260" s="16"/>
      <c r="C260" s="6"/>
      <c r="D260" s="88" t="s">
        <v>1175</v>
      </c>
      <c r="E260" s="88" t="s">
        <v>1117</v>
      </c>
      <c r="F260" s="88" t="s">
        <v>1610</v>
      </c>
      <c r="G260" s="88" t="s">
        <v>1771</v>
      </c>
      <c r="H260" s="88" t="s">
        <v>1773</v>
      </c>
      <c r="I260" s="88"/>
      <c r="J260" s="88" t="s">
        <v>1410</v>
      </c>
      <c r="K260" s="88" t="s">
        <v>1099</v>
      </c>
      <c r="L260" s="88" t="s">
        <v>1775</v>
      </c>
      <c r="M260" s="88" t="s">
        <v>657</v>
      </c>
      <c r="N260" s="88" t="s">
        <v>94</v>
      </c>
      <c r="O260" s="88" t="s">
        <v>1275</v>
      </c>
      <c r="P260" s="88"/>
      <c r="Q260" s="88" t="s">
        <v>1109</v>
      </c>
      <c r="R260" s="88" t="s">
        <v>1445</v>
      </c>
    </row>
    <row r="261" spans="2:18" ht="58.5">
      <c r="B261" s="18">
        <f>B257+1</f>
        <v>65</v>
      </c>
      <c r="C261" s="6"/>
      <c r="D261" s="87" t="s">
        <v>743</v>
      </c>
      <c r="E261" s="87" t="s">
        <v>708</v>
      </c>
      <c r="F261" s="87" t="s">
        <v>947</v>
      </c>
      <c r="G261" s="87" t="s">
        <v>1006</v>
      </c>
      <c r="H261" s="87" t="s">
        <v>1007</v>
      </c>
      <c r="I261" s="87" t="s">
        <v>18</v>
      </c>
      <c r="J261" s="87" t="s">
        <v>861</v>
      </c>
      <c r="K261" s="87" t="s">
        <v>698</v>
      </c>
      <c r="L261" s="87" t="s">
        <v>1008</v>
      </c>
      <c r="M261" s="87" t="s">
        <v>712</v>
      </c>
      <c r="N261" s="87" t="s">
        <v>93</v>
      </c>
      <c r="O261" s="87" t="s">
        <v>798</v>
      </c>
      <c r="P261" s="87" t="s">
        <v>19</v>
      </c>
      <c r="Q261" s="87" t="s">
        <v>703</v>
      </c>
      <c r="R261" s="87" t="s">
        <v>952</v>
      </c>
    </row>
    <row r="262" spans="2:18" ht="48.75">
      <c r="B262" s="20"/>
      <c r="C262" s="6"/>
      <c r="D262" s="89" t="s">
        <v>1176</v>
      </c>
      <c r="E262" s="89" t="s">
        <v>1118</v>
      </c>
      <c r="F262" s="89" t="s">
        <v>1611</v>
      </c>
      <c r="G262" s="89" t="s">
        <v>1772</v>
      </c>
      <c r="H262" s="89" t="s">
        <v>1774</v>
      </c>
      <c r="I262" s="89"/>
      <c r="J262" s="89" t="s">
        <v>1411</v>
      </c>
      <c r="K262" s="89" t="s">
        <v>1100</v>
      </c>
      <c r="L262" s="89" t="s">
        <v>1776</v>
      </c>
      <c r="M262" s="89" t="s">
        <v>658</v>
      </c>
      <c r="N262" s="89" t="s">
        <v>536</v>
      </c>
      <c r="O262" s="89" t="s">
        <v>1276</v>
      </c>
      <c r="P262" s="89"/>
      <c r="Q262" s="89" t="s">
        <v>1110</v>
      </c>
      <c r="R262" s="89" t="s">
        <v>1446</v>
      </c>
    </row>
    <row r="263" spans="2:18">
      <c r="B263" s="12"/>
      <c r="C263" s="31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</row>
    <row r="264" spans="2:18" ht="39.75">
      <c r="B264" s="16"/>
      <c r="C264" s="6"/>
      <c r="D264" s="88" t="s">
        <v>1123</v>
      </c>
      <c r="E264" s="88" t="s">
        <v>1315</v>
      </c>
      <c r="F264" s="88"/>
      <c r="G264" s="88"/>
      <c r="H264" s="88" t="s">
        <v>1157</v>
      </c>
      <c r="I264" s="88" t="s">
        <v>552</v>
      </c>
      <c r="J264" s="88" t="s">
        <v>100</v>
      </c>
      <c r="K264" s="88" t="s">
        <v>151</v>
      </c>
      <c r="L264" s="88" t="s">
        <v>1123</v>
      </c>
      <c r="M264" s="88" t="s">
        <v>1191</v>
      </c>
      <c r="N264" s="88"/>
      <c r="O264" s="88" t="s">
        <v>274</v>
      </c>
      <c r="P264" s="88" t="s">
        <v>1105</v>
      </c>
      <c r="Q264" s="88" t="s">
        <v>1410</v>
      </c>
      <c r="R264" s="88" t="s">
        <v>1535</v>
      </c>
    </row>
    <row r="265" spans="2:18" ht="58.5">
      <c r="B265" s="18">
        <f>B261+1</f>
        <v>66</v>
      </c>
      <c r="C265" s="6"/>
      <c r="D265" s="87" t="s">
        <v>713</v>
      </c>
      <c r="E265" s="87" t="s">
        <v>819</v>
      </c>
      <c r="F265" s="87" t="s">
        <v>115</v>
      </c>
      <c r="G265" s="87" t="s">
        <v>820</v>
      </c>
      <c r="H265" s="87" t="s">
        <v>755</v>
      </c>
      <c r="I265" s="87" t="s">
        <v>118</v>
      </c>
      <c r="J265" s="87" t="s">
        <v>96</v>
      </c>
      <c r="K265" s="87" t="s">
        <v>121</v>
      </c>
      <c r="L265" s="87" t="s">
        <v>713</v>
      </c>
      <c r="M265" s="87" t="s">
        <v>752</v>
      </c>
      <c r="N265" s="87" t="s">
        <v>18</v>
      </c>
      <c r="O265" s="87" t="s">
        <v>1009</v>
      </c>
      <c r="P265" s="87" t="s">
        <v>701</v>
      </c>
      <c r="Q265" s="87" t="s">
        <v>861</v>
      </c>
      <c r="R265" s="87" t="s">
        <v>915</v>
      </c>
    </row>
    <row r="266" spans="2:18" ht="48.75">
      <c r="B266" s="20"/>
      <c r="C266" s="6"/>
      <c r="D266" s="89" t="s">
        <v>1124</v>
      </c>
      <c r="E266" s="89" t="s">
        <v>1316</v>
      </c>
      <c r="F266" s="89"/>
      <c r="G266" s="89"/>
      <c r="H266" s="89" t="s">
        <v>1158</v>
      </c>
      <c r="I266" s="89" t="s">
        <v>553</v>
      </c>
      <c r="J266" s="89" t="s">
        <v>528</v>
      </c>
      <c r="K266" s="89" t="s">
        <v>545</v>
      </c>
      <c r="L266" s="89" t="s">
        <v>1124</v>
      </c>
      <c r="M266" s="89" t="s">
        <v>1192</v>
      </c>
      <c r="N266" s="89"/>
      <c r="O266" s="89" t="s">
        <v>529</v>
      </c>
      <c r="P266" s="89" t="s">
        <v>1106</v>
      </c>
      <c r="Q266" s="89" t="s">
        <v>1411</v>
      </c>
      <c r="R266" s="89" t="s">
        <v>1536</v>
      </c>
    </row>
    <row r="267" spans="2:18">
      <c r="B267" s="12"/>
      <c r="C267" s="31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</row>
    <row r="268" spans="2:18" ht="39.75">
      <c r="B268" s="16"/>
      <c r="C268" s="6"/>
      <c r="D268" s="88" t="s">
        <v>662</v>
      </c>
      <c r="E268" s="88" t="s">
        <v>1437</v>
      </c>
      <c r="F268" s="88"/>
      <c r="G268" s="88" t="s">
        <v>688</v>
      </c>
      <c r="H268" s="88" t="s">
        <v>1099</v>
      </c>
      <c r="I268" s="88" t="s">
        <v>1789</v>
      </c>
      <c r="J268" s="88" t="s">
        <v>518</v>
      </c>
      <c r="K268" s="88" t="s">
        <v>1694</v>
      </c>
      <c r="L268" s="88" t="s">
        <v>132</v>
      </c>
      <c r="M268" s="88"/>
      <c r="N268" s="88" t="s">
        <v>1155</v>
      </c>
      <c r="O268" s="88" t="s">
        <v>1422</v>
      </c>
      <c r="P268" s="88" t="s">
        <v>678</v>
      </c>
      <c r="Q268" s="88" t="s">
        <v>1410</v>
      </c>
      <c r="R268" s="88" t="s">
        <v>657</v>
      </c>
    </row>
    <row r="269" spans="2:18" ht="58.5">
      <c r="B269" s="18">
        <f>B265+1</f>
        <v>67</v>
      </c>
      <c r="C269" s="6"/>
      <c r="D269" s="87" t="s">
        <v>607</v>
      </c>
      <c r="E269" s="87" t="s">
        <v>1010</v>
      </c>
      <c r="F269" s="87" t="s">
        <v>18</v>
      </c>
      <c r="G269" s="87" t="s">
        <v>609</v>
      </c>
      <c r="H269" s="87" t="s">
        <v>698</v>
      </c>
      <c r="I269" s="87" t="s">
        <v>1011</v>
      </c>
      <c r="J269" s="87" t="s">
        <v>35</v>
      </c>
      <c r="K269" s="87" t="s">
        <v>982</v>
      </c>
      <c r="L269" s="87" t="s">
        <v>604</v>
      </c>
      <c r="M269" s="87" t="s">
        <v>18</v>
      </c>
      <c r="N269" s="87" t="s">
        <v>730</v>
      </c>
      <c r="O269" s="87" t="s">
        <v>967</v>
      </c>
      <c r="P269" s="87" t="s">
        <v>587</v>
      </c>
      <c r="Q269" s="87" t="s">
        <v>861</v>
      </c>
      <c r="R269" s="87" t="s">
        <v>712</v>
      </c>
    </row>
    <row r="270" spans="2:18" ht="48.75">
      <c r="B270" s="20"/>
      <c r="C270" s="6"/>
      <c r="D270" s="89" t="s">
        <v>663</v>
      </c>
      <c r="E270" s="89" t="s">
        <v>1438</v>
      </c>
      <c r="F270" s="89"/>
      <c r="G270" s="89" t="s">
        <v>666</v>
      </c>
      <c r="H270" s="89" t="s">
        <v>1100</v>
      </c>
      <c r="I270" s="89" t="s">
        <v>1790</v>
      </c>
      <c r="J270" s="89" t="s">
        <v>519</v>
      </c>
      <c r="K270" s="89" t="s">
        <v>1695</v>
      </c>
      <c r="L270" s="89" t="s">
        <v>556</v>
      </c>
      <c r="M270" s="89"/>
      <c r="N270" s="89" t="s">
        <v>1156</v>
      </c>
      <c r="O270" s="89" t="s">
        <v>1423</v>
      </c>
      <c r="P270" s="89" t="s">
        <v>679</v>
      </c>
      <c r="Q270" s="89" t="s">
        <v>1411</v>
      </c>
      <c r="R270" s="89" t="s">
        <v>658</v>
      </c>
    </row>
    <row r="271" spans="2:18">
      <c r="B271" s="12"/>
      <c r="C271" s="31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</row>
    <row r="272" spans="2:18" ht="39.75">
      <c r="B272" s="16"/>
      <c r="C272" s="6"/>
      <c r="D272" s="88" t="s">
        <v>1123</v>
      </c>
      <c r="E272" s="88"/>
      <c r="F272" s="88"/>
      <c r="G272" s="88" t="s">
        <v>1109</v>
      </c>
      <c r="H272" s="88" t="s">
        <v>94</v>
      </c>
      <c r="I272" s="88" t="s">
        <v>1315</v>
      </c>
      <c r="J272" s="88" t="s">
        <v>1410</v>
      </c>
      <c r="K272" s="88" t="s">
        <v>635</v>
      </c>
      <c r="L272" s="88" t="s">
        <v>1800</v>
      </c>
      <c r="M272" s="88" t="s">
        <v>1123</v>
      </c>
      <c r="N272" s="88" t="s">
        <v>688</v>
      </c>
      <c r="O272" s="88" t="s">
        <v>629</v>
      </c>
      <c r="P272" s="88"/>
      <c r="Q272" s="88" t="s">
        <v>1133</v>
      </c>
      <c r="R272" s="88" t="s">
        <v>1117</v>
      </c>
    </row>
    <row r="273" spans="2:18" ht="58.5">
      <c r="B273" s="18">
        <f>B269+1</f>
        <v>68</v>
      </c>
      <c r="C273" s="6"/>
      <c r="D273" s="87" t="s">
        <v>713</v>
      </c>
      <c r="E273" s="87" t="s">
        <v>19</v>
      </c>
      <c r="F273" s="87" t="s">
        <v>821</v>
      </c>
      <c r="G273" s="87" t="s">
        <v>703</v>
      </c>
      <c r="H273" s="87" t="s">
        <v>93</v>
      </c>
      <c r="I273" s="87" t="s">
        <v>819</v>
      </c>
      <c r="J273" s="87" t="s">
        <v>861</v>
      </c>
      <c r="K273" s="87" t="s">
        <v>1012</v>
      </c>
      <c r="L273" s="87" t="s">
        <v>1013</v>
      </c>
      <c r="M273" s="87" t="s">
        <v>713</v>
      </c>
      <c r="N273" s="87" t="s">
        <v>1014</v>
      </c>
      <c r="O273" s="87" t="s">
        <v>595</v>
      </c>
      <c r="P273" s="87" t="s">
        <v>19</v>
      </c>
      <c r="Q273" s="87" t="s">
        <v>718</v>
      </c>
      <c r="R273" s="87" t="s">
        <v>708</v>
      </c>
    </row>
    <row r="274" spans="2:18" ht="48.75">
      <c r="B274" s="20"/>
      <c r="C274" s="6"/>
      <c r="D274" s="89" t="s">
        <v>1124</v>
      </c>
      <c r="E274" s="89"/>
      <c r="F274" s="89"/>
      <c r="G274" s="89" t="s">
        <v>1110</v>
      </c>
      <c r="H274" s="89" t="s">
        <v>536</v>
      </c>
      <c r="I274" s="89" t="s">
        <v>1316</v>
      </c>
      <c r="J274" s="89" t="s">
        <v>1411</v>
      </c>
      <c r="K274" s="89" t="s">
        <v>636</v>
      </c>
      <c r="L274" s="89" t="s">
        <v>1801</v>
      </c>
      <c r="M274" s="89" t="s">
        <v>1124</v>
      </c>
      <c r="N274" s="89" t="s">
        <v>666</v>
      </c>
      <c r="O274" s="89" t="s">
        <v>630</v>
      </c>
      <c r="P274" s="89"/>
      <c r="Q274" s="89" t="s">
        <v>1134</v>
      </c>
      <c r="R274" s="89" t="s">
        <v>1118</v>
      </c>
    </row>
    <row r="275" spans="2:18">
      <c r="B275" s="12"/>
      <c r="C275" s="31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</row>
    <row r="276" spans="2:18" ht="39.75">
      <c r="B276" s="16"/>
      <c r="C276" s="6"/>
      <c r="D276" s="88" t="s">
        <v>1807</v>
      </c>
      <c r="E276" s="88" t="s">
        <v>1807</v>
      </c>
      <c r="F276" s="88" t="s">
        <v>1809</v>
      </c>
      <c r="G276" s="88" t="s">
        <v>1809</v>
      </c>
      <c r="H276" s="88" t="s">
        <v>1125</v>
      </c>
      <c r="I276" s="88" t="s">
        <v>132</v>
      </c>
      <c r="J276" s="88" t="s">
        <v>503</v>
      </c>
      <c r="K276" s="88" t="s">
        <v>1216</v>
      </c>
      <c r="L276" s="88"/>
      <c r="M276" s="88" t="s">
        <v>1135</v>
      </c>
      <c r="N276" s="88" t="s">
        <v>1368</v>
      </c>
      <c r="O276" s="88" t="s">
        <v>1453</v>
      </c>
      <c r="P276" s="88" t="s">
        <v>640</v>
      </c>
      <c r="Q276" s="88"/>
      <c r="R276" s="88" t="s">
        <v>137</v>
      </c>
    </row>
    <row r="277" spans="2:18" ht="58.5">
      <c r="B277" s="18">
        <f>B273+1</f>
        <v>69</v>
      </c>
      <c r="C277" s="6"/>
      <c r="D277" s="87" t="s">
        <v>1015</v>
      </c>
      <c r="E277" s="87" t="s">
        <v>1015</v>
      </c>
      <c r="F277" s="87" t="s">
        <v>1016</v>
      </c>
      <c r="G277" s="87" t="s">
        <v>1016</v>
      </c>
      <c r="H277" s="87" t="s">
        <v>1017</v>
      </c>
      <c r="I277" s="87" t="s">
        <v>604</v>
      </c>
      <c r="J277" s="87" t="s">
        <v>1018</v>
      </c>
      <c r="K277" s="87" t="s">
        <v>769</v>
      </c>
      <c r="L277" s="87" t="s">
        <v>18</v>
      </c>
      <c r="M277" s="87" t="s">
        <v>719</v>
      </c>
      <c r="N277" s="87" t="s">
        <v>945</v>
      </c>
      <c r="O277" s="87" t="s">
        <v>882</v>
      </c>
      <c r="P277" s="87" t="s">
        <v>599</v>
      </c>
      <c r="Q277" s="87" t="s">
        <v>34</v>
      </c>
      <c r="R277" s="87" t="s">
        <v>235</v>
      </c>
    </row>
    <row r="278" spans="2:18" ht="48.75">
      <c r="B278" s="20"/>
      <c r="C278" s="6"/>
      <c r="D278" s="89" t="s">
        <v>1808</v>
      </c>
      <c r="E278" s="89" t="s">
        <v>1808</v>
      </c>
      <c r="F278" s="89" t="s">
        <v>1810</v>
      </c>
      <c r="G278" s="89" t="s">
        <v>1810</v>
      </c>
      <c r="H278" s="89" t="s">
        <v>1126</v>
      </c>
      <c r="I278" s="89" t="s">
        <v>556</v>
      </c>
      <c r="J278" s="89" t="s">
        <v>504</v>
      </c>
      <c r="K278" s="89" t="s">
        <v>1217</v>
      </c>
      <c r="L278" s="89"/>
      <c r="M278" s="89" t="s">
        <v>1136</v>
      </c>
      <c r="N278" s="89" t="s">
        <v>1369</v>
      </c>
      <c r="O278" s="89" t="s">
        <v>1454</v>
      </c>
      <c r="P278" s="89" t="s">
        <v>641</v>
      </c>
      <c r="Q278" s="89"/>
      <c r="R278" s="89" t="s">
        <v>520</v>
      </c>
    </row>
    <row r="279" spans="2:18">
      <c r="B279" s="12"/>
      <c r="C279" s="31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</row>
    <row r="280" spans="2:18" ht="39.75">
      <c r="B280" s="16"/>
      <c r="C280" s="6"/>
      <c r="D280" s="88" t="s">
        <v>1819</v>
      </c>
      <c r="E280" s="88"/>
      <c r="F280" s="88" t="s">
        <v>1123</v>
      </c>
      <c r="G280" s="88" t="s">
        <v>1242</v>
      </c>
      <c r="H280" s="88" t="s">
        <v>1117</v>
      </c>
      <c r="I280" s="88" t="s">
        <v>1091</v>
      </c>
      <c r="J280" s="88" t="s">
        <v>1093</v>
      </c>
      <c r="K280" s="88"/>
      <c r="L280" s="88" t="s">
        <v>1127</v>
      </c>
      <c r="M280" s="88" t="s">
        <v>678</v>
      </c>
      <c r="N280" s="88" t="s">
        <v>126</v>
      </c>
      <c r="O280" s="88" t="s">
        <v>1569</v>
      </c>
      <c r="P280" s="88" t="s">
        <v>1123</v>
      </c>
      <c r="Q280" s="88"/>
      <c r="R280" s="88" t="s">
        <v>1157</v>
      </c>
    </row>
    <row r="281" spans="2:18" ht="58.5">
      <c r="B281" s="18">
        <f>B277+1</f>
        <v>70</v>
      </c>
      <c r="C281" s="6"/>
      <c r="D281" s="87" t="s">
        <v>1019</v>
      </c>
      <c r="E281" s="87" t="s">
        <v>37</v>
      </c>
      <c r="F281" s="87" t="s">
        <v>713</v>
      </c>
      <c r="G281" s="87" t="s">
        <v>781</v>
      </c>
      <c r="H281" s="87" t="s">
        <v>708</v>
      </c>
      <c r="I281" s="87" t="s">
        <v>694</v>
      </c>
      <c r="J281" s="87" t="s">
        <v>695</v>
      </c>
      <c r="K281" s="87" t="s">
        <v>18</v>
      </c>
      <c r="L281" s="87" t="s">
        <v>715</v>
      </c>
      <c r="M281" s="87" t="s">
        <v>587</v>
      </c>
      <c r="N281" s="87" t="s">
        <v>103</v>
      </c>
      <c r="O281" s="87" t="s">
        <v>928</v>
      </c>
      <c r="P281" s="87" t="s">
        <v>713</v>
      </c>
      <c r="Q281" s="87" t="s">
        <v>18</v>
      </c>
      <c r="R281" s="87" t="s">
        <v>732</v>
      </c>
    </row>
    <row r="282" spans="2:18" ht="48.75">
      <c r="B282" s="20"/>
      <c r="C282" s="6"/>
      <c r="D282" s="89" t="s">
        <v>1820</v>
      </c>
      <c r="E282" s="89"/>
      <c r="F282" s="89" t="s">
        <v>1124</v>
      </c>
      <c r="G282" s="89" t="s">
        <v>1243</v>
      </c>
      <c r="H282" s="89" t="s">
        <v>1118</v>
      </c>
      <c r="I282" s="89" t="s">
        <v>1092</v>
      </c>
      <c r="J282" s="89" t="s">
        <v>1094</v>
      </c>
      <c r="K282" s="89"/>
      <c r="L282" s="89" t="s">
        <v>1128</v>
      </c>
      <c r="M282" s="89" t="s">
        <v>679</v>
      </c>
      <c r="N282" s="89" t="s">
        <v>685</v>
      </c>
      <c r="O282" s="89" t="s">
        <v>1570</v>
      </c>
      <c r="P282" s="89" t="s">
        <v>1124</v>
      </c>
      <c r="Q282" s="89"/>
      <c r="R282" s="89" t="s">
        <v>1158</v>
      </c>
    </row>
    <row r="283" spans="2:18">
      <c r="B283" s="12"/>
      <c r="C283" s="31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</row>
    <row r="284" spans="2:18" ht="39.75">
      <c r="B284" s="16"/>
      <c r="C284" s="6"/>
      <c r="D284" s="88" t="s">
        <v>1273</v>
      </c>
      <c r="E284" s="88"/>
      <c r="F284" s="88" t="s">
        <v>688</v>
      </c>
      <c r="G284" s="88" t="s">
        <v>1109</v>
      </c>
      <c r="H284" s="88" t="s">
        <v>516</v>
      </c>
      <c r="I284" s="88" t="s">
        <v>1825</v>
      </c>
      <c r="J284" s="88" t="s">
        <v>1827</v>
      </c>
      <c r="K284" s="88" t="s">
        <v>499</v>
      </c>
      <c r="L284" s="88" t="s">
        <v>1133</v>
      </c>
      <c r="M284" s="88" t="s">
        <v>1285</v>
      </c>
      <c r="N284" s="88" t="s">
        <v>1335</v>
      </c>
      <c r="O284" s="88" t="s">
        <v>1147</v>
      </c>
      <c r="P284" s="88"/>
      <c r="Q284" s="88" t="s">
        <v>1117</v>
      </c>
      <c r="R284" s="88" t="s">
        <v>98</v>
      </c>
    </row>
    <row r="285" spans="2:18" ht="58.5">
      <c r="B285" s="18">
        <f>B281+1</f>
        <v>71</v>
      </c>
      <c r="C285" s="6"/>
      <c r="D285" s="87" t="s">
        <v>796</v>
      </c>
      <c r="E285" s="87" t="s">
        <v>19</v>
      </c>
      <c r="F285" s="87" t="s">
        <v>609</v>
      </c>
      <c r="G285" s="87" t="s">
        <v>703</v>
      </c>
      <c r="H285" s="87" t="s">
        <v>173</v>
      </c>
      <c r="I285" s="87" t="s">
        <v>1020</v>
      </c>
      <c r="J285" s="87" t="s">
        <v>1021</v>
      </c>
      <c r="K285" s="87" t="s">
        <v>1022</v>
      </c>
      <c r="L285" s="87" t="s">
        <v>718</v>
      </c>
      <c r="M285" s="87" t="s">
        <v>803</v>
      </c>
      <c r="N285" s="87" t="s">
        <v>829</v>
      </c>
      <c r="O285" s="87" t="s">
        <v>854</v>
      </c>
      <c r="P285" s="87" t="s">
        <v>18</v>
      </c>
      <c r="Q285" s="87" t="s">
        <v>708</v>
      </c>
      <c r="R285" s="87" t="s">
        <v>750</v>
      </c>
    </row>
    <row r="286" spans="2:18" ht="48.75">
      <c r="B286" s="20"/>
      <c r="C286" s="6"/>
      <c r="D286" s="89" t="s">
        <v>1274</v>
      </c>
      <c r="E286" s="89"/>
      <c r="F286" s="89" t="s">
        <v>666</v>
      </c>
      <c r="G286" s="89" t="s">
        <v>1110</v>
      </c>
      <c r="H286" s="89" t="s">
        <v>517</v>
      </c>
      <c r="I286" s="89" t="s">
        <v>1826</v>
      </c>
      <c r="J286" s="89" t="s">
        <v>1828</v>
      </c>
      <c r="K286" s="89" t="s">
        <v>500</v>
      </c>
      <c r="L286" s="89" t="s">
        <v>1134</v>
      </c>
      <c r="M286" s="89" t="s">
        <v>1286</v>
      </c>
      <c r="N286" s="89" t="s">
        <v>1336</v>
      </c>
      <c r="O286" s="89" t="s">
        <v>1148</v>
      </c>
      <c r="P286" s="89"/>
      <c r="Q286" s="89" t="s">
        <v>1118</v>
      </c>
      <c r="R286" s="89" t="s">
        <v>531</v>
      </c>
    </row>
    <row r="287" spans="2:18">
      <c r="B287" s="12"/>
      <c r="C287" s="31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</row>
    <row r="288" spans="2:18" ht="39.75">
      <c r="B288" s="16"/>
      <c r="C288" s="6"/>
      <c r="D288" s="88" t="s">
        <v>1835</v>
      </c>
      <c r="E288" s="88" t="s">
        <v>1527</v>
      </c>
      <c r="F288" s="88"/>
      <c r="G288" s="88" t="s">
        <v>1227</v>
      </c>
      <c r="H288" s="88" t="s">
        <v>38</v>
      </c>
      <c r="I288" s="88" t="s">
        <v>1838</v>
      </c>
      <c r="J288" s="88" t="s">
        <v>568</v>
      </c>
      <c r="K288" s="88" t="s">
        <v>1299</v>
      </c>
      <c r="L288" s="88" t="s">
        <v>1291</v>
      </c>
      <c r="M288" s="88"/>
      <c r="N288" s="88" t="s">
        <v>1491</v>
      </c>
      <c r="O288" s="88" t="s">
        <v>126</v>
      </c>
      <c r="P288" s="88" t="s">
        <v>612</v>
      </c>
      <c r="Q288" s="88" t="s">
        <v>629</v>
      </c>
      <c r="R288" s="88"/>
    </row>
    <row r="289" spans="2:18" ht="58.5">
      <c r="B289" s="18">
        <f>B285+1</f>
        <v>72</v>
      </c>
      <c r="C289" s="6"/>
      <c r="D289" s="87" t="s">
        <v>1023</v>
      </c>
      <c r="E289" s="87" t="s">
        <v>914</v>
      </c>
      <c r="F289" s="87" t="s">
        <v>18</v>
      </c>
      <c r="G289" s="87" t="s">
        <v>772</v>
      </c>
      <c r="H289" s="87" t="s">
        <v>1024</v>
      </c>
      <c r="I289" s="87" t="s">
        <v>1025</v>
      </c>
      <c r="J289" s="87" t="s">
        <v>123</v>
      </c>
      <c r="K289" s="87" t="s">
        <v>813</v>
      </c>
      <c r="L289" s="87" t="s">
        <v>808</v>
      </c>
      <c r="M289" s="87" t="s">
        <v>18</v>
      </c>
      <c r="N289" s="87" t="s">
        <v>898</v>
      </c>
      <c r="O289" s="87" t="s">
        <v>103</v>
      </c>
      <c r="P289" s="87" t="s">
        <v>883</v>
      </c>
      <c r="Q289" s="87" t="s">
        <v>595</v>
      </c>
      <c r="R289" s="87" t="s">
        <v>19</v>
      </c>
    </row>
    <row r="290" spans="2:18" ht="48.75">
      <c r="B290" s="20"/>
      <c r="C290" s="6"/>
      <c r="D290" s="89" t="s">
        <v>1836</v>
      </c>
      <c r="E290" s="89" t="s">
        <v>1528</v>
      </c>
      <c r="F290" s="89"/>
      <c r="G290" s="89" t="s">
        <v>1228</v>
      </c>
      <c r="H290" s="89" t="s">
        <v>1837</v>
      </c>
      <c r="I290" s="89" t="s">
        <v>1839</v>
      </c>
      <c r="J290" s="89" t="s">
        <v>569</v>
      </c>
      <c r="K290" s="89" t="s">
        <v>1300</v>
      </c>
      <c r="L290" s="89" t="s">
        <v>1292</v>
      </c>
      <c r="M290" s="89"/>
      <c r="N290" s="89" t="s">
        <v>1492</v>
      </c>
      <c r="O290" s="89" t="s">
        <v>685</v>
      </c>
      <c r="P290" s="89" t="s">
        <v>613</v>
      </c>
      <c r="Q290" s="89" t="s">
        <v>630</v>
      </c>
      <c r="R290" s="89"/>
    </row>
    <row r="291" spans="2:18">
      <c r="B291" s="12"/>
      <c r="C291" s="31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</row>
    <row r="292" spans="2:18" ht="39.75">
      <c r="B292" s="16"/>
      <c r="C292" s="6"/>
      <c r="D292" s="88" t="s">
        <v>532</v>
      </c>
      <c r="E292" s="88" t="s">
        <v>1216</v>
      </c>
      <c r="F292" s="88"/>
      <c r="G292" s="88" t="s">
        <v>1843</v>
      </c>
      <c r="H292" s="88" t="s">
        <v>1127</v>
      </c>
      <c r="I292" s="88" t="s">
        <v>1117</v>
      </c>
      <c r="J292" s="88" t="s">
        <v>1845</v>
      </c>
      <c r="K292" s="88" t="s">
        <v>1335</v>
      </c>
      <c r="L292" s="88" t="s">
        <v>30</v>
      </c>
      <c r="M292" s="88" t="s">
        <v>678</v>
      </c>
      <c r="N292" s="88" t="s">
        <v>1133</v>
      </c>
      <c r="O292" s="88" t="s">
        <v>670</v>
      </c>
      <c r="P292" s="88" t="s">
        <v>629</v>
      </c>
      <c r="Q292" s="88"/>
      <c r="R292" s="88" t="s">
        <v>1847</v>
      </c>
    </row>
    <row r="293" spans="2:18" ht="58.5">
      <c r="B293" s="18">
        <f>B289+1</f>
        <v>73</v>
      </c>
      <c r="C293" s="6"/>
      <c r="D293" s="87" t="s">
        <v>113</v>
      </c>
      <c r="E293" s="87" t="s">
        <v>769</v>
      </c>
      <c r="F293" s="87" t="s">
        <v>111</v>
      </c>
      <c r="G293" s="87" t="s">
        <v>1026</v>
      </c>
      <c r="H293" s="87" t="s">
        <v>715</v>
      </c>
      <c r="I293" s="87" t="s">
        <v>874</v>
      </c>
      <c r="J293" s="87" t="s">
        <v>1027</v>
      </c>
      <c r="K293" s="87" t="s">
        <v>829</v>
      </c>
      <c r="L293" s="87" t="s">
        <v>29</v>
      </c>
      <c r="M293" s="87" t="s">
        <v>587</v>
      </c>
      <c r="N293" s="87" t="s">
        <v>718</v>
      </c>
      <c r="O293" s="87" t="s">
        <v>497</v>
      </c>
      <c r="P293" s="87" t="s">
        <v>595</v>
      </c>
      <c r="Q293" s="87" t="s">
        <v>19</v>
      </c>
      <c r="R293" s="87" t="s">
        <v>1028</v>
      </c>
    </row>
    <row r="294" spans="2:18" ht="48.75">
      <c r="B294" s="20"/>
      <c r="C294" s="6"/>
      <c r="D294" s="89" t="s">
        <v>533</v>
      </c>
      <c r="E294" s="89" t="s">
        <v>1217</v>
      </c>
      <c r="F294" s="89"/>
      <c r="G294" s="89" t="s">
        <v>1844</v>
      </c>
      <c r="H294" s="89" t="s">
        <v>1128</v>
      </c>
      <c r="I294" s="89" t="s">
        <v>1118</v>
      </c>
      <c r="J294" s="89" t="s">
        <v>1846</v>
      </c>
      <c r="K294" s="89" t="s">
        <v>1336</v>
      </c>
      <c r="L294" s="89" t="s">
        <v>546</v>
      </c>
      <c r="M294" s="89" t="s">
        <v>679</v>
      </c>
      <c r="N294" s="89" t="s">
        <v>1134</v>
      </c>
      <c r="O294" s="89" t="s">
        <v>671</v>
      </c>
      <c r="P294" s="89" t="s">
        <v>630</v>
      </c>
      <c r="Q294" s="89"/>
      <c r="R294" s="89" t="s">
        <v>1848</v>
      </c>
    </row>
    <row r="295" spans="2:18">
      <c r="B295" s="12"/>
      <c r="C295" s="31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</row>
    <row r="296" spans="2:18" ht="39.75">
      <c r="B296" s="16"/>
      <c r="C296" s="6"/>
      <c r="D296" s="88" t="s">
        <v>30</v>
      </c>
      <c r="E296" s="88" t="s">
        <v>566</v>
      </c>
      <c r="F296" s="88" t="s">
        <v>582</v>
      </c>
      <c r="G296" s="88" t="s">
        <v>1437</v>
      </c>
      <c r="H296" s="88"/>
      <c r="I296" s="88" t="s">
        <v>1395</v>
      </c>
      <c r="J296" s="88" t="s">
        <v>1117</v>
      </c>
      <c r="K296" s="88" t="s">
        <v>667</v>
      </c>
      <c r="L296" s="88" t="s">
        <v>1855</v>
      </c>
      <c r="M296" s="88" t="s">
        <v>1291</v>
      </c>
      <c r="N296" s="88" t="s">
        <v>147</v>
      </c>
      <c r="O296" s="88" t="s">
        <v>1856</v>
      </c>
      <c r="P296" s="88" t="s">
        <v>30</v>
      </c>
      <c r="Q296" s="88"/>
      <c r="R296" s="88" t="s">
        <v>624</v>
      </c>
    </row>
    <row r="297" spans="2:18" ht="58.5">
      <c r="B297" s="18">
        <f>B293+1</f>
        <v>74</v>
      </c>
      <c r="C297" s="6"/>
      <c r="D297" s="87" t="s">
        <v>29</v>
      </c>
      <c r="E297" s="87" t="s">
        <v>239</v>
      </c>
      <c r="F297" s="87" t="s">
        <v>247</v>
      </c>
      <c r="G297" s="87" t="s">
        <v>873</v>
      </c>
      <c r="H297" s="87" t="s">
        <v>18</v>
      </c>
      <c r="I297" s="87" t="s">
        <v>855</v>
      </c>
      <c r="J297" s="87" t="s">
        <v>874</v>
      </c>
      <c r="K297" s="87" t="s">
        <v>610</v>
      </c>
      <c r="L297" s="87" t="s">
        <v>1029</v>
      </c>
      <c r="M297" s="87" t="s">
        <v>808</v>
      </c>
      <c r="N297" s="87" t="s">
        <v>119</v>
      </c>
      <c r="O297" s="87" t="s">
        <v>1030</v>
      </c>
      <c r="P297" s="87" t="s">
        <v>1031</v>
      </c>
      <c r="Q297" s="87" t="s">
        <v>18</v>
      </c>
      <c r="R297" s="87" t="s">
        <v>396</v>
      </c>
    </row>
    <row r="298" spans="2:18" ht="48.75">
      <c r="B298" s="20"/>
      <c r="C298" s="6"/>
      <c r="D298" s="89" t="s">
        <v>546</v>
      </c>
      <c r="E298" s="89" t="s">
        <v>567</v>
      </c>
      <c r="F298" s="89" t="s">
        <v>583</v>
      </c>
      <c r="G298" s="89" t="s">
        <v>1438</v>
      </c>
      <c r="H298" s="89"/>
      <c r="I298" s="89" t="s">
        <v>1396</v>
      </c>
      <c r="J298" s="89" t="s">
        <v>1118</v>
      </c>
      <c r="K298" s="89" t="s">
        <v>668</v>
      </c>
      <c r="L298" s="89" t="s">
        <v>1697</v>
      </c>
      <c r="M298" s="89" t="s">
        <v>1292</v>
      </c>
      <c r="N298" s="89" t="s">
        <v>557</v>
      </c>
      <c r="O298" s="89" t="s">
        <v>1857</v>
      </c>
      <c r="P298" s="89" t="s">
        <v>546</v>
      </c>
      <c r="Q298" s="89"/>
      <c r="R298" s="89" t="s">
        <v>625</v>
      </c>
    </row>
    <row r="299" spans="2:18">
      <c r="B299" s="12"/>
      <c r="C299" s="31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</row>
    <row r="300" spans="2:18" ht="39.75">
      <c r="B300" s="16"/>
      <c r="C300" s="6"/>
      <c r="D300" s="88" t="s">
        <v>1117</v>
      </c>
      <c r="E300" s="88" t="s">
        <v>126</v>
      </c>
      <c r="F300" s="88" t="s">
        <v>39</v>
      </c>
      <c r="G300" s="88" t="s">
        <v>1313</v>
      </c>
      <c r="H300" s="88" t="s">
        <v>1867</v>
      </c>
      <c r="I300" s="88" t="s">
        <v>664</v>
      </c>
      <c r="J300" s="88" t="s">
        <v>1323</v>
      </c>
      <c r="K300" s="88" t="s">
        <v>343</v>
      </c>
      <c r="L300" s="88" t="s">
        <v>1491</v>
      </c>
      <c r="M300" s="88" t="s">
        <v>670</v>
      </c>
      <c r="N300" s="88"/>
      <c r="O300" s="88" t="s">
        <v>94</v>
      </c>
      <c r="P300" s="88" t="s">
        <v>1133</v>
      </c>
      <c r="Q300" s="88" t="s">
        <v>126</v>
      </c>
      <c r="R300" s="88" t="s">
        <v>39</v>
      </c>
    </row>
    <row r="301" spans="2:18" ht="58.5">
      <c r="B301" s="18">
        <f>B297+1</f>
        <v>75</v>
      </c>
      <c r="C301" s="6"/>
      <c r="D301" s="87" t="s">
        <v>708</v>
      </c>
      <c r="E301" s="87" t="s">
        <v>103</v>
      </c>
      <c r="F301" s="87" t="s">
        <v>109</v>
      </c>
      <c r="G301" s="87" t="s">
        <v>1032</v>
      </c>
      <c r="H301" s="87" t="s">
        <v>1033</v>
      </c>
      <c r="I301" s="87" t="s">
        <v>608</v>
      </c>
      <c r="J301" s="87" t="s">
        <v>823</v>
      </c>
      <c r="K301" s="87" t="s">
        <v>108</v>
      </c>
      <c r="L301" s="87" t="s">
        <v>898</v>
      </c>
      <c r="M301" s="87" t="s">
        <v>497</v>
      </c>
      <c r="N301" s="87" t="s">
        <v>18</v>
      </c>
      <c r="O301" s="87" t="s">
        <v>93</v>
      </c>
      <c r="P301" s="87" t="s">
        <v>718</v>
      </c>
      <c r="Q301" s="87" t="s">
        <v>103</v>
      </c>
      <c r="R301" s="87" t="s">
        <v>109</v>
      </c>
    </row>
    <row r="302" spans="2:18" ht="48.75">
      <c r="B302" s="20"/>
      <c r="C302" s="6"/>
      <c r="D302" s="89" t="s">
        <v>1118</v>
      </c>
      <c r="E302" s="89" t="s">
        <v>685</v>
      </c>
      <c r="F302" s="89" t="s">
        <v>560</v>
      </c>
      <c r="G302" s="89" t="s">
        <v>1314</v>
      </c>
      <c r="H302" s="89" t="s">
        <v>1868</v>
      </c>
      <c r="I302" s="89" t="s">
        <v>665</v>
      </c>
      <c r="J302" s="89" t="s">
        <v>1324</v>
      </c>
      <c r="K302" s="89" t="s">
        <v>534</v>
      </c>
      <c r="L302" s="89" t="s">
        <v>1492</v>
      </c>
      <c r="M302" s="89" t="s">
        <v>671</v>
      </c>
      <c r="N302" s="89"/>
      <c r="O302" s="89" t="s">
        <v>536</v>
      </c>
      <c r="P302" s="89" t="s">
        <v>1134</v>
      </c>
      <c r="Q302" s="89" t="s">
        <v>685</v>
      </c>
      <c r="R302" s="89" t="s">
        <v>560</v>
      </c>
    </row>
    <row r="303" spans="2:18">
      <c r="B303" s="12"/>
      <c r="C303" s="31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</row>
    <row r="304" spans="2:18" ht="39.75">
      <c r="B304" s="16"/>
      <c r="C304" s="6"/>
      <c r="D304" s="88" t="s">
        <v>30</v>
      </c>
      <c r="E304" s="88" t="s">
        <v>629</v>
      </c>
      <c r="F304" s="88"/>
      <c r="G304" s="88" t="s">
        <v>150</v>
      </c>
      <c r="H304" s="88" t="s">
        <v>1875</v>
      </c>
      <c r="I304" s="88" t="s">
        <v>1877</v>
      </c>
      <c r="J304" s="88" t="s">
        <v>299</v>
      </c>
      <c r="K304" s="88" t="s">
        <v>508</v>
      </c>
      <c r="L304" s="88" t="s">
        <v>566</v>
      </c>
      <c r="M304" s="88" t="s">
        <v>30</v>
      </c>
      <c r="N304" s="88" t="s">
        <v>1299</v>
      </c>
      <c r="O304" s="88"/>
      <c r="P304" s="88" t="s">
        <v>1157</v>
      </c>
      <c r="Q304" s="88" t="s">
        <v>1674</v>
      </c>
      <c r="R304" s="88" t="s">
        <v>126</v>
      </c>
    </row>
    <row r="305" spans="2:18" ht="58.5">
      <c r="B305" s="18">
        <f>B301+1</f>
        <v>76</v>
      </c>
      <c r="C305" s="6"/>
      <c r="D305" s="87" t="s">
        <v>29</v>
      </c>
      <c r="E305" s="87" t="s">
        <v>595</v>
      </c>
      <c r="F305" s="87" t="s">
        <v>19</v>
      </c>
      <c r="G305" s="87" t="s">
        <v>107</v>
      </c>
      <c r="H305" s="87" t="s">
        <v>1034</v>
      </c>
      <c r="I305" s="87" t="s">
        <v>1035</v>
      </c>
      <c r="J305" s="87" t="s">
        <v>812</v>
      </c>
      <c r="K305" s="87" t="s">
        <v>847</v>
      </c>
      <c r="L305" s="87" t="s">
        <v>239</v>
      </c>
      <c r="M305" s="87" t="s">
        <v>29</v>
      </c>
      <c r="N305" s="87" t="s">
        <v>813</v>
      </c>
      <c r="O305" s="87" t="s">
        <v>18</v>
      </c>
      <c r="P305" s="87" t="s">
        <v>1036</v>
      </c>
      <c r="Q305" s="87" t="s">
        <v>1037</v>
      </c>
      <c r="R305" s="87" t="s">
        <v>103</v>
      </c>
    </row>
    <row r="306" spans="2:18" ht="48.75">
      <c r="B306" s="20"/>
      <c r="C306" s="6"/>
      <c r="D306" s="89" t="s">
        <v>546</v>
      </c>
      <c r="E306" s="89" t="s">
        <v>630</v>
      </c>
      <c r="F306" s="89"/>
      <c r="G306" s="89" t="s">
        <v>561</v>
      </c>
      <c r="H306" s="89" t="s">
        <v>1876</v>
      </c>
      <c r="I306" s="89" t="s">
        <v>1878</v>
      </c>
      <c r="J306" s="89" t="s">
        <v>575</v>
      </c>
      <c r="K306" s="89" t="s">
        <v>509</v>
      </c>
      <c r="L306" s="89" t="s">
        <v>567</v>
      </c>
      <c r="M306" s="89" t="s">
        <v>546</v>
      </c>
      <c r="N306" s="89" t="s">
        <v>1300</v>
      </c>
      <c r="O306" s="89"/>
      <c r="P306" s="89" t="s">
        <v>1158</v>
      </c>
      <c r="Q306" s="89" t="s">
        <v>1675</v>
      </c>
      <c r="R306" s="89" t="s">
        <v>685</v>
      </c>
    </row>
    <row r="307" spans="2:18">
      <c r="B307" s="12"/>
      <c r="C307" s="31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</row>
    <row r="308" spans="2:18" ht="39.75">
      <c r="B308" s="16"/>
      <c r="C308" s="6"/>
      <c r="D308" s="88" t="s">
        <v>267</v>
      </c>
      <c r="E308" s="88"/>
      <c r="F308" s="88" t="s">
        <v>137</v>
      </c>
      <c r="G308" s="88" t="s">
        <v>1289</v>
      </c>
      <c r="H308" s="88" t="s">
        <v>688</v>
      </c>
      <c r="I308" s="88" t="s">
        <v>267</v>
      </c>
      <c r="J308" s="88" t="s">
        <v>1123</v>
      </c>
      <c r="K308" s="88"/>
      <c r="L308" s="88" t="s">
        <v>97</v>
      </c>
      <c r="M308" s="88" t="s">
        <v>688</v>
      </c>
      <c r="N308" s="88" t="s">
        <v>1372</v>
      </c>
      <c r="O308" s="88" t="s">
        <v>1117</v>
      </c>
      <c r="P308" s="88" t="s">
        <v>30</v>
      </c>
      <c r="Q308" s="88" t="s">
        <v>1885</v>
      </c>
      <c r="R308" s="88"/>
    </row>
    <row r="309" spans="2:18" ht="58.5">
      <c r="B309" s="18">
        <f>B305+1</f>
        <v>77</v>
      </c>
      <c r="C309" s="6"/>
      <c r="D309" s="87" t="s">
        <v>1038</v>
      </c>
      <c r="E309" s="87" t="s">
        <v>18</v>
      </c>
      <c r="F309" s="87" t="s">
        <v>114</v>
      </c>
      <c r="G309" s="87" t="s">
        <v>807</v>
      </c>
      <c r="H309" s="87" t="s">
        <v>609</v>
      </c>
      <c r="I309" s="87" t="s">
        <v>1038</v>
      </c>
      <c r="J309" s="87" t="s">
        <v>713</v>
      </c>
      <c r="K309" s="87" t="s">
        <v>18</v>
      </c>
      <c r="L309" s="87" t="s">
        <v>709</v>
      </c>
      <c r="M309" s="87" t="s">
        <v>609</v>
      </c>
      <c r="N309" s="87" t="s">
        <v>845</v>
      </c>
      <c r="O309" s="87" t="s">
        <v>708</v>
      </c>
      <c r="P309" s="87" t="s">
        <v>29</v>
      </c>
      <c r="Q309" s="87" t="s">
        <v>1039</v>
      </c>
      <c r="R309" s="87" t="s">
        <v>18</v>
      </c>
    </row>
    <row r="310" spans="2:18" ht="48.75">
      <c r="B310" s="20"/>
      <c r="C310" s="6"/>
      <c r="D310" s="89" t="s">
        <v>510</v>
      </c>
      <c r="E310" s="89"/>
      <c r="F310" s="89" t="s">
        <v>520</v>
      </c>
      <c r="G310" s="89" t="s">
        <v>1290</v>
      </c>
      <c r="H310" s="89" t="s">
        <v>666</v>
      </c>
      <c r="I310" s="89" t="s">
        <v>510</v>
      </c>
      <c r="J310" s="89" t="s">
        <v>1124</v>
      </c>
      <c r="K310" s="89"/>
      <c r="L310" s="89" t="s">
        <v>523</v>
      </c>
      <c r="M310" s="89" t="s">
        <v>666</v>
      </c>
      <c r="N310" s="89" t="s">
        <v>1373</v>
      </c>
      <c r="O310" s="89" t="s">
        <v>1118</v>
      </c>
      <c r="P310" s="89" t="s">
        <v>546</v>
      </c>
      <c r="Q310" s="89" t="s">
        <v>1886</v>
      </c>
      <c r="R310" s="89"/>
    </row>
    <row r="311" spans="2:18">
      <c r="B311" s="12"/>
      <c r="C311" s="31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</row>
    <row r="312" spans="2:18" ht="39.75">
      <c r="B312" s="16"/>
      <c r="C312" s="6"/>
      <c r="D312" s="88" t="s">
        <v>688</v>
      </c>
      <c r="E312" s="88" t="s">
        <v>1117</v>
      </c>
      <c r="F312" s="88" t="s">
        <v>30</v>
      </c>
      <c r="G312" s="88" t="s">
        <v>1891</v>
      </c>
      <c r="H312" s="88" t="s">
        <v>1893</v>
      </c>
      <c r="I312" s="88"/>
      <c r="J312" s="88" t="s">
        <v>30</v>
      </c>
      <c r="K312" s="88" t="s">
        <v>100</v>
      </c>
      <c r="L312" s="88" t="s">
        <v>1895</v>
      </c>
      <c r="M312" s="88" t="s">
        <v>1437</v>
      </c>
      <c r="N312" s="88"/>
      <c r="O312" s="88" t="s">
        <v>1109</v>
      </c>
      <c r="P312" s="88" t="s">
        <v>1897</v>
      </c>
      <c r="Q312" s="88" t="s">
        <v>1899</v>
      </c>
      <c r="R312" s="88" t="s">
        <v>1901</v>
      </c>
    </row>
    <row r="313" spans="2:18" ht="58.5">
      <c r="B313" s="18">
        <f t="shared" ref="B313" si="25">B309+1</f>
        <v>78</v>
      </c>
      <c r="C313" s="6"/>
      <c r="D313" s="87" t="s">
        <v>609</v>
      </c>
      <c r="E313" s="87" t="s">
        <v>708</v>
      </c>
      <c r="F313" s="87" t="s">
        <v>29</v>
      </c>
      <c r="G313" s="87" t="s">
        <v>1040</v>
      </c>
      <c r="H313" s="87" t="s">
        <v>1041</v>
      </c>
      <c r="I313" s="87" t="s">
        <v>18</v>
      </c>
      <c r="J313" s="87" t="s">
        <v>29</v>
      </c>
      <c r="K313" s="87" t="s">
        <v>96</v>
      </c>
      <c r="L313" s="87" t="s">
        <v>1042</v>
      </c>
      <c r="M313" s="87" t="s">
        <v>873</v>
      </c>
      <c r="N313" s="87" t="s">
        <v>19</v>
      </c>
      <c r="O313" s="87" t="s">
        <v>703</v>
      </c>
      <c r="P313" s="87" t="s">
        <v>1043</v>
      </c>
      <c r="Q313" s="87" t="s">
        <v>1044</v>
      </c>
      <c r="R313" s="87" t="s">
        <v>1045</v>
      </c>
    </row>
    <row r="314" spans="2:18" ht="48.75">
      <c r="B314" s="20"/>
      <c r="C314" s="6"/>
      <c r="D314" s="89" t="s">
        <v>666</v>
      </c>
      <c r="E314" s="89" t="s">
        <v>1118</v>
      </c>
      <c r="F314" s="89" t="s">
        <v>546</v>
      </c>
      <c r="G314" s="89" t="s">
        <v>1892</v>
      </c>
      <c r="H314" s="89" t="s">
        <v>1894</v>
      </c>
      <c r="I314" s="89"/>
      <c r="J314" s="89" t="s">
        <v>546</v>
      </c>
      <c r="K314" s="89" t="s">
        <v>528</v>
      </c>
      <c r="L314" s="89" t="s">
        <v>1896</v>
      </c>
      <c r="M314" s="89" t="s">
        <v>1438</v>
      </c>
      <c r="N314" s="89"/>
      <c r="O314" s="89" t="s">
        <v>1110</v>
      </c>
      <c r="P314" s="89" t="s">
        <v>1898</v>
      </c>
      <c r="Q314" s="89" t="s">
        <v>1900</v>
      </c>
      <c r="R314" s="89" t="s">
        <v>1902</v>
      </c>
    </row>
    <row r="315" spans="2:18">
      <c r="B315" s="12"/>
      <c r="C315" s="31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</row>
    <row r="316" spans="2:18" ht="39.75">
      <c r="B316" s="16"/>
      <c r="C316" s="6"/>
      <c r="D316" s="88" t="s">
        <v>1123</v>
      </c>
      <c r="E316" s="88" t="s">
        <v>1911</v>
      </c>
      <c r="F316" s="88" t="s">
        <v>1596</v>
      </c>
      <c r="G316" s="88" t="s">
        <v>299</v>
      </c>
      <c r="H316" s="88"/>
      <c r="I316" s="88" t="s">
        <v>136</v>
      </c>
      <c r="J316" s="88" t="s">
        <v>1913</v>
      </c>
      <c r="K316" s="88" t="s">
        <v>1123</v>
      </c>
      <c r="L316" s="88" t="s">
        <v>1489</v>
      </c>
      <c r="M316" s="88" t="s">
        <v>1915</v>
      </c>
      <c r="N316" s="88" t="s">
        <v>1917</v>
      </c>
      <c r="O316" s="88"/>
      <c r="P316" s="88" t="s">
        <v>1200</v>
      </c>
      <c r="Q316" s="88" t="s">
        <v>1729</v>
      </c>
      <c r="R316" s="88" t="s">
        <v>126</v>
      </c>
    </row>
    <row r="317" spans="2:18" ht="58.5">
      <c r="B317" s="18">
        <f t="shared" ref="B317" si="26">B313+1</f>
        <v>79</v>
      </c>
      <c r="C317" s="6"/>
      <c r="D317" s="87" t="s">
        <v>713</v>
      </c>
      <c r="E317" s="87" t="s">
        <v>1046</v>
      </c>
      <c r="F317" s="87" t="s">
        <v>940</v>
      </c>
      <c r="G317" s="87" t="s">
        <v>812</v>
      </c>
      <c r="H317" s="87" t="s">
        <v>939</v>
      </c>
      <c r="I317" s="87" t="s">
        <v>1047</v>
      </c>
      <c r="J317" s="87" t="s">
        <v>1048</v>
      </c>
      <c r="K317" s="87" t="s">
        <v>713</v>
      </c>
      <c r="L317" s="87" t="s">
        <v>1049</v>
      </c>
      <c r="M317" s="87" t="s">
        <v>1050</v>
      </c>
      <c r="N317" s="87" t="s">
        <v>1051</v>
      </c>
      <c r="O317" s="87" t="s">
        <v>18</v>
      </c>
      <c r="P317" s="87" t="s">
        <v>761</v>
      </c>
      <c r="Q317" s="87" t="s">
        <v>993</v>
      </c>
      <c r="R317" s="87" t="s">
        <v>103</v>
      </c>
    </row>
    <row r="318" spans="2:18" ht="48.75">
      <c r="B318" s="20"/>
      <c r="C318" s="6"/>
      <c r="D318" s="89" t="s">
        <v>1124</v>
      </c>
      <c r="E318" s="89" t="s">
        <v>1912</v>
      </c>
      <c r="F318" s="89" t="s">
        <v>1597</v>
      </c>
      <c r="G318" s="89" t="s">
        <v>575</v>
      </c>
      <c r="H318" s="89"/>
      <c r="I318" s="89" t="s">
        <v>511</v>
      </c>
      <c r="J318" s="89" t="s">
        <v>1914</v>
      </c>
      <c r="K318" s="89" t="s">
        <v>1124</v>
      </c>
      <c r="L318" s="89" t="s">
        <v>1490</v>
      </c>
      <c r="M318" s="89" t="s">
        <v>1916</v>
      </c>
      <c r="N318" s="89" t="s">
        <v>1918</v>
      </c>
      <c r="O318" s="89"/>
      <c r="P318" s="89" t="s">
        <v>1201</v>
      </c>
      <c r="Q318" s="89" t="s">
        <v>1730</v>
      </c>
      <c r="R318" s="89" t="s">
        <v>685</v>
      </c>
    </row>
    <row r="319" spans="2:18">
      <c r="B319" s="12"/>
      <c r="C319" s="31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</row>
    <row r="320" spans="2:18" ht="39.75">
      <c r="B320" s="16"/>
      <c r="C320" s="6"/>
      <c r="D320" s="88" t="s">
        <v>1235</v>
      </c>
      <c r="E320" s="88" t="s">
        <v>1242</v>
      </c>
      <c r="F320" s="88" t="s">
        <v>1323</v>
      </c>
      <c r="G320" s="88" t="s">
        <v>1927</v>
      </c>
      <c r="H320" s="88"/>
      <c r="I320" s="88" t="s">
        <v>640</v>
      </c>
      <c r="J320" s="88" t="s">
        <v>1117</v>
      </c>
      <c r="K320" s="88" t="s">
        <v>1091</v>
      </c>
      <c r="L320" s="88" t="s">
        <v>1929</v>
      </c>
      <c r="M320" s="88" t="s">
        <v>629</v>
      </c>
      <c r="N320" s="88"/>
      <c r="O320" s="88" t="s">
        <v>1605</v>
      </c>
      <c r="P320" s="88" t="s">
        <v>1291</v>
      </c>
      <c r="Q320" s="88" t="s">
        <v>1931</v>
      </c>
      <c r="R320" s="88" t="s">
        <v>135</v>
      </c>
    </row>
    <row r="321" spans="2:18" ht="58.5">
      <c r="B321" s="18">
        <f t="shared" ref="B321" si="27">B317+1</f>
        <v>80</v>
      </c>
      <c r="C321" s="6"/>
      <c r="D321" s="87" t="s">
        <v>1052</v>
      </c>
      <c r="E321" s="87" t="s">
        <v>781</v>
      </c>
      <c r="F321" s="87" t="s">
        <v>823</v>
      </c>
      <c r="G321" s="87" t="s">
        <v>1053</v>
      </c>
      <c r="H321" s="87" t="s">
        <v>18</v>
      </c>
      <c r="I321" s="87" t="s">
        <v>599</v>
      </c>
      <c r="J321" s="87" t="s">
        <v>708</v>
      </c>
      <c r="K321" s="87" t="s">
        <v>694</v>
      </c>
      <c r="L321" s="87" t="s">
        <v>1054</v>
      </c>
      <c r="M321" s="87" t="s">
        <v>595</v>
      </c>
      <c r="N321" s="87" t="s">
        <v>19</v>
      </c>
      <c r="O321" s="87" t="s">
        <v>944</v>
      </c>
      <c r="P321" s="87" t="s">
        <v>808</v>
      </c>
      <c r="Q321" s="87" t="s">
        <v>1055</v>
      </c>
      <c r="R321" s="87" t="s">
        <v>1056</v>
      </c>
    </row>
    <row r="322" spans="2:18" ht="48.75">
      <c r="B322" s="20"/>
      <c r="C322" s="6"/>
      <c r="D322" s="89" t="s">
        <v>1236</v>
      </c>
      <c r="E322" s="89" t="s">
        <v>1243</v>
      </c>
      <c r="F322" s="89" t="s">
        <v>1324</v>
      </c>
      <c r="G322" s="89" t="s">
        <v>1928</v>
      </c>
      <c r="H322" s="89"/>
      <c r="I322" s="89" t="s">
        <v>641</v>
      </c>
      <c r="J322" s="89" t="s">
        <v>1118</v>
      </c>
      <c r="K322" s="89" t="s">
        <v>1092</v>
      </c>
      <c r="L322" s="89" t="s">
        <v>1930</v>
      </c>
      <c r="M322" s="89" t="s">
        <v>630</v>
      </c>
      <c r="N322" s="89"/>
      <c r="O322" s="89" t="s">
        <v>324</v>
      </c>
      <c r="P322" s="89" t="s">
        <v>1292</v>
      </c>
      <c r="Q322" s="89" t="s">
        <v>1932</v>
      </c>
      <c r="R322" s="89" t="s">
        <v>547</v>
      </c>
    </row>
    <row r="323" spans="2:18">
      <c r="B323" s="12"/>
      <c r="C323" s="31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</row>
    <row r="324" spans="2:18" ht="39.75">
      <c r="B324" s="16"/>
      <c r="C324" s="6"/>
      <c r="D324" s="88"/>
      <c r="E324" s="88" t="s">
        <v>1943</v>
      </c>
      <c r="F324" s="88" t="s">
        <v>1416</v>
      </c>
      <c r="G324" s="88" t="s">
        <v>1301</v>
      </c>
      <c r="H324" s="88" t="s">
        <v>1380</v>
      </c>
      <c r="I324" s="88"/>
      <c r="J324" s="88" t="s">
        <v>1901</v>
      </c>
      <c r="K324" s="88" t="s">
        <v>1945</v>
      </c>
      <c r="L324" s="88" t="s">
        <v>1117</v>
      </c>
      <c r="M324" s="88" t="s">
        <v>1947</v>
      </c>
      <c r="N324" s="88" t="s">
        <v>1179</v>
      </c>
      <c r="O324" s="88"/>
      <c r="P324" s="88" t="s">
        <v>343</v>
      </c>
      <c r="Q324" s="88" t="s">
        <v>1626</v>
      </c>
      <c r="R324" s="88" t="s">
        <v>1323</v>
      </c>
    </row>
    <row r="325" spans="2:18" ht="58.5">
      <c r="B325" s="18">
        <f t="shared" ref="B325" si="28">B321+1</f>
        <v>81</v>
      </c>
      <c r="C325" s="6"/>
      <c r="D325" s="87" t="s">
        <v>18</v>
      </c>
      <c r="E325" s="87" t="s">
        <v>1057</v>
      </c>
      <c r="F325" s="87" t="s">
        <v>1058</v>
      </c>
      <c r="G325" s="87" t="s">
        <v>814</v>
      </c>
      <c r="H325" s="87" t="s">
        <v>1059</v>
      </c>
      <c r="I325" s="87" t="s">
        <v>18</v>
      </c>
      <c r="J325" s="87" t="s">
        <v>1045</v>
      </c>
      <c r="K325" s="87" t="s">
        <v>1060</v>
      </c>
      <c r="L325" s="87" t="s">
        <v>708</v>
      </c>
      <c r="M325" s="87" t="s">
        <v>1061</v>
      </c>
      <c r="N325" s="87" t="s">
        <v>745</v>
      </c>
      <c r="O325" s="87" t="s">
        <v>18</v>
      </c>
      <c r="P325" s="87" t="s">
        <v>108</v>
      </c>
      <c r="Q325" s="87" t="s">
        <v>954</v>
      </c>
      <c r="R325" s="87" t="s">
        <v>823</v>
      </c>
    </row>
    <row r="326" spans="2:18" ht="48.75">
      <c r="B326" s="20"/>
      <c r="C326" s="6"/>
      <c r="D326" s="89"/>
      <c r="E326" s="89" t="s">
        <v>1944</v>
      </c>
      <c r="F326" s="89" t="s">
        <v>1417</v>
      </c>
      <c r="G326" s="89" t="s">
        <v>1302</v>
      </c>
      <c r="H326" s="89" t="s">
        <v>1381</v>
      </c>
      <c r="I326" s="89"/>
      <c r="J326" s="89" t="s">
        <v>1902</v>
      </c>
      <c r="K326" s="89" t="s">
        <v>1946</v>
      </c>
      <c r="L326" s="89" t="s">
        <v>1118</v>
      </c>
      <c r="M326" s="89" t="s">
        <v>1269</v>
      </c>
      <c r="N326" s="89" t="s">
        <v>1180</v>
      </c>
      <c r="O326" s="89"/>
      <c r="P326" s="89" t="s">
        <v>534</v>
      </c>
      <c r="Q326" s="89" t="s">
        <v>1627</v>
      </c>
      <c r="R326" s="89" t="s">
        <v>1324</v>
      </c>
    </row>
    <row r="327" spans="2:18">
      <c r="B327" s="12"/>
      <c r="C327" s="31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</row>
    <row r="328" spans="2:18" ht="39.75">
      <c r="B328" s="16"/>
      <c r="C328" s="6"/>
      <c r="D328" s="88" t="s">
        <v>1958</v>
      </c>
      <c r="E328" s="88" t="s">
        <v>659</v>
      </c>
      <c r="F328" s="88"/>
      <c r="G328" s="88" t="s">
        <v>1275</v>
      </c>
      <c r="H328" s="88" t="s">
        <v>1123</v>
      </c>
      <c r="I328" s="88" t="s">
        <v>1133</v>
      </c>
      <c r="J328" s="88" t="s">
        <v>1203</v>
      </c>
      <c r="K328" s="88"/>
      <c r="L328" s="88" t="s">
        <v>1745</v>
      </c>
      <c r="M328" s="88" t="s">
        <v>674</v>
      </c>
      <c r="N328" s="88" t="s">
        <v>30</v>
      </c>
      <c r="O328" s="88" t="s">
        <v>1527</v>
      </c>
      <c r="P328" s="88"/>
      <c r="Q328" s="88" t="s">
        <v>132</v>
      </c>
      <c r="R328" s="88" t="s">
        <v>1123</v>
      </c>
    </row>
    <row r="329" spans="2:18" ht="58.5">
      <c r="B329" s="18">
        <f t="shared" ref="B329" si="29">B325+1</f>
        <v>82</v>
      </c>
      <c r="C329" s="6"/>
      <c r="D329" s="87" t="s">
        <v>1062</v>
      </c>
      <c r="E329" s="87" t="s">
        <v>606</v>
      </c>
      <c r="F329" s="87" t="s">
        <v>18</v>
      </c>
      <c r="G329" s="87" t="s">
        <v>798</v>
      </c>
      <c r="H329" s="87" t="s">
        <v>713</v>
      </c>
      <c r="I329" s="87" t="s">
        <v>718</v>
      </c>
      <c r="J329" s="87" t="s">
        <v>762</v>
      </c>
      <c r="K329" s="87" t="s">
        <v>18</v>
      </c>
      <c r="L329" s="87" t="s">
        <v>1063</v>
      </c>
      <c r="M329" s="87" t="s">
        <v>589</v>
      </c>
      <c r="N329" s="87" t="s">
        <v>740</v>
      </c>
      <c r="O329" s="87" t="s">
        <v>914</v>
      </c>
      <c r="P329" s="87" t="s">
        <v>18</v>
      </c>
      <c r="Q329" s="87" t="s">
        <v>604</v>
      </c>
      <c r="R329" s="87" t="s">
        <v>713</v>
      </c>
    </row>
    <row r="330" spans="2:18" ht="48.75">
      <c r="B330" s="20"/>
      <c r="C330" s="6"/>
      <c r="D330" s="89" t="s">
        <v>1959</v>
      </c>
      <c r="E330" s="89" t="s">
        <v>660</v>
      </c>
      <c r="F330" s="89"/>
      <c r="G330" s="89" t="s">
        <v>1276</v>
      </c>
      <c r="H330" s="89" t="s">
        <v>1124</v>
      </c>
      <c r="I330" s="89" t="s">
        <v>1134</v>
      </c>
      <c r="J330" s="89" t="s">
        <v>1204</v>
      </c>
      <c r="K330" s="89"/>
      <c r="L330" s="89" t="s">
        <v>1746</v>
      </c>
      <c r="M330" s="89" t="s">
        <v>675</v>
      </c>
      <c r="N330" s="89" t="s">
        <v>546</v>
      </c>
      <c r="O330" s="89" t="s">
        <v>1528</v>
      </c>
      <c r="P330" s="89"/>
      <c r="Q330" s="89" t="s">
        <v>556</v>
      </c>
      <c r="R330" s="89" t="s">
        <v>1124</v>
      </c>
    </row>
    <row r="331" spans="2:18">
      <c r="B331" s="12"/>
      <c r="C331" s="31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</row>
    <row r="332" spans="2:18" ht="39.75">
      <c r="B332" s="16"/>
      <c r="C332" s="6"/>
      <c r="D332" s="88" t="s">
        <v>1133</v>
      </c>
      <c r="E332" s="88" t="s">
        <v>1845</v>
      </c>
      <c r="F332" s="88"/>
      <c r="G332" s="88" t="s">
        <v>532</v>
      </c>
      <c r="H332" s="88" t="s">
        <v>1969</v>
      </c>
      <c r="I332" s="88" t="s">
        <v>126</v>
      </c>
      <c r="J332" s="88" t="s">
        <v>260</v>
      </c>
      <c r="K332" s="88"/>
      <c r="L332" s="88" t="s">
        <v>1287</v>
      </c>
      <c r="M332" s="88" t="s">
        <v>1971</v>
      </c>
      <c r="N332" s="88" t="s">
        <v>568</v>
      </c>
      <c r="O332" s="88" t="s">
        <v>681</v>
      </c>
      <c r="P332" s="88" t="s">
        <v>1211</v>
      </c>
      <c r="Q332" s="88"/>
      <c r="R332" s="88" t="s">
        <v>126</v>
      </c>
    </row>
    <row r="333" spans="2:18" ht="58.5">
      <c r="B333" s="18">
        <f t="shared" ref="B333" si="30">B329+1</f>
        <v>83</v>
      </c>
      <c r="C333" s="6"/>
      <c r="D333" s="87" t="s">
        <v>718</v>
      </c>
      <c r="E333" s="87" t="s">
        <v>1064</v>
      </c>
      <c r="F333" s="87" t="s">
        <v>18</v>
      </c>
      <c r="G333" s="87" t="s">
        <v>113</v>
      </c>
      <c r="H333" s="87" t="s">
        <v>1065</v>
      </c>
      <c r="I333" s="87" t="s">
        <v>103</v>
      </c>
      <c r="J333" s="87" t="s">
        <v>734</v>
      </c>
      <c r="K333" s="87" t="s">
        <v>18</v>
      </c>
      <c r="L333" s="87" t="s">
        <v>806</v>
      </c>
      <c r="M333" s="87" t="s">
        <v>1066</v>
      </c>
      <c r="N333" s="87" t="s">
        <v>123</v>
      </c>
      <c r="O333" s="87" t="s">
        <v>95</v>
      </c>
      <c r="P333" s="87" t="s">
        <v>766</v>
      </c>
      <c r="Q333" s="87" t="s">
        <v>18</v>
      </c>
      <c r="R333" s="87" t="s">
        <v>103</v>
      </c>
    </row>
    <row r="334" spans="2:18" ht="48.75">
      <c r="B334" s="20"/>
      <c r="C334" s="6"/>
      <c r="D334" s="89" t="s">
        <v>1134</v>
      </c>
      <c r="E334" s="89" t="s">
        <v>1846</v>
      </c>
      <c r="F334" s="89"/>
      <c r="G334" s="89" t="s">
        <v>533</v>
      </c>
      <c r="H334" s="89" t="s">
        <v>1970</v>
      </c>
      <c r="I334" s="89" t="s">
        <v>685</v>
      </c>
      <c r="J334" s="89" t="s">
        <v>506</v>
      </c>
      <c r="K334" s="89"/>
      <c r="L334" s="89" t="s">
        <v>1288</v>
      </c>
      <c r="M334" s="89" t="s">
        <v>1972</v>
      </c>
      <c r="N334" s="89" t="s">
        <v>569</v>
      </c>
      <c r="O334" s="89" t="s">
        <v>682</v>
      </c>
      <c r="P334" s="89" t="s">
        <v>1212</v>
      </c>
      <c r="Q334" s="89"/>
      <c r="R334" s="89" t="s">
        <v>685</v>
      </c>
    </row>
    <row r="335" spans="2:18">
      <c r="B335" s="12"/>
      <c r="C335" s="31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</row>
    <row r="336" spans="2:18" ht="39.75">
      <c r="B336" s="16"/>
      <c r="C336" s="6"/>
      <c r="D336" s="88" t="s">
        <v>134</v>
      </c>
      <c r="E336" s="88" t="s">
        <v>295</v>
      </c>
      <c r="F336" s="88" t="s">
        <v>672</v>
      </c>
      <c r="G336" s="88"/>
      <c r="H336" s="88" t="s">
        <v>612</v>
      </c>
      <c r="I336" s="88" t="s">
        <v>1445</v>
      </c>
      <c r="J336" s="88" t="s">
        <v>681</v>
      </c>
      <c r="K336" s="88" t="s">
        <v>1981</v>
      </c>
      <c r="L336" s="88" t="s">
        <v>1103</v>
      </c>
      <c r="M336" s="88" t="s">
        <v>1514</v>
      </c>
      <c r="N336" s="88"/>
      <c r="O336" s="88" t="s">
        <v>97</v>
      </c>
      <c r="P336" s="88" t="s">
        <v>678</v>
      </c>
      <c r="Q336" s="88" t="s">
        <v>644</v>
      </c>
      <c r="R336" s="88" t="s">
        <v>629</v>
      </c>
    </row>
    <row r="337" spans="2:18" ht="58.5">
      <c r="B337" s="18">
        <f t="shared" ref="B337" si="31">B333+1</f>
        <v>84</v>
      </c>
      <c r="C337" s="6"/>
      <c r="D337" s="87" t="s">
        <v>991</v>
      </c>
      <c r="E337" s="87" t="s">
        <v>1067</v>
      </c>
      <c r="F337" s="87" t="s">
        <v>498</v>
      </c>
      <c r="G337" s="87" t="s">
        <v>18</v>
      </c>
      <c r="H337" s="87" t="s">
        <v>883</v>
      </c>
      <c r="I337" s="87" t="s">
        <v>952</v>
      </c>
      <c r="J337" s="87" t="s">
        <v>95</v>
      </c>
      <c r="K337" s="87" t="s">
        <v>1068</v>
      </c>
      <c r="L337" s="87" t="s">
        <v>700</v>
      </c>
      <c r="M337" s="87" t="s">
        <v>908</v>
      </c>
      <c r="N337" s="87" t="s">
        <v>18</v>
      </c>
      <c r="O337" s="87" t="s">
        <v>709</v>
      </c>
      <c r="P337" s="87" t="s">
        <v>587</v>
      </c>
      <c r="Q337" s="87" t="s">
        <v>600</v>
      </c>
      <c r="R337" s="87" t="s">
        <v>595</v>
      </c>
    </row>
    <row r="338" spans="2:18" ht="48.75">
      <c r="B338" s="20"/>
      <c r="C338" s="6"/>
      <c r="D338" s="89" t="s">
        <v>512</v>
      </c>
      <c r="E338" s="89" t="s">
        <v>1980</v>
      </c>
      <c r="F338" s="89" t="s">
        <v>673</v>
      </c>
      <c r="G338" s="89"/>
      <c r="H338" s="89" t="s">
        <v>613</v>
      </c>
      <c r="I338" s="89" t="s">
        <v>1446</v>
      </c>
      <c r="J338" s="89" t="s">
        <v>682</v>
      </c>
      <c r="K338" s="89" t="s">
        <v>1982</v>
      </c>
      <c r="L338" s="89" t="s">
        <v>1104</v>
      </c>
      <c r="M338" s="89" t="s">
        <v>1515</v>
      </c>
      <c r="N338" s="89"/>
      <c r="O338" s="89" t="s">
        <v>523</v>
      </c>
      <c r="P338" s="89" t="s">
        <v>679</v>
      </c>
      <c r="Q338" s="89" t="s">
        <v>645</v>
      </c>
      <c r="R338" s="89" t="s">
        <v>630</v>
      </c>
    </row>
    <row r="339" spans="2:18">
      <c r="B339" s="12"/>
      <c r="C339" s="31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</row>
    <row r="340" spans="2:18" ht="39.75">
      <c r="B340" s="16"/>
      <c r="C340" s="6"/>
      <c r="D340" s="88"/>
      <c r="E340" s="88" t="s">
        <v>1273</v>
      </c>
      <c r="F340" s="88" t="s">
        <v>299</v>
      </c>
      <c r="G340" s="88" t="s">
        <v>1115</v>
      </c>
      <c r="H340" s="88" t="s">
        <v>652</v>
      </c>
      <c r="I340" s="88" t="s">
        <v>1089</v>
      </c>
      <c r="J340" s="88"/>
      <c r="K340" s="88" t="s">
        <v>1491</v>
      </c>
      <c r="L340" s="88" t="s">
        <v>501</v>
      </c>
      <c r="M340" s="88" t="s">
        <v>508</v>
      </c>
      <c r="N340" s="88" t="s">
        <v>100</v>
      </c>
      <c r="O340" s="88"/>
      <c r="P340" s="88" t="s">
        <v>532</v>
      </c>
      <c r="Q340" s="88" t="s">
        <v>39</v>
      </c>
      <c r="R340" s="88" t="s">
        <v>1994</v>
      </c>
    </row>
    <row r="341" spans="2:18" ht="58.5">
      <c r="B341" s="18">
        <f t="shared" ref="B341" si="32">B337+1</f>
        <v>85</v>
      </c>
      <c r="C341" s="6"/>
      <c r="D341" s="87" t="s">
        <v>19</v>
      </c>
      <c r="E341" s="87" t="s">
        <v>796</v>
      </c>
      <c r="F341" s="87" t="s">
        <v>812</v>
      </c>
      <c r="G341" s="87" t="s">
        <v>1069</v>
      </c>
      <c r="H341" s="87" t="s">
        <v>603</v>
      </c>
      <c r="I341" s="87" t="s">
        <v>693</v>
      </c>
      <c r="J341" s="87" t="s">
        <v>18</v>
      </c>
      <c r="K341" s="87" t="s">
        <v>1070</v>
      </c>
      <c r="L341" s="87" t="s">
        <v>1071</v>
      </c>
      <c r="M341" s="87" t="s">
        <v>847</v>
      </c>
      <c r="N341" s="87" t="s">
        <v>96</v>
      </c>
      <c r="O341" s="87" t="s">
        <v>18</v>
      </c>
      <c r="P341" s="87" t="s">
        <v>113</v>
      </c>
      <c r="Q341" s="87" t="s">
        <v>951</v>
      </c>
      <c r="R341" s="87" t="s">
        <v>1072</v>
      </c>
    </row>
    <row r="342" spans="2:18" ht="48.75">
      <c r="B342" s="20"/>
      <c r="C342" s="6"/>
      <c r="D342" s="89"/>
      <c r="E342" s="89" t="s">
        <v>1274</v>
      </c>
      <c r="F342" s="89" t="s">
        <v>575</v>
      </c>
      <c r="G342" s="89" t="s">
        <v>1116</v>
      </c>
      <c r="H342" s="89" t="s">
        <v>653</v>
      </c>
      <c r="I342" s="89" t="s">
        <v>1090</v>
      </c>
      <c r="J342" s="89"/>
      <c r="K342" s="89" t="s">
        <v>1492</v>
      </c>
      <c r="L342" s="89" t="s">
        <v>502</v>
      </c>
      <c r="M342" s="89" t="s">
        <v>509</v>
      </c>
      <c r="N342" s="89" t="s">
        <v>528</v>
      </c>
      <c r="O342" s="89"/>
      <c r="P342" s="89" t="s">
        <v>533</v>
      </c>
      <c r="Q342" s="89" t="s">
        <v>560</v>
      </c>
      <c r="R342" s="89" t="s">
        <v>1995</v>
      </c>
    </row>
    <row r="343" spans="2:18">
      <c r="B343" s="12"/>
      <c r="C343" s="31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</row>
    <row r="344" spans="2:18" ht="39.75">
      <c r="B344" s="16"/>
      <c r="C344" s="6"/>
      <c r="D344" s="88" t="s">
        <v>1123</v>
      </c>
      <c r="E344" s="88"/>
      <c r="F344" s="88" t="s">
        <v>296</v>
      </c>
      <c r="G344" s="88" t="s">
        <v>1678</v>
      </c>
      <c r="H344" s="88" t="s">
        <v>1200</v>
      </c>
      <c r="I344" s="88" t="s">
        <v>2003</v>
      </c>
      <c r="J344" s="88"/>
      <c r="K344" s="88" t="s">
        <v>126</v>
      </c>
      <c r="L344" s="88" t="s">
        <v>612</v>
      </c>
      <c r="M344" s="88" t="s">
        <v>1087</v>
      </c>
      <c r="N344" s="88" t="s">
        <v>1445</v>
      </c>
      <c r="O344" s="88"/>
      <c r="P344" s="88" t="s">
        <v>1097</v>
      </c>
      <c r="Q344" s="88" t="s">
        <v>1153</v>
      </c>
      <c r="R344" s="88" t="s">
        <v>2005</v>
      </c>
    </row>
    <row r="345" spans="2:18" ht="58.5">
      <c r="B345" s="18">
        <f t="shared" ref="B345" si="33">B341+1</f>
        <v>86</v>
      </c>
      <c r="C345" s="6"/>
      <c r="D345" s="87" t="s">
        <v>713</v>
      </c>
      <c r="E345" s="87" t="s">
        <v>976</v>
      </c>
      <c r="F345" s="87" t="s">
        <v>240</v>
      </c>
      <c r="G345" s="87" t="s">
        <v>1073</v>
      </c>
      <c r="H345" s="87" t="s">
        <v>761</v>
      </c>
      <c r="I345" s="87" t="s">
        <v>1074</v>
      </c>
      <c r="J345" s="87" t="s">
        <v>18</v>
      </c>
      <c r="K345" s="87" t="s">
        <v>103</v>
      </c>
      <c r="L345" s="87" t="s">
        <v>883</v>
      </c>
      <c r="M345" s="87" t="s">
        <v>692</v>
      </c>
      <c r="N345" s="87" t="s">
        <v>878</v>
      </c>
      <c r="O345" s="87" t="s">
        <v>731</v>
      </c>
      <c r="P345" s="87" t="s">
        <v>892</v>
      </c>
      <c r="Q345" s="87" t="s">
        <v>774</v>
      </c>
      <c r="R345" s="87" t="s">
        <v>1075</v>
      </c>
    </row>
    <row r="346" spans="2:18" ht="48.75">
      <c r="B346" s="20"/>
      <c r="C346" s="6"/>
      <c r="D346" s="89" t="s">
        <v>1124</v>
      </c>
      <c r="E346" s="89"/>
      <c r="F346" s="89" t="s">
        <v>570</v>
      </c>
      <c r="G346" s="89" t="s">
        <v>1679</v>
      </c>
      <c r="H346" s="89" t="s">
        <v>1201</v>
      </c>
      <c r="I346" s="89" t="s">
        <v>2004</v>
      </c>
      <c r="J346" s="89"/>
      <c r="K346" s="89" t="s">
        <v>685</v>
      </c>
      <c r="L346" s="89" t="s">
        <v>613</v>
      </c>
      <c r="M346" s="89" t="s">
        <v>1088</v>
      </c>
      <c r="N346" s="89" t="s">
        <v>1446</v>
      </c>
      <c r="O346" s="89"/>
      <c r="P346" s="89" t="s">
        <v>1098</v>
      </c>
      <c r="Q346" s="89" t="s">
        <v>1154</v>
      </c>
      <c r="R346" s="89" t="s">
        <v>2006</v>
      </c>
    </row>
    <row r="347" spans="2:18">
      <c r="B347" s="12"/>
      <c r="C347" s="31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</row>
    <row r="348" spans="2:18" ht="39.75">
      <c r="B348" s="16"/>
      <c r="C348" s="6"/>
      <c r="D348" s="88" t="s">
        <v>1260</v>
      </c>
      <c r="E348" s="88"/>
      <c r="F348" s="88" t="s">
        <v>612</v>
      </c>
      <c r="G348" s="88" t="s">
        <v>39</v>
      </c>
      <c r="H348" s="88" t="s">
        <v>1323</v>
      </c>
      <c r="I348" s="88" t="s">
        <v>1674</v>
      </c>
      <c r="J348" s="88"/>
      <c r="K348" s="88" t="s">
        <v>137</v>
      </c>
      <c r="L348" s="88" t="s">
        <v>1193</v>
      </c>
      <c r="M348" s="88" t="s">
        <v>98</v>
      </c>
      <c r="N348" s="88" t="s">
        <v>1366</v>
      </c>
      <c r="O348" s="88" t="s">
        <v>627</v>
      </c>
      <c r="P348" s="88"/>
      <c r="Q348" s="88" t="s">
        <v>2017</v>
      </c>
      <c r="R348" s="88"/>
    </row>
    <row r="349" spans="2:18" ht="58.5">
      <c r="B349" s="18">
        <f t="shared" ref="B349" si="34">B345+1</f>
        <v>87</v>
      </c>
      <c r="C349" s="6"/>
      <c r="D349" s="87" t="s">
        <v>1076</v>
      </c>
      <c r="E349" s="87" t="s">
        <v>18</v>
      </c>
      <c r="F349" s="87" t="s">
        <v>883</v>
      </c>
      <c r="G349" s="87" t="s">
        <v>109</v>
      </c>
      <c r="H349" s="87" t="s">
        <v>823</v>
      </c>
      <c r="I349" s="87" t="s">
        <v>1037</v>
      </c>
      <c r="J349" s="87" t="s">
        <v>19</v>
      </c>
      <c r="K349" s="87" t="s">
        <v>114</v>
      </c>
      <c r="L349" s="87" t="s">
        <v>1077</v>
      </c>
      <c r="M349" s="87" t="s">
        <v>750</v>
      </c>
      <c r="N349" s="87" t="s">
        <v>1078</v>
      </c>
      <c r="O349" s="87" t="s">
        <v>779</v>
      </c>
      <c r="P349" s="87" t="s">
        <v>939</v>
      </c>
      <c r="Q349" s="87" t="s">
        <v>1079</v>
      </c>
      <c r="R349" s="87" t="s">
        <v>939</v>
      </c>
    </row>
    <row r="350" spans="2:18" ht="48.75">
      <c r="B350" s="20"/>
      <c r="C350" s="6"/>
      <c r="D350" s="89" t="s">
        <v>1261</v>
      </c>
      <c r="E350" s="89"/>
      <c r="F350" s="89" t="s">
        <v>613</v>
      </c>
      <c r="G350" s="89" t="s">
        <v>560</v>
      </c>
      <c r="H350" s="89" t="s">
        <v>1324</v>
      </c>
      <c r="I350" s="89" t="s">
        <v>1675</v>
      </c>
      <c r="J350" s="89"/>
      <c r="K350" s="89" t="s">
        <v>520</v>
      </c>
      <c r="L350" s="89" t="s">
        <v>1194</v>
      </c>
      <c r="M350" s="89" t="s">
        <v>531</v>
      </c>
      <c r="N350" s="89" t="s">
        <v>1367</v>
      </c>
      <c r="O350" s="89" t="s">
        <v>628</v>
      </c>
      <c r="P350" s="89"/>
      <c r="Q350" s="89" t="s">
        <v>2018</v>
      </c>
      <c r="R350" s="89"/>
    </row>
    <row r="351" spans="2:18">
      <c r="B351" s="12"/>
      <c r="C351" s="31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</row>
    <row r="352" spans="2:18" ht="39.75">
      <c r="B352" s="16"/>
      <c r="C352" s="6"/>
      <c r="D352" s="88" t="s">
        <v>612</v>
      </c>
      <c r="E352" s="88" t="s">
        <v>508</v>
      </c>
      <c r="F352" s="88" t="s">
        <v>1089</v>
      </c>
      <c r="G352" s="88"/>
      <c r="H352" s="88" t="s">
        <v>501</v>
      </c>
      <c r="I352" s="88" t="s">
        <v>1207</v>
      </c>
      <c r="J352" s="88" t="s">
        <v>100</v>
      </c>
      <c r="K352" s="88"/>
      <c r="L352" s="88" t="s">
        <v>1493</v>
      </c>
      <c r="M352" s="88" t="s">
        <v>1491</v>
      </c>
      <c r="N352" s="88" t="s">
        <v>1838</v>
      </c>
      <c r="O352" s="88" t="s">
        <v>568</v>
      </c>
      <c r="P352" s="88" t="s">
        <v>100</v>
      </c>
      <c r="Q352" s="88" t="s">
        <v>501</v>
      </c>
      <c r="R352" s="88"/>
    </row>
    <row r="353" spans="2:18" ht="58.5">
      <c r="B353" s="18">
        <f t="shared" ref="B353" si="35">B349+1</f>
        <v>88</v>
      </c>
      <c r="C353" s="6"/>
      <c r="D353" s="87" t="s">
        <v>588</v>
      </c>
      <c r="E353" s="87" t="s">
        <v>847</v>
      </c>
      <c r="F353" s="87" t="s">
        <v>693</v>
      </c>
      <c r="G353" s="87" t="s">
        <v>18</v>
      </c>
      <c r="H353" s="87" t="s">
        <v>1071</v>
      </c>
      <c r="I353" s="87" t="s">
        <v>764</v>
      </c>
      <c r="J353" s="87" t="s">
        <v>96</v>
      </c>
      <c r="K353" s="87" t="s">
        <v>18</v>
      </c>
      <c r="L353" s="87" t="s">
        <v>899</v>
      </c>
      <c r="M353" s="87" t="s">
        <v>1070</v>
      </c>
      <c r="N353" s="87" t="s">
        <v>1025</v>
      </c>
      <c r="O353" s="87" t="s">
        <v>123</v>
      </c>
      <c r="P353" s="87" t="s">
        <v>96</v>
      </c>
      <c r="Q353" s="87" t="s">
        <v>1071</v>
      </c>
      <c r="R353" s="87" t="s">
        <v>18</v>
      </c>
    </row>
    <row r="354" spans="2:18" ht="48.75">
      <c r="B354" s="20"/>
      <c r="C354" s="6"/>
      <c r="D354" s="89" t="s">
        <v>613</v>
      </c>
      <c r="E354" s="89" t="s">
        <v>509</v>
      </c>
      <c r="F354" s="89" t="s">
        <v>1090</v>
      </c>
      <c r="G354" s="89"/>
      <c r="H354" s="89" t="s">
        <v>502</v>
      </c>
      <c r="I354" s="89" t="s">
        <v>1208</v>
      </c>
      <c r="J354" s="89" t="s">
        <v>528</v>
      </c>
      <c r="K354" s="89"/>
      <c r="L354" s="89" t="s">
        <v>1494</v>
      </c>
      <c r="M354" s="89" t="s">
        <v>1492</v>
      </c>
      <c r="N354" s="89" t="s">
        <v>1839</v>
      </c>
      <c r="O354" s="89" t="s">
        <v>569</v>
      </c>
      <c r="P354" s="89" t="s">
        <v>528</v>
      </c>
      <c r="Q354" s="89" t="s">
        <v>502</v>
      </c>
      <c r="R354" s="89"/>
    </row>
    <row r="355" spans="2:18">
      <c r="B355" s="12"/>
      <c r="C355" s="31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</row>
    <row r="356" spans="2:18" ht="39.75">
      <c r="B356" s="16"/>
      <c r="C356" s="6"/>
      <c r="D356" s="88" t="s">
        <v>2040</v>
      </c>
      <c r="E356" s="88" t="s">
        <v>1117</v>
      </c>
      <c r="F356" s="88" t="s">
        <v>1614</v>
      </c>
      <c r="G356" s="88" t="s">
        <v>1349</v>
      </c>
      <c r="H356" s="88" t="s">
        <v>2042</v>
      </c>
      <c r="I356" s="88" t="s">
        <v>1333</v>
      </c>
      <c r="J356" s="88"/>
      <c r="K356" s="88" t="s">
        <v>148</v>
      </c>
      <c r="L356" s="88" t="s">
        <v>2044</v>
      </c>
      <c r="M356" s="88" t="s">
        <v>1109</v>
      </c>
      <c r="N356" s="88" t="s">
        <v>1123</v>
      </c>
      <c r="O356" s="88" t="s">
        <v>1855</v>
      </c>
      <c r="P356" s="88" t="s">
        <v>629</v>
      </c>
      <c r="Q356" s="88"/>
      <c r="R356" s="88"/>
    </row>
    <row r="357" spans="2:18" ht="58.5">
      <c r="B357" s="18">
        <f t="shared" ref="B357" si="36">B353+1</f>
        <v>89</v>
      </c>
      <c r="C357" s="6"/>
      <c r="D357" s="87" t="s">
        <v>1080</v>
      </c>
      <c r="E357" s="87" t="s">
        <v>708</v>
      </c>
      <c r="F357" s="87" t="s">
        <v>50</v>
      </c>
      <c r="G357" s="87" t="s">
        <v>832</v>
      </c>
      <c r="H357" s="87" t="s">
        <v>1081</v>
      </c>
      <c r="I357" s="87" t="s">
        <v>1082</v>
      </c>
      <c r="J357" s="87" t="s">
        <v>18</v>
      </c>
      <c r="K357" s="87" t="s">
        <v>220</v>
      </c>
      <c r="L357" s="87" t="s">
        <v>1083</v>
      </c>
      <c r="M357" s="87" t="s">
        <v>703</v>
      </c>
      <c r="N357" s="87" t="s">
        <v>713</v>
      </c>
      <c r="O357" s="87" t="s">
        <v>1084</v>
      </c>
      <c r="P357" s="87" t="s">
        <v>595</v>
      </c>
      <c r="Q357" s="87" t="s">
        <v>19</v>
      </c>
      <c r="R357" s="87" t="str">
        <f>CHAR(10)</f>
        <v xml:space="preserve">
</v>
      </c>
    </row>
    <row r="358" spans="2:18" ht="48.75">
      <c r="B358" s="20"/>
      <c r="C358" s="6"/>
      <c r="D358" s="89" t="s">
        <v>2041</v>
      </c>
      <c r="E358" s="89" t="s">
        <v>1118</v>
      </c>
      <c r="F358" s="89" t="s">
        <v>1615</v>
      </c>
      <c r="G358" s="89" t="s">
        <v>1350</v>
      </c>
      <c r="H358" s="89" t="s">
        <v>2043</v>
      </c>
      <c r="I358" s="89" t="s">
        <v>1334</v>
      </c>
      <c r="J358" s="89"/>
      <c r="K358" s="89" t="s">
        <v>549</v>
      </c>
      <c r="L358" s="89" t="s">
        <v>2045</v>
      </c>
      <c r="M358" s="89" t="s">
        <v>1110</v>
      </c>
      <c r="N358" s="89" t="s">
        <v>1124</v>
      </c>
      <c r="O358" s="89" t="s">
        <v>1697</v>
      </c>
      <c r="P358" s="89" t="s">
        <v>630</v>
      </c>
      <c r="Q358" s="89"/>
      <c r="R358" s="89"/>
    </row>
    <row r="359" spans="2:18">
      <c r="B359" s="12"/>
      <c r="C359" s="31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</row>
    <row r="360" spans="2:18" ht="39.75">
      <c r="B360" s="16"/>
      <c r="C360" s="6"/>
      <c r="D360" s="88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</row>
    <row r="361" spans="2:18" ht="58.5">
      <c r="B361" s="18">
        <f t="shared" ref="B361" si="37">B357+1</f>
        <v>90</v>
      </c>
      <c r="C361" s="6"/>
      <c r="D361" s="87" t="s">
        <v>20</v>
      </c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spans="2:18" ht="48.75">
      <c r="B362" s="20"/>
      <c r="C362" s="6"/>
      <c r="D362" s="89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</row>
    <row r="363" spans="2:18">
      <c r="B363" s="12"/>
      <c r="C363" s="31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</row>
    <row r="364" spans="2:18" ht="39.75">
      <c r="B364" s="16"/>
      <c r="C364" s="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</row>
    <row r="365" spans="2:18" ht="58.5">
      <c r="B365" s="18">
        <f t="shared" ref="B365" si="38">B361+1</f>
        <v>91</v>
      </c>
      <c r="C365" s="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spans="2:18" ht="48.75">
      <c r="B366" s="20"/>
      <c r="C366" s="6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</row>
    <row r="367" spans="2:18">
      <c r="B367" s="12"/>
      <c r="C367" s="31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</row>
    <row r="368" spans="2:18" ht="39.75">
      <c r="B368" s="16"/>
      <c r="C368" s="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</row>
    <row r="369" spans="2:18" ht="58.5">
      <c r="B369" s="18">
        <f t="shared" ref="B369" si="39">B365+1</f>
        <v>92</v>
      </c>
      <c r="C369" s="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spans="2:18" ht="48.75">
      <c r="B370" s="20"/>
      <c r="C370" s="6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</row>
    <row r="371" spans="2:18">
      <c r="B371" s="12"/>
      <c r="C371" s="31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</row>
    <row r="372" spans="2:18" ht="39.75">
      <c r="B372" s="16"/>
      <c r="C372" s="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</row>
    <row r="373" spans="2:18" ht="58.5">
      <c r="B373" s="18">
        <f t="shared" ref="B373" si="40">B369+1</f>
        <v>93</v>
      </c>
      <c r="C373" s="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spans="2:18" ht="48.75">
      <c r="B374" s="20"/>
      <c r="C374" s="6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</row>
    <row r="375" spans="2:18">
      <c r="B375" s="12"/>
      <c r="C375" s="31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</row>
    <row r="376" spans="2:18" ht="39.75">
      <c r="B376" s="16"/>
      <c r="C376" s="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</row>
    <row r="377" spans="2:18" ht="58.5">
      <c r="B377" s="18">
        <f t="shared" ref="B377" si="41">B373+1</f>
        <v>94</v>
      </c>
      <c r="C377" s="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spans="2:18" ht="48.75">
      <c r="B378" s="20"/>
      <c r="C378" s="6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</row>
    <row r="379" spans="2:18">
      <c r="B379" s="12"/>
      <c r="C379" s="31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</row>
    <row r="380" spans="2:18" ht="39.75">
      <c r="B380" s="16"/>
      <c r="C380" s="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</row>
    <row r="381" spans="2:18" ht="58.5">
      <c r="B381" s="18">
        <f t="shared" ref="B381" si="42">B377+1</f>
        <v>95</v>
      </c>
      <c r="C381" s="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spans="2:18" ht="48.75">
      <c r="B382" s="20"/>
      <c r="C382" s="6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</row>
    <row r="383" spans="2:18">
      <c r="B383" s="12"/>
      <c r="C383" s="31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</row>
    <row r="384" spans="2:18" ht="39.75">
      <c r="B384" s="16"/>
      <c r="C384" s="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</row>
    <row r="385" spans="2:18" ht="58.5">
      <c r="B385" s="18">
        <f t="shared" ref="B385" si="43">B381+1</f>
        <v>96</v>
      </c>
      <c r="C385" s="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spans="2:18" ht="48.75">
      <c r="B386" s="20"/>
      <c r="C386" s="6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</row>
    <row r="387" spans="2:18">
      <c r="B387" s="12"/>
      <c r="C387" s="31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</row>
    <row r="388" spans="2:18" ht="39.75">
      <c r="B388" s="16"/>
      <c r="C388" s="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</row>
    <row r="389" spans="2:18" ht="58.5">
      <c r="B389" s="18">
        <f t="shared" ref="B389" si="44">B385+1</f>
        <v>97</v>
      </c>
      <c r="C389" s="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spans="2:18" ht="48.75">
      <c r="B390" s="20"/>
      <c r="C390" s="6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</row>
    <row r="391" spans="2:18">
      <c r="B391" s="12"/>
      <c r="C391" s="31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</row>
    <row r="392" spans="2:18" ht="39.75">
      <c r="B392" s="16"/>
      <c r="C392" s="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</row>
    <row r="393" spans="2:18" ht="58.5">
      <c r="B393" s="18">
        <f t="shared" ref="B393" si="45">B389+1</f>
        <v>98</v>
      </c>
      <c r="C393" s="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spans="2:18" ht="48.75">
      <c r="B394" s="20"/>
      <c r="C394" s="6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</row>
    <row r="395" spans="2:18">
      <c r="B395" s="12"/>
      <c r="C395" s="31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</row>
    <row r="396" spans="2:18" ht="39.75">
      <c r="B396" s="16"/>
      <c r="C396" s="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</row>
    <row r="397" spans="2:18" ht="58.5">
      <c r="B397" s="18">
        <f t="shared" ref="B397" si="46">B393+1</f>
        <v>99</v>
      </c>
      <c r="C397" s="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spans="2:18" ht="48.75">
      <c r="B398" s="20"/>
      <c r="C398" s="6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</row>
    <row r="399" spans="2:18">
      <c r="B399" s="12"/>
      <c r="C399" s="31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</row>
    <row r="400" spans="2:18" ht="39.75">
      <c r="B400" s="16"/>
      <c r="C400" s="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</row>
    <row r="401" spans="2:18" ht="58.5">
      <c r="B401" s="18">
        <f t="shared" ref="B401" si="47">B397+1</f>
        <v>100</v>
      </c>
      <c r="C401" s="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spans="2:18" ht="48.75">
      <c r="B402" s="20"/>
      <c r="C402" s="6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</row>
    <row r="403" spans="2:18">
      <c r="B403" s="12"/>
      <c r="C403" s="31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</row>
    <row r="404" spans="2:18" ht="39.75">
      <c r="B404" s="16"/>
      <c r="C404" s="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</row>
    <row r="405" spans="2:18" ht="58.5">
      <c r="B405" s="18">
        <f>B401+1</f>
        <v>101</v>
      </c>
      <c r="C405" s="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spans="2:18" ht="48.75">
      <c r="B406" s="20"/>
      <c r="C406" s="6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</row>
    <row r="407" spans="2:18">
      <c r="B407" s="24"/>
      <c r="C407" s="25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</row>
    <row r="408" spans="2:18" ht="39.75">
      <c r="B408" s="16"/>
      <c r="C408" s="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</row>
    <row r="409" spans="2:18" ht="58.5">
      <c r="B409" s="18">
        <f>B405+1</f>
        <v>102</v>
      </c>
      <c r="C409" s="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spans="2:18" ht="48.75">
      <c r="B410" s="20"/>
      <c r="C410" s="6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</row>
    <row r="411" spans="2:18">
      <c r="B411" s="29"/>
      <c r="C411" s="30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</row>
    <row r="412" spans="2:18" ht="39.75">
      <c r="B412" s="16"/>
      <c r="C412" s="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</row>
    <row r="413" spans="2:18" ht="58.5">
      <c r="B413" s="18">
        <f>B409+1</f>
        <v>103</v>
      </c>
      <c r="C413" s="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spans="2:18" ht="48.75">
      <c r="B414" s="20"/>
      <c r="C414" s="6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</row>
    <row r="415" spans="2:18">
      <c r="B415" s="12"/>
      <c r="C415" s="31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</row>
    <row r="416" spans="2:18" ht="39.75">
      <c r="B416" s="16"/>
      <c r="C416" s="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</row>
    <row r="417" spans="2:18" ht="58.5">
      <c r="B417" s="18">
        <f>B413+1</f>
        <v>104</v>
      </c>
      <c r="C417" s="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spans="2:18" ht="48.75">
      <c r="B418" s="20"/>
      <c r="C418" s="6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</row>
    <row r="419" spans="2:18">
      <c r="B419" s="12"/>
      <c r="C419" s="31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</row>
    <row r="420" spans="2:18" ht="39.75">
      <c r="B420" s="16"/>
      <c r="C420" s="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</row>
    <row r="421" spans="2:18" ht="58.5">
      <c r="B421" s="18">
        <f>B417+1</f>
        <v>105</v>
      </c>
      <c r="C421" s="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spans="2:18" ht="48.75">
      <c r="B422" s="20"/>
      <c r="C422" s="6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</row>
    <row r="423" spans="2:18">
      <c r="B423" s="12"/>
      <c r="C423" s="31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</row>
    <row r="424" spans="2:18" ht="39.75">
      <c r="B424" s="16"/>
      <c r="C424" s="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</row>
    <row r="425" spans="2:18" ht="58.5">
      <c r="B425" s="18">
        <f>B421+1</f>
        <v>106</v>
      </c>
      <c r="C425" s="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spans="2:18" ht="48.75">
      <c r="B426" s="20"/>
      <c r="C426" s="6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</row>
    <row r="427" spans="2:18">
      <c r="B427" s="12"/>
      <c r="C427" s="31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</row>
    <row r="428" spans="2:18" ht="39.75">
      <c r="B428" s="16"/>
      <c r="C428" s="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</row>
    <row r="429" spans="2:18" ht="58.5">
      <c r="B429" s="18">
        <f>B425+1</f>
        <v>107</v>
      </c>
      <c r="C429" s="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spans="2:18" ht="48.75">
      <c r="B430" s="20"/>
      <c r="C430" s="6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</row>
    <row r="431" spans="2:18">
      <c r="B431" s="12"/>
      <c r="C431" s="31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</row>
    <row r="432" spans="2:18" ht="39.75">
      <c r="B432" s="16"/>
      <c r="C432" s="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</row>
    <row r="433" spans="2:18" ht="58.5">
      <c r="B433" s="18">
        <f>B429+1</f>
        <v>108</v>
      </c>
      <c r="C433" s="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spans="2:18" ht="48.75">
      <c r="B434" s="20"/>
      <c r="C434" s="6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</row>
    <row r="435" spans="2:18">
      <c r="B435" s="12"/>
      <c r="C435" s="31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</row>
    <row r="436" spans="2:18" ht="39.75">
      <c r="B436" s="16"/>
      <c r="C436" s="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</row>
    <row r="437" spans="2:18" ht="58.5">
      <c r="B437" s="18">
        <f>B433+1</f>
        <v>109</v>
      </c>
      <c r="C437" s="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spans="2:18" ht="48.75">
      <c r="B438" s="20"/>
      <c r="C438" s="6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</row>
    <row r="439" spans="2:18">
      <c r="B439" s="12"/>
      <c r="C439" s="31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</row>
    <row r="440" spans="2:18" ht="39.75">
      <c r="B440" s="16"/>
      <c r="C440" s="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</row>
    <row r="441" spans="2:18" ht="58.5">
      <c r="B441" s="18">
        <f>B437+1</f>
        <v>110</v>
      </c>
      <c r="C441" s="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spans="2:18" ht="48.75">
      <c r="B442" s="20"/>
      <c r="C442" s="6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</row>
    <row r="443" spans="2:18">
      <c r="B443" s="12"/>
      <c r="C443" s="31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</row>
    <row r="444" spans="2:18" ht="39.75">
      <c r="B444" s="16"/>
      <c r="C444" s="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</row>
    <row r="445" spans="2:18" ht="58.5">
      <c r="B445" s="18">
        <f>B441+1</f>
        <v>111</v>
      </c>
      <c r="C445" s="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spans="2:18" ht="48.75">
      <c r="B446" s="20"/>
      <c r="C446" s="6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</row>
    <row r="447" spans="2:18">
      <c r="B447" s="12"/>
      <c r="C447" s="31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</row>
    <row r="448" spans="2:18" ht="39.75">
      <c r="B448" s="16"/>
      <c r="C448" s="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</row>
    <row r="449" spans="2:18" ht="58.5">
      <c r="B449" s="18">
        <f>B445+1</f>
        <v>112</v>
      </c>
      <c r="C449" s="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spans="2:18" ht="48.75">
      <c r="B450" s="20"/>
      <c r="C450" s="6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</row>
    <row r="451" spans="2:18">
      <c r="B451" s="12"/>
      <c r="C451" s="31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</row>
    <row r="452" spans="2:18" ht="39.75">
      <c r="B452" s="16"/>
      <c r="C452" s="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</row>
    <row r="453" spans="2:18" ht="58.5">
      <c r="B453" s="18">
        <f>B449+1</f>
        <v>113</v>
      </c>
      <c r="C453" s="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spans="2:18" ht="48.75">
      <c r="B454" s="20"/>
      <c r="C454" s="6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</row>
    <row r="455" spans="2:18">
      <c r="B455" s="12"/>
      <c r="C455" s="31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</row>
    <row r="456" spans="2:18" ht="39.75">
      <c r="B456" s="16"/>
      <c r="C456" s="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</row>
    <row r="457" spans="2:18" ht="58.5">
      <c r="B457" s="18">
        <f>B453+1</f>
        <v>114</v>
      </c>
      <c r="C457" s="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spans="2:18" ht="48.75">
      <c r="B458" s="20"/>
      <c r="C458" s="6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</row>
    <row r="459" spans="2:18">
      <c r="B459" s="12"/>
      <c r="C459" s="31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</row>
    <row r="460" spans="2:18" ht="39.75">
      <c r="B460" s="16"/>
      <c r="C460" s="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</row>
    <row r="461" spans="2:18" ht="58.5">
      <c r="B461" s="18">
        <f>B457+1</f>
        <v>115</v>
      </c>
      <c r="C461" s="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spans="2:18" ht="48.75">
      <c r="B462" s="20"/>
      <c r="C462" s="6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</row>
    <row r="463" spans="2:18">
      <c r="B463" s="12"/>
      <c r="C463" s="31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</row>
    <row r="464" spans="2:18" ht="39.75">
      <c r="B464" s="16"/>
      <c r="C464" s="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</row>
    <row r="465" spans="2:18" ht="58.5">
      <c r="B465" s="18">
        <f>B461+1</f>
        <v>116</v>
      </c>
      <c r="C465" s="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spans="2:18" ht="48.75">
      <c r="B466" s="20"/>
      <c r="C466" s="6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</row>
    <row r="467" spans="2:18">
      <c r="B467" s="12"/>
      <c r="C467" s="31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</row>
    <row r="468" spans="2:18" ht="39.75">
      <c r="B468" s="16"/>
      <c r="C468" s="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</row>
    <row r="469" spans="2:18" ht="58.5">
      <c r="B469" s="18">
        <f>B465+1</f>
        <v>117</v>
      </c>
      <c r="C469" s="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spans="2:18" ht="48.75">
      <c r="B470" s="20"/>
      <c r="C470" s="6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</row>
    <row r="471" spans="2:18">
      <c r="B471" s="12"/>
      <c r="C471" s="31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</row>
    <row r="472" spans="2:18" ht="39.75">
      <c r="B472" s="16"/>
      <c r="C472" s="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</row>
    <row r="473" spans="2:18" ht="58.5">
      <c r="B473" s="18">
        <f>B469+1</f>
        <v>118</v>
      </c>
      <c r="C473" s="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spans="2:18" ht="48.75">
      <c r="B474" s="20"/>
      <c r="C474" s="6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</row>
    <row r="475" spans="2:18">
      <c r="B475" s="12"/>
      <c r="C475" s="31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</row>
    <row r="476" spans="2:18" ht="39.75">
      <c r="B476" s="16"/>
      <c r="C476" s="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</row>
    <row r="477" spans="2:18" ht="58.5">
      <c r="B477" s="18">
        <f>B473+1</f>
        <v>119</v>
      </c>
      <c r="C477" s="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spans="2:18" ht="48.75">
      <c r="B478" s="20"/>
      <c r="C478" s="6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</row>
    <row r="479" spans="2:18">
      <c r="B479" s="12"/>
      <c r="C479" s="31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</row>
    <row r="480" spans="2:18" ht="39.75">
      <c r="B480" s="16"/>
      <c r="C480" s="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</row>
    <row r="481" spans="2:18" ht="58.5">
      <c r="B481" s="18">
        <f>B477+1</f>
        <v>120</v>
      </c>
      <c r="C481" s="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spans="2:18" ht="48.75">
      <c r="B482" s="20"/>
      <c r="C482" s="6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</row>
    <row r="483" spans="2:18">
      <c r="B483" s="12"/>
      <c r="C483" s="31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</row>
    <row r="484" spans="2:18" ht="39.75">
      <c r="B484" s="16"/>
      <c r="C484" s="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</row>
    <row r="485" spans="2:18" ht="58.5">
      <c r="B485" s="18">
        <f>B481+1</f>
        <v>121</v>
      </c>
      <c r="C485" s="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spans="2:18" ht="48.75">
      <c r="B486" s="20"/>
      <c r="C486" s="6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</row>
    <row r="487" spans="2:18">
      <c r="B487" s="12"/>
      <c r="C487" s="31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</row>
    <row r="488" spans="2:18" ht="39.75">
      <c r="B488" s="16"/>
      <c r="C488" s="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</row>
    <row r="489" spans="2:18" ht="58.5">
      <c r="B489" s="18">
        <f>B485+1</f>
        <v>122</v>
      </c>
      <c r="C489" s="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spans="2:18" ht="48.75">
      <c r="B490" s="20"/>
      <c r="C490" s="6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</row>
    <row r="491" spans="2:18">
      <c r="B491" s="12"/>
      <c r="C491" s="31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</row>
    <row r="492" spans="2:18" ht="39.75">
      <c r="B492" s="16"/>
      <c r="C492" s="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</row>
    <row r="493" spans="2:18" ht="58.5">
      <c r="B493" s="18">
        <f>B489+1</f>
        <v>123</v>
      </c>
      <c r="C493" s="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spans="2:18" ht="48.75">
      <c r="B494" s="20"/>
      <c r="C494" s="6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</row>
    <row r="495" spans="2:18">
      <c r="B495" s="12"/>
      <c r="C495" s="31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</row>
    <row r="496" spans="2:18" ht="39.75">
      <c r="B496" s="16"/>
      <c r="C496" s="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</row>
    <row r="497" spans="2:18" ht="58.5">
      <c r="B497" s="18">
        <f>B493+1</f>
        <v>124</v>
      </c>
      <c r="C497" s="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spans="2:18" ht="48.75">
      <c r="B498" s="20"/>
      <c r="C498" s="6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</row>
    <row r="499" spans="2:18">
      <c r="B499" s="12"/>
      <c r="C499" s="31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</row>
    <row r="500" spans="2:18" ht="39.75">
      <c r="B500" s="16"/>
      <c r="C500" s="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</row>
    <row r="501" spans="2:18" ht="58.5">
      <c r="B501" s="18">
        <f>B497+1</f>
        <v>125</v>
      </c>
      <c r="C501" s="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spans="2:18" ht="48.75">
      <c r="B502" s="20"/>
      <c r="C502" s="6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</row>
    <row r="503" spans="2:18">
      <c r="B503" s="12"/>
      <c r="C503" s="31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</row>
    <row r="504" spans="2:18" ht="39.75">
      <c r="B504" s="16"/>
      <c r="C504" s="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</row>
    <row r="505" spans="2:18" ht="58.5">
      <c r="B505" s="18">
        <f>B501+1</f>
        <v>126</v>
      </c>
      <c r="C505" s="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spans="2:18" ht="48.75">
      <c r="B506" s="20"/>
      <c r="C506" s="6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</row>
    <row r="507" spans="2:18">
      <c r="B507" s="12"/>
      <c r="C507" s="31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</row>
    <row r="508" spans="2:18" ht="39.75">
      <c r="B508" s="16"/>
      <c r="C508" s="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</row>
    <row r="509" spans="2:18" ht="58.5">
      <c r="B509" s="18">
        <f>B505+1</f>
        <v>127</v>
      </c>
      <c r="C509" s="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spans="2:18" ht="48.75">
      <c r="B510" s="20"/>
      <c r="C510" s="6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</row>
    <row r="511" spans="2:18">
      <c r="B511" s="12"/>
      <c r="C511" s="31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</row>
    <row r="512" spans="2:18" ht="39.75">
      <c r="B512" s="16"/>
      <c r="C512" s="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</row>
    <row r="513" spans="2:18" ht="58.5">
      <c r="B513" s="18">
        <f t="shared" ref="B513" si="48">B509+1</f>
        <v>128</v>
      </c>
      <c r="C513" s="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spans="2:18" ht="48.75">
      <c r="B514" s="20"/>
      <c r="C514" s="6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</row>
    <row r="515" spans="2:18">
      <c r="B515" s="12"/>
      <c r="C515" s="31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</row>
    <row r="516" spans="2:18" ht="39.75">
      <c r="B516" s="16"/>
      <c r="C516" s="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</row>
    <row r="517" spans="2:18" ht="58.5">
      <c r="B517" s="18">
        <f t="shared" ref="B517" si="49">B513+1</f>
        <v>129</v>
      </c>
      <c r="C517" s="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spans="2:18" ht="48.75">
      <c r="B518" s="20"/>
      <c r="C518" s="6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</row>
    <row r="519" spans="2:18">
      <c r="B519" s="12"/>
      <c r="C519" s="31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</row>
    <row r="520" spans="2:18" ht="39.75">
      <c r="B520" s="16"/>
      <c r="C520" s="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</row>
    <row r="521" spans="2:18" ht="58.5">
      <c r="B521" s="18">
        <f t="shared" ref="B521" si="50">B517+1</f>
        <v>130</v>
      </c>
      <c r="C521" s="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spans="2:18" ht="48.75">
      <c r="B522" s="20"/>
      <c r="C522" s="6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</row>
    <row r="523" spans="2:18">
      <c r="B523" s="12"/>
      <c r="C523" s="31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</row>
    <row r="524" spans="2:18" ht="39.75">
      <c r="B524" s="16"/>
      <c r="C524" s="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</row>
    <row r="525" spans="2:18" ht="58.5">
      <c r="B525" s="18">
        <f t="shared" ref="B525" si="51">B521+1</f>
        <v>131</v>
      </c>
      <c r="C525" s="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spans="2:18" ht="48.75">
      <c r="B526" s="20"/>
      <c r="C526" s="6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</row>
    <row r="527" spans="2:18">
      <c r="B527" s="12"/>
      <c r="C527" s="31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</row>
    <row r="528" spans="2:18" ht="39.75">
      <c r="B528" s="16"/>
      <c r="C528" s="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</row>
    <row r="529" spans="2:18" ht="58.5">
      <c r="B529" s="18">
        <f t="shared" ref="B529" si="52">B525+1</f>
        <v>132</v>
      </c>
      <c r="C529" s="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spans="2:18" ht="48.75">
      <c r="B530" s="20"/>
      <c r="C530" s="6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</row>
    <row r="531" spans="2:18">
      <c r="B531" s="12"/>
      <c r="C531" s="31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</row>
    <row r="532" spans="2:18" ht="39.75">
      <c r="B532" s="16"/>
      <c r="C532" s="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</row>
    <row r="533" spans="2:18" ht="58.5">
      <c r="B533" s="18">
        <f t="shared" ref="B533" si="53">B529+1</f>
        <v>133</v>
      </c>
      <c r="C533" s="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spans="2:18" ht="48.75">
      <c r="B534" s="20"/>
      <c r="C534" s="6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</row>
    <row r="535" spans="2:18">
      <c r="B535" s="12"/>
      <c r="C535" s="31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</row>
    <row r="536" spans="2:18" ht="39.75">
      <c r="B536" s="16"/>
      <c r="C536" s="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</row>
    <row r="537" spans="2:18" ht="58.5">
      <c r="B537" s="18">
        <f t="shared" ref="B537" si="54">B533+1</f>
        <v>134</v>
      </c>
      <c r="C537" s="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spans="2:18" ht="48.75">
      <c r="B538" s="20"/>
      <c r="C538" s="6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</row>
    <row r="539" spans="2:18">
      <c r="B539" s="12"/>
      <c r="C539" s="31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</row>
    <row r="540" spans="2:18" ht="39.75">
      <c r="B540" s="16"/>
      <c r="C540" s="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</row>
    <row r="541" spans="2:18" ht="58.5">
      <c r="B541" s="18">
        <f t="shared" ref="B541" si="55">B537+1</f>
        <v>135</v>
      </c>
      <c r="C541" s="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spans="2:18" ht="48.75">
      <c r="B542" s="20"/>
      <c r="C542" s="6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</row>
    <row r="543" spans="2:18">
      <c r="B543" s="12"/>
      <c r="C543" s="31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</row>
    <row r="544" spans="2:18" ht="39.75">
      <c r="B544" s="16"/>
      <c r="C544" s="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</row>
    <row r="545" spans="2:18" ht="58.5">
      <c r="B545" s="18">
        <f t="shared" ref="B545" si="56">B541+1</f>
        <v>136</v>
      </c>
      <c r="C545" s="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spans="2:18" ht="48.75">
      <c r="B546" s="20"/>
      <c r="C546" s="6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</row>
    <row r="547" spans="2:18">
      <c r="B547" s="12"/>
      <c r="C547" s="31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</row>
    <row r="548" spans="2:18" ht="39.75">
      <c r="B548" s="16"/>
      <c r="C548" s="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</row>
    <row r="549" spans="2:18" ht="58.5">
      <c r="B549" s="18">
        <f t="shared" ref="B549" si="57">B545+1</f>
        <v>137</v>
      </c>
      <c r="C549" s="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spans="2:18" ht="48.75">
      <c r="B550" s="20"/>
      <c r="C550" s="6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</row>
    <row r="551" spans="2:18">
      <c r="B551" s="12"/>
      <c r="C551" s="31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</row>
    <row r="552" spans="2:18" ht="39.75">
      <c r="B552" s="16"/>
      <c r="C552" s="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</row>
    <row r="553" spans="2:18" ht="58.5">
      <c r="B553" s="18">
        <f t="shared" ref="B553" si="58">B549+1</f>
        <v>138</v>
      </c>
      <c r="C553" s="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spans="2:18" ht="48.75">
      <c r="B554" s="20"/>
      <c r="C554" s="6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</row>
    <row r="555" spans="2:18">
      <c r="B555" s="12"/>
      <c r="C555" s="31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</row>
    <row r="556" spans="2:18" ht="39.75">
      <c r="B556" s="16"/>
      <c r="C556" s="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</row>
    <row r="557" spans="2:18" ht="58.5">
      <c r="B557" s="18">
        <f t="shared" ref="B557" si="59">B553+1</f>
        <v>139</v>
      </c>
      <c r="C557" s="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spans="2:18" ht="48.75">
      <c r="B558" s="20"/>
      <c r="C558" s="6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</row>
    <row r="559" spans="2:18">
      <c r="B559" s="12"/>
      <c r="C559" s="31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</row>
    <row r="560" spans="2:18" ht="39.75">
      <c r="B560" s="16"/>
      <c r="C560" s="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</row>
    <row r="561" spans="2:18" ht="58.5">
      <c r="B561" s="18">
        <f t="shared" ref="B561" si="60">B557+1</f>
        <v>140</v>
      </c>
      <c r="C561" s="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spans="2:18" ht="48.75">
      <c r="B562" s="20"/>
      <c r="C562" s="6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</row>
    <row r="563" spans="2:18">
      <c r="B563" s="12"/>
      <c r="C563" s="31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</row>
    <row r="564" spans="2:18" ht="39.75">
      <c r="B564" s="16"/>
      <c r="C564" s="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</row>
    <row r="565" spans="2:18" ht="58.5">
      <c r="B565" s="18">
        <f t="shared" ref="B565" si="61">B561+1</f>
        <v>141</v>
      </c>
      <c r="C565" s="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spans="2:18" ht="48.75">
      <c r="B566" s="20"/>
      <c r="C566" s="6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</row>
    <row r="567" spans="2:18">
      <c r="B567" s="12"/>
      <c r="C567" s="31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</row>
    <row r="568" spans="2:18" ht="39.75">
      <c r="B568" s="16"/>
      <c r="C568" s="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</row>
    <row r="569" spans="2:18" ht="58.5">
      <c r="B569" s="18">
        <f t="shared" ref="B569" si="62">B565+1</f>
        <v>142</v>
      </c>
      <c r="C569" s="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spans="2:18" ht="48.75">
      <c r="B570" s="20"/>
      <c r="C570" s="6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</row>
    <row r="571" spans="2:18">
      <c r="B571" s="12"/>
      <c r="C571" s="31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</row>
    <row r="572" spans="2:18" ht="39.75">
      <c r="B572" s="16"/>
      <c r="C572" s="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</row>
    <row r="573" spans="2:18" ht="58.5">
      <c r="B573" s="18">
        <f t="shared" ref="B573" si="63">B569+1</f>
        <v>143</v>
      </c>
      <c r="C573" s="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spans="2:18" ht="48.75">
      <c r="B574" s="20"/>
      <c r="C574" s="6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</row>
    <row r="575" spans="2:18">
      <c r="B575" s="12"/>
      <c r="C575" s="31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</row>
    <row r="576" spans="2:18" ht="39.75">
      <c r="B576" s="16"/>
      <c r="C576" s="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</row>
    <row r="577" spans="2:18" ht="58.5">
      <c r="B577" s="18">
        <f t="shared" ref="B577" si="64">B573+1</f>
        <v>144</v>
      </c>
      <c r="C577" s="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spans="2:18" ht="48.75">
      <c r="B578" s="20"/>
      <c r="C578" s="6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</row>
    <row r="579" spans="2:18">
      <c r="B579" s="12"/>
      <c r="C579" s="31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</row>
    <row r="580" spans="2:18" ht="39.75">
      <c r="B580" s="16"/>
      <c r="C580" s="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</row>
    <row r="581" spans="2:18" ht="58.5">
      <c r="B581" s="18">
        <f t="shared" ref="B581" si="65">B577+1</f>
        <v>145</v>
      </c>
      <c r="C581" s="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spans="2:18" ht="48.75">
      <c r="B582" s="20"/>
      <c r="C582" s="6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</row>
    <row r="583" spans="2:18">
      <c r="B583" s="12"/>
      <c r="C583" s="31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</row>
    <row r="584" spans="2:18" ht="39.75">
      <c r="B584" s="16"/>
      <c r="C584" s="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</row>
    <row r="585" spans="2:18" ht="58.5">
      <c r="B585" s="18">
        <f t="shared" ref="B585" si="66">B581+1</f>
        <v>146</v>
      </c>
      <c r="C585" s="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spans="2:18" ht="48.75">
      <c r="B586" s="20"/>
      <c r="C586" s="6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</row>
    <row r="587" spans="2:18">
      <c r="B587" s="12"/>
      <c r="C587" s="31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</row>
    <row r="588" spans="2:18" ht="39.75">
      <c r="B588" s="16"/>
      <c r="C588" s="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</row>
    <row r="589" spans="2:18" ht="58.5">
      <c r="B589" s="18">
        <f t="shared" ref="B589" si="67">B585+1</f>
        <v>147</v>
      </c>
      <c r="C589" s="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spans="2:18" ht="48.75">
      <c r="B590" s="20"/>
      <c r="C590" s="6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</row>
    <row r="591" spans="2:18">
      <c r="B591" s="12"/>
      <c r="C591" s="31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</row>
    <row r="592" spans="2:18" ht="39.75">
      <c r="B592" s="16"/>
      <c r="C592" s="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</row>
    <row r="593" spans="2:18" ht="58.5">
      <c r="B593" s="18">
        <f t="shared" ref="B593" si="68">B589+1</f>
        <v>148</v>
      </c>
      <c r="C593" s="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spans="2:18" ht="48.75">
      <c r="B594" s="20"/>
      <c r="C594" s="6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</row>
    <row r="595" spans="2:18">
      <c r="B595" s="12"/>
      <c r="C595" s="31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</row>
    <row r="596" spans="2:18" ht="39.75">
      <c r="B596" s="16"/>
      <c r="C596" s="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</row>
    <row r="597" spans="2:18" ht="58.5">
      <c r="B597" s="18">
        <f t="shared" ref="B597" si="69">B593+1</f>
        <v>149</v>
      </c>
      <c r="C597" s="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spans="2:18" ht="48.75">
      <c r="B598" s="20"/>
      <c r="C598" s="6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</row>
    <row r="599" spans="2:18">
      <c r="B599" s="12"/>
      <c r="C599" s="31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</row>
    <row r="600" spans="2:18" ht="39.75">
      <c r="B600" s="16"/>
      <c r="C600" s="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</row>
    <row r="601" spans="2:18" ht="58.5">
      <c r="B601" s="18">
        <f t="shared" ref="B601" si="70">B597+1</f>
        <v>150</v>
      </c>
      <c r="C601" s="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spans="2:18" ht="48.75">
      <c r="B602" s="20"/>
      <c r="C602" s="6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</row>
    <row r="603" spans="2:18">
      <c r="B603" s="12"/>
      <c r="C603" s="31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</row>
    <row r="604" spans="2:18" ht="39.75">
      <c r="B604" s="16"/>
      <c r="C604" s="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</row>
    <row r="605" spans="2:18" ht="58.5">
      <c r="B605" s="18">
        <f>B601+1</f>
        <v>151</v>
      </c>
      <c r="C605" s="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spans="2:18" ht="48.75">
      <c r="B606" s="20"/>
      <c r="C606" s="6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</row>
    <row r="607" spans="2:18">
      <c r="B607" s="24"/>
      <c r="C607" s="25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</row>
    <row r="608" spans="2:18" ht="39.75">
      <c r="B608" s="16"/>
      <c r="C608" s="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</row>
    <row r="609" spans="2:18" ht="58.5">
      <c r="B609" s="18">
        <f>B605+1</f>
        <v>152</v>
      </c>
      <c r="C609" s="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spans="2:18" ht="48.75">
      <c r="B610" s="20"/>
      <c r="C610" s="6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</row>
    <row r="611" spans="2:18">
      <c r="B611" s="29"/>
      <c r="C611" s="30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</row>
    <row r="612" spans="2:18" ht="39.75">
      <c r="B612" s="16"/>
      <c r="C612" s="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</row>
    <row r="613" spans="2:18" ht="58.5">
      <c r="B613" s="18">
        <f>B609+1</f>
        <v>153</v>
      </c>
      <c r="C613" s="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spans="2:18" ht="48.75">
      <c r="B614" s="20"/>
      <c r="C614" s="6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</row>
    <row r="615" spans="2:18">
      <c r="B615" s="12"/>
      <c r="C615" s="31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</row>
    <row r="616" spans="2:18" ht="39.75">
      <c r="B616" s="16"/>
      <c r="C616" s="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</row>
    <row r="617" spans="2:18" ht="58.5">
      <c r="B617" s="18">
        <f>B613+1</f>
        <v>154</v>
      </c>
      <c r="C617" s="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spans="2:18" ht="48.75">
      <c r="B618" s="20"/>
      <c r="C618" s="6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</row>
    <row r="619" spans="2:18">
      <c r="B619" s="12"/>
      <c r="C619" s="31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</row>
    <row r="620" spans="2:18" ht="39.75">
      <c r="B620" s="16"/>
      <c r="C620" s="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</row>
    <row r="621" spans="2:18" ht="58.5">
      <c r="B621" s="18">
        <f>B617+1</f>
        <v>155</v>
      </c>
      <c r="C621" s="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spans="2:18" ht="48.75">
      <c r="B622" s="20"/>
      <c r="C622" s="6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</row>
    <row r="623" spans="2:18">
      <c r="B623" s="12"/>
      <c r="C623" s="31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</row>
    <row r="624" spans="2:18" ht="39.75">
      <c r="B624" s="16"/>
      <c r="C624" s="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</row>
    <row r="625" spans="2:18" ht="58.5">
      <c r="B625" s="18">
        <f>B621+1</f>
        <v>156</v>
      </c>
      <c r="C625" s="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spans="2:18" ht="48.75">
      <c r="B626" s="20"/>
      <c r="C626" s="6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</row>
    <row r="627" spans="2:18">
      <c r="B627" s="12"/>
      <c r="C627" s="31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</row>
    <row r="628" spans="2:18" ht="39.75">
      <c r="B628" s="16"/>
      <c r="C628" s="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</row>
    <row r="629" spans="2:18" ht="58.5">
      <c r="B629" s="18">
        <f>B625+1</f>
        <v>157</v>
      </c>
      <c r="C629" s="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spans="2:18" ht="48.75">
      <c r="B630" s="20"/>
      <c r="C630" s="6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</row>
    <row r="631" spans="2:18">
      <c r="B631" s="12"/>
      <c r="C631" s="31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</row>
    <row r="632" spans="2:18" ht="39.75">
      <c r="B632" s="16"/>
      <c r="C632" s="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</row>
    <row r="633" spans="2:18" ht="58.5">
      <c r="B633" s="18">
        <f>B629+1</f>
        <v>158</v>
      </c>
      <c r="C633" s="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spans="2:18" ht="48.75">
      <c r="B634" s="20"/>
      <c r="C634" s="6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</row>
    <row r="635" spans="2:18">
      <c r="B635" s="12"/>
      <c r="C635" s="31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</row>
    <row r="636" spans="2:18" ht="39.75">
      <c r="B636" s="16"/>
      <c r="C636" s="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</row>
    <row r="637" spans="2:18" ht="58.5">
      <c r="B637" s="18">
        <f>B633+1</f>
        <v>159</v>
      </c>
      <c r="C637" s="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spans="2:18" ht="48.75">
      <c r="B638" s="20"/>
      <c r="C638" s="6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</row>
    <row r="639" spans="2:18">
      <c r="B639" s="12"/>
      <c r="C639" s="31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</row>
    <row r="640" spans="2:18" ht="39.75">
      <c r="B640" s="16"/>
      <c r="C640" s="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</row>
    <row r="641" spans="2:18" ht="58.5">
      <c r="B641" s="18">
        <f>B637+1</f>
        <v>160</v>
      </c>
      <c r="C641" s="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spans="2:18" ht="48.75">
      <c r="B642" s="20"/>
      <c r="C642" s="6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</row>
    <row r="643" spans="2:18">
      <c r="B643" s="12"/>
      <c r="C643" s="31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</row>
    <row r="644" spans="2:18" ht="39.75">
      <c r="B644" s="16"/>
      <c r="C644" s="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</row>
    <row r="645" spans="2:18" ht="58.5">
      <c r="B645" s="18">
        <f>B641+1</f>
        <v>161</v>
      </c>
      <c r="C645" s="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spans="2:18" ht="48.75">
      <c r="B646" s="20"/>
      <c r="C646" s="6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</row>
    <row r="647" spans="2:18">
      <c r="B647" s="12"/>
      <c r="C647" s="31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</row>
    <row r="648" spans="2:18" ht="39.75">
      <c r="B648" s="16"/>
      <c r="C648" s="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</row>
    <row r="649" spans="2:18" ht="58.5">
      <c r="B649" s="18">
        <f>B645+1</f>
        <v>162</v>
      </c>
      <c r="C649" s="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spans="2:18" ht="48.75">
      <c r="B650" s="20"/>
      <c r="C650" s="6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</row>
    <row r="651" spans="2:18">
      <c r="B651" s="12"/>
      <c r="C651" s="31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</row>
    <row r="652" spans="2:18" ht="39.75">
      <c r="B652" s="16"/>
      <c r="C652" s="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</row>
    <row r="653" spans="2:18" ht="58.5">
      <c r="B653" s="18">
        <f>B649+1</f>
        <v>163</v>
      </c>
      <c r="C653" s="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spans="2:18" ht="48.75">
      <c r="B654" s="20"/>
      <c r="C654" s="6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</row>
    <row r="655" spans="2:18">
      <c r="B655" s="12"/>
      <c r="C655" s="31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</row>
    <row r="656" spans="2:18" ht="39.75">
      <c r="B656" s="16"/>
      <c r="C656" s="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</row>
    <row r="657" spans="2:18" ht="58.5">
      <c r="B657" s="18">
        <f>B653+1</f>
        <v>164</v>
      </c>
      <c r="C657" s="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spans="2:18" ht="48.75">
      <c r="B658" s="20"/>
      <c r="C658" s="6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</row>
    <row r="659" spans="2:18">
      <c r="B659" s="12"/>
      <c r="C659" s="31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</row>
    <row r="660" spans="2:18" ht="39.75">
      <c r="B660" s="16"/>
      <c r="C660" s="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</row>
    <row r="661" spans="2:18" ht="58.5">
      <c r="B661" s="18">
        <f>B657+1</f>
        <v>165</v>
      </c>
      <c r="C661" s="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spans="2:18" ht="48.75">
      <c r="B662" s="20"/>
      <c r="C662" s="6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</row>
    <row r="663" spans="2:18">
      <c r="B663" s="12"/>
      <c r="C663" s="31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</row>
    <row r="664" spans="2:18" ht="39.75">
      <c r="B664" s="16"/>
      <c r="C664" s="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</row>
    <row r="665" spans="2:18" ht="58.5">
      <c r="B665" s="18">
        <f>B661+1</f>
        <v>166</v>
      </c>
      <c r="C665" s="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spans="2:18" ht="48.75">
      <c r="B666" s="20"/>
      <c r="C666" s="6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</row>
    <row r="667" spans="2:18">
      <c r="B667" s="12"/>
      <c r="C667" s="31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</row>
    <row r="668" spans="2:18" ht="39.75">
      <c r="B668" s="16"/>
      <c r="C668" s="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</row>
    <row r="669" spans="2:18" ht="58.5">
      <c r="B669" s="18">
        <f>B665+1</f>
        <v>167</v>
      </c>
      <c r="C669" s="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spans="2:18" ht="48.75">
      <c r="B670" s="20"/>
      <c r="C670" s="6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</row>
    <row r="671" spans="2:18">
      <c r="B671" s="12"/>
      <c r="C671" s="31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</row>
    <row r="672" spans="2:18" ht="39.75">
      <c r="B672" s="16"/>
      <c r="C672" s="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</row>
    <row r="673" spans="2:18" ht="58.5">
      <c r="B673" s="18">
        <f>B669+1</f>
        <v>168</v>
      </c>
      <c r="C673" s="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spans="2:18" ht="48.75">
      <c r="B674" s="20"/>
      <c r="C674" s="6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</row>
    <row r="675" spans="2:18">
      <c r="B675" s="12"/>
      <c r="C675" s="31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</row>
    <row r="676" spans="2:18" ht="39.75">
      <c r="B676" s="16"/>
      <c r="C676" s="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</row>
    <row r="677" spans="2:18" ht="58.5">
      <c r="B677" s="18">
        <f>B673+1</f>
        <v>169</v>
      </c>
      <c r="C677" s="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spans="2:18" ht="48.75">
      <c r="B678" s="20"/>
      <c r="C678" s="6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</row>
    <row r="679" spans="2:18">
      <c r="B679" s="12"/>
      <c r="C679" s="31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</row>
    <row r="680" spans="2:18" ht="39.75">
      <c r="B680" s="16"/>
      <c r="C680" s="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</row>
    <row r="681" spans="2:18" ht="58.5">
      <c r="B681" s="18">
        <f>B677+1</f>
        <v>170</v>
      </c>
      <c r="C681" s="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spans="2:18" ht="48.75">
      <c r="B682" s="20"/>
      <c r="C682" s="6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</row>
    <row r="683" spans="2:18">
      <c r="B683" s="12"/>
      <c r="C683" s="31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</row>
    <row r="684" spans="2:18" ht="39.75">
      <c r="B684" s="16"/>
      <c r="C684" s="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</row>
    <row r="685" spans="2:18" ht="58.5">
      <c r="B685" s="18">
        <f>B681+1</f>
        <v>171</v>
      </c>
      <c r="C685" s="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spans="2:18" ht="48.75">
      <c r="B686" s="20"/>
      <c r="C686" s="6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</row>
    <row r="687" spans="2:18">
      <c r="B687" s="12"/>
      <c r="C687" s="31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</row>
    <row r="688" spans="2:18" ht="39.75">
      <c r="B688" s="16"/>
      <c r="C688" s="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</row>
    <row r="689" spans="2:18" ht="58.5">
      <c r="B689" s="18">
        <f>B685+1</f>
        <v>172</v>
      </c>
      <c r="C689" s="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spans="2:18" ht="48.75">
      <c r="B690" s="20"/>
      <c r="C690" s="6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</row>
    <row r="691" spans="2:18">
      <c r="B691" s="12"/>
      <c r="C691" s="31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</row>
    <row r="692" spans="2:18" ht="39.75">
      <c r="B692" s="16"/>
      <c r="C692" s="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</row>
    <row r="693" spans="2:18" ht="58.5">
      <c r="B693" s="18">
        <f>B689+1</f>
        <v>173</v>
      </c>
      <c r="C693" s="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spans="2:18" ht="48.75">
      <c r="B694" s="20"/>
      <c r="C694" s="6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</row>
    <row r="695" spans="2:18">
      <c r="B695" s="12"/>
      <c r="C695" s="31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</row>
    <row r="696" spans="2:18" ht="39.75">
      <c r="B696" s="16"/>
      <c r="C696" s="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</row>
    <row r="697" spans="2:18" ht="58.5">
      <c r="B697" s="18">
        <f>B693+1</f>
        <v>174</v>
      </c>
      <c r="C697" s="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spans="2:18" ht="48.75">
      <c r="B698" s="20"/>
      <c r="C698" s="6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</row>
    <row r="699" spans="2:18">
      <c r="B699" s="12"/>
      <c r="C699" s="31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</row>
    <row r="700" spans="2:18" ht="39.75">
      <c r="B700" s="16"/>
      <c r="C700" s="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</row>
    <row r="701" spans="2:18" ht="58.5">
      <c r="B701" s="18">
        <f>B697+1</f>
        <v>175</v>
      </c>
      <c r="C701" s="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spans="2:18" ht="48.75">
      <c r="B702" s="20"/>
      <c r="C702" s="6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</row>
    <row r="703" spans="2:18">
      <c r="B703" s="12"/>
      <c r="C703" s="31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</row>
    <row r="704" spans="2:18" ht="39.75">
      <c r="B704" s="16"/>
      <c r="C704" s="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</row>
    <row r="705" spans="2:18" ht="58.5">
      <c r="B705" s="18">
        <f>B701+1</f>
        <v>176</v>
      </c>
      <c r="C705" s="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spans="2:18" ht="48.75">
      <c r="B706" s="20"/>
      <c r="C706" s="6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</row>
    <row r="707" spans="2:18">
      <c r="B707" s="12"/>
      <c r="C707" s="31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</row>
    <row r="708" spans="2:18" ht="39.75">
      <c r="B708" s="16"/>
      <c r="C708" s="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</row>
    <row r="709" spans="2:18" ht="58.5">
      <c r="B709" s="18">
        <f>B705+1</f>
        <v>177</v>
      </c>
      <c r="C709" s="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spans="2:18" ht="48.75">
      <c r="B710" s="20"/>
      <c r="C710" s="6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</row>
    <row r="711" spans="2:18">
      <c r="B711" s="12"/>
      <c r="C711" s="31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</row>
    <row r="712" spans="2:18" ht="39.75">
      <c r="B712" s="16"/>
      <c r="C712" s="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</row>
    <row r="713" spans="2:18" ht="58.5">
      <c r="B713" s="18">
        <f t="shared" ref="B713" si="71">B709+1</f>
        <v>178</v>
      </c>
      <c r="C713" s="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spans="2:18" ht="48.75">
      <c r="B714" s="20"/>
      <c r="C714" s="6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</row>
    <row r="715" spans="2:18">
      <c r="B715" s="12"/>
      <c r="C715" s="31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</row>
    <row r="716" spans="2:18" ht="39.75">
      <c r="B716" s="16"/>
      <c r="C716" s="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</row>
    <row r="717" spans="2:18" ht="58.5">
      <c r="B717" s="18">
        <f t="shared" ref="B717" si="72">B713+1</f>
        <v>179</v>
      </c>
      <c r="C717" s="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spans="2:18" ht="48.75">
      <c r="B718" s="20"/>
      <c r="C718" s="6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</row>
    <row r="719" spans="2:18">
      <c r="B719" s="12"/>
      <c r="C719" s="31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</row>
    <row r="720" spans="2:18" ht="39.75">
      <c r="B720" s="16"/>
      <c r="C720" s="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</row>
    <row r="721" spans="2:18" ht="58.5">
      <c r="B721" s="18">
        <f t="shared" ref="B721" si="73">B717+1</f>
        <v>180</v>
      </c>
      <c r="C721" s="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spans="2:18" ht="48.75">
      <c r="B722" s="20"/>
      <c r="C722" s="6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</row>
    <row r="723" spans="2:18">
      <c r="B723" s="12"/>
      <c r="C723" s="31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</row>
    <row r="724" spans="2:18" ht="39.75">
      <c r="B724" s="16"/>
      <c r="C724" s="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</row>
    <row r="725" spans="2:18" ht="58.5">
      <c r="B725" s="18">
        <f t="shared" ref="B725" si="74">B721+1</f>
        <v>181</v>
      </c>
      <c r="C725" s="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spans="2:18" ht="48.75">
      <c r="B726" s="20"/>
      <c r="C726" s="6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</row>
    <row r="727" spans="2:18">
      <c r="B727" s="12"/>
      <c r="C727" s="31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</row>
    <row r="728" spans="2:18" ht="39.75">
      <c r="B728" s="16"/>
      <c r="C728" s="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</row>
    <row r="729" spans="2:18" ht="58.5">
      <c r="B729" s="18">
        <f t="shared" ref="B729" si="75">B725+1</f>
        <v>182</v>
      </c>
      <c r="C729" s="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spans="2:18" ht="48.75">
      <c r="B730" s="20"/>
      <c r="C730" s="6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</row>
    <row r="731" spans="2:18">
      <c r="B731" s="12"/>
      <c r="C731" s="31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</row>
    <row r="732" spans="2:18" ht="39.75">
      <c r="B732" s="16"/>
      <c r="C732" s="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</row>
    <row r="733" spans="2:18" ht="58.5">
      <c r="B733" s="18">
        <f t="shared" ref="B733" si="76">B729+1</f>
        <v>183</v>
      </c>
      <c r="C733" s="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spans="2:18" ht="48.75">
      <c r="B734" s="20"/>
      <c r="C734" s="6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</row>
    <row r="735" spans="2:18">
      <c r="B735" s="12"/>
      <c r="C735" s="31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</row>
    <row r="736" spans="2:18" ht="39.75">
      <c r="B736" s="16"/>
      <c r="C736" s="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</row>
    <row r="737" spans="2:18" ht="58.5">
      <c r="B737" s="18">
        <f t="shared" ref="B737" si="77">B733+1</f>
        <v>184</v>
      </c>
      <c r="C737" s="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spans="2:18" ht="48.75">
      <c r="B738" s="20"/>
      <c r="C738" s="6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</row>
    <row r="739" spans="2:18">
      <c r="B739" s="12"/>
      <c r="C739" s="31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</row>
    <row r="740" spans="2:18" ht="39.75">
      <c r="B740" s="16"/>
      <c r="C740" s="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</row>
    <row r="741" spans="2:18" ht="58.5">
      <c r="B741" s="18">
        <f t="shared" ref="B741" si="78">B737+1</f>
        <v>185</v>
      </c>
      <c r="C741" s="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spans="2:18" ht="48.75">
      <c r="B742" s="20"/>
      <c r="C742" s="6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</row>
    <row r="743" spans="2:18">
      <c r="B743" s="12"/>
      <c r="C743" s="31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</row>
    <row r="744" spans="2:18" ht="39.75">
      <c r="B744" s="16"/>
      <c r="C744" s="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</row>
    <row r="745" spans="2:18" ht="58.5">
      <c r="B745" s="18">
        <f t="shared" ref="B745" si="79">B741+1</f>
        <v>186</v>
      </c>
      <c r="C745" s="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spans="2:18" ht="48.75">
      <c r="B746" s="20"/>
      <c r="C746" s="6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</row>
    <row r="747" spans="2:18">
      <c r="B747" s="12"/>
      <c r="C747" s="31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</row>
    <row r="748" spans="2:18" ht="39.75">
      <c r="B748" s="16"/>
      <c r="C748" s="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</row>
    <row r="749" spans="2:18" ht="58.5">
      <c r="B749" s="18">
        <f t="shared" ref="B749" si="80">B745+1</f>
        <v>187</v>
      </c>
      <c r="C749" s="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spans="2:18" ht="48.75">
      <c r="B750" s="20"/>
      <c r="C750" s="6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</row>
    <row r="751" spans="2:18">
      <c r="B751" s="12"/>
      <c r="C751" s="31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</row>
    <row r="752" spans="2:18" ht="39.75">
      <c r="B752" s="16"/>
      <c r="C752" s="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</row>
    <row r="753" spans="2:18" ht="58.5">
      <c r="B753" s="18">
        <f t="shared" ref="B753" si="81">B749+1</f>
        <v>188</v>
      </c>
      <c r="C753" s="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spans="2:18" ht="48.75">
      <c r="B754" s="20"/>
      <c r="C754" s="6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</row>
    <row r="755" spans="2:18">
      <c r="B755" s="12"/>
      <c r="C755" s="31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</row>
    <row r="756" spans="2:18" ht="39.75">
      <c r="B756" s="16"/>
      <c r="C756" s="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</row>
    <row r="757" spans="2:18" ht="58.5">
      <c r="B757" s="18">
        <f t="shared" ref="B757" si="82">B753+1</f>
        <v>189</v>
      </c>
      <c r="C757" s="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spans="2:18" ht="48.75">
      <c r="B758" s="20"/>
      <c r="C758" s="6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</row>
    <row r="759" spans="2:18">
      <c r="B759" s="12"/>
      <c r="C759" s="31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</row>
    <row r="760" spans="2:18" ht="39.75">
      <c r="B760" s="16"/>
      <c r="C760" s="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</row>
    <row r="761" spans="2:18" ht="58.5">
      <c r="B761" s="18">
        <f t="shared" ref="B761" si="83">B757+1</f>
        <v>190</v>
      </c>
      <c r="C761" s="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spans="2:18" ht="48.75">
      <c r="B762" s="20"/>
      <c r="C762" s="6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</row>
    <row r="763" spans="2:18">
      <c r="B763" s="12"/>
      <c r="C763" s="31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</row>
    <row r="764" spans="2:18" ht="39.75">
      <c r="B764" s="16"/>
      <c r="C764" s="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</row>
    <row r="765" spans="2:18" ht="58.5">
      <c r="B765" s="18">
        <f t="shared" ref="B765" si="84">B761+1</f>
        <v>191</v>
      </c>
      <c r="C765" s="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spans="2:18" ht="48.75">
      <c r="B766" s="20"/>
      <c r="C766" s="6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</row>
    <row r="767" spans="2:18">
      <c r="B767" s="12"/>
      <c r="C767" s="31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</row>
    <row r="768" spans="2:18" ht="39.75">
      <c r="B768" s="16"/>
      <c r="C768" s="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</row>
    <row r="769" spans="2:18" ht="58.5">
      <c r="B769" s="18">
        <f t="shared" ref="B769" si="85">B765+1</f>
        <v>192</v>
      </c>
      <c r="C769" s="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spans="2:18" ht="48.75">
      <c r="B770" s="20"/>
      <c r="C770" s="6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</row>
    <row r="771" spans="2:18">
      <c r="B771" s="12"/>
      <c r="C771" s="31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</row>
    <row r="772" spans="2:18" ht="39.75">
      <c r="B772" s="16"/>
      <c r="C772" s="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</row>
    <row r="773" spans="2:18" ht="58.5">
      <c r="B773" s="18">
        <f t="shared" ref="B773" si="86">B769+1</f>
        <v>193</v>
      </c>
      <c r="C773" s="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spans="2:18" ht="48.75">
      <c r="B774" s="20"/>
      <c r="C774" s="6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</row>
    <row r="775" spans="2:18">
      <c r="B775" s="12"/>
      <c r="C775" s="31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</row>
    <row r="776" spans="2:18" ht="39.75">
      <c r="B776" s="16"/>
      <c r="C776" s="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</row>
    <row r="777" spans="2:18" ht="58.5">
      <c r="B777" s="18">
        <f t="shared" ref="B777" si="87">B773+1</f>
        <v>194</v>
      </c>
      <c r="C777" s="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spans="2:18" ht="48.75">
      <c r="B778" s="20"/>
      <c r="C778" s="6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</row>
    <row r="779" spans="2:18">
      <c r="B779" s="12"/>
      <c r="C779" s="31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</row>
    <row r="780" spans="2:18" ht="39.75">
      <c r="B780" s="16"/>
      <c r="C780" s="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</row>
    <row r="781" spans="2:18" ht="58.5">
      <c r="B781" s="18">
        <f t="shared" ref="B781" si="88">B777+1</f>
        <v>195</v>
      </c>
      <c r="C781" s="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spans="2:18" ht="48.75">
      <c r="B782" s="20"/>
      <c r="C782" s="6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</row>
    <row r="783" spans="2:18">
      <c r="B783" s="12"/>
      <c r="C783" s="31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</row>
    <row r="784" spans="2:18" ht="39.75">
      <c r="B784" s="16"/>
      <c r="C784" s="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</row>
    <row r="785" spans="2:18" ht="58.5">
      <c r="B785" s="18">
        <f t="shared" ref="B785" si="89">B781+1</f>
        <v>196</v>
      </c>
      <c r="C785" s="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spans="2:18" ht="48.75">
      <c r="B786" s="20"/>
      <c r="C786" s="6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</row>
    <row r="787" spans="2:18">
      <c r="B787" s="12"/>
      <c r="C787" s="31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</row>
    <row r="788" spans="2:18" ht="39.75">
      <c r="B788" s="16"/>
      <c r="C788" s="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</row>
    <row r="789" spans="2:18" ht="58.5">
      <c r="B789" s="18">
        <f t="shared" ref="B789" si="90">B785+1</f>
        <v>197</v>
      </c>
      <c r="C789" s="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spans="2:18" ht="48.75">
      <c r="B790" s="20"/>
      <c r="C790" s="6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</row>
    <row r="791" spans="2:18">
      <c r="B791" s="12"/>
      <c r="C791" s="31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</row>
    <row r="792" spans="2:18" ht="39.75">
      <c r="B792" s="16"/>
      <c r="C792" s="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</row>
    <row r="793" spans="2:18" ht="58.5">
      <c r="B793" s="18">
        <f t="shared" ref="B793" si="91">B789+1</f>
        <v>198</v>
      </c>
      <c r="C793" s="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spans="2:18" ht="48.75">
      <c r="B794" s="20"/>
      <c r="C794" s="6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</row>
    <row r="795" spans="2:18">
      <c r="B795" s="12"/>
      <c r="C795" s="31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</row>
    <row r="796" spans="2:18" ht="39.75">
      <c r="B796" s="16"/>
      <c r="C796" s="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</row>
    <row r="797" spans="2:18" ht="58.5">
      <c r="B797" s="18">
        <f t="shared" ref="B797" si="92">B793+1</f>
        <v>199</v>
      </c>
      <c r="C797" s="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spans="2:18" ht="48.75">
      <c r="B798" s="20"/>
      <c r="C798" s="6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</row>
    <row r="799" spans="2:18">
      <c r="B799" s="12"/>
      <c r="C799" s="31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</row>
    <row r="800" spans="2:18" ht="39.75">
      <c r="B800" s="16"/>
      <c r="C800" s="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</row>
    <row r="801" spans="2:18" ht="58.5">
      <c r="B801" s="18">
        <f t="shared" ref="B801" si="93">B797+1</f>
        <v>200</v>
      </c>
      <c r="C801" s="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spans="2:18" ht="48.75">
      <c r="B802" s="20"/>
      <c r="C802" s="6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</row>
    <row r="803" spans="2:18">
      <c r="B803" s="12"/>
      <c r="C803" s="31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</row>
    <row r="804" spans="2:18" ht="39.75">
      <c r="B804" s="16"/>
      <c r="C804" s="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</row>
    <row r="805" spans="2:18" ht="58.5">
      <c r="B805" s="18">
        <f t="shared" ref="B805" si="94">B801+1</f>
        <v>201</v>
      </c>
      <c r="C805" s="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spans="2:18" ht="48.75">
      <c r="B806" s="20"/>
      <c r="C806" s="6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</row>
    <row r="807" spans="2:18">
      <c r="B807" s="24"/>
      <c r="C807" s="25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</row>
    <row r="808" spans="2:18" ht="39.75">
      <c r="B808" s="16"/>
      <c r="C808" s="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</row>
    <row r="809" spans="2:18" ht="58.5">
      <c r="B809" s="18">
        <f>B805+1</f>
        <v>202</v>
      </c>
      <c r="C809" s="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spans="2:18" ht="48.75">
      <c r="B810" s="20"/>
      <c r="C810" s="6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</row>
    <row r="811" spans="2:18">
      <c r="B811" s="29"/>
      <c r="C811" s="30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</row>
    <row r="812" spans="2:18" ht="39.75">
      <c r="B812" s="16"/>
      <c r="C812" s="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</row>
    <row r="813" spans="2:18" ht="58.5">
      <c r="B813" s="18">
        <f>B809+1</f>
        <v>203</v>
      </c>
      <c r="C813" s="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spans="2:18" ht="48.75">
      <c r="B814" s="20"/>
      <c r="C814" s="6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</row>
    <row r="815" spans="2:18">
      <c r="B815" s="12"/>
      <c r="C815" s="31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</row>
    <row r="816" spans="2:18" ht="39.75">
      <c r="B816" s="16"/>
      <c r="C816" s="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</row>
    <row r="817" spans="2:18" ht="58.5">
      <c r="B817" s="18">
        <f>B813+1</f>
        <v>204</v>
      </c>
      <c r="C817" s="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spans="2:18" ht="48.75">
      <c r="B818" s="20"/>
      <c r="C818" s="6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</row>
    <row r="819" spans="2:18">
      <c r="B819" s="12"/>
      <c r="C819" s="31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</row>
    <row r="820" spans="2:18" ht="39.75">
      <c r="B820" s="16"/>
      <c r="C820" s="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</row>
    <row r="821" spans="2:18" ht="58.5">
      <c r="B821" s="18">
        <f>B817+1</f>
        <v>205</v>
      </c>
      <c r="C821" s="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spans="2:18" ht="48.75">
      <c r="B822" s="20"/>
      <c r="C822" s="6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</row>
    <row r="823" spans="2:18">
      <c r="B823" s="12"/>
      <c r="C823" s="31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</row>
    <row r="824" spans="2:18" ht="39.75">
      <c r="B824" s="16"/>
      <c r="C824" s="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</row>
    <row r="825" spans="2:18" ht="58.5">
      <c r="B825" s="18">
        <f>B821+1</f>
        <v>206</v>
      </c>
      <c r="C825" s="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spans="2:18" ht="48.75">
      <c r="B826" s="20"/>
      <c r="C826" s="6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</row>
    <row r="827" spans="2:18">
      <c r="B827" s="12"/>
      <c r="C827" s="31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</row>
    <row r="828" spans="2:18" ht="39.75">
      <c r="B828" s="16"/>
      <c r="C828" s="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</row>
    <row r="829" spans="2:18" ht="58.5">
      <c r="B829" s="18">
        <f>B825+1</f>
        <v>207</v>
      </c>
      <c r="C829" s="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spans="2:18" ht="48.75">
      <c r="B830" s="20"/>
      <c r="C830" s="6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</row>
    <row r="831" spans="2:18">
      <c r="B831" s="12"/>
      <c r="C831" s="31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</row>
    <row r="832" spans="2:18" ht="39.75">
      <c r="B832" s="16"/>
      <c r="C832" s="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</row>
    <row r="833" spans="2:18" ht="58.5">
      <c r="B833" s="18">
        <f>B829+1</f>
        <v>208</v>
      </c>
      <c r="C833" s="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spans="2:18" ht="48.75">
      <c r="B834" s="20"/>
      <c r="C834" s="6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</row>
    <row r="835" spans="2:18">
      <c r="B835" s="12"/>
      <c r="C835" s="31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</row>
    <row r="836" spans="2:18" ht="39.75">
      <c r="B836" s="16"/>
      <c r="C836" s="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</row>
    <row r="837" spans="2:18" ht="58.5">
      <c r="B837" s="18">
        <f>B833+1</f>
        <v>209</v>
      </c>
      <c r="C837" s="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spans="2:18" ht="48.75">
      <c r="B838" s="20"/>
      <c r="C838" s="6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</row>
    <row r="839" spans="2:18">
      <c r="B839" s="12"/>
      <c r="C839" s="31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</row>
    <row r="840" spans="2:18" ht="39.75">
      <c r="B840" s="16"/>
      <c r="C840" s="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</row>
    <row r="841" spans="2:18" ht="58.5">
      <c r="B841" s="18">
        <f>B837+1</f>
        <v>210</v>
      </c>
      <c r="C841" s="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spans="2:18" ht="48.75">
      <c r="B842" s="20"/>
      <c r="C842" s="6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</row>
    <row r="843" spans="2:18">
      <c r="B843" s="12"/>
      <c r="C843" s="31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</row>
    <row r="844" spans="2:18" ht="39.75">
      <c r="B844" s="16"/>
      <c r="C844" s="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</row>
    <row r="845" spans="2:18" ht="58.5">
      <c r="B845" s="18">
        <f>B841+1</f>
        <v>211</v>
      </c>
      <c r="C845" s="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spans="2:18" ht="48.75">
      <c r="B846" s="20"/>
      <c r="C846" s="6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</row>
    <row r="847" spans="2:18">
      <c r="B847" s="12"/>
      <c r="C847" s="31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</row>
    <row r="848" spans="2:18" ht="39.75">
      <c r="B848" s="16"/>
      <c r="C848" s="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</row>
    <row r="849" spans="2:18" ht="58.5">
      <c r="B849" s="18">
        <f>B845+1</f>
        <v>212</v>
      </c>
      <c r="C849" s="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spans="2:18" ht="48.75">
      <c r="B850" s="20"/>
      <c r="C850" s="6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</row>
    <row r="851" spans="2:18">
      <c r="B851" s="12"/>
      <c r="C851" s="31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</row>
    <row r="852" spans="2:18" ht="39.75">
      <c r="B852" s="16"/>
      <c r="C852" s="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</row>
    <row r="853" spans="2:18" ht="58.5">
      <c r="B853" s="18">
        <f>B849+1</f>
        <v>213</v>
      </c>
      <c r="C853" s="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spans="2:18" ht="48.75">
      <c r="B854" s="20"/>
      <c r="C854" s="6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</row>
    <row r="855" spans="2:18">
      <c r="B855" s="12"/>
      <c r="C855" s="31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</row>
    <row r="856" spans="2:18" ht="39.75">
      <c r="B856" s="16"/>
      <c r="C856" s="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</row>
    <row r="857" spans="2:18" ht="58.5">
      <c r="B857" s="18">
        <f>B853+1</f>
        <v>214</v>
      </c>
      <c r="C857" s="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spans="2:18" ht="48.75">
      <c r="B858" s="20"/>
      <c r="C858" s="6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</row>
    <row r="859" spans="2:18">
      <c r="B859" s="12"/>
      <c r="C859" s="31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</row>
    <row r="860" spans="2:18" ht="39.75">
      <c r="B860" s="16"/>
      <c r="C860" s="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</row>
    <row r="861" spans="2:18" ht="58.5">
      <c r="B861" s="18">
        <f>B857+1</f>
        <v>215</v>
      </c>
      <c r="C861" s="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spans="2:18" ht="48.75">
      <c r="B862" s="20"/>
      <c r="C862" s="6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</row>
    <row r="863" spans="2:18">
      <c r="B863" s="12"/>
      <c r="C863" s="31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</row>
    <row r="864" spans="2:18" ht="39.75">
      <c r="B864" s="16"/>
      <c r="C864" s="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</row>
    <row r="865" spans="2:18" ht="58.5">
      <c r="B865" s="18">
        <f>B861+1</f>
        <v>216</v>
      </c>
      <c r="C865" s="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spans="2:18" ht="48.75">
      <c r="B866" s="20"/>
      <c r="C866" s="6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</row>
    <row r="867" spans="2:18">
      <c r="B867" s="12"/>
      <c r="C867" s="31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</row>
    <row r="868" spans="2:18" ht="39.75">
      <c r="B868" s="16"/>
      <c r="C868" s="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</row>
    <row r="869" spans="2:18" ht="58.5">
      <c r="B869" s="18">
        <f>B865+1</f>
        <v>217</v>
      </c>
      <c r="C869" s="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spans="2:18" ht="48.75">
      <c r="B870" s="20"/>
      <c r="C870" s="6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</row>
    <row r="871" spans="2:18">
      <c r="B871" s="12"/>
      <c r="C871" s="31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</row>
    <row r="872" spans="2:18" ht="39.75">
      <c r="B872" s="16"/>
      <c r="C872" s="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</row>
    <row r="873" spans="2:18" ht="58.5">
      <c r="B873" s="18">
        <f>B869+1</f>
        <v>218</v>
      </c>
      <c r="C873" s="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spans="2:18" ht="48.75">
      <c r="B874" s="20"/>
      <c r="C874" s="6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</row>
    <row r="875" spans="2:18">
      <c r="B875" s="12"/>
      <c r="C875" s="31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</row>
    <row r="876" spans="2:18" ht="39.75">
      <c r="B876" s="16"/>
      <c r="C876" s="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</row>
    <row r="877" spans="2:18" ht="58.5">
      <c r="B877" s="18">
        <f>B873+1</f>
        <v>219</v>
      </c>
      <c r="C877" s="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spans="2:18" ht="48.75">
      <c r="B878" s="20"/>
      <c r="C878" s="6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</row>
    <row r="879" spans="2:18">
      <c r="B879" s="12"/>
      <c r="C879" s="31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</row>
    <row r="880" spans="2:18" ht="39.75">
      <c r="B880" s="16"/>
      <c r="C880" s="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</row>
    <row r="881" spans="2:18" ht="58.5">
      <c r="B881" s="18">
        <f>B877+1</f>
        <v>220</v>
      </c>
      <c r="C881" s="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spans="2:18" ht="48.75">
      <c r="B882" s="20"/>
      <c r="C882" s="6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</row>
    <row r="883" spans="2:18">
      <c r="B883" s="12"/>
      <c r="C883" s="31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</row>
    <row r="884" spans="2:18" ht="39.75">
      <c r="B884" s="16"/>
      <c r="C884" s="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</row>
    <row r="885" spans="2:18" ht="58.5">
      <c r="B885" s="18">
        <f>B881+1</f>
        <v>221</v>
      </c>
      <c r="C885" s="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spans="2:18" ht="48.75">
      <c r="B886" s="20"/>
      <c r="C886" s="6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</row>
    <row r="887" spans="2:18">
      <c r="B887" s="12"/>
      <c r="C887" s="31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</row>
    <row r="888" spans="2:18" ht="39.75">
      <c r="B888" s="16"/>
      <c r="C888" s="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</row>
    <row r="889" spans="2:18" ht="58.5">
      <c r="B889" s="18">
        <f>B885+1</f>
        <v>222</v>
      </c>
      <c r="C889" s="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spans="2:18" ht="48.75">
      <c r="B890" s="20"/>
      <c r="C890" s="6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</row>
    <row r="891" spans="2:18">
      <c r="B891" s="12"/>
      <c r="C891" s="31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</row>
    <row r="892" spans="2:18" ht="39.75">
      <c r="B892" s="16"/>
      <c r="C892" s="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</row>
    <row r="893" spans="2:18" ht="58.5">
      <c r="B893" s="18">
        <f>B889+1</f>
        <v>223</v>
      </c>
      <c r="C893" s="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spans="2:18" ht="48.75">
      <c r="B894" s="20"/>
      <c r="C894" s="6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</row>
    <row r="895" spans="2:18">
      <c r="B895" s="12"/>
      <c r="C895" s="31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</row>
    <row r="896" spans="2:18" ht="39.75">
      <c r="B896" s="16"/>
      <c r="C896" s="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</row>
    <row r="897" spans="2:18" ht="58.5">
      <c r="B897" s="18">
        <f>B893+1</f>
        <v>224</v>
      </c>
      <c r="C897" s="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spans="2:18" ht="48.75">
      <c r="B898" s="20"/>
      <c r="C898" s="6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</row>
    <row r="899" spans="2:18">
      <c r="B899" s="12"/>
      <c r="C899" s="31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</row>
    <row r="900" spans="2:18" ht="39.75">
      <c r="B900" s="16"/>
      <c r="C900" s="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</row>
    <row r="901" spans="2:18" ht="58.5">
      <c r="B901" s="18">
        <f>B897+1</f>
        <v>225</v>
      </c>
      <c r="C901" s="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spans="2:18" ht="48.75">
      <c r="B902" s="20"/>
      <c r="C902" s="6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</row>
    <row r="903" spans="2:18">
      <c r="B903" s="12"/>
      <c r="C903" s="31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</row>
    <row r="904" spans="2:18" ht="39.75">
      <c r="B904" s="16"/>
      <c r="C904" s="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</row>
    <row r="905" spans="2:18" ht="58.5">
      <c r="B905" s="18">
        <f>B901+1</f>
        <v>226</v>
      </c>
      <c r="C905" s="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spans="2:18" ht="48.75">
      <c r="B906" s="20"/>
      <c r="C906" s="6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</row>
    <row r="907" spans="2:18">
      <c r="B907" s="12"/>
      <c r="C907" s="31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</row>
    <row r="908" spans="2:18" ht="39.75">
      <c r="B908" s="16"/>
      <c r="C908" s="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</row>
    <row r="909" spans="2:18" ht="58.5">
      <c r="B909" s="18">
        <f>B905+1</f>
        <v>227</v>
      </c>
      <c r="C909" s="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spans="2:18" ht="48.75">
      <c r="B910" s="20"/>
      <c r="C910" s="6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</row>
    <row r="911" spans="2:18">
      <c r="B911" s="12"/>
      <c r="C911" s="31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</row>
    <row r="912" spans="2:18" ht="39.75">
      <c r="B912" s="16"/>
      <c r="C912" s="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</row>
    <row r="913" spans="2:18" ht="58.5">
      <c r="B913" s="18">
        <f t="shared" ref="B913" si="95">B909+1</f>
        <v>228</v>
      </c>
      <c r="C913" s="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spans="2:18" ht="48.75">
      <c r="B914" s="20"/>
      <c r="C914" s="6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</row>
    <row r="915" spans="2:18">
      <c r="B915" s="12"/>
      <c r="C915" s="31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</row>
    <row r="916" spans="2:18" ht="39.75">
      <c r="B916" s="16"/>
      <c r="C916" s="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</row>
    <row r="917" spans="2:18" ht="58.5">
      <c r="B917" s="18">
        <f t="shared" ref="B917" si="96">B913+1</f>
        <v>229</v>
      </c>
      <c r="C917" s="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spans="2:18" ht="48.75">
      <c r="B918" s="20"/>
      <c r="C918" s="6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</row>
    <row r="919" spans="2:18">
      <c r="B919" s="12"/>
      <c r="C919" s="31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</row>
    <row r="920" spans="2:18" ht="39.75">
      <c r="B920" s="16"/>
      <c r="C920" s="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</row>
    <row r="921" spans="2:18" ht="58.5">
      <c r="B921" s="18">
        <f t="shared" ref="B921" si="97">B917+1</f>
        <v>230</v>
      </c>
      <c r="C921" s="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spans="2:18" ht="48.75">
      <c r="B922" s="20"/>
      <c r="C922" s="6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</row>
    <row r="923" spans="2:18">
      <c r="B923" s="12"/>
      <c r="C923" s="31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</row>
    <row r="924" spans="2:18" ht="39.75">
      <c r="B924" s="16"/>
      <c r="C924" s="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</row>
    <row r="925" spans="2:18" ht="58.5">
      <c r="B925" s="18">
        <f t="shared" ref="B925" si="98">B921+1</f>
        <v>231</v>
      </c>
      <c r="C925" s="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spans="2:18" ht="48.75">
      <c r="B926" s="20"/>
      <c r="C926" s="6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</row>
    <row r="927" spans="2:18">
      <c r="B927" s="12"/>
      <c r="C927" s="31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</row>
    <row r="928" spans="2:18" ht="39.75">
      <c r="B928" s="16"/>
      <c r="C928" s="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</row>
    <row r="929" spans="2:18" ht="58.5">
      <c r="B929" s="18">
        <f t="shared" ref="B929" si="99">B925+1</f>
        <v>232</v>
      </c>
      <c r="C929" s="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spans="2:18" ht="48.75">
      <c r="B930" s="20"/>
      <c r="C930" s="6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</row>
    <row r="931" spans="2:18">
      <c r="B931" s="12"/>
      <c r="C931" s="31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</row>
    <row r="932" spans="2:18" ht="39.75">
      <c r="B932" s="16"/>
      <c r="C932" s="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</row>
    <row r="933" spans="2:18" ht="58.5">
      <c r="B933" s="18">
        <f t="shared" ref="B933" si="100">B929+1</f>
        <v>233</v>
      </c>
      <c r="C933" s="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 spans="2:18" ht="48.75">
      <c r="B934" s="20"/>
      <c r="C934" s="6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</row>
    <row r="935" spans="2:18">
      <c r="B935" s="12"/>
      <c r="C935" s="31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</row>
    <row r="936" spans="2:18" ht="39.75">
      <c r="B936" s="16"/>
      <c r="C936" s="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</row>
    <row r="937" spans="2:18" ht="58.5">
      <c r="B937" s="18">
        <f t="shared" ref="B937" si="101">B933+1</f>
        <v>234</v>
      </c>
      <c r="C937" s="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 spans="2:18" ht="48.75">
      <c r="B938" s="20"/>
      <c r="C938" s="6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</row>
    <row r="939" spans="2:18">
      <c r="B939" s="12"/>
      <c r="C939" s="31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</row>
    <row r="940" spans="2:18" ht="39.75">
      <c r="B940" s="16"/>
      <c r="C940" s="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</row>
    <row r="941" spans="2:18" ht="58.5">
      <c r="B941" s="18">
        <f t="shared" ref="B941" si="102">B937+1</f>
        <v>235</v>
      </c>
      <c r="C941" s="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 spans="2:18" ht="48.75">
      <c r="B942" s="20"/>
      <c r="C942" s="6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</row>
    <row r="943" spans="2:18">
      <c r="B943" s="12"/>
      <c r="C943" s="31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</row>
    <row r="944" spans="2:18" ht="39.75">
      <c r="B944" s="16"/>
      <c r="C944" s="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</row>
    <row r="945" spans="2:18" ht="58.5">
      <c r="B945" s="18">
        <f t="shared" ref="B945" si="103">B941+1</f>
        <v>236</v>
      </c>
      <c r="C945" s="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 spans="2:18" ht="48.75">
      <c r="B946" s="20"/>
      <c r="C946" s="6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</row>
    <row r="947" spans="2:18">
      <c r="B947" s="12"/>
      <c r="C947" s="31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</row>
    <row r="948" spans="2:18" ht="39.75">
      <c r="B948" s="16"/>
      <c r="C948" s="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</row>
    <row r="949" spans="2:18" ht="58.5">
      <c r="B949" s="18">
        <f t="shared" ref="B949" si="104">B945+1</f>
        <v>237</v>
      </c>
      <c r="C949" s="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 spans="2:18" ht="48.75">
      <c r="B950" s="20"/>
      <c r="C950" s="6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</row>
    <row r="951" spans="2:18">
      <c r="B951" s="12"/>
      <c r="C951" s="31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</row>
    <row r="952" spans="2:18" ht="39.75">
      <c r="B952" s="16"/>
      <c r="C952" s="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</row>
    <row r="953" spans="2:18" ht="58.5">
      <c r="B953" s="18">
        <f t="shared" ref="B953" si="105">B949+1</f>
        <v>238</v>
      </c>
      <c r="C953" s="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 spans="2:18" ht="48.75">
      <c r="B954" s="20"/>
      <c r="C954" s="6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</row>
    <row r="955" spans="2:18">
      <c r="B955" s="12"/>
      <c r="C955" s="31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</row>
    <row r="956" spans="2:18" ht="39.75">
      <c r="B956" s="16"/>
      <c r="C956" s="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</row>
    <row r="957" spans="2:18" ht="58.5">
      <c r="B957" s="18">
        <f t="shared" ref="B957" si="106">B953+1</f>
        <v>239</v>
      </c>
      <c r="C957" s="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 spans="2:18" ht="48.75">
      <c r="B958" s="20"/>
      <c r="C958" s="6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</row>
    <row r="959" spans="2:18">
      <c r="B959" s="12"/>
      <c r="C959" s="31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</row>
    <row r="960" spans="2:18" ht="39.75">
      <c r="B960" s="16"/>
      <c r="C960" s="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</row>
    <row r="961" spans="2:18" ht="58.5">
      <c r="B961" s="18">
        <f t="shared" ref="B961" si="107">B957+1</f>
        <v>240</v>
      </c>
      <c r="C961" s="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 spans="2:18" ht="48.75">
      <c r="B962" s="20"/>
      <c r="C962" s="6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</row>
    <row r="963" spans="2:18">
      <c r="B963" s="12"/>
      <c r="C963" s="31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</row>
    <row r="964" spans="2:18" ht="39.75">
      <c r="B964" s="16"/>
      <c r="C964" s="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</row>
    <row r="965" spans="2:18" ht="58.5">
      <c r="B965" s="18">
        <f t="shared" ref="B965" si="108">B961+1</f>
        <v>241</v>
      </c>
      <c r="C965" s="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 spans="2:18" ht="48.75">
      <c r="B966" s="20"/>
      <c r="C966" s="6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</row>
    <row r="967" spans="2:18">
      <c r="B967" s="12"/>
      <c r="C967" s="31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</row>
    <row r="968" spans="2:18" ht="39.75">
      <c r="B968" s="16"/>
      <c r="C968" s="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</row>
    <row r="969" spans="2:18" ht="58.5">
      <c r="B969" s="18">
        <f t="shared" ref="B969" si="109">B965+1</f>
        <v>242</v>
      </c>
      <c r="C969" s="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 spans="2:18" ht="48.75">
      <c r="B970" s="20"/>
      <c r="C970" s="6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</row>
    <row r="971" spans="2:18">
      <c r="B971" s="12"/>
      <c r="C971" s="31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</row>
    <row r="972" spans="2:18" ht="39.75">
      <c r="B972" s="16"/>
      <c r="C972" s="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</row>
    <row r="973" spans="2:18" ht="58.5">
      <c r="B973" s="18">
        <f t="shared" ref="B973" si="110">B969+1</f>
        <v>243</v>
      </c>
      <c r="C973" s="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 spans="2:18" ht="48.75">
      <c r="B974" s="20"/>
      <c r="C974" s="6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</row>
    <row r="975" spans="2:18">
      <c r="B975" s="12"/>
      <c r="C975" s="31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</row>
    <row r="976" spans="2:18" ht="39.75">
      <c r="B976" s="16"/>
      <c r="C976" s="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</row>
    <row r="977" spans="2:18" ht="58.5">
      <c r="B977" s="18">
        <f t="shared" ref="B977" si="111">B973+1</f>
        <v>244</v>
      </c>
      <c r="C977" s="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 spans="2:18" ht="48.75">
      <c r="B978" s="20"/>
      <c r="C978" s="6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</row>
    <row r="979" spans="2:18">
      <c r="B979" s="12"/>
      <c r="C979" s="31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</row>
    <row r="980" spans="2:18" ht="39.75">
      <c r="B980" s="16"/>
      <c r="C980" s="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</row>
    <row r="981" spans="2:18" ht="58.5">
      <c r="B981" s="18">
        <f t="shared" ref="B981" si="112">B977+1</f>
        <v>245</v>
      </c>
      <c r="C981" s="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 spans="2:18" ht="48.75">
      <c r="B982" s="20"/>
      <c r="C982" s="6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</row>
    <row r="983" spans="2:18">
      <c r="B983" s="12"/>
      <c r="C983" s="31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</row>
    <row r="984" spans="2:18" ht="39.75">
      <c r="B984" s="16"/>
      <c r="C984" s="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</row>
    <row r="985" spans="2:18" ht="58.5">
      <c r="B985" s="18">
        <f t="shared" ref="B985" si="113">B981+1</f>
        <v>246</v>
      </c>
      <c r="C985" s="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 spans="2:18" ht="48.75">
      <c r="B986" s="20"/>
      <c r="C986" s="6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</row>
    <row r="987" spans="2:18">
      <c r="B987" s="12"/>
      <c r="C987" s="31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</row>
    <row r="988" spans="2:18" ht="39.75">
      <c r="B988" s="16"/>
      <c r="C988" s="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</row>
    <row r="989" spans="2:18" ht="58.5">
      <c r="B989" s="18">
        <f t="shared" ref="B989" si="114">B985+1</f>
        <v>247</v>
      </c>
      <c r="C989" s="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 spans="2:18" ht="48.75">
      <c r="B990" s="20"/>
      <c r="C990" s="6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</row>
    <row r="991" spans="2:18">
      <c r="B991" s="12"/>
      <c r="C991" s="31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</row>
    <row r="992" spans="2:18" ht="39.75">
      <c r="B992" s="16"/>
      <c r="C992" s="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</row>
    <row r="993" spans="2:18" ht="58.5">
      <c r="B993" s="18">
        <f t="shared" ref="B993" si="115">B989+1</f>
        <v>248</v>
      </c>
      <c r="C993" s="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 spans="2:18" ht="48.75">
      <c r="B994" s="20"/>
      <c r="C994" s="6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</row>
    <row r="995" spans="2:18">
      <c r="B995" s="12"/>
      <c r="C995" s="31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</row>
    <row r="996" spans="2:18" ht="39.75">
      <c r="B996" s="16"/>
      <c r="C996" s="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</row>
    <row r="997" spans="2:18" ht="58.5">
      <c r="B997" s="18">
        <f t="shared" ref="B997" si="116">B993+1</f>
        <v>249</v>
      </c>
      <c r="C997" s="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 spans="2:18" ht="48.75">
      <c r="B998" s="20"/>
      <c r="C998" s="6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</row>
    <row r="999" spans="2:18">
      <c r="B999" s="12"/>
      <c r="C999" s="31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</row>
    <row r="1000" spans="2:18" ht="39.75">
      <c r="B1000" s="16"/>
      <c r="C1000" s="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</row>
    <row r="1001" spans="2:18" ht="58.5">
      <c r="B1001" s="18">
        <f t="shared" ref="B1001" si="117">B997+1</f>
        <v>250</v>
      </c>
      <c r="C1001" s="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</row>
    <row r="1002" spans="2:18" ht="48.75">
      <c r="B1002" s="20"/>
      <c r="C1002" s="6"/>
      <c r="D1002" s="73"/>
      <c r="E1002" s="73"/>
      <c r="F1002" s="73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</row>
    <row r="1003" spans="2:18">
      <c r="B1003" s="12"/>
      <c r="C1003" s="31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</row>
    <row r="1004" spans="2:18" ht="39.75">
      <c r="B1004" s="16"/>
      <c r="C1004" s="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</row>
    <row r="1005" spans="2:18" ht="58.5">
      <c r="B1005" s="18">
        <f>B1001+1</f>
        <v>251</v>
      </c>
      <c r="C1005" s="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</row>
    <row r="1006" spans="2:18" ht="48.75">
      <c r="B1006" s="20"/>
      <c r="C1006" s="6"/>
      <c r="D1006" s="73"/>
      <c r="E1006" s="73"/>
      <c r="F1006" s="73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</row>
    <row r="1007" spans="2:18">
      <c r="B1007" s="24"/>
      <c r="C1007" s="25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</row>
    <row r="1008" spans="2:18" ht="39.75">
      <c r="B1008" s="16"/>
      <c r="C1008" s="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</row>
    <row r="1009" spans="2:18" ht="58.5">
      <c r="B1009" s="18">
        <f>B1005+1</f>
        <v>252</v>
      </c>
      <c r="C1009" s="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</row>
    <row r="1010" spans="2:18" ht="48.75">
      <c r="B1010" s="20"/>
      <c r="C1010" s="6"/>
      <c r="D1010" s="73"/>
      <c r="E1010" s="73"/>
      <c r="F1010" s="73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</row>
    <row r="1011" spans="2:18">
      <c r="B1011" s="29"/>
      <c r="C1011" s="30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</row>
    <row r="1012" spans="2:18" ht="39.75">
      <c r="B1012" s="16"/>
      <c r="C1012" s="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</row>
    <row r="1013" spans="2:18" ht="58.5">
      <c r="B1013" s="18">
        <f>B1009+1</f>
        <v>253</v>
      </c>
      <c r="C1013" s="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</row>
    <row r="1014" spans="2:18" ht="48.75">
      <c r="B1014" s="20"/>
      <c r="C1014" s="6"/>
      <c r="D1014" s="73"/>
      <c r="E1014" s="73"/>
      <c r="F1014" s="73"/>
      <c r="G1014" s="73"/>
      <c r="H1014" s="73"/>
      <c r="I1014" s="73"/>
      <c r="J1014" s="73"/>
      <c r="K1014" s="73"/>
      <c r="L1014" s="73"/>
      <c r="M1014" s="73"/>
      <c r="N1014" s="73"/>
      <c r="O1014" s="73"/>
      <c r="P1014" s="73"/>
      <c r="Q1014" s="73"/>
      <c r="R1014" s="73"/>
    </row>
    <row r="1015" spans="2:18">
      <c r="B1015" s="12"/>
      <c r="C1015" s="31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</row>
    <row r="1016" spans="2:18" ht="39.75">
      <c r="B1016" s="16"/>
      <c r="C1016" s="6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</row>
    <row r="1017" spans="2:18" ht="58.5">
      <c r="B1017" s="18">
        <f>B1013+1</f>
        <v>254</v>
      </c>
      <c r="C1017" s="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</row>
    <row r="1018" spans="2:18" ht="48.75">
      <c r="B1018" s="20"/>
      <c r="C1018" s="6"/>
      <c r="D1018" s="73"/>
      <c r="E1018" s="73"/>
      <c r="F1018" s="73"/>
      <c r="G1018" s="73"/>
      <c r="H1018" s="73"/>
      <c r="I1018" s="73"/>
      <c r="J1018" s="73"/>
      <c r="K1018" s="73"/>
      <c r="L1018" s="73"/>
      <c r="M1018" s="73"/>
      <c r="N1018" s="73"/>
      <c r="O1018" s="73"/>
      <c r="P1018" s="73"/>
      <c r="Q1018" s="73"/>
      <c r="R1018" s="73"/>
    </row>
    <row r="1019" spans="2:18">
      <c r="B1019" s="12"/>
      <c r="C1019" s="31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</row>
    <row r="1020" spans="2:18" ht="39.75">
      <c r="B1020" s="16"/>
      <c r="C1020" s="6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</row>
    <row r="1021" spans="2:18" ht="58.5">
      <c r="B1021" s="18">
        <f>B1017+1</f>
        <v>255</v>
      </c>
      <c r="C1021" s="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</row>
    <row r="1022" spans="2:18" ht="48.75">
      <c r="B1022" s="20"/>
      <c r="C1022" s="6"/>
      <c r="D1022" s="73"/>
      <c r="E1022" s="73"/>
      <c r="F1022" s="73"/>
      <c r="G1022" s="73"/>
      <c r="H1022" s="73"/>
      <c r="I1022" s="73"/>
      <c r="J1022" s="73"/>
      <c r="K1022" s="73"/>
      <c r="L1022" s="73"/>
      <c r="M1022" s="73"/>
      <c r="N1022" s="73"/>
      <c r="O1022" s="73"/>
      <c r="P1022" s="73"/>
      <c r="Q1022" s="73"/>
      <c r="R1022" s="73"/>
    </row>
    <row r="1023" spans="2:18">
      <c r="B1023" s="12"/>
      <c r="C1023" s="31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</row>
    <row r="1024" spans="2:18" ht="39.75">
      <c r="B1024" s="16"/>
      <c r="C1024" s="6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</row>
    <row r="1025" spans="2:18" ht="58.5">
      <c r="B1025" s="18">
        <f>B1021+1</f>
        <v>256</v>
      </c>
      <c r="C1025" s="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</row>
    <row r="1026" spans="2:18" ht="48.75">
      <c r="B1026" s="20"/>
      <c r="C1026" s="6"/>
      <c r="D1026" s="73"/>
      <c r="E1026" s="73"/>
      <c r="F1026" s="73"/>
      <c r="G1026" s="73"/>
      <c r="H1026" s="73"/>
      <c r="I1026" s="73"/>
      <c r="J1026" s="73"/>
      <c r="K1026" s="73"/>
      <c r="L1026" s="73"/>
      <c r="M1026" s="73"/>
      <c r="N1026" s="73"/>
      <c r="O1026" s="73"/>
      <c r="P1026" s="73"/>
      <c r="Q1026" s="73"/>
      <c r="R1026" s="73"/>
    </row>
    <row r="1027" spans="2:18">
      <c r="B1027" s="12"/>
      <c r="C1027" s="31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</row>
    <row r="1028" spans="2:18" ht="39.75">
      <c r="B1028" s="16"/>
      <c r="C1028" s="6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</row>
    <row r="1029" spans="2:18" ht="58.5">
      <c r="B1029" s="18">
        <f>B1025+1</f>
        <v>257</v>
      </c>
      <c r="C1029" s="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</row>
    <row r="1030" spans="2:18" ht="48.75">
      <c r="B1030" s="20"/>
      <c r="C1030" s="6"/>
      <c r="D1030" s="73"/>
      <c r="E1030" s="73"/>
      <c r="F1030" s="73"/>
      <c r="G1030" s="73"/>
      <c r="H1030" s="73"/>
      <c r="I1030" s="73"/>
      <c r="J1030" s="73"/>
      <c r="K1030" s="73"/>
      <c r="L1030" s="73"/>
      <c r="M1030" s="73"/>
      <c r="N1030" s="73"/>
      <c r="O1030" s="73"/>
      <c r="P1030" s="73"/>
      <c r="Q1030" s="73"/>
      <c r="R1030" s="73"/>
    </row>
    <row r="1031" spans="2:18">
      <c r="B1031" s="12"/>
      <c r="C1031" s="31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</row>
    <row r="1032" spans="2:18" ht="39.75">
      <c r="B1032" s="16"/>
      <c r="C1032" s="6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</row>
    <row r="1033" spans="2:18" ht="58.5">
      <c r="B1033" s="18">
        <f>B1029+1</f>
        <v>258</v>
      </c>
      <c r="C1033" s="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</row>
    <row r="1034" spans="2:18" ht="48.75">
      <c r="B1034" s="20"/>
      <c r="C1034" s="6"/>
      <c r="D1034" s="73"/>
      <c r="E1034" s="73"/>
      <c r="F1034" s="73"/>
      <c r="G1034" s="73"/>
      <c r="H1034" s="73"/>
      <c r="I1034" s="73"/>
      <c r="J1034" s="73"/>
      <c r="K1034" s="73"/>
      <c r="L1034" s="73"/>
      <c r="M1034" s="73"/>
      <c r="N1034" s="73"/>
      <c r="O1034" s="73"/>
      <c r="P1034" s="73"/>
      <c r="Q1034" s="73"/>
      <c r="R1034" s="73"/>
    </row>
    <row r="1035" spans="2:18">
      <c r="B1035" s="12"/>
      <c r="C1035" s="31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</row>
    <row r="1036" spans="2:18" ht="39.75">
      <c r="B1036" s="16"/>
      <c r="C1036" s="6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</row>
    <row r="1037" spans="2:18" ht="58.5">
      <c r="B1037" s="18">
        <f>B1033+1</f>
        <v>259</v>
      </c>
      <c r="C1037" s="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</row>
    <row r="1038" spans="2:18" ht="48.75">
      <c r="B1038" s="20"/>
      <c r="C1038" s="6"/>
      <c r="D1038" s="73"/>
      <c r="E1038" s="73"/>
      <c r="F1038" s="73"/>
      <c r="G1038" s="73"/>
      <c r="H1038" s="73"/>
      <c r="I1038" s="73"/>
      <c r="J1038" s="73"/>
      <c r="K1038" s="73"/>
      <c r="L1038" s="73"/>
      <c r="M1038" s="73"/>
      <c r="N1038" s="73"/>
      <c r="O1038" s="73"/>
      <c r="P1038" s="73"/>
      <c r="Q1038" s="73"/>
      <c r="R1038" s="73"/>
    </row>
    <row r="1039" spans="2:18">
      <c r="B1039" s="12"/>
      <c r="C1039" s="31"/>
      <c r="D1039" s="47"/>
      <c r="E1039" s="47"/>
      <c r="F1039" s="47"/>
      <c r="G1039" s="47"/>
      <c r="H1039" s="47"/>
      <c r="I1039" s="47"/>
      <c r="J1039" s="47"/>
      <c r="K1039" s="47"/>
      <c r="L1039" s="47"/>
      <c r="M1039" s="47"/>
      <c r="N1039" s="47"/>
      <c r="O1039" s="47"/>
      <c r="P1039" s="47"/>
      <c r="Q1039" s="47"/>
      <c r="R1039" s="47"/>
    </row>
    <row r="1040" spans="2:18" ht="39.75">
      <c r="B1040" s="16"/>
      <c r="C1040" s="6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</row>
    <row r="1041" spans="2:18" ht="58.5">
      <c r="B1041" s="18">
        <f>B1037+1</f>
        <v>260</v>
      </c>
      <c r="C1041" s="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</row>
    <row r="1042" spans="2:18" ht="48.75">
      <c r="B1042" s="20"/>
      <c r="C1042" s="6"/>
      <c r="D1042" s="73"/>
      <c r="E1042" s="73"/>
      <c r="F1042" s="73"/>
      <c r="G1042" s="73"/>
      <c r="H1042" s="73"/>
      <c r="I1042" s="73"/>
      <c r="J1042" s="73"/>
      <c r="K1042" s="73"/>
      <c r="L1042" s="73"/>
      <c r="M1042" s="73"/>
      <c r="N1042" s="73"/>
      <c r="O1042" s="73"/>
      <c r="P1042" s="73"/>
      <c r="Q1042" s="73"/>
      <c r="R1042" s="73"/>
    </row>
    <row r="1043" spans="2:18">
      <c r="B1043" s="12"/>
      <c r="C1043" s="31"/>
      <c r="D1043" s="47"/>
      <c r="E1043" s="47"/>
      <c r="F1043" s="47"/>
      <c r="G1043" s="47"/>
      <c r="H1043" s="47"/>
      <c r="I1043" s="47"/>
      <c r="J1043" s="47"/>
      <c r="K1043" s="47"/>
      <c r="L1043" s="47"/>
      <c r="M1043" s="47"/>
      <c r="N1043" s="47"/>
      <c r="O1043" s="47"/>
      <c r="P1043" s="47"/>
      <c r="Q1043" s="47"/>
      <c r="R1043" s="47"/>
    </row>
    <row r="1044" spans="2:18" ht="39.75">
      <c r="B1044" s="16"/>
      <c r="C1044" s="6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</row>
    <row r="1045" spans="2:18" ht="58.5">
      <c r="B1045" s="18">
        <f>B1041+1</f>
        <v>261</v>
      </c>
      <c r="C1045" s="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</row>
    <row r="1046" spans="2:18" ht="48.75">
      <c r="B1046" s="20"/>
      <c r="C1046" s="6"/>
      <c r="D1046" s="73"/>
      <c r="E1046" s="73"/>
      <c r="F1046" s="73"/>
      <c r="G1046" s="73"/>
      <c r="H1046" s="73"/>
      <c r="I1046" s="73"/>
      <c r="J1046" s="73"/>
      <c r="K1046" s="73"/>
      <c r="L1046" s="73"/>
      <c r="M1046" s="73"/>
      <c r="N1046" s="73"/>
      <c r="O1046" s="73"/>
      <c r="P1046" s="73"/>
      <c r="Q1046" s="73"/>
      <c r="R1046" s="73"/>
    </row>
    <row r="1047" spans="2:18">
      <c r="B1047" s="12"/>
      <c r="C1047" s="31"/>
      <c r="D1047" s="47"/>
      <c r="E1047" s="47"/>
      <c r="F1047" s="47"/>
      <c r="G1047" s="47"/>
      <c r="H1047" s="47"/>
      <c r="I1047" s="47"/>
      <c r="J1047" s="47"/>
      <c r="K1047" s="47"/>
      <c r="L1047" s="47"/>
      <c r="M1047" s="47"/>
      <c r="N1047" s="47"/>
      <c r="O1047" s="47"/>
      <c r="P1047" s="47"/>
      <c r="Q1047" s="47"/>
      <c r="R1047" s="47"/>
    </row>
    <row r="1048" spans="2:18" ht="39.75">
      <c r="B1048" s="16"/>
      <c r="C1048" s="6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</row>
    <row r="1049" spans="2:18" ht="58.5">
      <c r="B1049" s="18">
        <f>B1045+1</f>
        <v>262</v>
      </c>
      <c r="C1049" s="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</row>
    <row r="1050" spans="2:18" ht="48.75">
      <c r="B1050" s="20"/>
      <c r="C1050" s="6"/>
      <c r="D1050" s="73"/>
      <c r="E1050" s="73"/>
      <c r="F1050" s="73"/>
      <c r="G1050" s="73"/>
      <c r="H1050" s="73"/>
      <c r="I1050" s="73"/>
      <c r="J1050" s="73"/>
      <c r="K1050" s="73"/>
      <c r="L1050" s="73"/>
      <c r="M1050" s="73"/>
      <c r="N1050" s="73"/>
      <c r="O1050" s="73"/>
      <c r="P1050" s="73"/>
      <c r="Q1050" s="73"/>
      <c r="R1050" s="73"/>
    </row>
    <row r="1051" spans="2:18">
      <c r="B1051" s="12"/>
      <c r="C1051" s="31"/>
      <c r="D1051" s="47"/>
      <c r="E1051" s="47"/>
      <c r="F1051" s="47"/>
      <c r="G1051" s="47"/>
      <c r="H1051" s="47"/>
      <c r="I1051" s="47"/>
      <c r="J1051" s="47"/>
      <c r="K1051" s="47"/>
      <c r="L1051" s="47"/>
      <c r="M1051" s="47"/>
      <c r="N1051" s="47"/>
      <c r="O1051" s="47"/>
      <c r="P1051" s="47"/>
      <c r="Q1051" s="47"/>
      <c r="R1051" s="47"/>
    </row>
    <row r="1052" spans="2:18" ht="39.75">
      <c r="B1052" s="16"/>
      <c r="C1052" s="6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</row>
    <row r="1053" spans="2:18" ht="58.5">
      <c r="B1053" s="18">
        <f>B1049+1</f>
        <v>263</v>
      </c>
      <c r="C1053" s="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</row>
    <row r="1054" spans="2:18" ht="48.75">
      <c r="B1054" s="20"/>
      <c r="C1054" s="6"/>
      <c r="D1054" s="73"/>
      <c r="E1054" s="73"/>
      <c r="F1054" s="73"/>
      <c r="G1054" s="73"/>
      <c r="H1054" s="73"/>
      <c r="I1054" s="73"/>
      <c r="J1054" s="73"/>
      <c r="K1054" s="73"/>
      <c r="L1054" s="73"/>
      <c r="M1054" s="73"/>
      <c r="N1054" s="73"/>
      <c r="O1054" s="73"/>
      <c r="P1054" s="73"/>
      <c r="Q1054" s="73"/>
      <c r="R1054" s="73"/>
    </row>
    <row r="1055" spans="2:18">
      <c r="B1055" s="12"/>
      <c r="C1055" s="31"/>
      <c r="D1055" s="47"/>
      <c r="E1055" s="47"/>
      <c r="F1055" s="47"/>
      <c r="G1055" s="47"/>
      <c r="H1055" s="47"/>
      <c r="I1055" s="47"/>
      <c r="J1055" s="47"/>
      <c r="K1055" s="47"/>
      <c r="L1055" s="47"/>
      <c r="M1055" s="47"/>
      <c r="N1055" s="47"/>
      <c r="O1055" s="47"/>
      <c r="P1055" s="47"/>
      <c r="Q1055" s="47"/>
      <c r="R1055" s="47"/>
    </row>
    <row r="1056" spans="2:18" ht="39.75">
      <c r="B1056" s="16"/>
      <c r="C1056" s="6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</row>
    <row r="1057" spans="2:18" ht="58.5">
      <c r="B1057" s="18">
        <f>B1053+1</f>
        <v>264</v>
      </c>
      <c r="C1057" s="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</row>
    <row r="1058" spans="2:18" ht="48.75">
      <c r="B1058" s="20"/>
      <c r="C1058" s="6"/>
      <c r="D1058" s="73"/>
      <c r="E1058" s="73"/>
      <c r="F1058" s="73"/>
      <c r="G1058" s="73"/>
      <c r="H1058" s="73"/>
      <c r="I1058" s="73"/>
      <c r="J1058" s="73"/>
      <c r="K1058" s="73"/>
      <c r="L1058" s="73"/>
      <c r="M1058" s="73"/>
      <c r="N1058" s="73"/>
      <c r="O1058" s="73"/>
      <c r="P1058" s="73"/>
      <c r="Q1058" s="73"/>
      <c r="R1058" s="73"/>
    </row>
    <row r="1059" spans="2:18">
      <c r="B1059" s="12"/>
      <c r="C1059" s="31"/>
      <c r="D1059" s="47"/>
      <c r="E1059" s="47"/>
      <c r="F1059" s="47"/>
      <c r="G1059" s="47"/>
      <c r="H1059" s="47"/>
      <c r="I1059" s="47"/>
      <c r="J1059" s="47"/>
      <c r="K1059" s="47"/>
      <c r="L1059" s="47"/>
      <c r="M1059" s="47"/>
      <c r="N1059" s="47"/>
      <c r="O1059" s="47"/>
      <c r="P1059" s="47"/>
      <c r="Q1059" s="47"/>
      <c r="R1059" s="47"/>
    </row>
    <row r="1060" spans="2:18" ht="39.75">
      <c r="B1060" s="16"/>
      <c r="C1060" s="6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</row>
    <row r="1061" spans="2:18" ht="58.5">
      <c r="B1061" s="18">
        <f>B1057+1</f>
        <v>265</v>
      </c>
      <c r="C1061" s="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</row>
    <row r="1062" spans="2:18" ht="48.75">
      <c r="B1062" s="20"/>
      <c r="C1062" s="6"/>
      <c r="D1062" s="73"/>
      <c r="E1062" s="73"/>
      <c r="F1062" s="73"/>
      <c r="G1062" s="73"/>
      <c r="H1062" s="73"/>
      <c r="I1062" s="73"/>
      <c r="J1062" s="73"/>
      <c r="K1062" s="73"/>
      <c r="L1062" s="73"/>
      <c r="M1062" s="73"/>
      <c r="N1062" s="73"/>
      <c r="O1062" s="73"/>
      <c r="P1062" s="73"/>
      <c r="Q1062" s="73"/>
      <c r="R1062" s="73"/>
    </row>
    <row r="1063" spans="2:18">
      <c r="B1063" s="12"/>
      <c r="C1063" s="31"/>
      <c r="D1063" s="47"/>
      <c r="E1063" s="47"/>
      <c r="F1063" s="47"/>
      <c r="G1063" s="47"/>
      <c r="H1063" s="47"/>
      <c r="I1063" s="47"/>
      <c r="J1063" s="47"/>
      <c r="K1063" s="47"/>
      <c r="L1063" s="47"/>
      <c r="M1063" s="47"/>
      <c r="N1063" s="47"/>
      <c r="O1063" s="47"/>
      <c r="P1063" s="47"/>
      <c r="Q1063" s="47"/>
      <c r="R1063" s="47"/>
    </row>
    <row r="1064" spans="2:18" ht="39.75">
      <c r="B1064" s="16"/>
      <c r="C1064" s="6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</row>
    <row r="1065" spans="2:18" ht="58.5">
      <c r="B1065" s="18">
        <f>B1061+1</f>
        <v>266</v>
      </c>
      <c r="C1065" s="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</row>
    <row r="1066" spans="2:18" ht="48.75">
      <c r="B1066" s="20"/>
      <c r="C1066" s="6"/>
      <c r="D1066" s="73"/>
      <c r="E1066" s="73"/>
      <c r="F1066" s="73"/>
      <c r="G1066" s="73"/>
      <c r="H1066" s="73"/>
      <c r="I1066" s="73"/>
      <c r="J1066" s="73"/>
      <c r="K1066" s="73"/>
      <c r="L1066" s="73"/>
      <c r="M1066" s="73"/>
      <c r="N1066" s="73"/>
      <c r="O1066" s="73"/>
      <c r="P1066" s="73"/>
      <c r="Q1066" s="73"/>
      <c r="R1066" s="73"/>
    </row>
    <row r="1067" spans="2:18">
      <c r="B1067" s="12"/>
      <c r="C1067" s="31"/>
      <c r="D1067" s="47"/>
      <c r="E1067" s="47"/>
      <c r="F1067" s="47"/>
      <c r="G1067" s="47"/>
      <c r="H1067" s="47"/>
      <c r="I1067" s="47"/>
      <c r="J1067" s="47"/>
      <c r="K1067" s="47"/>
      <c r="L1067" s="47"/>
      <c r="M1067" s="47"/>
      <c r="N1067" s="47"/>
      <c r="O1067" s="47"/>
      <c r="P1067" s="47"/>
      <c r="Q1067" s="47"/>
      <c r="R1067" s="47"/>
    </row>
    <row r="1068" spans="2:18" ht="39.75">
      <c r="B1068" s="16"/>
      <c r="C1068" s="6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</row>
    <row r="1069" spans="2:18" ht="58.5">
      <c r="B1069" s="18">
        <f>B1065+1</f>
        <v>267</v>
      </c>
      <c r="C1069" s="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</row>
    <row r="1070" spans="2:18" ht="48.75">
      <c r="B1070" s="20"/>
      <c r="C1070" s="6"/>
      <c r="D1070" s="73"/>
      <c r="E1070" s="73"/>
      <c r="F1070" s="73"/>
      <c r="G1070" s="73"/>
      <c r="H1070" s="73"/>
      <c r="I1070" s="73"/>
      <c r="J1070" s="73"/>
      <c r="K1070" s="73"/>
      <c r="L1070" s="73"/>
      <c r="M1070" s="73"/>
      <c r="N1070" s="73"/>
      <c r="O1070" s="73"/>
      <c r="P1070" s="73"/>
      <c r="Q1070" s="73"/>
      <c r="R1070" s="73"/>
    </row>
    <row r="1071" spans="2:18">
      <c r="B1071" s="12"/>
      <c r="C1071" s="31"/>
      <c r="D1071" s="47"/>
      <c r="E1071" s="47"/>
      <c r="F1071" s="47"/>
      <c r="G1071" s="47"/>
      <c r="H1071" s="47"/>
      <c r="I1071" s="47"/>
      <c r="J1071" s="47"/>
      <c r="K1071" s="47"/>
      <c r="L1071" s="47"/>
      <c r="M1071" s="47"/>
      <c r="N1071" s="47"/>
      <c r="O1071" s="47"/>
      <c r="P1071" s="47"/>
      <c r="Q1071" s="47"/>
      <c r="R1071" s="47"/>
    </row>
    <row r="1072" spans="2:18" ht="39.75">
      <c r="B1072" s="16"/>
      <c r="C1072" s="6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</row>
    <row r="1073" spans="2:18" ht="58.5">
      <c r="B1073" s="18">
        <f>B1069+1</f>
        <v>268</v>
      </c>
      <c r="C1073" s="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</row>
    <row r="1074" spans="2:18" ht="48.75">
      <c r="B1074" s="20"/>
      <c r="C1074" s="6"/>
      <c r="D1074" s="73"/>
      <c r="E1074" s="73"/>
      <c r="F1074" s="73"/>
      <c r="G1074" s="73"/>
      <c r="H1074" s="73"/>
      <c r="I1074" s="73"/>
      <c r="J1074" s="73"/>
      <c r="K1074" s="73"/>
      <c r="L1074" s="73"/>
      <c r="M1074" s="73"/>
      <c r="N1074" s="73"/>
      <c r="O1074" s="73"/>
      <c r="P1074" s="73"/>
      <c r="Q1074" s="73"/>
      <c r="R1074" s="73"/>
    </row>
    <row r="1075" spans="2:18">
      <c r="B1075" s="12"/>
      <c r="C1075" s="31"/>
      <c r="D1075" s="47"/>
      <c r="E1075" s="47"/>
      <c r="F1075" s="47"/>
      <c r="G1075" s="47"/>
      <c r="H1075" s="47"/>
      <c r="I1075" s="47"/>
      <c r="J1075" s="47"/>
      <c r="K1075" s="47"/>
      <c r="L1075" s="47"/>
      <c r="M1075" s="47"/>
      <c r="N1075" s="47"/>
      <c r="O1075" s="47"/>
      <c r="P1075" s="47"/>
      <c r="Q1075" s="47"/>
      <c r="R1075" s="47"/>
    </row>
    <row r="1076" spans="2:18" ht="39.75">
      <c r="B1076" s="16"/>
      <c r="C1076" s="6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</row>
    <row r="1077" spans="2:18" ht="58.5">
      <c r="B1077" s="18">
        <f>B1073+1</f>
        <v>269</v>
      </c>
      <c r="C1077" s="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</row>
    <row r="1078" spans="2:18" ht="48.75">
      <c r="B1078" s="20"/>
      <c r="C1078" s="6"/>
      <c r="D1078" s="73"/>
      <c r="E1078" s="73"/>
      <c r="F1078" s="73"/>
      <c r="G1078" s="73"/>
      <c r="H1078" s="73"/>
      <c r="I1078" s="73"/>
      <c r="J1078" s="73"/>
      <c r="K1078" s="73"/>
      <c r="L1078" s="73"/>
      <c r="M1078" s="73"/>
      <c r="N1078" s="73"/>
      <c r="O1078" s="73"/>
      <c r="P1078" s="73"/>
      <c r="Q1078" s="73"/>
      <c r="R1078" s="73"/>
    </row>
    <row r="1079" spans="2:18">
      <c r="B1079" s="12"/>
      <c r="C1079" s="31"/>
      <c r="D1079" s="47"/>
      <c r="E1079" s="47"/>
      <c r="F1079" s="47"/>
      <c r="G1079" s="47"/>
      <c r="H1079" s="47"/>
      <c r="I1079" s="47"/>
      <c r="J1079" s="47"/>
      <c r="K1079" s="47"/>
      <c r="L1079" s="47"/>
      <c r="M1079" s="47"/>
      <c r="N1079" s="47"/>
      <c r="O1079" s="47"/>
      <c r="P1079" s="47"/>
      <c r="Q1079" s="47"/>
      <c r="R1079" s="47"/>
    </row>
    <row r="1080" spans="2:18" ht="39.75">
      <c r="B1080" s="16"/>
      <c r="C1080" s="6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</row>
    <row r="1081" spans="2:18" ht="58.5">
      <c r="B1081" s="18">
        <f>B1077+1</f>
        <v>270</v>
      </c>
      <c r="C1081" s="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</row>
    <row r="1082" spans="2:18" ht="48.75">
      <c r="B1082" s="20"/>
      <c r="C1082" s="6"/>
      <c r="D1082" s="73"/>
      <c r="E1082" s="73"/>
      <c r="F1082" s="73"/>
      <c r="G1082" s="73"/>
      <c r="H1082" s="73"/>
      <c r="I1082" s="73"/>
      <c r="J1082" s="73"/>
      <c r="K1082" s="73"/>
      <c r="L1082" s="73"/>
      <c r="M1082" s="73"/>
      <c r="N1082" s="73"/>
      <c r="O1082" s="73"/>
      <c r="P1082" s="73"/>
      <c r="Q1082" s="73"/>
      <c r="R1082" s="73"/>
    </row>
    <row r="1083" spans="2:18">
      <c r="B1083" s="12"/>
      <c r="C1083" s="31"/>
      <c r="D1083" s="47"/>
      <c r="E1083" s="47"/>
      <c r="F1083" s="47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R1083" s="47"/>
    </row>
    <row r="1084" spans="2:18" ht="39.75">
      <c r="B1084" s="16"/>
      <c r="C1084" s="6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</row>
    <row r="1085" spans="2:18" ht="58.5">
      <c r="B1085" s="18">
        <f>B1081+1</f>
        <v>271</v>
      </c>
      <c r="C1085" s="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</row>
    <row r="1086" spans="2:18" ht="48.75">
      <c r="B1086" s="20"/>
      <c r="C1086" s="6"/>
      <c r="D1086" s="73"/>
      <c r="E1086" s="73"/>
      <c r="F1086" s="73"/>
      <c r="G1086" s="73"/>
      <c r="H1086" s="73"/>
      <c r="I1086" s="73"/>
      <c r="J1086" s="73"/>
      <c r="K1086" s="73"/>
      <c r="L1086" s="73"/>
      <c r="M1086" s="73"/>
      <c r="N1086" s="73"/>
      <c r="O1086" s="73"/>
      <c r="P1086" s="73"/>
      <c r="Q1086" s="73"/>
      <c r="R1086" s="73"/>
    </row>
    <row r="1087" spans="2:18">
      <c r="B1087" s="12"/>
      <c r="C1087" s="31"/>
      <c r="D1087" s="47"/>
      <c r="E1087" s="47"/>
      <c r="F1087" s="47"/>
      <c r="G1087" s="47"/>
      <c r="H1087" s="47"/>
      <c r="I1087" s="47"/>
      <c r="J1087" s="47"/>
      <c r="K1087" s="47"/>
      <c r="L1087" s="47"/>
      <c r="M1087" s="47"/>
      <c r="N1087" s="47"/>
      <c r="O1087" s="47"/>
      <c r="P1087" s="47"/>
      <c r="Q1087" s="47"/>
      <c r="R1087" s="47"/>
    </row>
    <row r="1088" spans="2:18" ht="39.75">
      <c r="B1088" s="16"/>
      <c r="C1088" s="6"/>
      <c r="D1088" s="46"/>
      <c r="E1088" s="46"/>
      <c r="F1088" s="46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</row>
    <row r="1089" spans="2:18" ht="58.5">
      <c r="B1089" s="18">
        <f>B1085+1</f>
        <v>272</v>
      </c>
      <c r="C1089" s="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</row>
    <row r="1090" spans="2:18" ht="48.75">
      <c r="B1090" s="20"/>
      <c r="C1090" s="6"/>
      <c r="D1090" s="73"/>
      <c r="E1090" s="73"/>
      <c r="F1090" s="73"/>
      <c r="G1090" s="73"/>
      <c r="H1090" s="73"/>
      <c r="I1090" s="73"/>
      <c r="J1090" s="73"/>
      <c r="K1090" s="73"/>
      <c r="L1090" s="73"/>
      <c r="M1090" s="73"/>
      <c r="N1090" s="73"/>
      <c r="O1090" s="73"/>
      <c r="P1090" s="73"/>
      <c r="Q1090" s="73"/>
      <c r="R1090" s="73"/>
    </row>
    <row r="1091" spans="2:18">
      <c r="B1091" s="12"/>
      <c r="C1091" s="31"/>
      <c r="D1091" s="47"/>
      <c r="E1091" s="47"/>
      <c r="F1091" s="47"/>
      <c r="G1091" s="47"/>
      <c r="H1091" s="47"/>
      <c r="I1091" s="47"/>
      <c r="J1091" s="47"/>
      <c r="K1091" s="47"/>
      <c r="L1091" s="47"/>
      <c r="M1091" s="47"/>
      <c r="N1091" s="47"/>
      <c r="O1091" s="47"/>
      <c r="P1091" s="47"/>
      <c r="Q1091" s="47"/>
      <c r="R1091" s="47"/>
    </row>
    <row r="1092" spans="2:18" ht="39.75">
      <c r="B1092" s="16"/>
      <c r="C1092" s="6"/>
      <c r="D1092" s="46"/>
      <c r="E1092" s="46"/>
      <c r="F1092" s="46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</row>
    <row r="1093" spans="2:18" ht="58.5">
      <c r="B1093" s="18">
        <f>B1089+1</f>
        <v>273</v>
      </c>
      <c r="C1093" s="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</row>
    <row r="1094" spans="2:18" ht="48.75">
      <c r="B1094" s="20"/>
      <c r="C1094" s="6"/>
      <c r="D1094" s="73"/>
      <c r="E1094" s="73"/>
      <c r="F1094" s="73"/>
      <c r="G1094" s="73"/>
      <c r="H1094" s="73"/>
      <c r="I1094" s="73"/>
      <c r="J1094" s="73"/>
      <c r="K1094" s="73"/>
      <c r="L1094" s="73"/>
      <c r="M1094" s="73"/>
      <c r="N1094" s="73"/>
      <c r="O1094" s="73"/>
      <c r="P1094" s="73"/>
      <c r="Q1094" s="73"/>
      <c r="R1094" s="73"/>
    </row>
    <row r="1095" spans="2:18">
      <c r="B1095" s="12"/>
      <c r="C1095" s="31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</row>
    <row r="1096" spans="2:18" ht="39.75">
      <c r="B1096" s="16"/>
      <c r="C1096" s="6"/>
      <c r="D1096" s="46"/>
      <c r="E1096" s="46"/>
      <c r="F1096" s="46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</row>
    <row r="1097" spans="2:18" ht="58.5">
      <c r="B1097" s="18">
        <f>B1093+1</f>
        <v>274</v>
      </c>
      <c r="C1097" s="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</row>
    <row r="1098" spans="2:18" ht="48.75">
      <c r="B1098" s="20"/>
      <c r="C1098" s="6"/>
      <c r="D1098" s="73"/>
      <c r="E1098" s="73"/>
      <c r="F1098" s="73"/>
      <c r="G1098" s="73"/>
      <c r="H1098" s="73"/>
      <c r="I1098" s="73"/>
      <c r="J1098" s="73"/>
      <c r="K1098" s="73"/>
      <c r="L1098" s="73"/>
      <c r="M1098" s="73"/>
      <c r="N1098" s="73"/>
      <c r="O1098" s="73"/>
      <c r="P1098" s="73"/>
      <c r="Q1098" s="73"/>
      <c r="R1098" s="73"/>
    </row>
    <row r="1099" spans="2:18">
      <c r="B1099" s="12"/>
      <c r="C1099" s="31"/>
      <c r="D1099" s="47"/>
      <c r="E1099" s="47"/>
      <c r="F1099" s="47"/>
      <c r="G1099" s="47"/>
      <c r="H1099" s="47"/>
      <c r="I1099" s="47"/>
      <c r="J1099" s="47"/>
      <c r="K1099" s="47"/>
      <c r="L1099" s="47"/>
      <c r="M1099" s="47"/>
      <c r="N1099" s="47"/>
      <c r="O1099" s="47"/>
      <c r="P1099" s="47"/>
      <c r="Q1099" s="47"/>
      <c r="R1099" s="47"/>
    </row>
    <row r="1100" spans="2:18" ht="39.75">
      <c r="B1100" s="16"/>
      <c r="C1100" s="6"/>
      <c r="D1100" s="46"/>
      <c r="E1100" s="46"/>
      <c r="F1100" s="46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</row>
    <row r="1101" spans="2:18" ht="58.5">
      <c r="B1101" s="18">
        <f>B1097+1</f>
        <v>275</v>
      </c>
      <c r="C1101" s="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</row>
    <row r="1102" spans="2:18" ht="48.75">
      <c r="B1102" s="20"/>
      <c r="C1102" s="6"/>
      <c r="D1102" s="73"/>
      <c r="E1102" s="73"/>
      <c r="F1102" s="73"/>
      <c r="G1102" s="73"/>
      <c r="H1102" s="73"/>
      <c r="I1102" s="73"/>
      <c r="J1102" s="73"/>
      <c r="K1102" s="73"/>
      <c r="L1102" s="73"/>
      <c r="M1102" s="73"/>
      <c r="N1102" s="73"/>
      <c r="O1102" s="73"/>
      <c r="P1102" s="73"/>
      <c r="Q1102" s="73"/>
      <c r="R1102" s="73"/>
    </row>
    <row r="1103" spans="2:18">
      <c r="B1103" s="12"/>
      <c r="C1103" s="31"/>
      <c r="D1103" s="47"/>
      <c r="E1103" s="47"/>
      <c r="F1103" s="47"/>
      <c r="G1103" s="47"/>
      <c r="H1103" s="47"/>
      <c r="I1103" s="47"/>
      <c r="J1103" s="47"/>
      <c r="K1103" s="47"/>
      <c r="L1103" s="47"/>
      <c r="M1103" s="47"/>
      <c r="N1103" s="47"/>
      <c r="O1103" s="47"/>
      <c r="P1103" s="47"/>
      <c r="Q1103" s="47"/>
      <c r="R1103" s="47"/>
    </row>
    <row r="1104" spans="2:18" ht="39.75">
      <c r="B1104" s="16"/>
      <c r="C1104" s="6"/>
      <c r="D1104" s="46"/>
      <c r="E1104" s="46"/>
      <c r="F1104" s="46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</row>
    <row r="1105" spans="2:18" ht="58.5">
      <c r="B1105" s="18">
        <f>B1101+1</f>
        <v>276</v>
      </c>
      <c r="C1105" s="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</row>
    <row r="1106" spans="2:18" ht="48.75">
      <c r="B1106" s="20"/>
      <c r="C1106" s="6"/>
      <c r="D1106" s="73"/>
      <c r="E1106" s="73"/>
      <c r="F1106" s="73"/>
      <c r="G1106" s="73"/>
      <c r="H1106" s="73"/>
      <c r="I1106" s="73"/>
      <c r="J1106" s="73"/>
      <c r="K1106" s="73"/>
      <c r="L1106" s="73"/>
      <c r="M1106" s="73"/>
      <c r="N1106" s="73"/>
      <c r="O1106" s="73"/>
      <c r="P1106" s="73"/>
      <c r="Q1106" s="73"/>
      <c r="R1106" s="73"/>
    </row>
    <row r="1107" spans="2:18">
      <c r="B1107" s="12"/>
      <c r="C1107" s="31"/>
      <c r="D1107" s="47"/>
      <c r="E1107" s="47"/>
      <c r="F1107" s="47"/>
      <c r="G1107" s="47"/>
      <c r="H1107" s="47"/>
      <c r="I1107" s="47"/>
      <c r="J1107" s="47"/>
      <c r="K1107" s="47"/>
      <c r="L1107" s="47"/>
      <c r="M1107" s="47"/>
      <c r="N1107" s="47"/>
      <c r="O1107" s="47"/>
      <c r="P1107" s="47"/>
      <c r="Q1107" s="47"/>
      <c r="R1107" s="47"/>
    </row>
    <row r="1108" spans="2:18" ht="39.75">
      <c r="B1108" s="16"/>
      <c r="C1108" s="6"/>
      <c r="D1108" s="46"/>
      <c r="E1108" s="46"/>
      <c r="F1108" s="46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</row>
    <row r="1109" spans="2:18" ht="58.5">
      <c r="B1109" s="18">
        <f>B1105+1</f>
        <v>277</v>
      </c>
      <c r="C1109" s="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</row>
    <row r="1110" spans="2:18" ht="48.75">
      <c r="B1110" s="20"/>
      <c r="C1110" s="6"/>
      <c r="D1110" s="73"/>
      <c r="E1110" s="73"/>
      <c r="F1110" s="73"/>
      <c r="G1110" s="73"/>
      <c r="H1110" s="73"/>
      <c r="I1110" s="73"/>
      <c r="J1110" s="73"/>
      <c r="K1110" s="73"/>
      <c r="L1110" s="73"/>
      <c r="M1110" s="73"/>
      <c r="N1110" s="73"/>
      <c r="O1110" s="73"/>
      <c r="P1110" s="73"/>
      <c r="Q1110" s="73"/>
      <c r="R1110" s="73"/>
    </row>
    <row r="1111" spans="2:18">
      <c r="B1111" s="12"/>
      <c r="C1111" s="31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</row>
    <row r="1112" spans="2:18" ht="39.75">
      <c r="B1112" s="16"/>
      <c r="C1112" s="6"/>
      <c r="D1112" s="46"/>
      <c r="E1112" s="46"/>
      <c r="F1112" s="46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</row>
    <row r="1113" spans="2:18" ht="58.5">
      <c r="B1113" s="18">
        <f t="shared" ref="B1113" si="118">B1109+1</f>
        <v>278</v>
      </c>
      <c r="C1113" s="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</row>
    <row r="1114" spans="2:18" ht="48.75">
      <c r="B1114" s="20"/>
      <c r="C1114" s="6"/>
      <c r="D1114" s="73"/>
      <c r="E1114" s="73"/>
      <c r="F1114" s="73"/>
      <c r="G1114" s="73"/>
      <c r="H1114" s="73"/>
      <c r="I1114" s="73"/>
      <c r="J1114" s="73"/>
      <c r="K1114" s="73"/>
      <c r="L1114" s="73"/>
      <c r="M1114" s="73"/>
      <c r="N1114" s="73"/>
      <c r="O1114" s="73"/>
      <c r="P1114" s="73"/>
      <c r="Q1114" s="73"/>
      <c r="R1114" s="73"/>
    </row>
    <row r="1115" spans="2:18">
      <c r="B1115" s="12"/>
      <c r="C1115" s="31"/>
      <c r="D1115" s="47"/>
      <c r="E1115" s="47"/>
      <c r="F1115" s="47"/>
      <c r="G1115" s="47"/>
      <c r="H1115" s="47"/>
      <c r="I1115" s="47"/>
      <c r="J1115" s="47"/>
      <c r="K1115" s="47"/>
      <c r="L1115" s="47"/>
      <c r="M1115" s="47"/>
      <c r="N1115" s="47"/>
      <c r="O1115" s="47"/>
      <c r="P1115" s="47"/>
      <c r="Q1115" s="47"/>
      <c r="R1115" s="47"/>
    </row>
    <row r="1116" spans="2:18" ht="39.75">
      <c r="B1116" s="16"/>
      <c r="C1116" s="6"/>
      <c r="D1116" s="46"/>
      <c r="E1116" s="46"/>
      <c r="F1116" s="46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</row>
    <row r="1117" spans="2:18" ht="58.5">
      <c r="B1117" s="18">
        <f t="shared" ref="B1117" si="119">B1113+1</f>
        <v>279</v>
      </c>
      <c r="C1117" s="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</row>
    <row r="1118" spans="2:18" ht="48.75">
      <c r="B1118" s="20"/>
      <c r="C1118" s="6"/>
      <c r="D1118" s="73"/>
      <c r="E1118" s="73"/>
      <c r="F1118" s="73"/>
      <c r="G1118" s="73"/>
      <c r="H1118" s="73"/>
      <c r="I1118" s="73"/>
      <c r="J1118" s="73"/>
      <c r="K1118" s="73"/>
      <c r="L1118" s="73"/>
      <c r="M1118" s="73"/>
      <c r="N1118" s="73"/>
      <c r="O1118" s="73"/>
      <c r="P1118" s="73"/>
      <c r="Q1118" s="73"/>
      <c r="R1118" s="73"/>
    </row>
    <row r="1119" spans="2:18">
      <c r="B1119" s="12"/>
      <c r="C1119" s="31"/>
      <c r="D1119" s="47"/>
      <c r="E1119" s="47"/>
      <c r="F1119" s="47"/>
      <c r="G1119" s="47"/>
      <c r="H1119" s="47"/>
      <c r="I1119" s="47"/>
      <c r="J1119" s="47"/>
      <c r="K1119" s="47"/>
      <c r="L1119" s="47"/>
      <c r="M1119" s="47"/>
      <c r="N1119" s="47"/>
      <c r="O1119" s="47"/>
      <c r="P1119" s="47"/>
      <c r="Q1119" s="47"/>
      <c r="R1119" s="47"/>
    </row>
    <row r="1120" spans="2:18" ht="39.75">
      <c r="B1120" s="16"/>
      <c r="C1120" s="6"/>
      <c r="D1120" s="46"/>
      <c r="E1120" s="46"/>
      <c r="F1120" s="46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</row>
    <row r="1121" spans="2:18" ht="58.5">
      <c r="B1121" s="18">
        <f t="shared" ref="B1121" si="120">B1117+1</f>
        <v>280</v>
      </c>
      <c r="C1121" s="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</row>
    <row r="1122" spans="2:18" ht="48.75">
      <c r="B1122" s="20"/>
      <c r="C1122" s="6"/>
      <c r="D1122" s="73"/>
      <c r="E1122" s="73"/>
      <c r="F1122" s="73"/>
      <c r="G1122" s="73"/>
      <c r="H1122" s="73"/>
      <c r="I1122" s="73"/>
      <c r="J1122" s="73"/>
      <c r="K1122" s="73"/>
      <c r="L1122" s="73"/>
      <c r="M1122" s="73"/>
      <c r="N1122" s="73"/>
      <c r="O1122" s="73"/>
      <c r="P1122" s="73"/>
      <c r="Q1122" s="73"/>
      <c r="R1122" s="73"/>
    </row>
    <row r="1123" spans="2:18">
      <c r="B1123" s="12"/>
      <c r="C1123" s="31"/>
      <c r="D1123" s="47"/>
      <c r="E1123" s="47"/>
      <c r="F1123" s="47"/>
      <c r="G1123" s="47"/>
      <c r="H1123" s="47"/>
      <c r="I1123" s="47"/>
      <c r="J1123" s="47"/>
      <c r="K1123" s="47"/>
      <c r="L1123" s="47"/>
      <c r="M1123" s="47"/>
      <c r="N1123" s="47"/>
      <c r="O1123" s="47"/>
      <c r="P1123" s="47"/>
      <c r="Q1123" s="47"/>
      <c r="R1123" s="47"/>
    </row>
    <row r="1124" spans="2:18" ht="39.75">
      <c r="B1124" s="16"/>
      <c r="C1124" s="6"/>
      <c r="D1124" s="46"/>
      <c r="E1124" s="46"/>
      <c r="F1124" s="46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</row>
    <row r="1125" spans="2:18" ht="58.5">
      <c r="B1125" s="18">
        <f t="shared" ref="B1125" si="121">B1121+1</f>
        <v>281</v>
      </c>
      <c r="C1125" s="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</row>
    <row r="1126" spans="2:18" ht="48.75">
      <c r="B1126" s="20"/>
      <c r="C1126" s="6"/>
      <c r="D1126" s="73"/>
      <c r="E1126" s="73"/>
      <c r="F1126" s="73"/>
      <c r="G1126" s="73"/>
      <c r="H1126" s="73"/>
      <c r="I1126" s="73"/>
      <c r="J1126" s="73"/>
      <c r="K1126" s="73"/>
      <c r="L1126" s="73"/>
      <c r="M1126" s="73"/>
      <c r="N1126" s="73"/>
      <c r="O1126" s="73"/>
      <c r="P1126" s="73"/>
      <c r="Q1126" s="73"/>
      <c r="R1126" s="73"/>
    </row>
    <row r="1127" spans="2:18">
      <c r="B1127" s="12"/>
      <c r="C1127" s="31"/>
      <c r="D1127" s="47"/>
      <c r="E1127" s="47"/>
      <c r="F1127" s="47"/>
      <c r="G1127" s="47"/>
      <c r="H1127" s="47"/>
      <c r="I1127" s="47"/>
      <c r="J1127" s="47"/>
      <c r="K1127" s="47"/>
      <c r="L1127" s="47"/>
      <c r="M1127" s="47"/>
      <c r="N1127" s="47"/>
      <c r="O1127" s="47"/>
      <c r="P1127" s="47"/>
      <c r="Q1127" s="47"/>
      <c r="R1127" s="47"/>
    </row>
    <row r="1128" spans="2:18" ht="39.75">
      <c r="B1128" s="16"/>
      <c r="C1128" s="6"/>
      <c r="D1128" s="46"/>
      <c r="E1128" s="46"/>
      <c r="F1128" s="46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</row>
    <row r="1129" spans="2:18" ht="58.5">
      <c r="B1129" s="18">
        <f t="shared" ref="B1129" si="122">B1125+1</f>
        <v>282</v>
      </c>
      <c r="C1129" s="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</row>
    <row r="1130" spans="2:18" ht="48.75">
      <c r="B1130" s="20"/>
      <c r="C1130" s="6"/>
      <c r="D1130" s="73"/>
      <c r="E1130" s="73"/>
      <c r="F1130" s="73"/>
      <c r="G1130" s="73"/>
      <c r="H1130" s="73"/>
      <c r="I1130" s="73"/>
      <c r="J1130" s="73"/>
      <c r="K1130" s="73"/>
      <c r="L1130" s="73"/>
      <c r="M1130" s="73"/>
      <c r="N1130" s="73"/>
      <c r="O1130" s="73"/>
      <c r="P1130" s="73"/>
      <c r="Q1130" s="73"/>
      <c r="R1130" s="73"/>
    </row>
    <row r="1131" spans="2:18">
      <c r="B1131" s="12"/>
      <c r="C1131" s="31"/>
      <c r="D1131" s="47"/>
      <c r="E1131" s="47"/>
      <c r="F1131" s="47"/>
      <c r="G1131" s="47"/>
      <c r="H1131" s="47"/>
      <c r="I1131" s="47"/>
      <c r="J1131" s="47"/>
      <c r="K1131" s="47"/>
      <c r="L1131" s="47"/>
      <c r="M1131" s="47"/>
      <c r="N1131" s="47"/>
      <c r="O1131" s="47"/>
      <c r="P1131" s="47"/>
      <c r="Q1131" s="47"/>
      <c r="R1131" s="47"/>
    </row>
    <row r="1132" spans="2:18" ht="39.75">
      <c r="B1132" s="16"/>
      <c r="C1132" s="6"/>
      <c r="D1132" s="46"/>
      <c r="E1132" s="46"/>
      <c r="F1132" s="46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</row>
    <row r="1133" spans="2:18" ht="58.5">
      <c r="B1133" s="18">
        <f t="shared" ref="B1133" si="123">B1129+1</f>
        <v>283</v>
      </c>
      <c r="C1133" s="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</row>
    <row r="1134" spans="2:18" ht="48.75">
      <c r="B1134" s="20"/>
      <c r="C1134" s="6"/>
      <c r="D1134" s="73"/>
      <c r="E1134" s="73"/>
      <c r="F1134" s="73"/>
      <c r="G1134" s="73"/>
      <c r="H1134" s="73"/>
      <c r="I1134" s="73"/>
      <c r="J1134" s="73"/>
      <c r="K1134" s="73"/>
      <c r="L1134" s="73"/>
      <c r="M1134" s="73"/>
      <c r="N1134" s="73"/>
      <c r="O1134" s="73"/>
      <c r="P1134" s="73"/>
      <c r="Q1134" s="73"/>
      <c r="R1134" s="73"/>
    </row>
    <row r="1135" spans="2:18">
      <c r="B1135" s="12"/>
      <c r="C1135" s="31"/>
      <c r="D1135" s="47"/>
      <c r="E1135" s="47"/>
      <c r="F1135" s="47"/>
      <c r="G1135" s="47"/>
      <c r="H1135" s="47"/>
      <c r="I1135" s="47"/>
      <c r="J1135" s="47"/>
      <c r="K1135" s="47"/>
      <c r="L1135" s="47"/>
      <c r="M1135" s="47"/>
      <c r="N1135" s="47"/>
      <c r="O1135" s="47"/>
      <c r="P1135" s="47"/>
      <c r="Q1135" s="47"/>
      <c r="R1135" s="47"/>
    </row>
    <row r="1136" spans="2:18" ht="39.75">
      <c r="B1136" s="16"/>
      <c r="C1136" s="6"/>
      <c r="D1136" s="46"/>
      <c r="E1136" s="46"/>
      <c r="F1136" s="46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</row>
    <row r="1137" spans="2:18" ht="58.5">
      <c r="B1137" s="18">
        <f t="shared" ref="B1137" si="124">B1133+1</f>
        <v>284</v>
      </c>
      <c r="C1137" s="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</row>
    <row r="1138" spans="2:18" ht="48.75">
      <c r="B1138" s="20"/>
      <c r="C1138" s="6"/>
      <c r="D1138" s="73"/>
      <c r="E1138" s="73"/>
      <c r="F1138" s="73"/>
      <c r="G1138" s="73"/>
      <c r="H1138" s="73"/>
      <c r="I1138" s="73"/>
      <c r="J1138" s="73"/>
      <c r="K1138" s="73"/>
      <c r="L1138" s="73"/>
      <c r="M1138" s="73"/>
      <c r="N1138" s="73"/>
      <c r="O1138" s="73"/>
      <c r="P1138" s="73"/>
      <c r="Q1138" s="73"/>
      <c r="R1138" s="73"/>
    </row>
    <row r="1139" spans="2:18">
      <c r="B1139" s="12"/>
      <c r="C1139" s="31"/>
      <c r="D1139" s="47"/>
      <c r="E1139" s="47"/>
      <c r="F1139" s="47"/>
      <c r="G1139" s="47"/>
      <c r="H1139" s="47"/>
      <c r="I1139" s="47"/>
      <c r="J1139" s="47"/>
      <c r="K1139" s="47"/>
      <c r="L1139" s="47"/>
      <c r="M1139" s="47"/>
      <c r="N1139" s="47"/>
      <c r="O1139" s="47"/>
      <c r="P1139" s="47"/>
      <c r="Q1139" s="47"/>
      <c r="R1139" s="47"/>
    </row>
    <row r="1140" spans="2:18" ht="39.75">
      <c r="B1140" s="16"/>
      <c r="C1140" s="6"/>
      <c r="D1140" s="46"/>
      <c r="E1140" s="46"/>
      <c r="F1140" s="46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</row>
    <row r="1141" spans="2:18" ht="58.5">
      <c r="B1141" s="18">
        <f t="shared" ref="B1141" si="125">B1137+1</f>
        <v>285</v>
      </c>
      <c r="C1141" s="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</row>
    <row r="1142" spans="2:18" ht="48.75">
      <c r="B1142" s="20"/>
      <c r="C1142" s="6"/>
      <c r="D1142" s="73"/>
      <c r="E1142" s="73"/>
      <c r="F1142" s="73"/>
      <c r="G1142" s="73"/>
      <c r="H1142" s="73"/>
      <c r="I1142" s="73"/>
      <c r="J1142" s="73"/>
      <c r="K1142" s="73"/>
      <c r="L1142" s="73"/>
      <c r="M1142" s="73"/>
      <c r="N1142" s="73"/>
      <c r="O1142" s="73"/>
      <c r="P1142" s="73"/>
      <c r="Q1142" s="73"/>
      <c r="R1142" s="73"/>
    </row>
    <row r="1143" spans="2:18">
      <c r="B1143" s="12"/>
      <c r="C1143" s="31"/>
      <c r="D1143" s="47"/>
      <c r="E1143" s="47"/>
      <c r="F1143" s="47"/>
      <c r="G1143" s="47"/>
      <c r="H1143" s="47"/>
      <c r="I1143" s="47"/>
      <c r="J1143" s="47"/>
      <c r="K1143" s="47"/>
      <c r="L1143" s="47"/>
      <c r="M1143" s="47"/>
      <c r="N1143" s="47"/>
      <c r="O1143" s="47"/>
      <c r="P1143" s="47"/>
      <c r="Q1143" s="47"/>
      <c r="R1143" s="47"/>
    </row>
    <row r="1144" spans="2:18" ht="39.75">
      <c r="B1144" s="16"/>
      <c r="C1144" s="6"/>
      <c r="D1144" s="46"/>
      <c r="E1144" s="46"/>
      <c r="F1144" s="46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</row>
    <row r="1145" spans="2:18" ht="58.5">
      <c r="B1145" s="18">
        <f t="shared" ref="B1145" si="126">B1141+1</f>
        <v>286</v>
      </c>
      <c r="C1145" s="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</row>
    <row r="1146" spans="2:18" ht="48.75">
      <c r="B1146" s="20"/>
      <c r="C1146" s="6"/>
      <c r="D1146" s="73"/>
      <c r="E1146" s="73"/>
      <c r="F1146" s="73"/>
      <c r="G1146" s="73"/>
      <c r="H1146" s="73"/>
      <c r="I1146" s="73"/>
      <c r="J1146" s="73"/>
      <c r="K1146" s="73"/>
      <c r="L1146" s="73"/>
      <c r="M1146" s="73"/>
      <c r="N1146" s="73"/>
      <c r="O1146" s="73"/>
      <c r="P1146" s="73"/>
      <c r="Q1146" s="73"/>
      <c r="R1146" s="73"/>
    </row>
    <row r="1147" spans="2:18">
      <c r="B1147" s="12"/>
      <c r="C1147" s="31"/>
      <c r="D1147" s="47"/>
      <c r="E1147" s="47"/>
      <c r="F1147" s="47"/>
      <c r="G1147" s="47"/>
      <c r="H1147" s="47"/>
      <c r="I1147" s="47"/>
      <c r="J1147" s="47"/>
      <c r="K1147" s="47"/>
      <c r="L1147" s="47"/>
      <c r="M1147" s="47"/>
      <c r="N1147" s="47"/>
      <c r="O1147" s="47"/>
      <c r="P1147" s="47"/>
      <c r="Q1147" s="47"/>
      <c r="R1147" s="47"/>
    </row>
    <row r="1148" spans="2:18" ht="39.75">
      <c r="B1148" s="16"/>
      <c r="C1148" s="6"/>
      <c r="D1148" s="46"/>
      <c r="E1148" s="46"/>
      <c r="F1148" s="46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</row>
    <row r="1149" spans="2:18" ht="58.5">
      <c r="B1149" s="18">
        <f t="shared" ref="B1149" si="127">B1145+1</f>
        <v>287</v>
      </c>
      <c r="C1149" s="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</row>
    <row r="1150" spans="2:18" ht="48.75">
      <c r="B1150" s="20"/>
      <c r="C1150" s="6"/>
      <c r="D1150" s="73"/>
      <c r="E1150" s="73"/>
      <c r="F1150" s="73"/>
      <c r="G1150" s="73"/>
      <c r="H1150" s="73"/>
      <c r="I1150" s="73"/>
      <c r="J1150" s="73"/>
      <c r="K1150" s="73"/>
      <c r="L1150" s="73"/>
      <c r="M1150" s="73"/>
      <c r="N1150" s="73"/>
      <c r="O1150" s="73"/>
      <c r="P1150" s="73"/>
      <c r="Q1150" s="73"/>
      <c r="R1150" s="73"/>
    </row>
    <row r="1151" spans="2:18">
      <c r="B1151" s="12"/>
      <c r="C1151" s="31"/>
      <c r="D1151" s="47"/>
      <c r="E1151" s="47"/>
      <c r="F1151" s="47"/>
      <c r="G1151" s="47"/>
      <c r="H1151" s="47"/>
      <c r="I1151" s="47"/>
      <c r="J1151" s="47"/>
      <c r="K1151" s="47"/>
      <c r="L1151" s="47"/>
      <c r="M1151" s="47"/>
      <c r="N1151" s="47"/>
      <c r="O1151" s="47"/>
      <c r="P1151" s="47"/>
      <c r="Q1151" s="47"/>
      <c r="R1151" s="47"/>
    </row>
    <row r="1152" spans="2:18" ht="39.75">
      <c r="B1152" s="16"/>
      <c r="C1152" s="6"/>
      <c r="D1152" s="46"/>
      <c r="E1152" s="46"/>
      <c r="F1152" s="46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</row>
    <row r="1153" spans="2:18" ht="58.5">
      <c r="B1153" s="18">
        <f t="shared" ref="B1153" si="128">B1149+1</f>
        <v>288</v>
      </c>
      <c r="C1153" s="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</row>
    <row r="1154" spans="2:18" ht="48.75">
      <c r="B1154" s="20"/>
      <c r="C1154" s="6"/>
      <c r="D1154" s="73"/>
      <c r="E1154" s="73"/>
      <c r="F1154" s="73"/>
      <c r="G1154" s="73"/>
      <c r="H1154" s="73"/>
      <c r="I1154" s="73"/>
      <c r="J1154" s="73"/>
      <c r="K1154" s="73"/>
      <c r="L1154" s="73"/>
      <c r="M1154" s="73"/>
      <c r="N1154" s="73"/>
      <c r="O1154" s="73"/>
      <c r="P1154" s="73"/>
      <c r="Q1154" s="73"/>
      <c r="R1154" s="73"/>
    </row>
    <row r="1155" spans="2:18">
      <c r="B1155" s="12"/>
      <c r="C1155" s="31"/>
      <c r="D1155" s="47"/>
      <c r="E1155" s="47"/>
      <c r="F1155" s="47"/>
      <c r="G1155" s="47"/>
      <c r="H1155" s="47"/>
      <c r="I1155" s="47"/>
      <c r="J1155" s="47"/>
      <c r="K1155" s="47"/>
      <c r="L1155" s="47"/>
      <c r="M1155" s="47"/>
      <c r="N1155" s="47"/>
      <c r="O1155" s="47"/>
      <c r="P1155" s="47"/>
      <c r="Q1155" s="47"/>
      <c r="R1155" s="47"/>
    </row>
    <row r="1156" spans="2:18" ht="39.75">
      <c r="B1156" s="16"/>
      <c r="C1156" s="6"/>
      <c r="D1156" s="46"/>
      <c r="E1156" s="46"/>
      <c r="F1156" s="46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</row>
    <row r="1157" spans="2:18" ht="58.5">
      <c r="B1157" s="18">
        <f t="shared" ref="B1157" si="129">B1153+1</f>
        <v>289</v>
      </c>
      <c r="C1157" s="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</row>
    <row r="1158" spans="2:18" ht="48.75">
      <c r="B1158" s="20"/>
      <c r="C1158" s="6"/>
      <c r="D1158" s="73"/>
      <c r="E1158" s="73"/>
      <c r="F1158" s="73"/>
      <c r="G1158" s="73"/>
      <c r="H1158" s="73"/>
      <c r="I1158" s="73"/>
      <c r="J1158" s="73"/>
      <c r="K1158" s="73"/>
      <c r="L1158" s="73"/>
      <c r="M1158" s="73"/>
      <c r="N1158" s="73"/>
      <c r="O1158" s="73"/>
      <c r="P1158" s="73"/>
      <c r="Q1158" s="73"/>
      <c r="R1158" s="73"/>
    </row>
    <row r="1159" spans="2:18">
      <c r="B1159" s="12"/>
      <c r="C1159" s="31"/>
      <c r="D1159" s="47"/>
      <c r="E1159" s="47"/>
      <c r="F1159" s="47"/>
      <c r="G1159" s="47"/>
      <c r="H1159" s="47"/>
      <c r="I1159" s="47"/>
      <c r="J1159" s="47"/>
      <c r="K1159" s="47"/>
      <c r="L1159" s="47"/>
      <c r="M1159" s="47"/>
      <c r="N1159" s="47"/>
      <c r="O1159" s="47"/>
      <c r="P1159" s="47"/>
      <c r="Q1159" s="47"/>
      <c r="R1159" s="47"/>
    </row>
    <row r="1160" spans="2:18" ht="39.75">
      <c r="B1160" s="16"/>
      <c r="C1160" s="6"/>
      <c r="D1160" s="46"/>
      <c r="E1160" s="46"/>
      <c r="F1160" s="46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</row>
    <row r="1161" spans="2:18" ht="58.5">
      <c r="B1161" s="18">
        <f t="shared" ref="B1161" si="130">B1157+1</f>
        <v>290</v>
      </c>
      <c r="C1161" s="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</row>
    <row r="1162" spans="2:18" ht="48.75">
      <c r="B1162" s="20"/>
      <c r="C1162" s="6"/>
      <c r="D1162" s="73"/>
      <c r="E1162" s="73"/>
      <c r="F1162" s="73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73"/>
    </row>
    <row r="1163" spans="2:18">
      <c r="B1163" s="12"/>
      <c r="C1163" s="31"/>
      <c r="D1163" s="47"/>
      <c r="E1163" s="47"/>
      <c r="F1163" s="47"/>
      <c r="G1163" s="47"/>
      <c r="H1163" s="47"/>
      <c r="I1163" s="47"/>
      <c r="J1163" s="47"/>
      <c r="K1163" s="47"/>
      <c r="L1163" s="47"/>
      <c r="M1163" s="47"/>
      <c r="N1163" s="47"/>
      <c r="O1163" s="47"/>
      <c r="P1163" s="47"/>
      <c r="Q1163" s="47"/>
      <c r="R1163" s="47"/>
    </row>
    <row r="1164" spans="2:18" ht="39.75">
      <c r="B1164" s="16"/>
      <c r="C1164" s="6"/>
      <c r="D1164" s="46"/>
      <c r="E1164" s="46"/>
      <c r="F1164" s="46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</row>
    <row r="1165" spans="2:18" ht="58.5">
      <c r="B1165" s="18">
        <f t="shared" ref="B1165" si="131">B1161+1</f>
        <v>291</v>
      </c>
      <c r="C1165" s="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</row>
    <row r="1166" spans="2:18" ht="48.75">
      <c r="B1166" s="20"/>
      <c r="C1166" s="6"/>
      <c r="D1166" s="73"/>
      <c r="E1166" s="73"/>
      <c r="F1166" s="73"/>
      <c r="G1166" s="73"/>
      <c r="H1166" s="73"/>
      <c r="I1166" s="73"/>
      <c r="J1166" s="73"/>
      <c r="K1166" s="73"/>
      <c r="L1166" s="73"/>
      <c r="M1166" s="73"/>
      <c r="N1166" s="73"/>
      <c r="O1166" s="73"/>
      <c r="P1166" s="73"/>
      <c r="Q1166" s="73"/>
      <c r="R1166" s="73"/>
    </row>
    <row r="1167" spans="2:18">
      <c r="B1167" s="12"/>
      <c r="C1167" s="31"/>
      <c r="D1167" s="47"/>
      <c r="E1167" s="47"/>
      <c r="F1167" s="47"/>
      <c r="G1167" s="47"/>
      <c r="H1167" s="47"/>
      <c r="I1167" s="47"/>
      <c r="J1167" s="47"/>
      <c r="K1167" s="47"/>
      <c r="L1167" s="47"/>
      <c r="M1167" s="47"/>
      <c r="N1167" s="47"/>
      <c r="O1167" s="47"/>
      <c r="P1167" s="47"/>
      <c r="Q1167" s="47"/>
      <c r="R1167" s="47"/>
    </row>
    <row r="1168" spans="2:18" ht="39.75">
      <c r="B1168" s="16"/>
      <c r="C1168" s="6"/>
      <c r="D1168" s="46"/>
      <c r="E1168" s="46"/>
      <c r="F1168" s="46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</row>
    <row r="1169" spans="2:18" ht="58.5">
      <c r="B1169" s="18">
        <f t="shared" ref="B1169" si="132">B1165+1</f>
        <v>292</v>
      </c>
      <c r="C1169" s="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</row>
    <row r="1170" spans="2:18" ht="48.75">
      <c r="B1170" s="20"/>
      <c r="C1170" s="6"/>
      <c r="D1170" s="73"/>
      <c r="E1170" s="73"/>
      <c r="F1170" s="73"/>
      <c r="G1170" s="73"/>
      <c r="H1170" s="73"/>
      <c r="I1170" s="73"/>
      <c r="J1170" s="73"/>
      <c r="K1170" s="73"/>
      <c r="L1170" s="73"/>
      <c r="M1170" s="73"/>
      <c r="N1170" s="73"/>
      <c r="O1170" s="73"/>
      <c r="P1170" s="73"/>
      <c r="Q1170" s="73"/>
      <c r="R1170" s="73"/>
    </row>
    <row r="1171" spans="2:18">
      <c r="B1171" s="12"/>
      <c r="C1171" s="31"/>
      <c r="D1171" s="47"/>
      <c r="E1171" s="47"/>
      <c r="F1171" s="47"/>
      <c r="G1171" s="47"/>
      <c r="H1171" s="47"/>
      <c r="I1171" s="47"/>
      <c r="J1171" s="47"/>
      <c r="K1171" s="47"/>
      <c r="L1171" s="47"/>
      <c r="M1171" s="47"/>
      <c r="N1171" s="47"/>
      <c r="O1171" s="47"/>
      <c r="P1171" s="47"/>
      <c r="Q1171" s="47"/>
      <c r="R1171" s="47"/>
    </row>
    <row r="1172" spans="2:18" ht="39.75">
      <c r="B1172" s="16"/>
      <c r="C1172" s="6"/>
      <c r="D1172" s="46"/>
      <c r="E1172" s="46"/>
      <c r="F1172" s="46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</row>
    <row r="1173" spans="2:18" ht="58.5">
      <c r="B1173" s="18">
        <f t="shared" ref="B1173" si="133">B1169+1</f>
        <v>293</v>
      </c>
      <c r="C1173" s="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</row>
    <row r="1174" spans="2:18" ht="48.75">
      <c r="B1174" s="20"/>
      <c r="C1174" s="6"/>
      <c r="D1174" s="73"/>
      <c r="E1174" s="73"/>
      <c r="F1174" s="73"/>
      <c r="G1174" s="73"/>
      <c r="H1174" s="73"/>
      <c r="I1174" s="73"/>
      <c r="J1174" s="73"/>
      <c r="K1174" s="73"/>
      <c r="L1174" s="73"/>
      <c r="M1174" s="73"/>
      <c r="N1174" s="73"/>
      <c r="O1174" s="73"/>
      <c r="P1174" s="73"/>
      <c r="Q1174" s="73"/>
      <c r="R1174" s="73"/>
    </row>
    <row r="1175" spans="2:18">
      <c r="B1175" s="12"/>
      <c r="C1175" s="31"/>
      <c r="D1175" s="47"/>
      <c r="E1175" s="47"/>
      <c r="F1175" s="47"/>
      <c r="G1175" s="47"/>
      <c r="H1175" s="47"/>
      <c r="I1175" s="47"/>
      <c r="J1175" s="47"/>
      <c r="K1175" s="47"/>
      <c r="L1175" s="47"/>
      <c r="M1175" s="47"/>
      <c r="N1175" s="47"/>
      <c r="O1175" s="47"/>
      <c r="P1175" s="47"/>
      <c r="Q1175" s="47"/>
      <c r="R1175" s="47"/>
    </row>
    <row r="1176" spans="2:18" ht="39.75">
      <c r="B1176" s="16"/>
      <c r="C1176" s="6"/>
      <c r="D1176" s="46"/>
      <c r="E1176" s="46"/>
      <c r="F1176" s="46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</row>
    <row r="1177" spans="2:18" ht="58.5">
      <c r="B1177" s="18">
        <f t="shared" ref="B1177" si="134">B1173+1</f>
        <v>294</v>
      </c>
      <c r="C1177" s="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</row>
    <row r="1178" spans="2:18" ht="48.75">
      <c r="B1178" s="20"/>
      <c r="C1178" s="6"/>
      <c r="D1178" s="73"/>
      <c r="E1178" s="73"/>
      <c r="F1178" s="73"/>
      <c r="G1178" s="73"/>
      <c r="H1178" s="73"/>
      <c r="I1178" s="73"/>
      <c r="J1178" s="73"/>
      <c r="K1178" s="73"/>
      <c r="L1178" s="73"/>
      <c r="M1178" s="73"/>
      <c r="N1178" s="73"/>
      <c r="O1178" s="73"/>
      <c r="P1178" s="73"/>
      <c r="Q1178" s="73"/>
      <c r="R1178" s="73"/>
    </row>
    <row r="1179" spans="2:18">
      <c r="B1179" s="12"/>
      <c r="C1179" s="31"/>
      <c r="D1179" s="47"/>
      <c r="E1179" s="47"/>
      <c r="F1179" s="47"/>
      <c r="G1179" s="47"/>
      <c r="H1179" s="47"/>
      <c r="I1179" s="47"/>
      <c r="J1179" s="47"/>
      <c r="K1179" s="47"/>
      <c r="L1179" s="47"/>
      <c r="M1179" s="47"/>
      <c r="N1179" s="47"/>
      <c r="O1179" s="47"/>
      <c r="P1179" s="47"/>
      <c r="Q1179" s="47"/>
      <c r="R1179" s="47"/>
    </row>
    <row r="1180" spans="2:18" ht="39.75">
      <c r="B1180" s="16"/>
      <c r="C1180" s="6"/>
      <c r="D1180" s="46"/>
      <c r="E1180" s="46"/>
      <c r="F1180" s="46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</row>
    <row r="1181" spans="2:18" ht="58.5">
      <c r="B1181" s="18">
        <f t="shared" ref="B1181" si="135">B1177+1</f>
        <v>295</v>
      </c>
      <c r="C1181" s="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</row>
    <row r="1182" spans="2:18" ht="48.75">
      <c r="B1182" s="20"/>
      <c r="C1182" s="6"/>
      <c r="D1182" s="73"/>
      <c r="E1182" s="73"/>
      <c r="F1182" s="73"/>
      <c r="G1182" s="73"/>
      <c r="H1182" s="73"/>
      <c r="I1182" s="73"/>
      <c r="J1182" s="73"/>
      <c r="K1182" s="73"/>
      <c r="L1182" s="73"/>
      <c r="M1182" s="73"/>
      <c r="N1182" s="73"/>
      <c r="O1182" s="73"/>
      <c r="P1182" s="73"/>
      <c r="Q1182" s="73"/>
      <c r="R1182" s="73"/>
    </row>
    <row r="1183" spans="2:18">
      <c r="B1183" s="12"/>
      <c r="C1183" s="31"/>
      <c r="D1183" s="47"/>
      <c r="E1183" s="47"/>
      <c r="F1183" s="47"/>
      <c r="G1183" s="47"/>
      <c r="H1183" s="47"/>
      <c r="I1183" s="47"/>
      <c r="J1183" s="47"/>
      <c r="K1183" s="47"/>
      <c r="L1183" s="47"/>
      <c r="M1183" s="47"/>
      <c r="N1183" s="47"/>
      <c r="O1183" s="47"/>
      <c r="P1183" s="47"/>
      <c r="Q1183" s="47"/>
      <c r="R1183" s="47"/>
    </row>
    <row r="1184" spans="2:18" ht="39.75">
      <c r="B1184" s="16"/>
      <c r="C1184" s="6"/>
      <c r="D1184" s="46"/>
      <c r="E1184" s="46"/>
      <c r="F1184" s="46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</row>
    <row r="1185" spans="2:18" ht="58.5">
      <c r="B1185" s="18">
        <f t="shared" ref="B1185" si="136">B1181+1</f>
        <v>296</v>
      </c>
      <c r="C1185" s="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</row>
    <row r="1186" spans="2:18" ht="48.75">
      <c r="B1186" s="20"/>
      <c r="C1186" s="6"/>
      <c r="D1186" s="73"/>
      <c r="E1186" s="73"/>
      <c r="F1186" s="73"/>
      <c r="G1186" s="73"/>
      <c r="H1186" s="73"/>
      <c r="I1186" s="73"/>
      <c r="J1186" s="73"/>
      <c r="K1186" s="73"/>
      <c r="L1186" s="73"/>
      <c r="M1186" s="73"/>
      <c r="N1186" s="73"/>
      <c r="O1186" s="73"/>
      <c r="P1186" s="73"/>
      <c r="Q1186" s="73"/>
      <c r="R1186" s="73"/>
    </row>
    <row r="1187" spans="2:18">
      <c r="B1187" s="12"/>
      <c r="C1187" s="31"/>
      <c r="D1187" s="47"/>
      <c r="E1187" s="47"/>
      <c r="F1187" s="47"/>
      <c r="G1187" s="47"/>
      <c r="H1187" s="47"/>
      <c r="I1187" s="47"/>
      <c r="J1187" s="47"/>
      <c r="K1187" s="47"/>
      <c r="L1187" s="47"/>
      <c r="M1187" s="47"/>
      <c r="N1187" s="47"/>
      <c r="O1187" s="47"/>
      <c r="P1187" s="47"/>
      <c r="Q1187" s="47"/>
      <c r="R1187" s="47"/>
    </row>
    <row r="1188" spans="2:18" ht="39.75">
      <c r="B1188" s="16"/>
      <c r="C1188" s="6"/>
      <c r="D1188" s="46"/>
      <c r="E1188" s="46"/>
      <c r="F1188" s="46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</row>
    <row r="1189" spans="2:18" ht="58.5">
      <c r="B1189" s="18">
        <f t="shared" ref="B1189" si="137">B1185+1</f>
        <v>297</v>
      </c>
      <c r="C1189" s="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</row>
    <row r="1190" spans="2:18" ht="48.75">
      <c r="B1190" s="20"/>
      <c r="C1190" s="6"/>
      <c r="D1190" s="73"/>
      <c r="E1190" s="73"/>
      <c r="F1190" s="73"/>
      <c r="G1190" s="73"/>
      <c r="H1190" s="73"/>
      <c r="I1190" s="73"/>
      <c r="J1190" s="73"/>
      <c r="K1190" s="73"/>
      <c r="L1190" s="73"/>
      <c r="M1190" s="73"/>
      <c r="N1190" s="73"/>
      <c r="O1190" s="73"/>
      <c r="P1190" s="73"/>
      <c r="Q1190" s="73"/>
      <c r="R1190" s="73"/>
    </row>
    <row r="1191" spans="2:18">
      <c r="B1191" s="12"/>
      <c r="C1191" s="31"/>
      <c r="D1191" s="47"/>
      <c r="E1191" s="47"/>
      <c r="F1191" s="47"/>
      <c r="G1191" s="47"/>
      <c r="H1191" s="47"/>
      <c r="I1191" s="47"/>
      <c r="J1191" s="47"/>
      <c r="K1191" s="47"/>
      <c r="L1191" s="47"/>
      <c r="M1191" s="47"/>
      <c r="N1191" s="47"/>
      <c r="O1191" s="47"/>
      <c r="P1191" s="47"/>
      <c r="Q1191" s="47"/>
      <c r="R1191" s="47"/>
    </row>
    <row r="1192" spans="2:18" ht="39.75">
      <c r="B1192" s="16"/>
      <c r="C1192" s="6"/>
      <c r="D1192" s="46"/>
      <c r="E1192" s="46"/>
      <c r="F1192" s="46"/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</row>
    <row r="1193" spans="2:18" ht="58.5">
      <c r="B1193" s="18">
        <f t="shared" ref="B1193" si="138">B1189+1</f>
        <v>298</v>
      </c>
      <c r="C1193" s="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</row>
    <row r="1194" spans="2:18" ht="48.75">
      <c r="B1194" s="20"/>
      <c r="C1194" s="6"/>
      <c r="D1194" s="73"/>
      <c r="E1194" s="73"/>
      <c r="F1194" s="73"/>
      <c r="G1194" s="73"/>
      <c r="H1194" s="73"/>
      <c r="I1194" s="73"/>
      <c r="J1194" s="73"/>
      <c r="K1194" s="73"/>
      <c r="L1194" s="73"/>
      <c r="M1194" s="73"/>
      <c r="N1194" s="73"/>
      <c r="O1194" s="73"/>
      <c r="P1194" s="73"/>
      <c r="Q1194" s="73"/>
      <c r="R1194" s="73"/>
    </row>
    <row r="1195" spans="2:18">
      <c r="B1195" s="12"/>
      <c r="C1195" s="31"/>
      <c r="D1195" s="47"/>
      <c r="E1195" s="47"/>
      <c r="F1195" s="47"/>
      <c r="G1195" s="47"/>
      <c r="H1195" s="47"/>
      <c r="I1195" s="47"/>
      <c r="J1195" s="47"/>
      <c r="K1195" s="47"/>
      <c r="L1195" s="47"/>
      <c r="M1195" s="47"/>
      <c r="N1195" s="47"/>
      <c r="O1195" s="47"/>
      <c r="P1195" s="47"/>
      <c r="Q1195" s="47"/>
      <c r="R1195" s="47"/>
    </row>
    <row r="1196" spans="2:18" ht="39.75">
      <c r="B1196" s="16"/>
      <c r="C1196" s="6"/>
      <c r="D1196" s="46"/>
      <c r="E1196" s="46"/>
      <c r="F1196" s="46"/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</row>
    <row r="1197" spans="2:18" ht="58.5">
      <c r="B1197" s="18">
        <f t="shared" ref="B1197" si="139">B1193+1</f>
        <v>299</v>
      </c>
      <c r="C1197" s="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</row>
    <row r="1198" spans="2:18" ht="48.75">
      <c r="B1198" s="20"/>
      <c r="C1198" s="6"/>
      <c r="D1198" s="73"/>
      <c r="E1198" s="73"/>
      <c r="F1198" s="73"/>
      <c r="G1198" s="73"/>
      <c r="H1198" s="73"/>
      <c r="I1198" s="73"/>
      <c r="J1198" s="73"/>
      <c r="K1198" s="73"/>
      <c r="L1198" s="73"/>
      <c r="M1198" s="73"/>
      <c r="N1198" s="73"/>
      <c r="O1198" s="73"/>
      <c r="P1198" s="73"/>
      <c r="Q1198" s="73"/>
      <c r="R1198" s="73"/>
    </row>
    <row r="1199" spans="2:18">
      <c r="B1199" s="12"/>
      <c r="C1199" s="31"/>
      <c r="D1199" s="47"/>
      <c r="E1199" s="47"/>
      <c r="F1199" s="47"/>
      <c r="G1199" s="47"/>
      <c r="H1199" s="47"/>
      <c r="I1199" s="47"/>
      <c r="J1199" s="47"/>
      <c r="K1199" s="47"/>
      <c r="L1199" s="47"/>
      <c r="M1199" s="47"/>
      <c r="N1199" s="47"/>
      <c r="O1199" s="47"/>
      <c r="P1199" s="47"/>
      <c r="Q1199" s="47"/>
      <c r="R1199" s="47"/>
    </row>
    <row r="1200" spans="2:18" ht="39.75">
      <c r="B1200" s="16"/>
      <c r="C1200" s="6"/>
      <c r="D1200" s="46"/>
      <c r="E1200" s="46"/>
      <c r="F1200" s="46"/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</row>
    <row r="1201" spans="2:18" ht="58.5">
      <c r="B1201" s="18">
        <f t="shared" ref="B1201" si="140">B1197+1</f>
        <v>300</v>
      </c>
      <c r="C1201" s="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</row>
    <row r="1202" spans="2:18" ht="48.75">
      <c r="B1202" s="20"/>
      <c r="C1202" s="6"/>
      <c r="D1202" s="73"/>
      <c r="E1202" s="73"/>
      <c r="F1202" s="73"/>
      <c r="G1202" s="73"/>
      <c r="H1202" s="73"/>
      <c r="I1202" s="73"/>
      <c r="J1202" s="73"/>
      <c r="K1202" s="73"/>
      <c r="L1202" s="73"/>
      <c r="M1202" s="73"/>
      <c r="N1202" s="73"/>
      <c r="O1202" s="73"/>
      <c r="P1202" s="73"/>
      <c r="Q1202" s="73"/>
      <c r="R1202" s="73"/>
    </row>
    <row r="1203" spans="2:18">
      <c r="B1203" s="12"/>
      <c r="C1203" s="31"/>
      <c r="D1203" s="47"/>
      <c r="E1203" s="47"/>
      <c r="F1203" s="47"/>
      <c r="G1203" s="47"/>
      <c r="H1203" s="47"/>
      <c r="I1203" s="47"/>
      <c r="J1203" s="47"/>
      <c r="K1203" s="47"/>
      <c r="L1203" s="47"/>
      <c r="M1203" s="47"/>
      <c r="N1203" s="47"/>
      <c r="O1203" s="47"/>
      <c r="P1203" s="47"/>
      <c r="Q1203" s="47"/>
      <c r="R1203" s="47"/>
    </row>
    <row r="1204" spans="2:18" ht="39.75">
      <c r="B1204" s="16"/>
      <c r="C1204" s="6"/>
      <c r="D1204" s="46"/>
      <c r="E1204" s="46"/>
      <c r="F1204" s="46"/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</row>
    <row r="1205" spans="2:18" ht="58.5">
      <c r="B1205" s="18">
        <f t="shared" ref="B1205" si="141">B1201+1</f>
        <v>301</v>
      </c>
      <c r="C1205" s="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</row>
    <row r="1206" spans="2:18" ht="48.75">
      <c r="B1206" s="20"/>
      <c r="C1206" s="6"/>
      <c r="D1206" s="73"/>
      <c r="E1206" s="73"/>
      <c r="F1206" s="73"/>
      <c r="G1206" s="73"/>
      <c r="H1206" s="73"/>
      <c r="I1206" s="73"/>
      <c r="J1206" s="73"/>
      <c r="K1206" s="73"/>
      <c r="L1206" s="73"/>
      <c r="M1206" s="73"/>
      <c r="N1206" s="73"/>
      <c r="O1206" s="73"/>
      <c r="P1206" s="73"/>
      <c r="Q1206" s="73"/>
      <c r="R1206" s="73"/>
    </row>
    <row r="1207" spans="2:18">
      <c r="B1207" s="24"/>
      <c r="C1207" s="25"/>
      <c r="D1207" s="47"/>
      <c r="E1207" s="47"/>
      <c r="F1207" s="47"/>
      <c r="G1207" s="47"/>
      <c r="H1207" s="47"/>
      <c r="I1207" s="47"/>
      <c r="J1207" s="47"/>
      <c r="K1207" s="47"/>
      <c r="L1207" s="47"/>
      <c r="M1207" s="47"/>
      <c r="N1207" s="47"/>
      <c r="O1207" s="47"/>
      <c r="P1207" s="47"/>
      <c r="Q1207" s="47"/>
      <c r="R1207" s="47"/>
    </row>
    <row r="1208" spans="2:18" ht="39.75">
      <c r="B1208" s="16"/>
      <c r="C1208" s="6"/>
      <c r="D1208" s="46"/>
      <c r="E1208" s="46"/>
      <c r="F1208" s="46"/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</row>
    <row r="1209" spans="2:18" ht="58.5">
      <c r="B1209" s="18">
        <f>B1205+1</f>
        <v>302</v>
      </c>
      <c r="C1209" s="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</row>
    <row r="1210" spans="2:18" ht="48.75">
      <c r="B1210" s="20"/>
      <c r="C1210" s="6"/>
      <c r="D1210" s="73"/>
      <c r="E1210" s="73"/>
      <c r="F1210" s="73"/>
      <c r="G1210" s="73"/>
      <c r="H1210" s="73"/>
      <c r="I1210" s="73"/>
      <c r="J1210" s="73"/>
      <c r="K1210" s="73"/>
      <c r="L1210" s="73"/>
      <c r="M1210" s="73"/>
      <c r="N1210" s="73"/>
      <c r="O1210" s="73"/>
      <c r="P1210" s="73"/>
      <c r="Q1210" s="73"/>
      <c r="R1210" s="73"/>
    </row>
    <row r="1211" spans="2:18">
      <c r="B1211" s="29"/>
      <c r="C1211" s="30"/>
      <c r="D1211" s="47"/>
      <c r="E1211" s="47"/>
      <c r="F1211" s="47"/>
      <c r="G1211" s="47"/>
      <c r="H1211" s="47"/>
      <c r="I1211" s="47"/>
      <c r="J1211" s="47"/>
      <c r="K1211" s="47"/>
      <c r="L1211" s="47"/>
      <c r="M1211" s="47"/>
      <c r="N1211" s="47"/>
      <c r="O1211" s="47"/>
      <c r="P1211" s="47"/>
      <c r="Q1211" s="47"/>
      <c r="R1211" s="47"/>
    </row>
    <row r="1212" spans="2:18" ht="39.75">
      <c r="B1212" s="16"/>
      <c r="C1212" s="6"/>
      <c r="D1212" s="46"/>
      <c r="E1212" s="46"/>
      <c r="F1212" s="46"/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</row>
    <row r="1213" spans="2:18" ht="58.5">
      <c r="B1213" s="18">
        <f>B1209+1</f>
        <v>303</v>
      </c>
      <c r="C1213" s="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</row>
    <row r="1214" spans="2:18" ht="48.75">
      <c r="B1214" s="20"/>
      <c r="C1214" s="6"/>
      <c r="D1214" s="73"/>
      <c r="E1214" s="73"/>
      <c r="F1214" s="73"/>
      <c r="G1214" s="73"/>
      <c r="H1214" s="73"/>
      <c r="I1214" s="73"/>
      <c r="J1214" s="73"/>
      <c r="K1214" s="73"/>
      <c r="L1214" s="73"/>
      <c r="M1214" s="73"/>
      <c r="N1214" s="73"/>
      <c r="O1214" s="73"/>
      <c r="P1214" s="73"/>
      <c r="Q1214" s="73"/>
      <c r="R1214" s="73"/>
    </row>
    <row r="1215" spans="2:18">
      <c r="B1215" s="12"/>
      <c r="C1215" s="31"/>
      <c r="D1215" s="47"/>
      <c r="E1215" s="47"/>
      <c r="F1215" s="47"/>
      <c r="G1215" s="47"/>
      <c r="H1215" s="47"/>
      <c r="I1215" s="47"/>
      <c r="J1215" s="47"/>
      <c r="K1215" s="47"/>
      <c r="L1215" s="47"/>
      <c r="M1215" s="47"/>
      <c r="N1215" s="47"/>
      <c r="O1215" s="47"/>
      <c r="P1215" s="47"/>
      <c r="Q1215" s="47"/>
      <c r="R1215" s="47"/>
    </row>
    <row r="1216" spans="2:18" ht="39.75">
      <c r="B1216" s="16"/>
      <c r="C1216" s="6"/>
      <c r="D1216" s="46"/>
      <c r="E1216" s="46"/>
      <c r="F1216" s="46"/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</row>
    <row r="1217" spans="2:18" ht="58.5">
      <c r="B1217" s="18">
        <f>B1213+1</f>
        <v>304</v>
      </c>
      <c r="C1217" s="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</row>
    <row r="1218" spans="2:18" ht="48.75">
      <c r="B1218" s="20"/>
      <c r="C1218" s="6"/>
      <c r="D1218" s="73"/>
      <c r="E1218" s="73"/>
      <c r="F1218" s="73"/>
      <c r="G1218" s="73"/>
      <c r="H1218" s="73"/>
      <c r="I1218" s="73"/>
      <c r="J1218" s="73"/>
      <c r="K1218" s="73"/>
      <c r="L1218" s="73"/>
      <c r="M1218" s="73"/>
      <c r="N1218" s="73"/>
      <c r="O1218" s="73"/>
      <c r="P1218" s="73"/>
      <c r="Q1218" s="73"/>
      <c r="R1218" s="73"/>
    </row>
    <row r="1219" spans="2:18">
      <c r="B1219" s="12"/>
      <c r="C1219" s="31"/>
      <c r="D1219" s="47"/>
      <c r="E1219" s="47"/>
      <c r="F1219" s="47"/>
      <c r="G1219" s="47"/>
      <c r="H1219" s="47"/>
      <c r="I1219" s="47"/>
      <c r="J1219" s="47"/>
      <c r="K1219" s="47"/>
      <c r="L1219" s="47"/>
      <c r="M1219" s="47"/>
      <c r="N1219" s="47"/>
      <c r="O1219" s="47"/>
      <c r="P1219" s="47"/>
      <c r="Q1219" s="47"/>
      <c r="R1219" s="47"/>
    </row>
    <row r="1220" spans="2:18" ht="39.75">
      <c r="B1220" s="16"/>
      <c r="C1220" s="6"/>
      <c r="D1220" s="46"/>
      <c r="E1220" s="46"/>
      <c r="F1220" s="46"/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</row>
    <row r="1221" spans="2:18" ht="58.5">
      <c r="B1221" s="18">
        <f>B1217+1</f>
        <v>305</v>
      </c>
      <c r="C1221" s="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</row>
    <row r="1222" spans="2:18" ht="48.75">
      <c r="B1222" s="20"/>
      <c r="C1222" s="6"/>
      <c r="D1222" s="73"/>
      <c r="E1222" s="73"/>
      <c r="F1222" s="73"/>
      <c r="G1222" s="73"/>
      <c r="H1222" s="73"/>
      <c r="I1222" s="73"/>
      <c r="J1222" s="73"/>
      <c r="K1222" s="73"/>
      <c r="L1222" s="73"/>
      <c r="M1222" s="73"/>
      <c r="N1222" s="73"/>
      <c r="O1222" s="73"/>
      <c r="P1222" s="73"/>
      <c r="Q1222" s="73"/>
      <c r="R1222" s="73"/>
    </row>
    <row r="1223" spans="2:18">
      <c r="B1223" s="12"/>
      <c r="C1223" s="31"/>
      <c r="D1223" s="47"/>
      <c r="E1223" s="47"/>
      <c r="F1223" s="47"/>
      <c r="G1223" s="47"/>
      <c r="H1223" s="47"/>
      <c r="I1223" s="47"/>
      <c r="J1223" s="47"/>
      <c r="K1223" s="47"/>
      <c r="L1223" s="47"/>
      <c r="M1223" s="47"/>
      <c r="N1223" s="47"/>
      <c r="O1223" s="47"/>
      <c r="P1223" s="47"/>
      <c r="Q1223" s="47"/>
      <c r="R1223" s="47"/>
    </row>
    <row r="1224" spans="2:18" ht="39.75">
      <c r="B1224" s="16"/>
      <c r="C1224" s="6"/>
      <c r="D1224" s="46"/>
      <c r="E1224" s="46"/>
      <c r="F1224" s="46"/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</row>
    <row r="1225" spans="2:18" ht="58.5">
      <c r="B1225" s="18">
        <f>B1221+1</f>
        <v>306</v>
      </c>
      <c r="C1225" s="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</row>
    <row r="1226" spans="2:18" ht="48.75">
      <c r="B1226" s="20"/>
      <c r="C1226" s="6"/>
      <c r="D1226" s="73"/>
      <c r="E1226" s="73"/>
      <c r="F1226" s="73"/>
      <c r="G1226" s="73"/>
      <c r="H1226" s="73"/>
      <c r="I1226" s="73"/>
      <c r="J1226" s="73"/>
      <c r="K1226" s="73"/>
      <c r="L1226" s="73"/>
      <c r="M1226" s="73"/>
      <c r="N1226" s="73"/>
      <c r="O1226" s="73"/>
      <c r="P1226" s="73"/>
      <c r="Q1226" s="73"/>
      <c r="R1226" s="73"/>
    </row>
    <row r="1227" spans="2:18">
      <c r="B1227" s="12"/>
      <c r="C1227" s="31"/>
      <c r="D1227" s="47"/>
      <c r="E1227" s="47"/>
      <c r="F1227" s="47"/>
      <c r="G1227" s="47"/>
      <c r="H1227" s="47"/>
      <c r="I1227" s="47"/>
      <c r="J1227" s="47"/>
      <c r="K1227" s="47"/>
      <c r="L1227" s="47"/>
      <c r="M1227" s="47"/>
      <c r="N1227" s="47"/>
      <c r="O1227" s="47"/>
      <c r="P1227" s="47"/>
      <c r="Q1227" s="47"/>
      <c r="R1227" s="47"/>
    </row>
    <row r="1228" spans="2:18" ht="39.75">
      <c r="B1228" s="16"/>
      <c r="C1228" s="6"/>
      <c r="D1228" s="46"/>
      <c r="E1228" s="46"/>
      <c r="F1228" s="46"/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</row>
    <row r="1229" spans="2:18" ht="58.5">
      <c r="B1229" s="18">
        <f>B1225+1</f>
        <v>307</v>
      </c>
      <c r="C1229" s="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</row>
    <row r="1230" spans="2:18" ht="48.75">
      <c r="B1230" s="20"/>
      <c r="C1230" s="6"/>
      <c r="D1230" s="73"/>
      <c r="E1230" s="73"/>
      <c r="F1230" s="73"/>
      <c r="G1230" s="73"/>
      <c r="H1230" s="73"/>
      <c r="I1230" s="73"/>
      <c r="J1230" s="73"/>
      <c r="K1230" s="73"/>
      <c r="L1230" s="73"/>
      <c r="M1230" s="73"/>
      <c r="N1230" s="73"/>
      <c r="O1230" s="73"/>
      <c r="P1230" s="73"/>
      <c r="Q1230" s="73"/>
      <c r="R1230" s="73"/>
    </row>
    <row r="1231" spans="2:18">
      <c r="B1231" s="12"/>
      <c r="C1231" s="31"/>
      <c r="D1231" s="47"/>
      <c r="E1231" s="47"/>
      <c r="F1231" s="47"/>
      <c r="G1231" s="47"/>
      <c r="H1231" s="47"/>
      <c r="I1231" s="47"/>
      <c r="J1231" s="47"/>
      <c r="K1231" s="47"/>
      <c r="L1231" s="47"/>
      <c r="M1231" s="47"/>
      <c r="N1231" s="47"/>
      <c r="O1231" s="47"/>
      <c r="P1231" s="47"/>
      <c r="Q1231" s="47"/>
      <c r="R1231" s="47"/>
    </row>
    <row r="1232" spans="2:18" ht="39.75">
      <c r="B1232" s="16"/>
      <c r="C1232" s="6"/>
      <c r="D1232" s="46"/>
      <c r="E1232" s="46"/>
      <c r="F1232" s="46"/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</row>
    <row r="1233" spans="2:18" ht="58.5">
      <c r="B1233" s="18">
        <f>B1229+1</f>
        <v>308</v>
      </c>
      <c r="C1233" s="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</row>
    <row r="1234" spans="2:18" ht="48.75">
      <c r="B1234" s="20"/>
      <c r="C1234" s="6"/>
      <c r="D1234" s="73"/>
      <c r="E1234" s="73"/>
      <c r="F1234" s="73"/>
      <c r="G1234" s="73"/>
      <c r="H1234" s="73"/>
      <c r="I1234" s="73"/>
      <c r="J1234" s="73"/>
      <c r="K1234" s="73"/>
      <c r="L1234" s="73"/>
      <c r="M1234" s="73"/>
      <c r="N1234" s="73"/>
      <c r="O1234" s="73"/>
      <c r="P1234" s="73"/>
      <c r="Q1234" s="73"/>
      <c r="R1234" s="73"/>
    </row>
    <row r="1235" spans="2:18">
      <c r="B1235" s="12"/>
      <c r="C1235" s="31"/>
      <c r="D1235" s="47"/>
      <c r="E1235" s="47"/>
      <c r="F1235" s="47"/>
      <c r="G1235" s="47"/>
      <c r="H1235" s="47"/>
      <c r="I1235" s="47"/>
      <c r="J1235" s="47"/>
      <c r="K1235" s="47"/>
      <c r="L1235" s="47"/>
      <c r="M1235" s="47"/>
      <c r="N1235" s="47"/>
      <c r="O1235" s="47"/>
      <c r="P1235" s="47"/>
      <c r="Q1235" s="47"/>
      <c r="R1235" s="47"/>
    </row>
    <row r="1236" spans="2:18" ht="39.75">
      <c r="B1236" s="16"/>
      <c r="C1236" s="6"/>
      <c r="D1236" s="46"/>
      <c r="E1236" s="46"/>
      <c r="F1236" s="46"/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</row>
    <row r="1237" spans="2:18" ht="58.5">
      <c r="B1237" s="18">
        <f>B1233+1</f>
        <v>309</v>
      </c>
      <c r="C1237" s="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</row>
    <row r="1238" spans="2:18" ht="48.75">
      <c r="B1238" s="20"/>
      <c r="C1238" s="6"/>
      <c r="D1238" s="73"/>
      <c r="E1238" s="73"/>
      <c r="F1238" s="73"/>
      <c r="G1238" s="73"/>
      <c r="H1238" s="73"/>
      <c r="I1238" s="73"/>
      <c r="J1238" s="73"/>
      <c r="K1238" s="73"/>
      <c r="L1238" s="73"/>
      <c r="M1238" s="73"/>
      <c r="N1238" s="73"/>
      <c r="O1238" s="73"/>
      <c r="P1238" s="73"/>
      <c r="Q1238" s="73"/>
      <c r="R1238" s="73"/>
    </row>
    <row r="1239" spans="2:18">
      <c r="B1239" s="12"/>
      <c r="C1239" s="31"/>
      <c r="D1239" s="47"/>
      <c r="E1239" s="47"/>
      <c r="F1239" s="47"/>
      <c r="G1239" s="47"/>
      <c r="H1239" s="47"/>
      <c r="I1239" s="47"/>
      <c r="J1239" s="47"/>
      <c r="K1239" s="47"/>
      <c r="L1239" s="47"/>
      <c r="M1239" s="47"/>
      <c r="N1239" s="47"/>
      <c r="O1239" s="47"/>
      <c r="P1239" s="47"/>
      <c r="Q1239" s="47"/>
      <c r="R1239" s="47"/>
    </row>
    <row r="1240" spans="2:18" ht="39.75">
      <c r="B1240" s="16"/>
      <c r="C1240" s="6"/>
      <c r="D1240" s="46"/>
      <c r="E1240" s="46"/>
      <c r="F1240" s="46"/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</row>
    <row r="1241" spans="2:18" ht="58.5">
      <c r="B1241" s="18">
        <f>B1237+1</f>
        <v>310</v>
      </c>
      <c r="C1241" s="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</row>
    <row r="1242" spans="2:18" ht="48.75">
      <c r="B1242" s="20"/>
      <c r="C1242" s="6"/>
      <c r="D1242" s="73"/>
      <c r="E1242" s="73"/>
      <c r="F1242" s="73"/>
      <c r="G1242" s="73"/>
      <c r="H1242" s="73"/>
      <c r="I1242" s="73"/>
      <c r="J1242" s="73"/>
      <c r="K1242" s="73"/>
      <c r="L1242" s="73"/>
      <c r="M1242" s="73"/>
      <c r="N1242" s="73"/>
      <c r="O1242" s="73"/>
      <c r="P1242" s="73"/>
      <c r="Q1242" s="73"/>
      <c r="R1242" s="73"/>
    </row>
    <row r="1243" spans="2:18">
      <c r="B1243" s="12"/>
      <c r="C1243" s="31"/>
      <c r="D1243" s="47"/>
      <c r="E1243" s="47"/>
      <c r="F1243" s="47"/>
      <c r="G1243" s="47"/>
      <c r="H1243" s="47"/>
      <c r="I1243" s="47"/>
      <c r="J1243" s="47"/>
      <c r="K1243" s="47"/>
      <c r="L1243" s="47"/>
      <c r="M1243" s="47"/>
      <c r="N1243" s="47"/>
      <c r="O1243" s="47"/>
      <c r="P1243" s="47"/>
      <c r="Q1243" s="47"/>
      <c r="R1243" s="47"/>
    </row>
    <row r="1244" spans="2:18" ht="39.75">
      <c r="B1244" s="16"/>
      <c r="C1244" s="6"/>
      <c r="D1244" s="46"/>
      <c r="E1244" s="46"/>
      <c r="F1244" s="46"/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</row>
    <row r="1245" spans="2:18" ht="58.5">
      <c r="B1245" s="18">
        <f>B1241+1</f>
        <v>311</v>
      </c>
      <c r="C1245" s="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</row>
    <row r="1246" spans="2:18" ht="48.75">
      <c r="B1246" s="20"/>
      <c r="C1246" s="6"/>
      <c r="D1246" s="73"/>
      <c r="E1246" s="73"/>
      <c r="F1246" s="73"/>
      <c r="G1246" s="73"/>
      <c r="H1246" s="73"/>
      <c r="I1246" s="73"/>
      <c r="J1246" s="73"/>
      <c r="K1246" s="73"/>
      <c r="L1246" s="73"/>
      <c r="M1246" s="73"/>
      <c r="N1246" s="73"/>
      <c r="O1246" s="73"/>
      <c r="P1246" s="73"/>
      <c r="Q1246" s="73"/>
      <c r="R1246" s="73"/>
    </row>
    <row r="1247" spans="2:18">
      <c r="B1247" s="12"/>
      <c r="C1247" s="31"/>
      <c r="D1247" s="47"/>
      <c r="E1247" s="47"/>
      <c r="F1247" s="47"/>
      <c r="G1247" s="47"/>
      <c r="H1247" s="47"/>
      <c r="I1247" s="47"/>
      <c r="J1247" s="47"/>
      <c r="K1247" s="47"/>
      <c r="L1247" s="47"/>
      <c r="M1247" s="47"/>
      <c r="N1247" s="47"/>
      <c r="O1247" s="47"/>
      <c r="P1247" s="47"/>
      <c r="Q1247" s="47"/>
      <c r="R1247" s="47"/>
    </row>
    <row r="1248" spans="2:18" ht="39.75">
      <c r="B1248" s="16"/>
      <c r="C1248" s="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</row>
    <row r="1249" spans="2:18" ht="58.5">
      <c r="B1249" s="18">
        <f>B1245+1</f>
        <v>312</v>
      </c>
      <c r="C1249" s="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</row>
    <row r="1250" spans="2:18" ht="48.75">
      <c r="B1250" s="20"/>
      <c r="C1250" s="6"/>
      <c r="D1250" s="73"/>
      <c r="E1250" s="73"/>
      <c r="F1250" s="73"/>
      <c r="G1250" s="73"/>
      <c r="H1250" s="73"/>
      <c r="I1250" s="73"/>
      <c r="J1250" s="73"/>
      <c r="K1250" s="73"/>
      <c r="L1250" s="73"/>
      <c r="M1250" s="73"/>
      <c r="N1250" s="73"/>
      <c r="O1250" s="73"/>
      <c r="P1250" s="73"/>
      <c r="Q1250" s="73"/>
      <c r="R1250" s="73"/>
    </row>
    <row r="1251" spans="2:18">
      <c r="B1251" s="12"/>
      <c r="C1251" s="31"/>
      <c r="D1251" s="47"/>
      <c r="E1251" s="47"/>
      <c r="F1251" s="47"/>
      <c r="G1251" s="47"/>
      <c r="H1251" s="47"/>
      <c r="I1251" s="47"/>
      <c r="J1251" s="47"/>
      <c r="K1251" s="47"/>
      <c r="L1251" s="47"/>
      <c r="M1251" s="47"/>
      <c r="N1251" s="47"/>
      <c r="O1251" s="47"/>
      <c r="P1251" s="47"/>
      <c r="Q1251" s="47"/>
      <c r="R1251" s="47"/>
    </row>
    <row r="1252" spans="2:18" ht="39.75">
      <c r="B1252" s="16"/>
      <c r="C1252" s="6"/>
      <c r="D1252" s="46"/>
      <c r="E1252" s="46"/>
      <c r="F1252" s="46"/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</row>
    <row r="1253" spans="2:18" ht="58.5">
      <c r="B1253" s="18">
        <f>B1249+1</f>
        <v>313</v>
      </c>
      <c r="C1253" s="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</row>
    <row r="1254" spans="2:18" ht="48.75">
      <c r="B1254" s="20"/>
      <c r="C1254" s="6"/>
      <c r="D1254" s="73"/>
      <c r="E1254" s="73"/>
      <c r="F1254" s="73"/>
      <c r="G1254" s="73"/>
      <c r="H1254" s="73"/>
      <c r="I1254" s="73"/>
      <c r="J1254" s="73"/>
      <c r="K1254" s="73"/>
      <c r="L1254" s="73"/>
      <c r="M1254" s="73"/>
      <c r="N1254" s="73"/>
      <c r="O1254" s="73"/>
      <c r="P1254" s="73"/>
      <c r="Q1254" s="73"/>
      <c r="R1254" s="73"/>
    </row>
    <row r="1255" spans="2:18">
      <c r="B1255" s="12"/>
      <c r="C1255" s="31"/>
      <c r="D1255" s="47"/>
      <c r="E1255" s="47"/>
      <c r="F1255" s="47"/>
      <c r="G1255" s="47"/>
      <c r="H1255" s="47"/>
      <c r="I1255" s="47"/>
      <c r="J1255" s="47"/>
      <c r="K1255" s="47"/>
      <c r="L1255" s="47"/>
      <c r="M1255" s="47"/>
      <c r="N1255" s="47"/>
      <c r="O1255" s="47"/>
      <c r="P1255" s="47"/>
      <c r="Q1255" s="47"/>
      <c r="R1255" s="47"/>
    </row>
    <row r="1256" spans="2:18" ht="39.75">
      <c r="B1256" s="16"/>
      <c r="C1256" s="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</row>
    <row r="1257" spans="2:18" ht="58.5">
      <c r="B1257" s="18">
        <f>B1253+1</f>
        <v>314</v>
      </c>
      <c r="C1257" s="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</row>
    <row r="1258" spans="2:18" ht="48.75">
      <c r="B1258" s="20"/>
      <c r="C1258" s="6"/>
      <c r="D1258" s="73"/>
      <c r="E1258" s="73"/>
      <c r="F1258" s="73"/>
      <c r="G1258" s="73"/>
      <c r="H1258" s="73"/>
      <c r="I1258" s="73"/>
      <c r="J1258" s="73"/>
      <c r="K1258" s="73"/>
      <c r="L1258" s="73"/>
      <c r="M1258" s="73"/>
      <c r="N1258" s="73"/>
      <c r="O1258" s="73"/>
      <c r="P1258" s="73"/>
      <c r="Q1258" s="73"/>
      <c r="R1258" s="73"/>
    </row>
    <row r="1259" spans="2:18">
      <c r="B1259" s="12"/>
      <c r="C1259" s="31"/>
      <c r="D1259" s="47"/>
      <c r="E1259" s="47"/>
      <c r="F1259" s="47"/>
      <c r="G1259" s="47"/>
      <c r="H1259" s="47"/>
      <c r="I1259" s="47"/>
      <c r="J1259" s="47"/>
      <c r="K1259" s="47"/>
      <c r="L1259" s="47"/>
      <c r="M1259" s="47"/>
      <c r="N1259" s="47"/>
      <c r="O1259" s="47"/>
      <c r="P1259" s="47"/>
      <c r="Q1259" s="47"/>
      <c r="R1259" s="47"/>
    </row>
    <row r="1260" spans="2:18" ht="39.75">
      <c r="B1260" s="16"/>
      <c r="C1260" s="6"/>
      <c r="D1260" s="46"/>
      <c r="E1260" s="46"/>
      <c r="F1260" s="46"/>
      <c r="G1260" s="46"/>
      <c r="H1260" s="46"/>
      <c r="I1260" s="46"/>
      <c r="J1260" s="46"/>
      <c r="K1260" s="46"/>
      <c r="L1260" s="46"/>
      <c r="M1260" s="46"/>
      <c r="N1260" s="46"/>
      <c r="O1260" s="46"/>
      <c r="P1260" s="46"/>
      <c r="Q1260" s="46"/>
      <c r="R1260" s="46"/>
    </row>
    <row r="1261" spans="2:18" ht="58.5">
      <c r="B1261" s="18">
        <f>B1257+1</f>
        <v>315</v>
      </c>
      <c r="C1261" s="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</row>
    <row r="1262" spans="2:18" ht="48.75">
      <c r="B1262" s="20"/>
      <c r="C1262" s="6"/>
      <c r="D1262" s="73"/>
      <c r="E1262" s="73"/>
      <c r="F1262" s="73"/>
      <c r="G1262" s="73"/>
      <c r="H1262" s="73"/>
      <c r="I1262" s="73"/>
      <c r="J1262" s="73"/>
      <c r="K1262" s="73"/>
      <c r="L1262" s="73"/>
      <c r="M1262" s="73"/>
      <c r="N1262" s="73"/>
      <c r="O1262" s="73"/>
      <c r="P1262" s="73"/>
      <c r="Q1262" s="73"/>
      <c r="R1262" s="73"/>
    </row>
    <row r="1263" spans="2:18">
      <c r="B1263" s="12"/>
      <c r="C1263" s="31"/>
      <c r="D1263" s="47"/>
      <c r="E1263" s="47"/>
      <c r="F1263" s="47"/>
      <c r="G1263" s="47"/>
      <c r="H1263" s="47"/>
      <c r="I1263" s="47"/>
      <c r="J1263" s="47"/>
      <c r="K1263" s="47"/>
      <c r="L1263" s="47"/>
      <c r="M1263" s="47"/>
      <c r="N1263" s="47"/>
      <c r="O1263" s="47"/>
      <c r="P1263" s="47"/>
      <c r="Q1263" s="47"/>
      <c r="R1263" s="47"/>
    </row>
    <row r="1264" spans="2:18" ht="39.75">
      <c r="B1264" s="16"/>
      <c r="C1264" s="6"/>
      <c r="D1264" s="46"/>
      <c r="E1264" s="46"/>
      <c r="F1264" s="46"/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</row>
    <row r="1265" spans="2:18" ht="58.5">
      <c r="B1265" s="18">
        <f>B1261+1</f>
        <v>316</v>
      </c>
      <c r="C1265" s="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</row>
    <row r="1266" spans="2:18" ht="48.75">
      <c r="B1266" s="20"/>
      <c r="C1266" s="6"/>
      <c r="D1266" s="73"/>
      <c r="E1266" s="73"/>
      <c r="F1266" s="73"/>
      <c r="G1266" s="73"/>
      <c r="H1266" s="73"/>
      <c r="I1266" s="73"/>
      <c r="J1266" s="73"/>
      <c r="K1266" s="73"/>
      <c r="L1266" s="73"/>
      <c r="M1266" s="73"/>
      <c r="N1266" s="73"/>
      <c r="O1266" s="73"/>
      <c r="P1266" s="73"/>
      <c r="Q1266" s="73"/>
      <c r="R1266" s="73"/>
    </row>
    <row r="1267" spans="2:18">
      <c r="B1267" s="12"/>
      <c r="C1267" s="31"/>
      <c r="D1267" s="47"/>
      <c r="E1267" s="47"/>
      <c r="F1267" s="47"/>
      <c r="G1267" s="47"/>
      <c r="H1267" s="47"/>
      <c r="I1267" s="47"/>
      <c r="J1267" s="47"/>
      <c r="K1267" s="47"/>
      <c r="L1267" s="47"/>
      <c r="M1267" s="47"/>
      <c r="N1267" s="47"/>
      <c r="O1267" s="47"/>
      <c r="P1267" s="47"/>
      <c r="Q1267" s="47"/>
      <c r="R1267" s="47"/>
    </row>
    <row r="1268" spans="2:18" ht="39.75">
      <c r="B1268" s="16"/>
      <c r="C1268" s="6"/>
      <c r="D1268" s="46"/>
      <c r="E1268" s="46"/>
      <c r="F1268" s="46"/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</row>
    <row r="1269" spans="2:18" ht="58.5">
      <c r="B1269" s="18">
        <f>B1265+1</f>
        <v>317</v>
      </c>
      <c r="C1269" s="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</row>
    <row r="1270" spans="2:18" ht="48.75">
      <c r="B1270" s="20"/>
      <c r="C1270" s="6"/>
      <c r="D1270" s="73"/>
      <c r="E1270" s="73"/>
      <c r="F1270" s="73"/>
      <c r="G1270" s="73"/>
      <c r="H1270" s="73"/>
      <c r="I1270" s="73"/>
      <c r="J1270" s="73"/>
      <c r="K1270" s="73"/>
      <c r="L1270" s="73"/>
      <c r="M1270" s="73"/>
      <c r="N1270" s="73"/>
      <c r="O1270" s="73"/>
      <c r="P1270" s="73"/>
      <c r="Q1270" s="73"/>
      <c r="R1270" s="73"/>
    </row>
    <row r="1271" spans="2:18">
      <c r="B1271" s="12"/>
      <c r="C1271" s="31"/>
      <c r="D1271" s="47"/>
      <c r="E1271" s="47"/>
      <c r="F1271" s="47"/>
      <c r="G1271" s="47"/>
      <c r="H1271" s="47"/>
      <c r="I1271" s="47"/>
      <c r="J1271" s="47"/>
      <c r="K1271" s="47"/>
      <c r="L1271" s="47"/>
      <c r="M1271" s="47"/>
      <c r="N1271" s="47"/>
      <c r="O1271" s="47"/>
      <c r="P1271" s="47"/>
      <c r="Q1271" s="47"/>
      <c r="R1271" s="47"/>
    </row>
    <row r="1272" spans="2:18" ht="39.75">
      <c r="B1272" s="16"/>
      <c r="C1272" s="6"/>
      <c r="D1272" s="46"/>
      <c r="E1272" s="46"/>
      <c r="F1272" s="46"/>
      <c r="G1272" s="46"/>
      <c r="H1272" s="46"/>
      <c r="I1272" s="46"/>
      <c r="J1272" s="46"/>
      <c r="K1272" s="46"/>
      <c r="L1272" s="46"/>
      <c r="M1272" s="46"/>
      <c r="N1272" s="46"/>
      <c r="O1272" s="46"/>
      <c r="P1272" s="46"/>
      <c r="Q1272" s="46"/>
      <c r="R1272" s="46"/>
    </row>
    <row r="1273" spans="2:18" ht="58.5">
      <c r="B1273" s="18">
        <f>B1269+1</f>
        <v>318</v>
      </c>
      <c r="C1273" s="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</row>
    <row r="1274" spans="2:18" ht="48.75">
      <c r="B1274" s="20"/>
      <c r="C1274" s="6"/>
      <c r="D1274" s="73"/>
      <c r="E1274" s="73"/>
      <c r="F1274" s="73"/>
      <c r="G1274" s="73"/>
      <c r="H1274" s="73"/>
      <c r="I1274" s="73"/>
      <c r="J1274" s="73"/>
      <c r="K1274" s="73"/>
      <c r="L1274" s="73"/>
      <c r="M1274" s="73"/>
      <c r="N1274" s="73"/>
      <c r="O1274" s="73"/>
      <c r="P1274" s="73"/>
      <c r="Q1274" s="73"/>
      <c r="R1274" s="73"/>
    </row>
    <row r="1275" spans="2:18">
      <c r="B1275" s="12"/>
      <c r="C1275" s="31"/>
      <c r="D1275" s="47"/>
      <c r="E1275" s="47"/>
      <c r="F1275" s="47"/>
      <c r="G1275" s="47"/>
      <c r="H1275" s="47"/>
      <c r="I1275" s="47"/>
      <c r="J1275" s="47"/>
      <c r="K1275" s="47"/>
      <c r="L1275" s="47"/>
      <c r="M1275" s="47"/>
      <c r="N1275" s="47"/>
      <c r="O1275" s="47"/>
      <c r="P1275" s="47"/>
      <c r="Q1275" s="47"/>
      <c r="R1275" s="47"/>
    </row>
    <row r="1276" spans="2:18" ht="39.75">
      <c r="B1276" s="16"/>
      <c r="C1276" s="6"/>
      <c r="D1276" s="46"/>
      <c r="E1276" s="46"/>
      <c r="F1276" s="46"/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</row>
    <row r="1277" spans="2:18" ht="58.5">
      <c r="B1277" s="18">
        <f>B1273+1</f>
        <v>319</v>
      </c>
      <c r="C1277" s="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</row>
    <row r="1278" spans="2:18" ht="48.75">
      <c r="B1278" s="20"/>
      <c r="C1278" s="6"/>
      <c r="D1278" s="73"/>
      <c r="E1278" s="73"/>
      <c r="F1278" s="73"/>
      <c r="G1278" s="73"/>
      <c r="H1278" s="73"/>
      <c r="I1278" s="73"/>
      <c r="J1278" s="73"/>
      <c r="K1278" s="73"/>
      <c r="L1278" s="73"/>
      <c r="M1278" s="73"/>
      <c r="N1278" s="73"/>
      <c r="O1278" s="73"/>
      <c r="P1278" s="73"/>
      <c r="Q1278" s="73"/>
      <c r="R1278" s="73"/>
    </row>
    <row r="1279" spans="2:18">
      <c r="B1279" s="12"/>
      <c r="C1279" s="31"/>
      <c r="D1279" s="47"/>
      <c r="E1279" s="47"/>
      <c r="F1279" s="47"/>
      <c r="G1279" s="47"/>
      <c r="H1279" s="47"/>
      <c r="I1279" s="47"/>
      <c r="J1279" s="47"/>
      <c r="K1279" s="47"/>
      <c r="L1279" s="47"/>
      <c r="M1279" s="47"/>
      <c r="N1279" s="47"/>
      <c r="O1279" s="47"/>
      <c r="P1279" s="47"/>
      <c r="Q1279" s="47"/>
      <c r="R1279" s="47"/>
    </row>
    <row r="1280" spans="2:18" ht="39.75">
      <c r="B1280" s="16"/>
      <c r="C1280" s="6"/>
      <c r="D1280" s="46"/>
      <c r="E1280" s="46"/>
      <c r="F1280" s="46"/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</row>
    <row r="1281" spans="2:18" ht="58.5">
      <c r="B1281" s="18">
        <f>B1277+1</f>
        <v>320</v>
      </c>
      <c r="C1281" s="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</row>
    <row r="1282" spans="2:18" ht="48.75">
      <c r="B1282" s="20"/>
      <c r="C1282" s="6"/>
      <c r="D1282" s="73"/>
      <c r="E1282" s="73"/>
      <c r="F1282" s="73"/>
      <c r="G1282" s="73"/>
      <c r="H1282" s="73"/>
      <c r="I1282" s="73"/>
      <c r="J1282" s="73"/>
      <c r="K1282" s="73"/>
      <c r="L1282" s="73"/>
      <c r="M1282" s="73"/>
      <c r="N1282" s="73"/>
      <c r="O1282" s="73"/>
      <c r="P1282" s="73"/>
      <c r="Q1282" s="73"/>
      <c r="R1282" s="73"/>
    </row>
    <row r="1283" spans="2:18">
      <c r="B1283" s="12"/>
      <c r="C1283" s="31"/>
      <c r="D1283" s="47"/>
      <c r="E1283" s="47"/>
      <c r="F1283" s="47"/>
      <c r="G1283" s="47"/>
      <c r="H1283" s="47"/>
      <c r="I1283" s="47"/>
      <c r="J1283" s="47"/>
      <c r="K1283" s="47"/>
      <c r="L1283" s="47"/>
      <c r="M1283" s="47"/>
      <c r="N1283" s="47"/>
      <c r="O1283" s="47"/>
      <c r="P1283" s="47"/>
      <c r="Q1283" s="47"/>
      <c r="R1283" s="47"/>
    </row>
    <row r="1284" spans="2:18" ht="39.75">
      <c r="B1284" s="16"/>
      <c r="C1284" s="6"/>
      <c r="D1284" s="46"/>
      <c r="E1284" s="46"/>
      <c r="F1284" s="46"/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</row>
    <row r="1285" spans="2:18" ht="58.5">
      <c r="B1285" s="18">
        <f>B1281+1</f>
        <v>321</v>
      </c>
      <c r="C1285" s="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</row>
    <row r="1286" spans="2:18" ht="48.75">
      <c r="B1286" s="20"/>
      <c r="C1286" s="6"/>
      <c r="D1286" s="73"/>
      <c r="E1286" s="73"/>
      <c r="F1286" s="73"/>
      <c r="G1286" s="73"/>
      <c r="H1286" s="73"/>
      <c r="I1286" s="73"/>
      <c r="J1286" s="73"/>
      <c r="K1286" s="73"/>
      <c r="L1286" s="73"/>
      <c r="M1286" s="73"/>
      <c r="N1286" s="73"/>
      <c r="O1286" s="73"/>
      <c r="P1286" s="73"/>
      <c r="Q1286" s="73"/>
      <c r="R1286" s="73"/>
    </row>
    <row r="1287" spans="2:18">
      <c r="B1287" s="12"/>
      <c r="C1287" s="31"/>
      <c r="D1287" s="47"/>
      <c r="E1287" s="47"/>
      <c r="F1287" s="47"/>
      <c r="G1287" s="47"/>
      <c r="H1287" s="47"/>
      <c r="I1287" s="47"/>
      <c r="J1287" s="47"/>
      <c r="K1287" s="47"/>
      <c r="L1287" s="47"/>
      <c r="M1287" s="47"/>
      <c r="N1287" s="47"/>
      <c r="O1287" s="47"/>
      <c r="P1287" s="47"/>
      <c r="Q1287" s="47"/>
      <c r="R1287" s="47"/>
    </row>
    <row r="1288" spans="2:18" ht="39.75">
      <c r="B1288" s="16"/>
      <c r="C1288" s="6"/>
      <c r="D1288" s="46"/>
      <c r="E1288" s="46"/>
      <c r="F1288" s="46"/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</row>
    <row r="1289" spans="2:18" ht="58.5">
      <c r="B1289" s="18">
        <f>B1285+1</f>
        <v>322</v>
      </c>
      <c r="C1289" s="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</row>
    <row r="1290" spans="2:18" ht="48.75">
      <c r="B1290" s="20"/>
      <c r="C1290" s="6"/>
      <c r="D1290" s="73"/>
      <c r="E1290" s="73"/>
      <c r="F1290" s="73"/>
      <c r="G1290" s="73"/>
      <c r="H1290" s="73"/>
      <c r="I1290" s="73"/>
      <c r="J1290" s="73"/>
      <c r="K1290" s="73"/>
      <c r="L1290" s="73"/>
      <c r="M1290" s="73"/>
      <c r="N1290" s="73"/>
      <c r="O1290" s="73"/>
      <c r="P1290" s="73"/>
      <c r="Q1290" s="73"/>
      <c r="R1290" s="73"/>
    </row>
    <row r="1291" spans="2:18">
      <c r="B1291" s="12"/>
      <c r="C1291" s="31"/>
      <c r="D1291" s="47"/>
      <c r="E1291" s="47"/>
      <c r="F1291" s="47"/>
      <c r="G1291" s="47"/>
      <c r="H1291" s="47"/>
      <c r="I1291" s="47"/>
      <c r="J1291" s="47"/>
      <c r="K1291" s="47"/>
      <c r="L1291" s="47"/>
      <c r="M1291" s="47"/>
      <c r="N1291" s="47"/>
      <c r="O1291" s="47"/>
      <c r="P1291" s="47"/>
      <c r="Q1291" s="47"/>
      <c r="R1291" s="47"/>
    </row>
    <row r="1292" spans="2:18" ht="39.75">
      <c r="B1292" s="16"/>
      <c r="C1292" s="6"/>
      <c r="D1292" s="46"/>
      <c r="E1292" s="46"/>
      <c r="F1292" s="46"/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</row>
    <row r="1293" spans="2:18" ht="58.5">
      <c r="B1293" s="18">
        <f>B1289+1</f>
        <v>323</v>
      </c>
      <c r="C1293" s="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</row>
    <row r="1294" spans="2:18" ht="48.75">
      <c r="B1294" s="20"/>
      <c r="C1294" s="6"/>
      <c r="D1294" s="73"/>
      <c r="E1294" s="73"/>
      <c r="F1294" s="73"/>
      <c r="G1294" s="73"/>
      <c r="H1294" s="73"/>
      <c r="I1294" s="73"/>
      <c r="J1294" s="73"/>
      <c r="K1294" s="73"/>
      <c r="L1294" s="73"/>
      <c r="M1294" s="73"/>
      <c r="N1294" s="73"/>
      <c r="O1294" s="73"/>
      <c r="P1294" s="73"/>
      <c r="Q1294" s="73"/>
      <c r="R1294" s="73"/>
    </row>
    <row r="1295" spans="2:18">
      <c r="B1295" s="12"/>
      <c r="C1295" s="31"/>
      <c r="D1295" s="47"/>
      <c r="E1295" s="47"/>
      <c r="F1295" s="47"/>
      <c r="G1295" s="47"/>
      <c r="H1295" s="47"/>
      <c r="I1295" s="47"/>
      <c r="J1295" s="47"/>
      <c r="K1295" s="47"/>
      <c r="L1295" s="47"/>
      <c r="M1295" s="47"/>
      <c r="N1295" s="47"/>
      <c r="O1295" s="47"/>
      <c r="P1295" s="47"/>
      <c r="Q1295" s="47"/>
      <c r="R1295" s="47"/>
    </row>
    <row r="1296" spans="2:18" ht="39.75">
      <c r="B1296" s="16"/>
      <c r="C1296" s="6"/>
      <c r="D1296" s="46"/>
      <c r="E1296" s="46"/>
      <c r="F1296" s="46"/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</row>
    <row r="1297" spans="2:18" ht="58.5">
      <c r="B1297" s="18">
        <f>B1293+1</f>
        <v>324</v>
      </c>
      <c r="C1297" s="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</row>
    <row r="1298" spans="2:18" ht="48.75">
      <c r="B1298" s="20"/>
      <c r="C1298" s="6"/>
      <c r="D1298" s="73"/>
      <c r="E1298" s="73"/>
      <c r="F1298" s="73"/>
      <c r="G1298" s="73"/>
      <c r="H1298" s="73"/>
      <c r="I1298" s="73"/>
      <c r="J1298" s="73"/>
      <c r="K1298" s="73"/>
      <c r="L1298" s="73"/>
      <c r="M1298" s="73"/>
      <c r="N1298" s="73"/>
      <c r="O1298" s="73"/>
      <c r="P1298" s="73"/>
      <c r="Q1298" s="73"/>
      <c r="R1298" s="73"/>
    </row>
    <row r="1299" spans="2:18">
      <c r="B1299" s="12"/>
      <c r="C1299" s="31"/>
      <c r="D1299" s="47"/>
      <c r="E1299" s="47"/>
      <c r="F1299" s="47"/>
      <c r="G1299" s="47"/>
      <c r="H1299" s="47"/>
      <c r="I1299" s="47"/>
      <c r="J1299" s="47"/>
      <c r="K1299" s="47"/>
      <c r="L1299" s="47"/>
      <c r="M1299" s="47"/>
      <c r="N1299" s="47"/>
      <c r="O1299" s="47"/>
      <c r="P1299" s="47"/>
      <c r="Q1299" s="47"/>
      <c r="R1299" s="47"/>
    </row>
    <row r="1300" spans="2:18" ht="39.75">
      <c r="B1300" s="16"/>
      <c r="C1300" s="6"/>
      <c r="D1300" s="46"/>
      <c r="E1300" s="46"/>
      <c r="F1300" s="46"/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</row>
    <row r="1301" spans="2:18" ht="58.5">
      <c r="B1301" s="18">
        <f>B1297+1</f>
        <v>325</v>
      </c>
      <c r="C1301" s="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</row>
    <row r="1302" spans="2:18" ht="48.75">
      <c r="B1302" s="20"/>
      <c r="C1302" s="6"/>
      <c r="D1302" s="73"/>
      <c r="E1302" s="73"/>
      <c r="F1302" s="73"/>
      <c r="G1302" s="73"/>
      <c r="H1302" s="73"/>
      <c r="I1302" s="73"/>
      <c r="J1302" s="73"/>
      <c r="K1302" s="73"/>
      <c r="L1302" s="73"/>
      <c r="M1302" s="73"/>
      <c r="N1302" s="73"/>
      <c r="O1302" s="73"/>
      <c r="P1302" s="73"/>
      <c r="Q1302" s="73"/>
      <c r="R1302" s="73"/>
    </row>
    <row r="1303" spans="2:18">
      <c r="B1303" s="12"/>
      <c r="C1303" s="31"/>
      <c r="D1303" s="47"/>
      <c r="E1303" s="47"/>
      <c r="F1303" s="47"/>
      <c r="G1303" s="47"/>
      <c r="H1303" s="47"/>
      <c r="I1303" s="47"/>
      <c r="J1303" s="47"/>
      <c r="K1303" s="47"/>
      <c r="L1303" s="47"/>
      <c r="M1303" s="47"/>
      <c r="N1303" s="47"/>
      <c r="O1303" s="47"/>
      <c r="P1303" s="47"/>
      <c r="Q1303" s="47"/>
      <c r="R1303" s="47"/>
    </row>
    <row r="1304" spans="2:18" ht="39.75">
      <c r="B1304" s="16"/>
      <c r="C1304" s="6"/>
      <c r="D1304" s="46"/>
      <c r="E1304" s="46"/>
      <c r="F1304" s="46"/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</row>
    <row r="1305" spans="2:18" ht="58.5">
      <c r="B1305" s="18">
        <f>B1301+1</f>
        <v>326</v>
      </c>
      <c r="C1305" s="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</row>
    <row r="1306" spans="2:18" ht="48.75">
      <c r="B1306" s="20"/>
      <c r="C1306" s="6"/>
      <c r="D1306" s="73"/>
      <c r="E1306" s="73"/>
      <c r="F1306" s="73"/>
      <c r="G1306" s="73"/>
      <c r="H1306" s="73"/>
      <c r="I1306" s="73"/>
      <c r="J1306" s="73"/>
      <c r="K1306" s="73"/>
      <c r="L1306" s="73"/>
      <c r="M1306" s="73"/>
      <c r="N1306" s="73"/>
      <c r="O1306" s="73"/>
      <c r="P1306" s="73"/>
      <c r="Q1306" s="73"/>
      <c r="R1306" s="73"/>
    </row>
    <row r="1307" spans="2:18">
      <c r="B1307" s="12"/>
      <c r="C1307" s="31"/>
      <c r="D1307" s="47"/>
      <c r="E1307" s="47"/>
      <c r="F1307" s="47"/>
      <c r="G1307" s="47"/>
      <c r="H1307" s="47"/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</row>
    <row r="1308" spans="2:18" ht="39.75">
      <c r="B1308" s="16"/>
      <c r="C1308" s="6"/>
      <c r="D1308" s="46"/>
      <c r="E1308" s="46"/>
      <c r="F1308" s="46"/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</row>
    <row r="1309" spans="2:18" ht="58.5">
      <c r="B1309" s="18">
        <f>B1305+1</f>
        <v>327</v>
      </c>
      <c r="C1309" s="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</row>
    <row r="1310" spans="2:18" ht="48.75">
      <c r="B1310" s="20"/>
      <c r="C1310" s="6"/>
      <c r="D1310" s="73"/>
      <c r="E1310" s="73"/>
      <c r="F1310" s="73"/>
      <c r="G1310" s="73"/>
      <c r="H1310" s="73"/>
      <c r="I1310" s="73"/>
      <c r="J1310" s="73"/>
      <c r="K1310" s="73"/>
      <c r="L1310" s="73"/>
      <c r="M1310" s="73"/>
      <c r="N1310" s="73"/>
      <c r="O1310" s="73"/>
      <c r="P1310" s="73"/>
      <c r="Q1310" s="73"/>
      <c r="R1310" s="73"/>
    </row>
    <row r="1311" spans="2:18">
      <c r="B1311" s="12"/>
      <c r="C1311" s="31"/>
      <c r="D1311" s="47"/>
      <c r="E1311" s="47"/>
      <c r="F1311" s="47"/>
      <c r="G1311" s="47"/>
      <c r="H1311" s="47"/>
      <c r="I1311" s="47"/>
      <c r="J1311" s="47"/>
      <c r="K1311" s="47"/>
      <c r="L1311" s="47"/>
      <c r="M1311" s="47"/>
      <c r="N1311" s="47"/>
      <c r="O1311" s="47"/>
      <c r="P1311" s="47"/>
      <c r="Q1311" s="47"/>
      <c r="R1311" s="47"/>
    </row>
    <row r="1312" spans="2:18" ht="39.75">
      <c r="B1312" s="16"/>
      <c r="C1312" s="6"/>
      <c r="D1312" s="46"/>
      <c r="E1312" s="46"/>
      <c r="F1312" s="46"/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</row>
    <row r="1313" spans="2:18" ht="58.5">
      <c r="B1313" s="18">
        <f t="shared" ref="B1313" si="142">B1309+1</f>
        <v>328</v>
      </c>
      <c r="C1313" s="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</row>
    <row r="1314" spans="2:18" ht="48.75">
      <c r="B1314" s="20"/>
      <c r="C1314" s="6"/>
      <c r="D1314" s="73"/>
      <c r="E1314" s="73"/>
      <c r="F1314" s="73"/>
      <c r="G1314" s="73"/>
      <c r="H1314" s="73"/>
      <c r="I1314" s="73"/>
      <c r="J1314" s="73"/>
      <c r="K1314" s="73"/>
      <c r="L1314" s="73"/>
      <c r="M1314" s="73"/>
      <c r="N1314" s="73"/>
      <c r="O1314" s="73"/>
      <c r="P1314" s="73"/>
      <c r="Q1314" s="73"/>
      <c r="R1314" s="73"/>
    </row>
    <row r="1315" spans="2:18">
      <c r="B1315" s="12"/>
      <c r="C1315" s="31"/>
      <c r="D1315" s="47"/>
      <c r="E1315" s="47"/>
      <c r="F1315" s="47"/>
      <c r="G1315" s="47"/>
      <c r="H1315" s="47"/>
      <c r="I1315" s="47"/>
      <c r="J1315" s="47"/>
      <c r="K1315" s="47"/>
      <c r="L1315" s="47"/>
      <c r="M1315" s="47"/>
      <c r="N1315" s="47"/>
      <c r="O1315" s="47"/>
      <c r="P1315" s="47"/>
      <c r="Q1315" s="47"/>
      <c r="R1315" s="47"/>
    </row>
    <row r="1316" spans="2:18" ht="39.75">
      <c r="B1316" s="16"/>
      <c r="C1316" s="6"/>
      <c r="D1316" s="46"/>
      <c r="E1316" s="46"/>
      <c r="F1316" s="46"/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</row>
    <row r="1317" spans="2:18" ht="58.5">
      <c r="B1317" s="18">
        <f t="shared" ref="B1317" si="143">B1313+1</f>
        <v>329</v>
      </c>
      <c r="C1317" s="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</row>
    <row r="1318" spans="2:18" ht="48.75">
      <c r="B1318" s="20"/>
      <c r="C1318" s="6"/>
      <c r="D1318" s="73"/>
      <c r="E1318" s="73"/>
      <c r="F1318" s="73"/>
      <c r="G1318" s="73"/>
      <c r="H1318" s="73"/>
      <c r="I1318" s="73"/>
      <c r="J1318" s="73"/>
      <c r="K1318" s="73"/>
      <c r="L1318" s="73"/>
      <c r="M1318" s="73"/>
      <c r="N1318" s="73"/>
      <c r="O1318" s="73"/>
      <c r="P1318" s="73"/>
      <c r="Q1318" s="73"/>
      <c r="R1318" s="73"/>
    </row>
    <row r="1319" spans="2:18">
      <c r="B1319" s="12"/>
      <c r="C1319" s="31"/>
      <c r="D1319" s="47"/>
      <c r="E1319" s="47"/>
      <c r="F1319" s="47"/>
      <c r="G1319" s="47"/>
      <c r="H1319" s="47"/>
      <c r="I1319" s="47"/>
      <c r="J1319" s="47"/>
      <c r="K1319" s="47"/>
      <c r="L1319" s="47"/>
      <c r="M1319" s="47"/>
      <c r="N1319" s="47"/>
      <c r="O1319" s="47"/>
      <c r="P1319" s="47"/>
      <c r="Q1319" s="47"/>
      <c r="R1319" s="47"/>
    </row>
    <row r="1320" spans="2:18" ht="39.75">
      <c r="B1320" s="16"/>
      <c r="C1320" s="6"/>
      <c r="D1320" s="46"/>
      <c r="E1320" s="46"/>
      <c r="F1320" s="46"/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</row>
    <row r="1321" spans="2:18" ht="58.5">
      <c r="B1321" s="18">
        <f t="shared" ref="B1321" si="144">B1317+1</f>
        <v>330</v>
      </c>
      <c r="C1321" s="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</row>
    <row r="1322" spans="2:18" ht="48.75">
      <c r="B1322" s="20"/>
      <c r="C1322" s="6"/>
      <c r="D1322" s="73"/>
      <c r="E1322" s="73"/>
      <c r="F1322" s="73"/>
      <c r="G1322" s="73"/>
      <c r="H1322" s="73"/>
      <c r="I1322" s="73"/>
      <c r="J1322" s="73"/>
      <c r="K1322" s="73"/>
      <c r="L1322" s="73"/>
      <c r="M1322" s="73"/>
      <c r="N1322" s="73"/>
      <c r="O1322" s="73"/>
      <c r="P1322" s="73"/>
      <c r="Q1322" s="73"/>
      <c r="R1322" s="73"/>
    </row>
    <row r="1323" spans="2:18">
      <c r="B1323" s="12"/>
      <c r="C1323" s="31"/>
      <c r="D1323" s="47"/>
      <c r="E1323" s="47"/>
      <c r="F1323" s="47"/>
      <c r="G1323" s="47"/>
      <c r="H1323" s="47"/>
      <c r="I1323" s="47"/>
      <c r="J1323" s="47"/>
      <c r="K1323" s="47"/>
      <c r="L1323" s="47"/>
      <c r="M1323" s="47"/>
      <c r="N1323" s="47"/>
      <c r="O1323" s="47"/>
      <c r="P1323" s="47"/>
      <c r="Q1323" s="47"/>
      <c r="R1323" s="47"/>
    </row>
    <row r="1324" spans="2:18" ht="39.75">
      <c r="B1324" s="16"/>
      <c r="C1324" s="6"/>
      <c r="D1324" s="46"/>
      <c r="E1324" s="46"/>
      <c r="F1324" s="46"/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</row>
    <row r="1325" spans="2:18" ht="58.5">
      <c r="B1325" s="18">
        <f t="shared" ref="B1325" si="145">B1321+1</f>
        <v>331</v>
      </c>
      <c r="C1325" s="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</row>
    <row r="1326" spans="2:18" ht="48.75">
      <c r="B1326" s="20"/>
      <c r="C1326" s="6"/>
      <c r="D1326" s="73"/>
      <c r="E1326" s="73"/>
      <c r="F1326" s="73"/>
      <c r="G1326" s="73"/>
      <c r="H1326" s="73"/>
      <c r="I1326" s="73"/>
      <c r="J1326" s="73"/>
      <c r="K1326" s="73"/>
      <c r="L1326" s="73"/>
      <c r="M1326" s="73"/>
      <c r="N1326" s="73"/>
      <c r="O1326" s="73"/>
      <c r="P1326" s="73"/>
      <c r="Q1326" s="73"/>
      <c r="R1326" s="73"/>
    </row>
    <row r="1327" spans="2:18">
      <c r="B1327" s="12"/>
      <c r="C1327" s="31"/>
      <c r="D1327" s="47"/>
      <c r="E1327" s="47"/>
      <c r="F1327" s="47"/>
      <c r="G1327" s="47"/>
      <c r="H1327" s="47"/>
      <c r="I1327" s="47"/>
      <c r="J1327" s="47"/>
      <c r="K1327" s="47"/>
      <c r="L1327" s="47"/>
      <c r="M1327" s="47"/>
      <c r="N1327" s="47"/>
      <c r="O1327" s="47"/>
      <c r="P1327" s="47"/>
      <c r="Q1327" s="47"/>
      <c r="R1327" s="47"/>
    </row>
    <row r="1328" spans="2:18" ht="39.75">
      <c r="B1328" s="16"/>
      <c r="C1328" s="6"/>
      <c r="D1328" s="46"/>
      <c r="E1328" s="46"/>
      <c r="F1328" s="46"/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</row>
    <row r="1329" spans="2:18" ht="58.5">
      <c r="B1329" s="18">
        <f t="shared" ref="B1329" si="146">B1325+1</f>
        <v>332</v>
      </c>
      <c r="C1329" s="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</row>
    <row r="1330" spans="2:18" ht="48.75">
      <c r="B1330" s="20"/>
      <c r="C1330" s="6"/>
      <c r="D1330" s="73"/>
      <c r="E1330" s="73"/>
      <c r="F1330" s="73"/>
      <c r="G1330" s="73"/>
      <c r="H1330" s="73"/>
      <c r="I1330" s="73"/>
      <c r="J1330" s="73"/>
      <c r="K1330" s="73"/>
      <c r="L1330" s="73"/>
      <c r="M1330" s="73"/>
      <c r="N1330" s="73"/>
      <c r="O1330" s="73"/>
      <c r="P1330" s="73"/>
      <c r="Q1330" s="73"/>
      <c r="R1330" s="73"/>
    </row>
    <row r="1331" spans="2:18">
      <c r="B1331" s="12"/>
      <c r="C1331" s="31"/>
      <c r="D1331" s="47"/>
      <c r="E1331" s="47"/>
      <c r="F1331" s="47"/>
      <c r="G1331" s="47"/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R1331" s="47"/>
    </row>
    <row r="1332" spans="2:18" ht="39.75">
      <c r="B1332" s="16"/>
      <c r="C1332" s="6"/>
      <c r="D1332" s="46"/>
      <c r="E1332" s="46"/>
      <c r="F1332" s="46"/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</row>
    <row r="1333" spans="2:18" ht="58.5">
      <c r="B1333" s="18">
        <f t="shared" ref="B1333" si="147">B1329+1</f>
        <v>333</v>
      </c>
      <c r="C1333" s="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</row>
    <row r="1334" spans="2:18" ht="48.75">
      <c r="B1334" s="20"/>
      <c r="C1334" s="6"/>
      <c r="D1334" s="73"/>
      <c r="E1334" s="73"/>
      <c r="F1334" s="73"/>
      <c r="G1334" s="73"/>
      <c r="H1334" s="73"/>
      <c r="I1334" s="73"/>
      <c r="J1334" s="73"/>
      <c r="K1334" s="73"/>
      <c r="L1334" s="73"/>
      <c r="M1334" s="73"/>
      <c r="N1334" s="73"/>
      <c r="O1334" s="73"/>
      <c r="P1334" s="73"/>
      <c r="Q1334" s="73"/>
      <c r="R1334" s="73"/>
    </row>
    <row r="1335" spans="2:18">
      <c r="B1335" s="12"/>
      <c r="C1335" s="31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</row>
    <row r="1336" spans="2:18" ht="39.75">
      <c r="B1336" s="16"/>
      <c r="C1336" s="6"/>
      <c r="D1336" s="46"/>
      <c r="E1336" s="46"/>
      <c r="F1336" s="46"/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</row>
    <row r="1337" spans="2:18" ht="58.5">
      <c r="B1337" s="18">
        <f t="shared" ref="B1337" si="148">B1333+1</f>
        <v>334</v>
      </c>
      <c r="C1337" s="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</row>
    <row r="1338" spans="2:18" ht="48.75">
      <c r="B1338" s="20"/>
      <c r="C1338" s="6"/>
      <c r="D1338" s="73"/>
      <c r="E1338" s="73"/>
      <c r="F1338" s="73"/>
      <c r="G1338" s="73"/>
      <c r="H1338" s="73"/>
      <c r="I1338" s="73"/>
      <c r="J1338" s="73"/>
      <c r="K1338" s="73"/>
      <c r="L1338" s="73"/>
      <c r="M1338" s="73"/>
      <c r="N1338" s="73"/>
      <c r="O1338" s="73"/>
      <c r="P1338" s="73"/>
      <c r="Q1338" s="73"/>
      <c r="R1338" s="73"/>
    </row>
    <row r="1339" spans="2:18">
      <c r="B1339" s="12"/>
      <c r="C1339" s="31"/>
      <c r="D1339" s="47"/>
      <c r="E1339" s="47"/>
      <c r="F1339" s="47"/>
      <c r="G1339" s="47"/>
      <c r="H1339" s="47"/>
      <c r="I1339" s="47"/>
      <c r="J1339" s="47"/>
      <c r="K1339" s="47"/>
      <c r="L1339" s="47"/>
      <c r="M1339" s="47"/>
      <c r="N1339" s="47"/>
      <c r="O1339" s="47"/>
      <c r="P1339" s="47"/>
      <c r="Q1339" s="47"/>
      <c r="R1339" s="47"/>
    </row>
    <row r="1340" spans="2:18" ht="39.75">
      <c r="B1340" s="16"/>
      <c r="C1340" s="6"/>
      <c r="D1340" s="46"/>
      <c r="E1340" s="46"/>
      <c r="F1340" s="46"/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</row>
    <row r="1341" spans="2:18" ht="58.5">
      <c r="B1341" s="18">
        <f t="shared" ref="B1341" si="149">B1337+1</f>
        <v>335</v>
      </c>
      <c r="C1341" s="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</row>
    <row r="1342" spans="2:18" ht="48.75">
      <c r="B1342" s="20"/>
      <c r="C1342" s="6"/>
      <c r="D1342" s="73"/>
      <c r="E1342" s="73"/>
      <c r="F1342" s="73"/>
      <c r="G1342" s="73"/>
      <c r="H1342" s="73"/>
      <c r="I1342" s="73"/>
      <c r="J1342" s="73"/>
      <c r="K1342" s="73"/>
      <c r="L1342" s="73"/>
      <c r="M1342" s="73"/>
      <c r="N1342" s="73"/>
      <c r="O1342" s="73"/>
      <c r="P1342" s="73"/>
      <c r="Q1342" s="73"/>
      <c r="R1342" s="73"/>
    </row>
    <row r="1343" spans="2:18">
      <c r="B1343" s="12"/>
      <c r="C1343" s="31"/>
      <c r="D1343" s="47"/>
      <c r="E1343" s="47"/>
      <c r="F1343" s="47"/>
      <c r="G1343" s="47"/>
      <c r="H1343" s="47"/>
      <c r="I1343" s="47"/>
      <c r="J1343" s="47"/>
      <c r="K1343" s="47"/>
      <c r="L1343" s="47"/>
      <c r="M1343" s="47"/>
      <c r="N1343" s="47"/>
      <c r="O1343" s="47"/>
      <c r="P1343" s="47"/>
      <c r="Q1343" s="47"/>
      <c r="R1343" s="47"/>
    </row>
    <row r="1344" spans="2:18" ht="39.75">
      <c r="B1344" s="16"/>
      <c r="C1344" s="6"/>
      <c r="D1344" s="46"/>
      <c r="E1344" s="46"/>
      <c r="F1344" s="46"/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</row>
    <row r="1345" spans="2:18" ht="58.5">
      <c r="B1345" s="18">
        <f t="shared" ref="B1345" si="150">B1341+1</f>
        <v>336</v>
      </c>
      <c r="C1345" s="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</row>
    <row r="1346" spans="2:18" ht="48.75">
      <c r="B1346" s="20"/>
      <c r="C1346" s="6"/>
      <c r="D1346" s="73"/>
      <c r="E1346" s="73"/>
      <c r="F1346" s="73"/>
      <c r="G1346" s="73"/>
      <c r="H1346" s="73"/>
      <c r="I1346" s="73"/>
      <c r="J1346" s="73"/>
      <c r="K1346" s="73"/>
      <c r="L1346" s="73"/>
      <c r="M1346" s="73"/>
      <c r="N1346" s="73"/>
      <c r="O1346" s="73"/>
      <c r="P1346" s="73"/>
      <c r="Q1346" s="73"/>
      <c r="R1346" s="73"/>
    </row>
    <row r="1347" spans="2:18">
      <c r="B1347" s="12"/>
      <c r="C1347" s="31"/>
      <c r="D1347" s="47"/>
      <c r="E1347" s="47"/>
      <c r="F1347" s="47"/>
      <c r="G1347" s="47"/>
      <c r="H1347" s="47"/>
      <c r="I1347" s="47"/>
      <c r="J1347" s="47"/>
      <c r="K1347" s="47"/>
      <c r="L1347" s="47"/>
      <c r="M1347" s="47"/>
      <c r="N1347" s="47"/>
      <c r="O1347" s="47"/>
      <c r="P1347" s="47"/>
      <c r="Q1347" s="47"/>
      <c r="R1347" s="47"/>
    </row>
    <row r="1348" spans="2:18" ht="39.75">
      <c r="B1348" s="16"/>
      <c r="C1348" s="6"/>
      <c r="D1348" s="46"/>
      <c r="E1348" s="46"/>
      <c r="F1348" s="46"/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</row>
    <row r="1349" spans="2:18" ht="58.5">
      <c r="B1349" s="18">
        <f t="shared" ref="B1349" si="151">B1345+1</f>
        <v>337</v>
      </c>
      <c r="C1349" s="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</row>
    <row r="1350" spans="2:18" ht="48.75">
      <c r="B1350" s="20"/>
      <c r="C1350" s="6"/>
      <c r="D1350" s="73"/>
      <c r="E1350" s="73"/>
      <c r="F1350" s="73"/>
      <c r="G1350" s="73"/>
      <c r="H1350" s="73"/>
      <c r="I1350" s="73"/>
      <c r="J1350" s="73"/>
      <c r="K1350" s="73"/>
      <c r="L1350" s="73"/>
      <c r="M1350" s="73"/>
      <c r="N1350" s="73"/>
      <c r="O1350" s="73"/>
      <c r="P1350" s="73"/>
      <c r="Q1350" s="73"/>
      <c r="R1350" s="73"/>
    </row>
    <row r="1351" spans="2:18">
      <c r="B1351" s="12"/>
      <c r="C1351" s="31"/>
      <c r="D1351" s="47"/>
      <c r="E1351" s="47"/>
      <c r="F1351" s="47"/>
      <c r="G1351" s="47"/>
      <c r="H1351" s="47"/>
      <c r="I1351" s="47"/>
      <c r="J1351" s="47"/>
      <c r="K1351" s="47"/>
      <c r="L1351" s="47"/>
      <c r="M1351" s="47"/>
      <c r="N1351" s="47"/>
      <c r="O1351" s="47"/>
      <c r="P1351" s="47"/>
      <c r="Q1351" s="47"/>
      <c r="R1351" s="47"/>
    </row>
    <row r="1352" spans="2:18" ht="39.75">
      <c r="B1352" s="16"/>
      <c r="C1352" s="6"/>
      <c r="D1352" s="46"/>
      <c r="E1352" s="46"/>
      <c r="F1352" s="46"/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</row>
    <row r="1353" spans="2:18" ht="58.5">
      <c r="B1353" s="18">
        <f t="shared" ref="B1353" si="152">B1349+1</f>
        <v>338</v>
      </c>
      <c r="C1353" s="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</row>
    <row r="1354" spans="2:18" ht="48.75">
      <c r="B1354" s="20"/>
      <c r="C1354" s="6"/>
      <c r="D1354" s="73"/>
      <c r="E1354" s="73"/>
      <c r="F1354" s="73"/>
      <c r="G1354" s="73"/>
      <c r="H1354" s="73"/>
      <c r="I1354" s="73"/>
      <c r="J1354" s="73"/>
      <c r="K1354" s="73"/>
      <c r="L1354" s="73"/>
      <c r="M1354" s="73"/>
      <c r="N1354" s="73"/>
      <c r="O1354" s="73"/>
      <c r="P1354" s="73"/>
      <c r="Q1354" s="73"/>
      <c r="R1354" s="73"/>
    </row>
    <row r="1355" spans="2:18">
      <c r="B1355" s="12"/>
      <c r="C1355" s="31"/>
      <c r="D1355" s="47"/>
      <c r="E1355" s="47"/>
      <c r="F1355" s="47"/>
      <c r="G1355" s="47"/>
      <c r="H1355" s="47"/>
      <c r="I1355" s="47"/>
      <c r="J1355" s="47"/>
      <c r="K1355" s="47"/>
      <c r="L1355" s="47"/>
      <c r="M1355" s="47"/>
      <c r="N1355" s="47"/>
      <c r="O1355" s="47"/>
      <c r="P1355" s="47"/>
      <c r="Q1355" s="47"/>
      <c r="R1355" s="47"/>
    </row>
    <row r="1356" spans="2:18" ht="39.75">
      <c r="B1356" s="16"/>
      <c r="C1356" s="6"/>
      <c r="D1356" s="46"/>
      <c r="E1356" s="46"/>
      <c r="F1356" s="46"/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</row>
    <row r="1357" spans="2:18" ht="58.5">
      <c r="B1357" s="18">
        <f t="shared" ref="B1357" si="153">B1353+1</f>
        <v>339</v>
      </c>
      <c r="C1357" s="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</row>
    <row r="1358" spans="2:18" ht="48.75">
      <c r="B1358" s="20"/>
      <c r="C1358" s="6"/>
      <c r="D1358" s="73"/>
      <c r="E1358" s="73"/>
      <c r="F1358" s="73"/>
      <c r="G1358" s="73"/>
      <c r="H1358" s="73"/>
      <c r="I1358" s="73"/>
      <c r="J1358" s="73"/>
      <c r="K1358" s="73"/>
      <c r="L1358" s="73"/>
      <c r="M1358" s="73"/>
      <c r="N1358" s="73"/>
      <c r="O1358" s="73"/>
      <c r="P1358" s="73"/>
      <c r="Q1358" s="73"/>
      <c r="R1358" s="73"/>
    </row>
    <row r="1359" spans="2:18">
      <c r="B1359" s="12"/>
      <c r="C1359" s="31"/>
      <c r="D1359" s="47"/>
      <c r="E1359" s="47"/>
      <c r="F1359" s="47"/>
      <c r="G1359" s="47"/>
      <c r="H1359" s="47"/>
      <c r="I1359" s="47"/>
      <c r="J1359" s="47"/>
      <c r="K1359" s="47"/>
      <c r="L1359" s="47"/>
      <c r="M1359" s="47"/>
      <c r="N1359" s="47"/>
      <c r="O1359" s="47"/>
      <c r="P1359" s="47"/>
      <c r="Q1359" s="47"/>
      <c r="R1359" s="47"/>
    </row>
    <row r="1360" spans="2:18" ht="39.75">
      <c r="B1360" s="16"/>
      <c r="C1360" s="6"/>
      <c r="D1360" s="46"/>
      <c r="E1360" s="46"/>
      <c r="F1360" s="46"/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</row>
    <row r="1361" spans="2:18" ht="58.5">
      <c r="B1361" s="18">
        <f t="shared" ref="B1361" si="154">B1357+1</f>
        <v>340</v>
      </c>
      <c r="C1361" s="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</row>
    <row r="1362" spans="2:18" ht="48.75">
      <c r="B1362" s="20"/>
      <c r="C1362" s="6"/>
      <c r="D1362" s="73"/>
      <c r="E1362" s="73"/>
      <c r="F1362" s="73"/>
      <c r="G1362" s="73"/>
      <c r="H1362" s="73"/>
      <c r="I1362" s="73"/>
      <c r="J1362" s="73"/>
      <c r="K1362" s="73"/>
      <c r="L1362" s="73"/>
      <c r="M1362" s="73"/>
      <c r="N1362" s="73"/>
      <c r="O1362" s="73"/>
      <c r="P1362" s="73"/>
      <c r="Q1362" s="73"/>
      <c r="R1362" s="73"/>
    </row>
    <row r="1363" spans="2:18">
      <c r="B1363" s="12"/>
      <c r="C1363" s="31"/>
      <c r="D1363" s="47"/>
      <c r="E1363" s="47"/>
      <c r="F1363" s="47"/>
      <c r="G1363" s="47"/>
      <c r="H1363" s="47"/>
      <c r="I1363" s="47"/>
      <c r="J1363" s="47"/>
      <c r="K1363" s="47"/>
      <c r="L1363" s="47"/>
      <c r="M1363" s="47"/>
      <c r="N1363" s="47"/>
      <c r="O1363" s="47"/>
      <c r="P1363" s="47"/>
      <c r="Q1363" s="47"/>
      <c r="R1363" s="47"/>
    </row>
    <row r="1364" spans="2:18" ht="39.75">
      <c r="B1364" s="16"/>
      <c r="C1364" s="6"/>
      <c r="D1364" s="46"/>
      <c r="E1364" s="46"/>
      <c r="F1364" s="46"/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</row>
    <row r="1365" spans="2:18" ht="58.5">
      <c r="B1365" s="18">
        <f t="shared" ref="B1365" si="155">B1361+1</f>
        <v>341</v>
      </c>
      <c r="C1365" s="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</row>
    <row r="1366" spans="2:18" ht="48.75">
      <c r="B1366" s="20"/>
      <c r="C1366" s="6"/>
      <c r="D1366" s="73"/>
      <c r="E1366" s="73"/>
      <c r="F1366" s="73"/>
      <c r="G1366" s="73"/>
      <c r="H1366" s="73"/>
      <c r="I1366" s="73"/>
      <c r="J1366" s="73"/>
      <c r="K1366" s="73"/>
      <c r="L1366" s="73"/>
      <c r="M1366" s="73"/>
      <c r="N1366" s="73"/>
      <c r="O1366" s="73"/>
      <c r="P1366" s="73"/>
      <c r="Q1366" s="73"/>
      <c r="R1366" s="73"/>
    </row>
    <row r="1367" spans="2:18">
      <c r="B1367" s="12"/>
      <c r="C1367" s="31"/>
      <c r="D1367" s="47"/>
      <c r="E1367" s="47"/>
      <c r="F1367" s="47"/>
      <c r="G1367" s="47"/>
      <c r="H1367" s="47"/>
      <c r="I1367" s="47"/>
      <c r="J1367" s="47"/>
      <c r="K1367" s="47"/>
      <c r="L1367" s="47"/>
      <c r="M1367" s="47"/>
      <c r="N1367" s="47"/>
      <c r="O1367" s="47"/>
      <c r="P1367" s="47"/>
      <c r="Q1367" s="47"/>
      <c r="R1367" s="47"/>
    </row>
    <row r="1368" spans="2:18" ht="39.75">
      <c r="B1368" s="16"/>
      <c r="C1368" s="6"/>
      <c r="D1368" s="46"/>
      <c r="E1368" s="46"/>
      <c r="F1368" s="46"/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</row>
    <row r="1369" spans="2:18" ht="58.5">
      <c r="B1369" s="18">
        <f t="shared" ref="B1369" si="156">B1365+1</f>
        <v>342</v>
      </c>
      <c r="C1369" s="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</row>
    <row r="1370" spans="2:18" ht="48.75">
      <c r="B1370" s="20"/>
      <c r="C1370" s="6"/>
      <c r="D1370" s="73"/>
      <c r="E1370" s="73"/>
      <c r="F1370" s="73"/>
      <c r="G1370" s="73"/>
      <c r="H1370" s="73"/>
      <c r="I1370" s="73"/>
      <c r="J1370" s="73"/>
      <c r="K1370" s="73"/>
      <c r="L1370" s="73"/>
      <c r="M1370" s="73"/>
      <c r="N1370" s="73"/>
      <c r="O1370" s="73"/>
      <c r="P1370" s="73"/>
      <c r="Q1370" s="73"/>
      <c r="R1370" s="73"/>
    </row>
    <row r="1371" spans="2:18">
      <c r="B1371" s="12"/>
      <c r="C1371" s="31"/>
      <c r="D1371" s="47"/>
      <c r="E1371" s="47"/>
      <c r="F1371" s="47"/>
      <c r="G1371" s="47"/>
      <c r="H1371" s="47"/>
      <c r="I1371" s="47"/>
      <c r="J1371" s="47"/>
      <c r="K1371" s="47"/>
      <c r="L1371" s="47"/>
      <c r="M1371" s="47"/>
      <c r="N1371" s="47"/>
      <c r="O1371" s="47"/>
      <c r="P1371" s="47"/>
      <c r="Q1371" s="47"/>
      <c r="R1371" s="47"/>
    </row>
    <row r="1372" spans="2:18" ht="39.75">
      <c r="B1372" s="16"/>
      <c r="C1372" s="6"/>
      <c r="D1372" s="46"/>
      <c r="E1372" s="46"/>
      <c r="F1372" s="46"/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</row>
    <row r="1373" spans="2:18" ht="58.5">
      <c r="B1373" s="18">
        <f t="shared" ref="B1373" si="157">B1369+1</f>
        <v>343</v>
      </c>
      <c r="C1373" s="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</row>
    <row r="1374" spans="2:18" ht="48.75">
      <c r="B1374" s="20"/>
      <c r="C1374" s="6"/>
      <c r="D1374" s="73"/>
      <c r="E1374" s="73"/>
      <c r="F1374" s="73"/>
      <c r="G1374" s="73"/>
      <c r="H1374" s="73"/>
      <c r="I1374" s="73"/>
      <c r="J1374" s="73"/>
      <c r="K1374" s="73"/>
      <c r="L1374" s="73"/>
      <c r="M1374" s="73"/>
      <c r="N1374" s="73"/>
      <c r="O1374" s="73"/>
      <c r="P1374" s="73"/>
      <c r="Q1374" s="73"/>
      <c r="R1374" s="73"/>
    </row>
    <row r="1375" spans="2:18">
      <c r="B1375" s="12"/>
      <c r="C1375" s="31"/>
      <c r="D1375" s="47"/>
      <c r="E1375" s="47"/>
      <c r="F1375" s="47"/>
      <c r="G1375" s="47"/>
      <c r="H1375" s="47"/>
      <c r="I1375" s="47"/>
      <c r="J1375" s="47"/>
      <c r="K1375" s="47"/>
      <c r="L1375" s="47"/>
      <c r="M1375" s="47"/>
      <c r="N1375" s="47"/>
      <c r="O1375" s="47"/>
      <c r="P1375" s="47"/>
      <c r="Q1375" s="47"/>
      <c r="R1375" s="47"/>
    </row>
    <row r="1376" spans="2:18" ht="39.75">
      <c r="B1376" s="16"/>
      <c r="C1376" s="6"/>
      <c r="D1376" s="46"/>
      <c r="E1376" s="46"/>
      <c r="F1376" s="46"/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/>
    </row>
    <row r="1377" spans="2:18" ht="58.5">
      <c r="B1377" s="18">
        <f t="shared" ref="B1377" si="158">B1373+1</f>
        <v>344</v>
      </c>
      <c r="C1377" s="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</row>
    <row r="1378" spans="2:18" ht="48.75">
      <c r="B1378" s="20"/>
      <c r="C1378" s="6"/>
      <c r="D1378" s="73"/>
      <c r="E1378" s="73"/>
      <c r="F1378" s="73"/>
      <c r="G1378" s="73"/>
      <c r="H1378" s="73"/>
      <c r="I1378" s="73"/>
      <c r="J1378" s="73"/>
      <c r="K1378" s="73"/>
      <c r="L1378" s="73"/>
      <c r="M1378" s="73"/>
      <c r="N1378" s="73"/>
      <c r="O1378" s="73"/>
      <c r="P1378" s="73"/>
      <c r="Q1378" s="73"/>
      <c r="R1378" s="73"/>
    </row>
    <row r="1379" spans="2:18">
      <c r="B1379" s="12"/>
      <c r="C1379" s="31"/>
      <c r="D1379" s="47"/>
      <c r="E1379" s="47"/>
      <c r="F1379" s="47"/>
      <c r="G1379" s="47"/>
      <c r="H1379" s="47"/>
      <c r="I1379" s="47"/>
      <c r="J1379" s="47"/>
      <c r="K1379" s="47"/>
      <c r="L1379" s="47"/>
      <c r="M1379" s="47"/>
      <c r="N1379" s="47"/>
      <c r="O1379" s="47"/>
      <c r="P1379" s="47"/>
      <c r="Q1379" s="47"/>
      <c r="R1379" s="47"/>
    </row>
    <row r="1380" spans="2:18" ht="39.75">
      <c r="B1380" s="16"/>
      <c r="C1380" s="6"/>
      <c r="D1380" s="46"/>
      <c r="E1380" s="46"/>
      <c r="F1380" s="46"/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</row>
    <row r="1381" spans="2:18" ht="58.5">
      <c r="B1381" s="18">
        <f t="shared" ref="B1381" si="159">B1377+1</f>
        <v>345</v>
      </c>
      <c r="C1381" s="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</row>
    <row r="1382" spans="2:18" ht="48.75">
      <c r="B1382" s="20"/>
      <c r="C1382" s="6"/>
      <c r="D1382" s="73"/>
      <c r="E1382" s="73"/>
      <c r="F1382" s="73"/>
      <c r="G1382" s="73"/>
      <c r="H1382" s="73"/>
      <c r="I1382" s="73"/>
      <c r="J1382" s="73"/>
      <c r="K1382" s="73"/>
      <c r="L1382" s="73"/>
      <c r="M1382" s="73"/>
      <c r="N1382" s="73"/>
      <c r="O1382" s="73"/>
      <c r="P1382" s="73"/>
      <c r="Q1382" s="73"/>
      <c r="R1382" s="73"/>
    </row>
    <row r="1383" spans="2:18">
      <c r="B1383" s="12"/>
      <c r="C1383" s="31"/>
      <c r="D1383" s="47"/>
      <c r="E1383" s="47"/>
      <c r="F1383" s="47"/>
      <c r="G1383" s="47"/>
      <c r="H1383" s="47"/>
      <c r="I1383" s="47"/>
      <c r="J1383" s="47"/>
      <c r="K1383" s="47"/>
      <c r="L1383" s="47"/>
      <c r="M1383" s="47"/>
      <c r="N1383" s="47"/>
      <c r="O1383" s="47"/>
      <c r="P1383" s="47"/>
      <c r="Q1383" s="47"/>
      <c r="R1383" s="47"/>
    </row>
    <row r="1384" spans="2:18" ht="39.75">
      <c r="B1384" s="16"/>
      <c r="C1384" s="6"/>
      <c r="D1384" s="46"/>
      <c r="E1384" s="46"/>
      <c r="F1384" s="46"/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</row>
    <row r="1385" spans="2:18" ht="58.5">
      <c r="B1385" s="18">
        <f t="shared" ref="B1385" si="160">B1381+1</f>
        <v>346</v>
      </c>
      <c r="C1385" s="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</row>
    <row r="1386" spans="2:18" ht="48.75">
      <c r="B1386" s="20"/>
      <c r="C1386" s="6"/>
      <c r="D1386" s="73"/>
      <c r="E1386" s="73"/>
      <c r="F1386" s="73"/>
      <c r="G1386" s="73"/>
      <c r="H1386" s="73"/>
      <c r="I1386" s="73"/>
      <c r="J1386" s="73"/>
      <c r="K1386" s="73"/>
      <c r="L1386" s="73"/>
      <c r="M1386" s="73"/>
      <c r="N1386" s="73"/>
      <c r="O1386" s="73"/>
      <c r="P1386" s="73"/>
      <c r="Q1386" s="73"/>
      <c r="R1386" s="73"/>
    </row>
    <row r="1387" spans="2:18">
      <c r="B1387" s="12"/>
      <c r="C1387" s="31"/>
      <c r="D1387" s="47"/>
      <c r="E1387" s="47"/>
      <c r="F1387" s="47"/>
      <c r="G1387" s="47"/>
      <c r="H1387" s="47"/>
      <c r="I1387" s="47"/>
      <c r="J1387" s="47"/>
      <c r="K1387" s="47"/>
      <c r="L1387" s="47"/>
      <c r="M1387" s="47"/>
      <c r="N1387" s="47"/>
      <c r="O1387" s="47"/>
      <c r="P1387" s="47"/>
      <c r="Q1387" s="47"/>
      <c r="R1387" s="47"/>
    </row>
    <row r="1388" spans="2:18" ht="39.75">
      <c r="B1388" s="16"/>
      <c r="C1388" s="6"/>
      <c r="D1388" s="46"/>
      <c r="E1388" s="46"/>
      <c r="F1388" s="46"/>
      <c r="G1388" s="46"/>
      <c r="H1388" s="46"/>
      <c r="I1388" s="46"/>
      <c r="J1388" s="46"/>
      <c r="K1388" s="46"/>
      <c r="L1388" s="46"/>
      <c r="M1388" s="46"/>
      <c r="N1388" s="46"/>
      <c r="O1388" s="46"/>
      <c r="P1388" s="46"/>
      <c r="Q1388" s="46"/>
      <c r="R1388" s="46"/>
    </row>
    <row r="1389" spans="2:18" ht="58.5">
      <c r="B1389" s="18">
        <f t="shared" ref="B1389" si="161">B1385+1</f>
        <v>347</v>
      </c>
      <c r="C1389" s="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</row>
    <row r="1390" spans="2:18" ht="48.75">
      <c r="B1390" s="20"/>
      <c r="C1390" s="6"/>
      <c r="D1390" s="73"/>
      <c r="E1390" s="73"/>
      <c r="F1390" s="73"/>
      <c r="G1390" s="73"/>
      <c r="H1390" s="73"/>
      <c r="I1390" s="73"/>
      <c r="J1390" s="73"/>
      <c r="K1390" s="73"/>
      <c r="L1390" s="73"/>
      <c r="M1390" s="73"/>
      <c r="N1390" s="73"/>
      <c r="O1390" s="73"/>
      <c r="P1390" s="73"/>
      <c r="Q1390" s="73"/>
      <c r="R1390" s="73"/>
    </row>
    <row r="1391" spans="2:18">
      <c r="B1391" s="12"/>
      <c r="C1391" s="31"/>
      <c r="D1391" s="47"/>
      <c r="E1391" s="47"/>
      <c r="F1391" s="47"/>
      <c r="G1391" s="47"/>
      <c r="H1391" s="47"/>
      <c r="I1391" s="47"/>
      <c r="J1391" s="47"/>
      <c r="K1391" s="47"/>
      <c r="L1391" s="47"/>
      <c r="M1391" s="47"/>
      <c r="N1391" s="47"/>
      <c r="O1391" s="47"/>
      <c r="P1391" s="47"/>
      <c r="Q1391" s="47"/>
      <c r="R1391" s="47"/>
    </row>
    <row r="1392" spans="2:18" ht="39.75">
      <c r="B1392" s="16"/>
      <c r="C1392" s="6"/>
      <c r="D1392" s="46"/>
      <c r="E1392" s="46"/>
      <c r="F1392" s="46"/>
      <c r="G1392" s="46"/>
      <c r="H1392" s="46"/>
      <c r="I1392" s="46"/>
      <c r="J1392" s="46"/>
      <c r="K1392" s="46"/>
      <c r="L1392" s="46"/>
      <c r="M1392" s="46"/>
      <c r="N1392" s="46"/>
      <c r="O1392" s="46"/>
      <c r="P1392" s="46"/>
      <c r="Q1392" s="46"/>
      <c r="R1392" s="46"/>
    </row>
    <row r="1393" spans="2:18" ht="58.5">
      <c r="B1393" s="18">
        <f t="shared" ref="B1393" si="162">B1389+1</f>
        <v>348</v>
      </c>
      <c r="C1393" s="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</row>
    <row r="1394" spans="2:18" ht="48.75">
      <c r="B1394" s="20"/>
      <c r="C1394" s="6"/>
      <c r="D1394" s="73"/>
      <c r="E1394" s="73"/>
      <c r="F1394" s="73"/>
      <c r="G1394" s="73"/>
      <c r="H1394" s="73"/>
      <c r="I1394" s="73"/>
      <c r="J1394" s="73"/>
      <c r="K1394" s="73"/>
      <c r="L1394" s="73"/>
      <c r="M1394" s="73"/>
      <c r="N1394" s="73"/>
      <c r="O1394" s="73"/>
      <c r="P1394" s="73"/>
      <c r="Q1394" s="73"/>
      <c r="R1394" s="73"/>
    </row>
    <row r="1395" spans="2:18">
      <c r="B1395" s="12"/>
      <c r="C1395" s="31"/>
      <c r="D1395" s="47"/>
      <c r="E1395" s="47"/>
      <c r="F1395" s="47"/>
      <c r="G1395" s="47"/>
      <c r="H1395" s="47"/>
      <c r="I1395" s="47"/>
      <c r="J1395" s="47"/>
      <c r="K1395" s="47"/>
      <c r="L1395" s="47"/>
      <c r="M1395" s="47"/>
      <c r="N1395" s="47"/>
      <c r="O1395" s="47"/>
      <c r="P1395" s="47"/>
      <c r="Q1395" s="47"/>
      <c r="R1395" s="47"/>
    </row>
    <row r="1396" spans="2:18" ht="39.75">
      <c r="B1396" s="16"/>
      <c r="C1396" s="6"/>
      <c r="D1396" s="46"/>
      <c r="E1396" s="46"/>
      <c r="F1396" s="46"/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</row>
    <row r="1397" spans="2:18" ht="58.5">
      <c r="B1397" s="18">
        <f t="shared" ref="B1397" si="163">B1393+1</f>
        <v>349</v>
      </c>
      <c r="C1397" s="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</row>
    <row r="1398" spans="2:18" ht="48.75">
      <c r="B1398" s="20"/>
      <c r="C1398" s="6"/>
      <c r="D1398" s="73"/>
      <c r="E1398" s="73"/>
      <c r="F1398" s="73"/>
      <c r="G1398" s="73"/>
      <c r="H1398" s="73"/>
      <c r="I1398" s="73"/>
      <c r="J1398" s="73"/>
      <c r="K1398" s="73"/>
      <c r="L1398" s="73"/>
      <c r="M1398" s="73"/>
      <c r="N1398" s="73"/>
      <c r="O1398" s="73"/>
      <c r="P1398" s="73"/>
      <c r="Q1398" s="73"/>
      <c r="R1398" s="73"/>
    </row>
    <row r="1399" spans="2:18">
      <c r="B1399" s="12"/>
      <c r="C1399" s="31"/>
      <c r="D1399" s="47"/>
      <c r="E1399" s="47"/>
      <c r="F1399" s="47"/>
      <c r="G1399" s="47"/>
      <c r="H1399" s="47"/>
      <c r="I1399" s="47"/>
      <c r="J1399" s="47"/>
      <c r="K1399" s="47"/>
      <c r="L1399" s="47"/>
      <c r="M1399" s="47"/>
      <c r="N1399" s="47"/>
      <c r="O1399" s="47"/>
      <c r="P1399" s="47"/>
      <c r="Q1399" s="47"/>
      <c r="R1399" s="47"/>
    </row>
    <row r="1400" spans="2:18" ht="39.75">
      <c r="B1400" s="16"/>
      <c r="C1400" s="6"/>
      <c r="D1400" s="46"/>
      <c r="E1400" s="46"/>
      <c r="F1400" s="46"/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</row>
    <row r="1401" spans="2:18" ht="58.5">
      <c r="B1401" s="18">
        <f t="shared" ref="B1401" si="164">B1397+1</f>
        <v>350</v>
      </c>
      <c r="C1401" s="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</row>
    <row r="1402" spans="2:18" ht="48.75">
      <c r="B1402" s="20"/>
      <c r="C1402" s="6"/>
      <c r="D1402" s="73"/>
      <c r="E1402" s="73"/>
      <c r="F1402" s="73"/>
      <c r="G1402" s="73"/>
      <c r="H1402" s="73"/>
      <c r="I1402" s="73"/>
      <c r="J1402" s="73"/>
      <c r="K1402" s="73"/>
      <c r="L1402" s="73"/>
      <c r="M1402" s="73"/>
      <c r="N1402" s="73"/>
      <c r="O1402" s="73"/>
      <c r="P1402" s="73"/>
      <c r="Q1402" s="73"/>
      <c r="R1402" s="73"/>
    </row>
    <row r="1403" spans="2:18">
      <c r="B1403" s="12"/>
      <c r="C1403" s="31"/>
      <c r="D1403" s="47"/>
      <c r="E1403" s="47"/>
      <c r="F1403" s="47"/>
      <c r="G1403" s="47"/>
      <c r="H1403" s="47"/>
      <c r="I1403" s="47"/>
      <c r="J1403" s="47"/>
      <c r="K1403" s="47"/>
      <c r="L1403" s="47"/>
      <c r="M1403" s="47"/>
      <c r="N1403" s="47"/>
      <c r="O1403" s="47"/>
      <c r="P1403" s="47"/>
      <c r="Q1403" s="47"/>
      <c r="R1403" s="47"/>
    </row>
    <row r="1404" spans="2:18" ht="39.75">
      <c r="B1404" s="16"/>
      <c r="C1404" s="6"/>
      <c r="D1404" s="46"/>
      <c r="E1404" s="46"/>
      <c r="F1404" s="46"/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</row>
    <row r="1405" spans="2:18" ht="58.5">
      <c r="B1405" s="18">
        <f>B1401+1</f>
        <v>351</v>
      </c>
      <c r="C1405" s="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</row>
    <row r="1406" spans="2:18" ht="48.75">
      <c r="B1406" s="20"/>
      <c r="C1406" s="6"/>
      <c r="D1406" s="73"/>
      <c r="E1406" s="73"/>
      <c r="F1406" s="73"/>
      <c r="G1406" s="73"/>
      <c r="H1406" s="73"/>
      <c r="I1406" s="73"/>
      <c r="J1406" s="73"/>
      <c r="K1406" s="73"/>
      <c r="L1406" s="73"/>
      <c r="M1406" s="73"/>
      <c r="N1406" s="73"/>
      <c r="O1406" s="73"/>
      <c r="P1406" s="73"/>
      <c r="Q1406" s="73"/>
      <c r="R1406" s="73"/>
    </row>
    <row r="1407" spans="2:18">
      <c r="B1407" s="24"/>
      <c r="C1407" s="25"/>
      <c r="D1407" s="47"/>
      <c r="E1407" s="47"/>
      <c r="F1407" s="47"/>
      <c r="G1407" s="47"/>
      <c r="H1407" s="47"/>
      <c r="I1407" s="47"/>
      <c r="J1407" s="47"/>
      <c r="K1407" s="47"/>
      <c r="L1407" s="47"/>
      <c r="M1407" s="47"/>
      <c r="N1407" s="47"/>
      <c r="O1407" s="47"/>
      <c r="P1407" s="47"/>
      <c r="Q1407" s="47"/>
      <c r="R1407" s="47"/>
    </row>
    <row r="1408" spans="2:18" ht="39.75">
      <c r="B1408" s="16"/>
      <c r="C1408" s="6"/>
      <c r="D1408" s="46"/>
      <c r="E1408" s="46"/>
      <c r="F1408" s="46"/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</row>
    <row r="1409" spans="2:18" ht="58.5">
      <c r="B1409" s="18">
        <f>B1405+1</f>
        <v>352</v>
      </c>
      <c r="C1409" s="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</row>
    <row r="1410" spans="2:18" ht="48.75">
      <c r="B1410" s="20"/>
      <c r="C1410" s="6"/>
      <c r="D1410" s="73"/>
      <c r="E1410" s="73"/>
      <c r="F1410" s="73"/>
      <c r="G1410" s="73"/>
      <c r="H1410" s="73"/>
      <c r="I1410" s="73"/>
      <c r="J1410" s="73"/>
      <c r="K1410" s="73"/>
      <c r="L1410" s="73"/>
      <c r="M1410" s="73"/>
      <c r="N1410" s="73"/>
      <c r="O1410" s="73"/>
      <c r="P1410" s="73"/>
      <c r="Q1410" s="73"/>
      <c r="R1410" s="73"/>
    </row>
    <row r="1411" spans="2:18">
      <c r="B1411" s="29"/>
      <c r="C1411" s="30"/>
      <c r="D1411" s="47"/>
      <c r="E1411" s="47"/>
      <c r="F1411" s="47"/>
      <c r="G1411" s="47"/>
      <c r="H1411" s="47"/>
      <c r="I1411" s="47"/>
      <c r="J1411" s="47"/>
      <c r="K1411" s="47"/>
      <c r="L1411" s="47"/>
      <c r="M1411" s="47"/>
      <c r="N1411" s="47"/>
      <c r="O1411" s="47"/>
      <c r="P1411" s="47"/>
      <c r="Q1411" s="47"/>
      <c r="R1411" s="47"/>
    </row>
    <row r="1412" spans="2:18" ht="39.75">
      <c r="B1412" s="16"/>
      <c r="C1412" s="6"/>
      <c r="D1412" s="46"/>
      <c r="E1412" s="46"/>
      <c r="F1412" s="46"/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</row>
    <row r="1413" spans="2:18" ht="58.5">
      <c r="B1413" s="18">
        <f>B1409+1</f>
        <v>353</v>
      </c>
      <c r="C1413" s="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</row>
    <row r="1414" spans="2:18" ht="48.75">
      <c r="B1414" s="20"/>
      <c r="C1414" s="6"/>
      <c r="D1414" s="73"/>
      <c r="E1414" s="73"/>
      <c r="F1414" s="73"/>
      <c r="G1414" s="73"/>
      <c r="H1414" s="73"/>
      <c r="I1414" s="73"/>
      <c r="J1414" s="73"/>
      <c r="K1414" s="73"/>
      <c r="L1414" s="73"/>
      <c r="M1414" s="73"/>
      <c r="N1414" s="73"/>
      <c r="O1414" s="73"/>
      <c r="P1414" s="73"/>
      <c r="Q1414" s="73"/>
      <c r="R1414" s="73"/>
    </row>
    <row r="1415" spans="2:18">
      <c r="B1415" s="12"/>
      <c r="C1415" s="31"/>
      <c r="D1415" s="47"/>
      <c r="E1415" s="47"/>
      <c r="F1415" s="47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R1415" s="47"/>
    </row>
    <row r="1416" spans="2:18" ht="39.75">
      <c r="B1416" s="16"/>
      <c r="C1416" s="6"/>
      <c r="D1416" s="46"/>
      <c r="E1416" s="46"/>
      <c r="F1416" s="46"/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</row>
    <row r="1417" spans="2:18" ht="58.5">
      <c r="B1417" s="18">
        <f>B1413+1</f>
        <v>354</v>
      </c>
      <c r="C1417" s="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</row>
    <row r="1418" spans="2:18" ht="48.75">
      <c r="B1418" s="20"/>
      <c r="C1418" s="6"/>
      <c r="D1418" s="73"/>
      <c r="E1418" s="73"/>
      <c r="F1418" s="73"/>
      <c r="G1418" s="73"/>
      <c r="H1418" s="73"/>
      <c r="I1418" s="73"/>
      <c r="J1418" s="73"/>
      <c r="K1418" s="73"/>
      <c r="L1418" s="73"/>
      <c r="M1418" s="73"/>
      <c r="N1418" s="73"/>
      <c r="O1418" s="73"/>
      <c r="P1418" s="73"/>
      <c r="Q1418" s="73"/>
      <c r="R1418" s="73"/>
    </row>
    <row r="1419" spans="2:18">
      <c r="B1419" s="12"/>
      <c r="C1419" s="31"/>
      <c r="D1419" s="47"/>
      <c r="E1419" s="47"/>
      <c r="F1419" s="47"/>
      <c r="G1419" s="47"/>
      <c r="H1419" s="47"/>
      <c r="I1419" s="47"/>
      <c r="J1419" s="47"/>
      <c r="K1419" s="47"/>
      <c r="L1419" s="47"/>
      <c r="M1419" s="47"/>
      <c r="N1419" s="47"/>
      <c r="O1419" s="47"/>
      <c r="P1419" s="47"/>
      <c r="Q1419" s="47"/>
      <c r="R1419" s="47"/>
    </row>
    <row r="1420" spans="2:18" ht="39.75">
      <c r="B1420" s="16"/>
      <c r="C1420" s="6"/>
      <c r="D1420" s="46"/>
      <c r="E1420" s="46"/>
      <c r="F1420" s="46"/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</row>
    <row r="1421" spans="2:18" ht="58.5">
      <c r="B1421" s="18">
        <f>B1417+1</f>
        <v>355</v>
      </c>
      <c r="C1421" s="6"/>
      <c r="D1421" s="36"/>
      <c r="E1421" s="36"/>
      <c r="F1421" s="36"/>
      <c r="G1421" s="36"/>
      <c r="H1421" s="36"/>
      <c r="I1421" s="36"/>
      <c r="J1421" s="36"/>
      <c r="K1421" s="36"/>
      <c r="L1421" s="36"/>
      <c r="M1421" s="36"/>
      <c r="N1421" s="36"/>
      <c r="O1421" s="36"/>
      <c r="P1421" s="36"/>
      <c r="Q1421" s="36"/>
      <c r="R1421" s="36"/>
    </row>
    <row r="1422" spans="2:18" ht="48.75">
      <c r="B1422" s="20"/>
      <c r="C1422" s="6"/>
      <c r="D1422" s="73"/>
      <c r="E1422" s="73"/>
      <c r="F1422" s="73"/>
      <c r="G1422" s="73"/>
      <c r="H1422" s="73"/>
      <c r="I1422" s="73"/>
      <c r="J1422" s="73"/>
      <c r="K1422" s="73"/>
      <c r="L1422" s="73"/>
      <c r="M1422" s="73"/>
      <c r="N1422" s="73"/>
      <c r="O1422" s="73"/>
      <c r="P1422" s="73"/>
      <c r="Q1422" s="73"/>
      <c r="R1422" s="73"/>
    </row>
    <row r="1423" spans="2:18">
      <c r="B1423" s="12"/>
      <c r="C1423" s="31"/>
      <c r="D1423" s="47"/>
      <c r="E1423" s="47"/>
      <c r="F1423" s="47"/>
      <c r="G1423" s="47"/>
      <c r="H1423" s="47"/>
      <c r="I1423" s="47"/>
      <c r="J1423" s="47"/>
      <c r="K1423" s="47"/>
      <c r="L1423" s="47"/>
      <c r="M1423" s="47"/>
      <c r="N1423" s="47"/>
      <c r="O1423" s="47"/>
      <c r="P1423" s="47"/>
      <c r="Q1423" s="47"/>
      <c r="R1423" s="47"/>
    </row>
    <row r="1424" spans="2:18" ht="39.75">
      <c r="B1424" s="16"/>
      <c r="C1424" s="6"/>
      <c r="D1424" s="46"/>
      <c r="E1424" s="46"/>
      <c r="F1424" s="46"/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</row>
    <row r="1425" spans="2:18" ht="58.5">
      <c r="B1425" s="18">
        <f>B1421+1</f>
        <v>356</v>
      </c>
      <c r="C1425" s="6"/>
      <c r="D1425" s="36"/>
      <c r="E1425" s="36"/>
      <c r="F1425" s="36"/>
      <c r="G1425" s="36"/>
      <c r="H1425" s="36"/>
      <c r="I1425" s="36"/>
      <c r="J1425" s="36"/>
      <c r="K1425" s="36"/>
      <c r="L1425" s="36"/>
      <c r="M1425" s="36"/>
      <c r="N1425" s="36"/>
      <c r="O1425" s="36"/>
      <c r="P1425" s="36"/>
      <c r="Q1425" s="36"/>
      <c r="R1425" s="36"/>
    </row>
    <row r="1426" spans="2:18" ht="48.75">
      <c r="B1426" s="20"/>
      <c r="C1426" s="6"/>
      <c r="D1426" s="73"/>
      <c r="E1426" s="73"/>
      <c r="F1426" s="73"/>
      <c r="G1426" s="73"/>
      <c r="H1426" s="73"/>
      <c r="I1426" s="73"/>
      <c r="J1426" s="73"/>
      <c r="K1426" s="73"/>
      <c r="L1426" s="73"/>
      <c r="M1426" s="73"/>
      <c r="N1426" s="73"/>
      <c r="O1426" s="73"/>
      <c r="P1426" s="73"/>
      <c r="Q1426" s="73"/>
      <c r="R1426" s="73"/>
    </row>
    <row r="1427" spans="2:18">
      <c r="B1427" s="12"/>
      <c r="C1427" s="31"/>
      <c r="D1427" s="47"/>
      <c r="E1427" s="47"/>
      <c r="F1427" s="47"/>
      <c r="G1427" s="47"/>
      <c r="H1427" s="47"/>
      <c r="I1427" s="47"/>
      <c r="J1427" s="47"/>
      <c r="K1427" s="47"/>
      <c r="L1427" s="47"/>
      <c r="M1427" s="47"/>
      <c r="N1427" s="47"/>
      <c r="O1427" s="47"/>
      <c r="P1427" s="47"/>
      <c r="Q1427" s="47"/>
      <c r="R1427" s="47"/>
    </row>
    <row r="1428" spans="2:18" ht="39.75">
      <c r="B1428" s="16"/>
      <c r="C1428" s="6"/>
      <c r="D1428" s="46"/>
      <c r="E1428" s="46"/>
      <c r="F1428" s="46"/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</row>
    <row r="1429" spans="2:18" ht="58.5">
      <c r="B1429" s="18">
        <f>B1425+1</f>
        <v>357</v>
      </c>
      <c r="C1429" s="6"/>
      <c r="D1429" s="36"/>
      <c r="E1429" s="36"/>
      <c r="F1429" s="36"/>
      <c r="G1429" s="36"/>
      <c r="H1429" s="36"/>
      <c r="I1429" s="36"/>
      <c r="J1429" s="36"/>
      <c r="K1429" s="36"/>
      <c r="L1429" s="36"/>
      <c r="M1429" s="36"/>
      <c r="N1429" s="36"/>
      <c r="O1429" s="36"/>
      <c r="P1429" s="36"/>
      <c r="Q1429" s="36"/>
      <c r="R1429" s="36"/>
    </row>
    <row r="1430" spans="2:18" ht="48.75">
      <c r="B1430" s="20"/>
      <c r="C1430" s="6"/>
      <c r="D1430" s="73"/>
      <c r="E1430" s="73"/>
      <c r="F1430" s="73"/>
      <c r="G1430" s="73"/>
      <c r="H1430" s="73"/>
      <c r="I1430" s="73"/>
      <c r="J1430" s="73"/>
      <c r="K1430" s="73"/>
      <c r="L1430" s="73"/>
      <c r="M1430" s="73"/>
      <c r="N1430" s="73"/>
      <c r="O1430" s="73"/>
      <c r="P1430" s="73"/>
      <c r="Q1430" s="73"/>
      <c r="R1430" s="73"/>
    </row>
    <row r="1431" spans="2:18">
      <c r="B1431" s="12"/>
      <c r="C1431" s="31"/>
      <c r="D1431" s="47"/>
      <c r="E1431" s="47"/>
      <c r="F1431" s="47"/>
      <c r="G1431" s="47"/>
      <c r="H1431" s="47"/>
      <c r="I1431" s="47"/>
      <c r="J1431" s="47"/>
      <c r="K1431" s="47"/>
      <c r="L1431" s="47"/>
      <c r="M1431" s="47"/>
      <c r="N1431" s="47"/>
      <c r="O1431" s="47"/>
      <c r="P1431" s="47"/>
      <c r="Q1431" s="47"/>
      <c r="R1431" s="47"/>
    </row>
    <row r="1432" spans="2:18" ht="39.75">
      <c r="B1432" s="16"/>
      <c r="C1432" s="6"/>
      <c r="D1432" s="46"/>
      <c r="E1432" s="46"/>
      <c r="F1432" s="46"/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</row>
    <row r="1433" spans="2:18" ht="58.5">
      <c r="B1433" s="18">
        <f>B1429+1</f>
        <v>358</v>
      </c>
      <c r="C1433" s="6"/>
      <c r="D1433" s="36"/>
      <c r="E1433" s="36"/>
      <c r="F1433" s="36"/>
      <c r="G1433" s="36"/>
      <c r="H1433" s="36"/>
      <c r="I1433" s="36"/>
      <c r="J1433" s="36"/>
      <c r="K1433" s="36"/>
      <c r="L1433" s="36"/>
      <c r="M1433" s="36"/>
      <c r="N1433" s="36"/>
      <c r="O1433" s="36"/>
      <c r="P1433" s="36"/>
      <c r="Q1433" s="36"/>
      <c r="R1433" s="36"/>
    </row>
    <row r="1434" spans="2:18" ht="48.75">
      <c r="B1434" s="20"/>
      <c r="C1434" s="6"/>
      <c r="D1434" s="73"/>
      <c r="E1434" s="73"/>
      <c r="F1434" s="73"/>
      <c r="G1434" s="73"/>
      <c r="H1434" s="73"/>
      <c r="I1434" s="73"/>
      <c r="J1434" s="73"/>
      <c r="K1434" s="73"/>
      <c r="L1434" s="73"/>
      <c r="M1434" s="73"/>
      <c r="N1434" s="73"/>
      <c r="O1434" s="73"/>
      <c r="P1434" s="73"/>
      <c r="Q1434" s="73"/>
      <c r="R1434" s="73"/>
    </row>
    <row r="1435" spans="2:18">
      <c r="B1435" s="12"/>
      <c r="C1435" s="31"/>
      <c r="D1435" s="47"/>
      <c r="E1435" s="47"/>
      <c r="F1435" s="47"/>
      <c r="G1435" s="47"/>
      <c r="H1435" s="47"/>
      <c r="I1435" s="47"/>
      <c r="J1435" s="47"/>
      <c r="K1435" s="47"/>
      <c r="L1435" s="47"/>
      <c r="M1435" s="47"/>
      <c r="N1435" s="47"/>
      <c r="O1435" s="47"/>
      <c r="P1435" s="47"/>
      <c r="Q1435" s="47"/>
      <c r="R1435" s="47"/>
    </row>
    <row r="1436" spans="2:18" ht="39.75">
      <c r="B1436" s="16"/>
      <c r="C1436" s="6"/>
      <c r="D1436" s="46"/>
      <c r="E1436" s="46"/>
      <c r="F1436" s="46"/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</row>
    <row r="1437" spans="2:18" ht="58.5">
      <c r="B1437" s="18">
        <f>B1433+1</f>
        <v>359</v>
      </c>
      <c r="C1437" s="6"/>
      <c r="D1437" s="36"/>
      <c r="E1437" s="36"/>
      <c r="F1437" s="36"/>
      <c r="G1437" s="36"/>
      <c r="H1437" s="36"/>
      <c r="I1437" s="36"/>
      <c r="J1437" s="36"/>
      <c r="K1437" s="36"/>
      <c r="L1437" s="36"/>
      <c r="M1437" s="36"/>
      <c r="N1437" s="36"/>
      <c r="O1437" s="36"/>
      <c r="P1437" s="36"/>
      <c r="Q1437" s="36"/>
      <c r="R1437" s="36"/>
    </row>
    <row r="1438" spans="2:18" ht="48.75">
      <c r="B1438" s="20"/>
      <c r="C1438" s="6"/>
      <c r="D1438" s="73"/>
      <c r="E1438" s="73"/>
      <c r="F1438" s="73"/>
      <c r="G1438" s="73"/>
      <c r="H1438" s="73"/>
      <c r="I1438" s="73"/>
      <c r="J1438" s="73"/>
      <c r="K1438" s="73"/>
      <c r="L1438" s="73"/>
      <c r="M1438" s="73"/>
      <c r="N1438" s="73"/>
      <c r="O1438" s="73"/>
      <c r="P1438" s="73"/>
      <c r="Q1438" s="73"/>
      <c r="R1438" s="73"/>
    </row>
    <row r="1439" spans="2:18">
      <c r="B1439" s="12"/>
      <c r="C1439" s="31"/>
      <c r="D1439" s="47"/>
      <c r="E1439" s="47"/>
      <c r="F1439" s="47"/>
      <c r="G1439" s="47"/>
      <c r="H1439" s="47"/>
      <c r="I1439" s="47"/>
      <c r="J1439" s="47"/>
      <c r="K1439" s="47"/>
      <c r="L1439" s="47"/>
      <c r="M1439" s="47"/>
      <c r="N1439" s="47"/>
      <c r="O1439" s="47"/>
      <c r="P1439" s="47"/>
      <c r="Q1439" s="47"/>
      <c r="R1439" s="47"/>
    </row>
    <row r="1440" spans="2:18" ht="39.75">
      <c r="B1440" s="16"/>
      <c r="C1440" s="6"/>
      <c r="D1440" s="46"/>
      <c r="E1440" s="46"/>
      <c r="F1440" s="46"/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</row>
    <row r="1441" spans="2:18" ht="58.5">
      <c r="B1441" s="18">
        <f>B1437+1</f>
        <v>360</v>
      </c>
      <c r="C1441" s="6"/>
      <c r="D1441" s="36"/>
      <c r="E1441" s="36"/>
      <c r="F1441" s="36"/>
      <c r="G1441" s="36"/>
      <c r="H1441" s="36"/>
      <c r="I1441" s="36"/>
      <c r="J1441" s="36"/>
      <c r="K1441" s="36"/>
      <c r="L1441" s="36"/>
      <c r="M1441" s="36"/>
      <c r="N1441" s="36"/>
      <c r="O1441" s="36"/>
      <c r="P1441" s="36"/>
      <c r="Q1441" s="36"/>
      <c r="R1441" s="36"/>
    </row>
    <row r="1442" spans="2:18" ht="48.75">
      <c r="B1442" s="20"/>
      <c r="C1442" s="6"/>
      <c r="D1442" s="73"/>
      <c r="E1442" s="73"/>
      <c r="F1442" s="73"/>
      <c r="G1442" s="73"/>
      <c r="H1442" s="73"/>
      <c r="I1442" s="73"/>
      <c r="J1442" s="73"/>
      <c r="K1442" s="73"/>
      <c r="L1442" s="73"/>
      <c r="M1442" s="73"/>
      <c r="N1442" s="73"/>
      <c r="O1442" s="73"/>
      <c r="P1442" s="73"/>
      <c r="Q1442" s="73"/>
      <c r="R1442" s="73"/>
    </row>
    <row r="1443" spans="2:18">
      <c r="B1443" s="12"/>
      <c r="C1443" s="31"/>
      <c r="D1443" s="47"/>
      <c r="E1443" s="47"/>
      <c r="F1443" s="47"/>
      <c r="G1443" s="47"/>
      <c r="H1443" s="47"/>
      <c r="I1443" s="47"/>
      <c r="J1443" s="47"/>
      <c r="K1443" s="47"/>
      <c r="L1443" s="47"/>
      <c r="M1443" s="47"/>
      <c r="N1443" s="47"/>
      <c r="O1443" s="47"/>
      <c r="P1443" s="47"/>
      <c r="Q1443" s="47"/>
      <c r="R1443" s="47"/>
    </row>
    <row r="1444" spans="2:18" ht="39.75">
      <c r="B1444" s="16"/>
      <c r="C1444" s="6"/>
      <c r="D1444" s="46"/>
      <c r="E1444" s="46"/>
      <c r="F1444" s="46"/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</row>
    <row r="1445" spans="2:18" ht="58.5">
      <c r="B1445" s="18">
        <f>B1441+1</f>
        <v>361</v>
      </c>
      <c r="C1445" s="6"/>
      <c r="D1445" s="36"/>
      <c r="E1445" s="36"/>
      <c r="F1445" s="36"/>
      <c r="G1445" s="36"/>
      <c r="H1445" s="36"/>
      <c r="I1445" s="36"/>
      <c r="J1445" s="36"/>
      <c r="K1445" s="36"/>
      <c r="L1445" s="36"/>
      <c r="M1445" s="36"/>
      <c r="N1445" s="36"/>
      <c r="O1445" s="36"/>
      <c r="P1445" s="36"/>
      <c r="Q1445" s="36"/>
      <c r="R1445" s="36"/>
    </row>
    <row r="1446" spans="2:18" ht="48.75">
      <c r="B1446" s="20"/>
      <c r="C1446" s="6"/>
      <c r="D1446" s="73"/>
      <c r="E1446" s="73"/>
      <c r="F1446" s="73"/>
      <c r="G1446" s="73"/>
      <c r="H1446" s="73"/>
      <c r="I1446" s="73"/>
      <c r="J1446" s="73"/>
      <c r="K1446" s="73"/>
      <c r="L1446" s="73"/>
      <c r="M1446" s="73"/>
      <c r="N1446" s="73"/>
      <c r="O1446" s="73"/>
      <c r="P1446" s="73"/>
      <c r="Q1446" s="73"/>
      <c r="R1446" s="73"/>
    </row>
    <row r="1447" spans="2:18">
      <c r="B1447" s="12"/>
      <c r="C1447" s="31"/>
      <c r="D1447" s="47"/>
      <c r="E1447" s="47"/>
      <c r="F1447" s="47"/>
      <c r="G1447" s="47"/>
      <c r="H1447" s="47"/>
      <c r="I1447" s="47"/>
      <c r="J1447" s="47"/>
      <c r="K1447" s="47"/>
      <c r="L1447" s="47"/>
      <c r="M1447" s="47"/>
      <c r="N1447" s="47"/>
      <c r="O1447" s="47"/>
      <c r="P1447" s="47"/>
      <c r="Q1447" s="47"/>
      <c r="R1447" s="47"/>
    </row>
    <row r="1448" spans="2:18" ht="39.75">
      <c r="B1448" s="16"/>
      <c r="C1448" s="6"/>
      <c r="D1448" s="46"/>
      <c r="E1448" s="46"/>
      <c r="F1448" s="46"/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</row>
    <row r="1449" spans="2:18" ht="58.5">
      <c r="B1449" s="18">
        <f>B1445+1</f>
        <v>362</v>
      </c>
      <c r="C1449" s="6"/>
      <c r="D1449" s="36"/>
      <c r="E1449" s="36"/>
      <c r="F1449" s="36"/>
      <c r="G1449" s="36"/>
      <c r="H1449" s="36"/>
      <c r="I1449" s="36"/>
      <c r="J1449" s="36"/>
      <c r="K1449" s="36"/>
      <c r="L1449" s="36"/>
      <c r="M1449" s="36"/>
      <c r="N1449" s="36"/>
      <c r="O1449" s="36"/>
      <c r="P1449" s="36"/>
      <c r="Q1449" s="36"/>
      <c r="R1449" s="36"/>
    </row>
    <row r="1450" spans="2:18" ht="48.75">
      <c r="B1450" s="20"/>
      <c r="C1450" s="6"/>
      <c r="D1450" s="73"/>
      <c r="E1450" s="73"/>
      <c r="F1450" s="73"/>
      <c r="G1450" s="73"/>
      <c r="H1450" s="73"/>
      <c r="I1450" s="73"/>
      <c r="J1450" s="73"/>
      <c r="K1450" s="73"/>
      <c r="L1450" s="73"/>
      <c r="M1450" s="73"/>
      <c r="N1450" s="73"/>
      <c r="O1450" s="73"/>
      <c r="P1450" s="73"/>
      <c r="Q1450" s="73"/>
      <c r="R1450" s="73"/>
    </row>
    <row r="1451" spans="2:18">
      <c r="B1451" s="12"/>
      <c r="C1451" s="31"/>
      <c r="D1451" s="47"/>
      <c r="E1451" s="47"/>
      <c r="F1451" s="47"/>
      <c r="G1451" s="47"/>
      <c r="H1451" s="47"/>
      <c r="I1451" s="47"/>
      <c r="J1451" s="47"/>
      <c r="K1451" s="47"/>
      <c r="L1451" s="47"/>
      <c r="M1451" s="47"/>
      <c r="N1451" s="47"/>
      <c r="O1451" s="47"/>
      <c r="P1451" s="47"/>
      <c r="Q1451" s="47"/>
      <c r="R1451" s="47"/>
    </row>
    <row r="1452" spans="2:18" ht="39.75">
      <c r="B1452" s="16"/>
      <c r="C1452" s="6"/>
      <c r="D1452" s="46"/>
      <c r="E1452" s="46"/>
      <c r="F1452" s="46"/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</row>
    <row r="1453" spans="2:18" ht="58.5">
      <c r="B1453" s="18">
        <f>B1449+1</f>
        <v>363</v>
      </c>
      <c r="C1453" s="6"/>
      <c r="D1453" s="36"/>
      <c r="E1453" s="36"/>
      <c r="F1453" s="36"/>
      <c r="G1453" s="36"/>
      <c r="H1453" s="36"/>
      <c r="I1453" s="36"/>
      <c r="J1453" s="36"/>
      <c r="K1453" s="36"/>
      <c r="L1453" s="36"/>
      <c r="M1453" s="36"/>
      <c r="N1453" s="36"/>
      <c r="O1453" s="36"/>
      <c r="P1453" s="36"/>
      <c r="Q1453" s="36"/>
      <c r="R1453" s="36"/>
    </row>
    <row r="1454" spans="2:18" ht="48.75">
      <c r="B1454" s="20"/>
      <c r="C1454" s="6"/>
      <c r="D1454" s="73"/>
      <c r="E1454" s="73"/>
      <c r="F1454" s="73"/>
      <c r="G1454" s="73"/>
      <c r="H1454" s="73"/>
      <c r="I1454" s="73"/>
      <c r="J1454" s="73"/>
      <c r="K1454" s="73"/>
      <c r="L1454" s="73"/>
      <c r="M1454" s="73"/>
      <c r="N1454" s="73"/>
      <c r="O1454" s="73"/>
      <c r="P1454" s="73"/>
      <c r="Q1454" s="73"/>
      <c r="R1454" s="73"/>
    </row>
    <row r="1455" spans="2:18">
      <c r="B1455" s="12"/>
      <c r="C1455" s="31"/>
      <c r="D1455" s="47"/>
      <c r="E1455" s="47"/>
      <c r="F1455" s="47"/>
      <c r="G1455" s="47"/>
      <c r="H1455" s="47"/>
      <c r="I1455" s="47"/>
      <c r="J1455" s="47"/>
      <c r="K1455" s="47"/>
      <c r="L1455" s="47"/>
      <c r="M1455" s="47"/>
      <c r="N1455" s="47"/>
      <c r="O1455" s="47"/>
      <c r="P1455" s="47"/>
      <c r="Q1455" s="47"/>
      <c r="R1455" s="47"/>
    </row>
    <row r="1456" spans="2:18" ht="39.75">
      <c r="B1456" s="16"/>
      <c r="C1456" s="6"/>
      <c r="D1456" s="46"/>
      <c r="E1456" s="46"/>
      <c r="F1456" s="46"/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</row>
    <row r="1457" spans="2:18" ht="58.5">
      <c r="B1457" s="18">
        <f>B1453+1</f>
        <v>364</v>
      </c>
      <c r="C1457" s="6"/>
      <c r="D1457" s="36"/>
      <c r="E1457" s="36"/>
      <c r="F1457" s="36"/>
      <c r="G1457" s="36"/>
      <c r="H1457" s="36"/>
      <c r="I1457" s="36"/>
      <c r="J1457" s="36"/>
      <c r="K1457" s="36"/>
      <c r="L1457" s="36"/>
      <c r="M1457" s="36"/>
      <c r="N1457" s="36"/>
      <c r="O1457" s="36"/>
      <c r="P1457" s="36"/>
      <c r="Q1457" s="36"/>
      <c r="R1457" s="36"/>
    </row>
    <row r="1458" spans="2:18" ht="48.75">
      <c r="B1458" s="20"/>
      <c r="C1458" s="6"/>
      <c r="D1458" s="73"/>
      <c r="E1458" s="73"/>
      <c r="F1458" s="73"/>
      <c r="G1458" s="73"/>
      <c r="H1458" s="73"/>
      <c r="I1458" s="73"/>
      <c r="J1458" s="73"/>
      <c r="K1458" s="73"/>
      <c r="L1458" s="73"/>
      <c r="M1458" s="73"/>
      <c r="N1458" s="73"/>
      <c r="O1458" s="73"/>
      <c r="P1458" s="73"/>
      <c r="Q1458" s="73"/>
      <c r="R1458" s="73"/>
    </row>
    <row r="1459" spans="2:18">
      <c r="B1459" s="12"/>
      <c r="C1459" s="31"/>
      <c r="D1459" s="47"/>
      <c r="E1459" s="47"/>
      <c r="F1459" s="47"/>
      <c r="G1459" s="47"/>
      <c r="H1459" s="47"/>
      <c r="I1459" s="47"/>
      <c r="J1459" s="47"/>
      <c r="K1459" s="47"/>
      <c r="L1459" s="47"/>
      <c r="M1459" s="47"/>
      <c r="N1459" s="47"/>
      <c r="O1459" s="47"/>
      <c r="P1459" s="47"/>
      <c r="Q1459" s="47"/>
      <c r="R1459" s="47"/>
    </row>
    <row r="1460" spans="2:18" ht="39.75">
      <c r="B1460" s="16"/>
      <c r="C1460" s="6"/>
      <c r="D1460" s="46"/>
      <c r="E1460" s="46"/>
      <c r="F1460" s="46"/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</row>
    <row r="1461" spans="2:18" ht="58.5">
      <c r="B1461" s="18">
        <f>B1457+1</f>
        <v>365</v>
      </c>
      <c r="C1461" s="6"/>
      <c r="D1461" s="36"/>
      <c r="E1461" s="36"/>
      <c r="F1461" s="36"/>
      <c r="G1461" s="36"/>
      <c r="H1461" s="36"/>
      <c r="I1461" s="36"/>
      <c r="J1461" s="36"/>
      <c r="K1461" s="36"/>
      <c r="L1461" s="36"/>
      <c r="M1461" s="36"/>
      <c r="N1461" s="36"/>
      <c r="O1461" s="36"/>
      <c r="P1461" s="36"/>
      <c r="Q1461" s="36"/>
      <c r="R1461" s="36"/>
    </row>
    <row r="1462" spans="2:18" ht="48.75">
      <c r="B1462" s="20"/>
      <c r="C1462" s="6"/>
      <c r="D1462" s="73"/>
      <c r="E1462" s="73"/>
      <c r="F1462" s="73"/>
      <c r="G1462" s="73"/>
      <c r="H1462" s="73"/>
      <c r="I1462" s="73"/>
      <c r="J1462" s="73"/>
      <c r="K1462" s="73"/>
      <c r="L1462" s="73"/>
      <c r="M1462" s="73"/>
      <c r="N1462" s="73"/>
      <c r="O1462" s="73"/>
      <c r="P1462" s="73"/>
      <c r="Q1462" s="73"/>
      <c r="R1462" s="73"/>
    </row>
    <row r="1463" spans="2:18">
      <c r="B1463" s="12"/>
      <c r="C1463" s="31"/>
      <c r="D1463" s="47"/>
      <c r="E1463" s="47"/>
      <c r="F1463" s="47"/>
      <c r="G1463" s="47"/>
      <c r="H1463" s="47"/>
      <c r="I1463" s="47"/>
      <c r="J1463" s="47"/>
      <c r="K1463" s="47"/>
      <c r="L1463" s="47"/>
      <c r="M1463" s="47"/>
      <c r="N1463" s="47"/>
      <c r="O1463" s="47"/>
      <c r="P1463" s="47"/>
      <c r="Q1463" s="47"/>
      <c r="R1463" s="47"/>
    </row>
    <row r="1464" spans="2:18" ht="39.75">
      <c r="B1464" s="16"/>
      <c r="C1464" s="6"/>
      <c r="D1464" s="46"/>
      <c r="E1464" s="46"/>
      <c r="F1464" s="46"/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</row>
    <row r="1465" spans="2:18" ht="58.5">
      <c r="B1465" s="18">
        <f>B1461+1</f>
        <v>366</v>
      </c>
      <c r="C1465" s="6"/>
      <c r="D1465" s="36"/>
      <c r="E1465" s="36"/>
      <c r="F1465" s="36"/>
      <c r="G1465" s="36"/>
      <c r="H1465" s="36"/>
      <c r="I1465" s="36"/>
      <c r="J1465" s="36"/>
      <c r="K1465" s="36"/>
      <c r="L1465" s="36"/>
      <c r="M1465" s="36"/>
      <c r="N1465" s="36"/>
      <c r="O1465" s="36"/>
      <c r="P1465" s="36"/>
      <c r="Q1465" s="36"/>
      <c r="R1465" s="36"/>
    </row>
    <row r="1466" spans="2:18" ht="48.75">
      <c r="B1466" s="20"/>
      <c r="C1466" s="6"/>
      <c r="D1466" s="73"/>
      <c r="E1466" s="73"/>
      <c r="F1466" s="73"/>
      <c r="G1466" s="73"/>
      <c r="H1466" s="73"/>
      <c r="I1466" s="73"/>
      <c r="J1466" s="73"/>
      <c r="K1466" s="73"/>
      <c r="L1466" s="73"/>
      <c r="M1466" s="73"/>
      <c r="N1466" s="73"/>
      <c r="O1466" s="73"/>
      <c r="P1466" s="73"/>
      <c r="Q1466" s="73"/>
      <c r="R1466" s="73"/>
    </row>
    <row r="1467" spans="2:18">
      <c r="B1467" s="12"/>
      <c r="C1467" s="31"/>
      <c r="D1467" s="47"/>
      <c r="E1467" s="47"/>
      <c r="F1467" s="47"/>
      <c r="G1467" s="47"/>
      <c r="H1467" s="47"/>
      <c r="I1467" s="47"/>
      <c r="J1467" s="47"/>
      <c r="K1467" s="47"/>
      <c r="L1467" s="47"/>
      <c r="M1467" s="47"/>
      <c r="N1467" s="47"/>
      <c r="O1467" s="47"/>
      <c r="P1467" s="47"/>
      <c r="Q1467" s="47"/>
      <c r="R1467" s="47"/>
    </row>
    <row r="1468" spans="2:18" ht="39.75">
      <c r="B1468" s="16"/>
      <c r="C1468" s="6"/>
      <c r="D1468" s="46"/>
      <c r="E1468" s="46"/>
      <c r="F1468" s="46"/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</row>
    <row r="1469" spans="2:18" ht="58.5">
      <c r="B1469" s="18">
        <f>B1465+1</f>
        <v>367</v>
      </c>
      <c r="C1469" s="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</row>
    <row r="1470" spans="2:18" ht="48.75">
      <c r="B1470" s="20"/>
      <c r="C1470" s="6"/>
      <c r="D1470" s="73"/>
      <c r="E1470" s="73"/>
      <c r="F1470" s="73"/>
      <c r="G1470" s="73"/>
      <c r="H1470" s="73"/>
      <c r="I1470" s="73"/>
      <c r="J1470" s="73"/>
      <c r="K1470" s="73"/>
      <c r="L1470" s="73"/>
      <c r="M1470" s="73"/>
      <c r="N1470" s="73"/>
      <c r="O1470" s="73"/>
      <c r="P1470" s="73"/>
      <c r="Q1470" s="73"/>
      <c r="R1470" s="73"/>
    </row>
    <row r="1471" spans="2:18">
      <c r="B1471" s="12"/>
      <c r="C1471" s="31"/>
      <c r="D1471" s="47"/>
      <c r="E1471" s="47"/>
      <c r="F1471" s="47"/>
      <c r="G1471" s="47"/>
      <c r="H1471" s="47"/>
      <c r="I1471" s="47"/>
      <c r="J1471" s="47"/>
      <c r="K1471" s="47"/>
      <c r="L1471" s="47"/>
      <c r="M1471" s="47"/>
      <c r="N1471" s="47"/>
      <c r="O1471" s="47"/>
      <c r="P1471" s="47"/>
      <c r="Q1471" s="47"/>
      <c r="R1471" s="47"/>
    </row>
    <row r="1472" spans="2:18" ht="39.75">
      <c r="B1472" s="16"/>
      <c r="C1472" s="6"/>
      <c r="D1472" s="46"/>
      <c r="E1472" s="46"/>
      <c r="F1472" s="46"/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</row>
    <row r="1473" spans="2:18" ht="58.5">
      <c r="B1473" s="18">
        <f>B1469+1</f>
        <v>368</v>
      </c>
      <c r="C1473" s="6"/>
      <c r="D1473" s="36"/>
      <c r="E1473" s="36"/>
      <c r="F1473" s="36"/>
      <c r="G1473" s="36"/>
      <c r="H1473" s="36"/>
      <c r="I1473" s="36"/>
      <c r="J1473" s="36"/>
      <c r="K1473" s="36"/>
      <c r="L1473" s="36"/>
      <c r="M1473" s="36"/>
      <c r="N1473" s="36"/>
      <c r="O1473" s="36"/>
      <c r="P1473" s="36"/>
      <c r="Q1473" s="36"/>
      <c r="R1473" s="36"/>
    </row>
    <row r="1474" spans="2:18" ht="48.75">
      <c r="B1474" s="20"/>
      <c r="C1474" s="6"/>
      <c r="D1474" s="73"/>
      <c r="E1474" s="73"/>
      <c r="F1474" s="73"/>
      <c r="G1474" s="73"/>
      <c r="H1474" s="73"/>
      <c r="I1474" s="73"/>
      <c r="J1474" s="73"/>
      <c r="K1474" s="73"/>
      <c r="L1474" s="73"/>
      <c r="M1474" s="73"/>
      <c r="N1474" s="73"/>
      <c r="O1474" s="73"/>
      <c r="P1474" s="73"/>
      <c r="Q1474" s="73"/>
      <c r="R1474" s="73"/>
    </row>
    <row r="1475" spans="2:18">
      <c r="B1475" s="12"/>
      <c r="C1475" s="31"/>
      <c r="D1475" s="47"/>
      <c r="E1475" s="47"/>
      <c r="F1475" s="47"/>
      <c r="G1475" s="47"/>
      <c r="H1475" s="47"/>
      <c r="I1475" s="47"/>
      <c r="J1475" s="47"/>
      <c r="K1475" s="47"/>
      <c r="L1475" s="47"/>
      <c r="M1475" s="47"/>
      <c r="N1475" s="47"/>
      <c r="O1475" s="47"/>
      <c r="P1475" s="47"/>
      <c r="Q1475" s="47"/>
      <c r="R1475" s="47"/>
    </row>
    <row r="1476" spans="2:18" ht="39.75">
      <c r="B1476" s="16"/>
      <c r="C1476" s="6"/>
      <c r="D1476" s="46"/>
      <c r="E1476" s="46"/>
      <c r="F1476" s="46"/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</row>
    <row r="1477" spans="2:18" ht="58.5">
      <c r="B1477" s="18">
        <f>B1473+1</f>
        <v>369</v>
      </c>
      <c r="C1477" s="6"/>
      <c r="D1477" s="36"/>
      <c r="E1477" s="36"/>
      <c r="F1477" s="36"/>
      <c r="G1477" s="36"/>
      <c r="H1477" s="36"/>
      <c r="I1477" s="36"/>
      <c r="J1477" s="36"/>
      <c r="K1477" s="36"/>
      <c r="L1477" s="36"/>
      <c r="M1477" s="36"/>
      <c r="N1477" s="36"/>
      <c r="O1477" s="36"/>
      <c r="P1477" s="36"/>
      <c r="Q1477" s="36"/>
      <c r="R1477" s="36"/>
    </row>
    <row r="1478" spans="2:18" ht="48.75">
      <c r="B1478" s="20"/>
      <c r="C1478" s="6"/>
      <c r="D1478" s="73"/>
      <c r="E1478" s="73"/>
      <c r="F1478" s="73"/>
      <c r="G1478" s="73"/>
      <c r="H1478" s="73"/>
      <c r="I1478" s="73"/>
      <c r="J1478" s="73"/>
      <c r="K1478" s="73"/>
      <c r="L1478" s="73"/>
      <c r="M1478" s="73"/>
      <c r="N1478" s="73"/>
      <c r="O1478" s="73"/>
      <c r="P1478" s="73"/>
      <c r="Q1478" s="73"/>
      <c r="R1478" s="73"/>
    </row>
    <row r="1479" spans="2:18">
      <c r="B1479" s="12"/>
      <c r="C1479" s="31"/>
      <c r="D1479" s="47"/>
      <c r="E1479" s="47"/>
      <c r="F1479" s="47"/>
      <c r="G1479" s="47"/>
      <c r="H1479" s="47"/>
      <c r="I1479" s="47"/>
      <c r="J1479" s="47"/>
      <c r="K1479" s="47"/>
      <c r="L1479" s="47"/>
      <c r="M1479" s="47"/>
      <c r="N1479" s="47"/>
      <c r="O1479" s="47"/>
      <c r="P1479" s="47"/>
      <c r="Q1479" s="47"/>
      <c r="R1479" s="47"/>
    </row>
    <row r="1480" spans="2:18" ht="39.75">
      <c r="B1480" s="16"/>
      <c r="C1480" s="6"/>
      <c r="D1480" s="46"/>
      <c r="E1480" s="46"/>
      <c r="F1480" s="46"/>
      <c r="G1480" s="46"/>
      <c r="H1480" s="46"/>
      <c r="I1480" s="46"/>
      <c r="J1480" s="46"/>
      <c r="K1480" s="46"/>
      <c r="L1480" s="46"/>
      <c r="M1480" s="46"/>
      <c r="N1480" s="46"/>
      <c r="O1480" s="46"/>
      <c r="P1480" s="46"/>
      <c r="Q1480" s="46"/>
      <c r="R1480" s="46"/>
    </row>
    <row r="1481" spans="2:18" ht="58.5">
      <c r="B1481" s="18">
        <f>B1477+1</f>
        <v>370</v>
      </c>
      <c r="C1481" s="6"/>
      <c r="D1481" s="36"/>
      <c r="E1481" s="36"/>
      <c r="F1481" s="36"/>
      <c r="G1481" s="36"/>
      <c r="H1481" s="36"/>
      <c r="I1481" s="36"/>
      <c r="J1481" s="36"/>
      <c r="K1481" s="36"/>
      <c r="L1481" s="36"/>
      <c r="M1481" s="36"/>
      <c r="N1481" s="36"/>
      <c r="O1481" s="36"/>
      <c r="P1481" s="36"/>
      <c r="Q1481" s="36"/>
      <c r="R1481" s="36"/>
    </row>
    <row r="1482" spans="2:18" ht="48.75">
      <c r="B1482" s="20"/>
      <c r="C1482" s="6"/>
      <c r="D1482" s="73"/>
      <c r="E1482" s="73"/>
      <c r="F1482" s="73"/>
      <c r="G1482" s="73"/>
      <c r="H1482" s="73"/>
      <c r="I1482" s="73"/>
      <c r="J1482" s="73"/>
      <c r="K1482" s="73"/>
      <c r="L1482" s="73"/>
      <c r="M1482" s="73"/>
      <c r="N1482" s="73"/>
      <c r="O1482" s="73"/>
      <c r="P1482" s="73"/>
      <c r="Q1482" s="73"/>
      <c r="R1482" s="73"/>
    </row>
    <row r="1483" spans="2:18">
      <c r="B1483" s="12"/>
      <c r="C1483" s="31"/>
      <c r="D1483" s="47"/>
      <c r="E1483" s="47"/>
      <c r="F1483" s="47"/>
      <c r="G1483" s="47"/>
      <c r="H1483" s="47"/>
      <c r="I1483" s="47"/>
      <c r="J1483" s="47"/>
      <c r="K1483" s="47"/>
      <c r="L1483" s="47"/>
      <c r="M1483" s="47"/>
      <c r="N1483" s="47"/>
      <c r="O1483" s="47"/>
      <c r="P1483" s="47"/>
      <c r="Q1483" s="47"/>
      <c r="R1483" s="47"/>
    </row>
    <row r="1484" spans="2:18" ht="39.75">
      <c r="B1484" s="16"/>
      <c r="C1484" s="6"/>
      <c r="D1484" s="46"/>
      <c r="E1484" s="46"/>
      <c r="F1484" s="46"/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</row>
    <row r="1485" spans="2:18" ht="58.5">
      <c r="B1485" s="18">
        <f>B1481+1</f>
        <v>371</v>
      </c>
      <c r="C1485" s="6"/>
      <c r="D1485" s="36"/>
      <c r="E1485" s="36"/>
      <c r="F1485" s="36"/>
      <c r="G1485" s="36"/>
      <c r="H1485" s="36"/>
      <c r="I1485" s="36"/>
      <c r="J1485" s="36"/>
      <c r="K1485" s="36"/>
      <c r="L1485" s="36"/>
      <c r="M1485" s="36"/>
      <c r="N1485" s="36"/>
      <c r="O1485" s="36"/>
      <c r="P1485" s="36"/>
      <c r="Q1485" s="36"/>
      <c r="R1485" s="36"/>
    </row>
    <row r="1486" spans="2:18" ht="48.75">
      <c r="B1486" s="20"/>
      <c r="C1486" s="6"/>
      <c r="D1486" s="73"/>
      <c r="E1486" s="73"/>
      <c r="F1486" s="73"/>
      <c r="G1486" s="73"/>
      <c r="H1486" s="73"/>
      <c r="I1486" s="73"/>
      <c r="J1486" s="73"/>
      <c r="K1486" s="73"/>
      <c r="L1486" s="73"/>
      <c r="M1486" s="73"/>
      <c r="N1486" s="73"/>
      <c r="O1486" s="73"/>
      <c r="P1486" s="73"/>
      <c r="Q1486" s="73"/>
      <c r="R1486" s="73"/>
    </row>
    <row r="1487" spans="2:18">
      <c r="B1487" s="12"/>
      <c r="C1487" s="31"/>
      <c r="D1487" s="47"/>
      <c r="E1487" s="47"/>
      <c r="F1487" s="47"/>
      <c r="G1487" s="47"/>
      <c r="H1487" s="47"/>
      <c r="I1487" s="47"/>
      <c r="J1487" s="47"/>
      <c r="K1487" s="47"/>
      <c r="L1487" s="47"/>
      <c r="M1487" s="47"/>
      <c r="N1487" s="47"/>
      <c r="O1487" s="47"/>
      <c r="P1487" s="47"/>
      <c r="Q1487" s="47"/>
      <c r="R1487" s="47"/>
    </row>
    <row r="1488" spans="2:18" ht="39.75">
      <c r="B1488" s="16"/>
      <c r="C1488" s="6"/>
      <c r="D1488" s="46"/>
      <c r="E1488" s="46"/>
      <c r="F1488" s="46"/>
      <c r="G1488" s="46"/>
      <c r="H1488" s="46"/>
      <c r="I1488" s="46"/>
      <c r="J1488" s="46"/>
      <c r="K1488" s="46"/>
      <c r="L1488" s="46"/>
      <c r="M1488" s="46"/>
      <c r="N1488" s="46"/>
      <c r="O1488" s="46"/>
      <c r="P1488" s="46"/>
      <c r="Q1488" s="46"/>
      <c r="R1488" s="46"/>
    </row>
    <row r="1489" spans="2:18" ht="58.5">
      <c r="B1489" s="18">
        <f>B1485+1</f>
        <v>372</v>
      </c>
      <c r="C1489" s="6"/>
      <c r="D1489" s="36"/>
      <c r="E1489" s="36"/>
      <c r="F1489" s="36"/>
      <c r="G1489" s="36"/>
      <c r="H1489" s="36"/>
      <c r="I1489" s="36"/>
      <c r="J1489" s="36"/>
      <c r="K1489" s="36"/>
      <c r="L1489" s="36"/>
      <c r="M1489" s="36"/>
      <c r="N1489" s="36"/>
      <c r="O1489" s="36"/>
      <c r="P1489" s="36"/>
      <c r="Q1489" s="36"/>
      <c r="R1489" s="36"/>
    </row>
    <row r="1490" spans="2:18" ht="48.75">
      <c r="B1490" s="20"/>
      <c r="C1490" s="6"/>
      <c r="D1490" s="73"/>
      <c r="E1490" s="73"/>
      <c r="F1490" s="73"/>
      <c r="G1490" s="73"/>
      <c r="H1490" s="73"/>
      <c r="I1490" s="73"/>
      <c r="J1490" s="73"/>
      <c r="K1490" s="73"/>
      <c r="L1490" s="73"/>
      <c r="M1490" s="73"/>
      <c r="N1490" s="73"/>
      <c r="O1490" s="73"/>
      <c r="P1490" s="73"/>
      <c r="Q1490" s="73"/>
      <c r="R1490" s="73"/>
    </row>
    <row r="1491" spans="2:18">
      <c r="B1491" s="12"/>
      <c r="C1491" s="31"/>
      <c r="D1491" s="47"/>
      <c r="E1491" s="47"/>
      <c r="F1491" s="47"/>
      <c r="G1491" s="47"/>
      <c r="H1491" s="47"/>
      <c r="I1491" s="47"/>
      <c r="J1491" s="47"/>
      <c r="K1491" s="47"/>
      <c r="L1491" s="47"/>
      <c r="M1491" s="47"/>
      <c r="N1491" s="47"/>
      <c r="O1491" s="47"/>
      <c r="P1491" s="47"/>
      <c r="Q1491" s="47"/>
      <c r="R1491" s="47"/>
    </row>
    <row r="1492" spans="2:18" ht="39.75">
      <c r="B1492" s="16"/>
      <c r="C1492" s="6"/>
      <c r="D1492" s="46"/>
      <c r="E1492" s="46"/>
      <c r="F1492" s="46"/>
      <c r="G1492" s="46"/>
      <c r="H1492" s="46"/>
      <c r="I1492" s="46"/>
      <c r="J1492" s="46"/>
      <c r="K1492" s="46"/>
      <c r="L1492" s="46"/>
      <c r="M1492" s="46"/>
      <c r="N1492" s="46"/>
      <c r="O1492" s="46"/>
      <c r="P1492" s="46"/>
      <c r="Q1492" s="46"/>
      <c r="R1492" s="46"/>
    </row>
    <row r="1493" spans="2:18" ht="58.5">
      <c r="B1493" s="18">
        <f>B1489+1</f>
        <v>373</v>
      </c>
      <c r="C1493" s="6"/>
      <c r="D1493" s="36"/>
      <c r="E1493" s="36"/>
      <c r="F1493" s="36"/>
      <c r="G1493" s="36"/>
      <c r="H1493" s="36"/>
      <c r="I1493" s="36"/>
      <c r="J1493" s="36"/>
      <c r="K1493" s="36"/>
      <c r="L1493" s="36"/>
      <c r="M1493" s="36"/>
      <c r="N1493" s="36"/>
      <c r="O1493" s="36"/>
      <c r="P1493" s="36"/>
      <c r="Q1493" s="36"/>
      <c r="R1493" s="36"/>
    </row>
    <row r="1494" spans="2:18" ht="48.75">
      <c r="B1494" s="20"/>
      <c r="C1494" s="6"/>
      <c r="D1494" s="73"/>
      <c r="E1494" s="73"/>
      <c r="F1494" s="73"/>
      <c r="G1494" s="73"/>
      <c r="H1494" s="73"/>
      <c r="I1494" s="73"/>
      <c r="J1494" s="73"/>
      <c r="K1494" s="73"/>
      <c r="L1494" s="73"/>
      <c r="M1494" s="73"/>
      <c r="N1494" s="73"/>
      <c r="O1494" s="73"/>
      <c r="P1494" s="73"/>
      <c r="Q1494" s="73"/>
      <c r="R1494" s="73"/>
    </row>
    <row r="1495" spans="2:18">
      <c r="B1495" s="12"/>
      <c r="C1495" s="31"/>
      <c r="D1495" s="47"/>
      <c r="E1495" s="47"/>
      <c r="F1495" s="47"/>
      <c r="G1495" s="47"/>
      <c r="H1495" s="47"/>
      <c r="I1495" s="47"/>
      <c r="J1495" s="47"/>
      <c r="K1495" s="47"/>
      <c r="L1495" s="47"/>
      <c r="M1495" s="47"/>
      <c r="N1495" s="47"/>
      <c r="O1495" s="47"/>
      <c r="P1495" s="47"/>
      <c r="Q1495" s="47"/>
      <c r="R1495" s="47"/>
    </row>
    <row r="1496" spans="2:18" ht="39.75">
      <c r="B1496" s="16"/>
      <c r="C1496" s="6"/>
      <c r="D1496" s="46"/>
      <c r="E1496" s="46"/>
      <c r="F1496" s="46"/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</row>
    <row r="1497" spans="2:18" ht="58.5">
      <c r="B1497" s="18">
        <f>B1493+1</f>
        <v>374</v>
      </c>
      <c r="C1497" s="6"/>
      <c r="D1497" s="36"/>
      <c r="E1497" s="36"/>
      <c r="F1497" s="36"/>
      <c r="G1497" s="36"/>
      <c r="H1497" s="36"/>
      <c r="I1497" s="36"/>
      <c r="J1497" s="36"/>
      <c r="K1497" s="36"/>
      <c r="L1497" s="36"/>
      <c r="M1497" s="36"/>
      <c r="N1497" s="36"/>
      <c r="O1497" s="36"/>
      <c r="P1497" s="36"/>
      <c r="Q1497" s="36"/>
      <c r="R1497" s="36"/>
    </row>
    <row r="1498" spans="2:18" ht="48.75">
      <c r="B1498" s="20"/>
      <c r="C1498" s="6"/>
      <c r="D1498" s="73"/>
      <c r="E1498" s="73"/>
      <c r="F1498" s="73"/>
      <c r="G1498" s="73"/>
      <c r="H1498" s="73"/>
      <c r="I1498" s="73"/>
      <c r="J1498" s="73"/>
      <c r="K1498" s="73"/>
      <c r="L1498" s="73"/>
      <c r="M1498" s="73"/>
      <c r="N1498" s="73"/>
      <c r="O1498" s="73"/>
      <c r="P1498" s="73"/>
      <c r="Q1498" s="73"/>
      <c r="R1498" s="73"/>
    </row>
    <row r="1499" spans="2:18">
      <c r="B1499" s="12"/>
      <c r="C1499" s="31"/>
      <c r="D1499" s="47"/>
      <c r="E1499" s="47"/>
      <c r="F1499" s="47"/>
      <c r="G1499" s="47"/>
      <c r="H1499" s="47"/>
      <c r="I1499" s="47"/>
      <c r="J1499" s="47"/>
      <c r="K1499" s="47"/>
      <c r="L1499" s="47"/>
      <c r="M1499" s="47"/>
      <c r="N1499" s="47"/>
      <c r="O1499" s="47"/>
      <c r="P1499" s="47"/>
      <c r="Q1499" s="47"/>
      <c r="R1499" s="47"/>
    </row>
    <row r="1500" spans="2:18" ht="39.75">
      <c r="B1500" s="16"/>
      <c r="C1500" s="6"/>
      <c r="D1500" s="46"/>
      <c r="E1500" s="46"/>
      <c r="F1500" s="46"/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</row>
    <row r="1501" spans="2:18" ht="58.5">
      <c r="B1501" s="18">
        <f>B1497+1</f>
        <v>375</v>
      </c>
      <c r="C1501" s="6"/>
      <c r="D1501" s="36"/>
      <c r="E1501" s="36"/>
      <c r="F1501" s="36"/>
      <c r="G1501" s="36"/>
      <c r="H1501" s="36"/>
      <c r="I1501" s="36"/>
      <c r="J1501" s="36"/>
      <c r="K1501" s="36"/>
      <c r="L1501" s="36"/>
      <c r="M1501" s="36"/>
      <c r="N1501" s="36"/>
      <c r="O1501" s="36"/>
      <c r="P1501" s="36"/>
      <c r="Q1501" s="36"/>
      <c r="R1501" s="36"/>
    </row>
    <row r="1502" spans="2:18" ht="48.75">
      <c r="B1502" s="20"/>
      <c r="C1502" s="6"/>
      <c r="D1502" s="73"/>
      <c r="E1502" s="73"/>
      <c r="F1502" s="73"/>
      <c r="G1502" s="73"/>
      <c r="H1502" s="73"/>
      <c r="I1502" s="73"/>
      <c r="J1502" s="73"/>
      <c r="K1502" s="73"/>
      <c r="L1502" s="73"/>
      <c r="M1502" s="73"/>
      <c r="N1502" s="73"/>
      <c r="O1502" s="73"/>
      <c r="P1502" s="73"/>
      <c r="Q1502" s="73"/>
      <c r="R1502" s="73"/>
    </row>
    <row r="1503" spans="2:18">
      <c r="B1503" s="12"/>
      <c r="C1503" s="31"/>
      <c r="D1503" s="47"/>
      <c r="E1503" s="47"/>
      <c r="F1503" s="47"/>
      <c r="G1503" s="47"/>
      <c r="H1503" s="47"/>
      <c r="I1503" s="47"/>
      <c r="J1503" s="47"/>
      <c r="K1503" s="47"/>
      <c r="L1503" s="47"/>
      <c r="M1503" s="47"/>
      <c r="N1503" s="47"/>
      <c r="O1503" s="47"/>
      <c r="P1503" s="47"/>
      <c r="Q1503" s="47"/>
      <c r="R1503" s="47"/>
    </row>
    <row r="1504" spans="2:18" ht="39.75">
      <c r="B1504" s="16"/>
      <c r="C1504" s="6"/>
      <c r="D1504" s="46"/>
      <c r="E1504" s="46"/>
      <c r="F1504" s="46"/>
      <c r="G1504" s="46"/>
      <c r="H1504" s="46"/>
      <c r="I1504" s="46"/>
      <c r="J1504" s="46"/>
      <c r="K1504" s="46"/>
      <c r="L1504" s="46"/>
      <c r="M1504" s="46"/>
      <c r="N1504" s="46"/>
      <c r="O1504" s="46"/>
      <c r="P1504" s="46"/>
      <c r="Q1504" s="46"/>
      <c r="R1504" s="46"/>
    </row>
    <row r="1505" spans="2:18" ht="58.5">
      <c r="B1505" s="18">
        <f>B1501+1</f>
        <v>376</v>
      </c>
      <c r="C1505" s="6"/>
      <c r="D1505" s="36"/>
      <c r="E1505" s="36"/>
      <c r="F1505" s="36"/>
      <c r="G1505" s="36"/>
      <c r="H1505" s="36"/>
      <c r="I1505" s="36"/>
      <c r="J1505" s="36"/>
      <c r="K1505" s="36"/>
      <c r="L1505" s="36"/>
      <c r="M1505" s="36"/>
      <c r="N1505" s="36"/>
      <c r="O1505" s="36"/>
      <c r="P1505" s="36"/>
      <c r="Q1505" s="36"/>
      <c r="R1505" s="36"/>
    </row>
    <row r="1506" spans="2:18" ht="48.75">
      <c r="B1506" s="20"/>
      <c r="C1506" s="6"/>
      <c r="D1506" s="73"/>
      <c r="E1506" s="73"/>
      <c r="F1506" s="73"/>
      <c r="G1506" s="73"/>
      <c r="H1506" s="73"/>
      <c r="I1506" s="73"/>
      <c r="J1506" s="73"/>
      <c r="K1506" s="73"/>
      <c r="L1506" s="73"/>
      <c r="M1506" s="73"/>
      <c r="N1506" s="73"/>
      <c r="O1506" s="73"/>
      <c r="P1506" s="73"/>
      <c r="Q1506" s="73"/>
      <c r="R1506" s="73"/>
    </row>
    <row r="1507" spans="2:18">
      <c r="B1507" s="12"/>
      <c r="C1507" s="31"/>
      <c r="D1507" s="47"/>
      <c r="E1507" s="47"/>
      <c r="F1507" s="47"/>
      <c r="G1507" s="47"/>
      <c r="H1507" s="47"/>
      <c r="I1507" s="47"/>
      <c r="J1507" s="47"/>
      <c r="K1507" s="47"/>
      <c r="L1507" s="47"/>
      <c r="M1507" s="47"/>
      <c r="N1507" s="47"/>
      <c r="O1507" s="47"/>
      <c r="P1507" s="47"/>
      <c r="Q1507" s="47"/>
      <c r="R1507" s="47"/>
    </row>
    <row r="1508" spans="2:18" ht="39.75">
      <c r="B1508" s="16"/>
      <c r="C1508" s="6"/>
      <c r="D1508" s="46"/>
      <c r="E1508" s="46"/>
      <c r="F1508" s="46"/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</row>
    <row r="1509" spans="2:18" ht="58.5">
      <c r="B1509" s="18">
        <f>B1505+1</f>
        <v>377</v>
      </c>
      <c r="C1509" s="6"/>
      <c r="D1509" s="36"/>
      <c r="E1509" s="36"/>
      <c r="F1509" s="36"/>
      <c r="G1509" s="36"/>
      <c r="H1509" s="36"/>
      <c r="I1509" s="36"/>
      <c r="J1509" s="36"/>
      <c r="K1509" s="36"/>
      <c r="L1509" s="36"/>
      <c r="M1509" s="36"/>
      <c r="N1509" s="36"/>
      <c r="O1509" s="36"/>
      <c r="P1509" s="36"/>
      <c r="Q1509" s="36"/>
      <c r="R1509" s="36"/>
    </row>
    <row r="1510" spans="2:18" ht="48.75">
      <c r="B1510" s="20"/>
      <c r="C1510" s="6"/>
      <c r="D1510" s="73"/>
      <c r="E1510" s="73"/>
      <c r="F1510" s="73"/>
      <c r="G1510" s="73"/>
      <c r="H1510" s="73"/>
      <c r="I1510" s="73"/>
      <c r="J1510" s="73"/>
      <c r="K1510" s="73"/>
      <c r="L1510" s="73"/>
      <c r="M1510" s="73"/>
      <c r="N1510" s="73"/>
      <c r="O1510" s="73"/>
      <c r="P1510" s="73"/>
      <c r="Q1510" s="73"/>
      <c r="R1510" s="73"/>
    </row>
    <row r="1511" spans="2:18">
      <c r="B1511" s="12"/>
      <c r="C1511" s="31"/>
      <c r="D1511" s="47"/>
      <c r="E1511" s="47"/>
      <c r="F1511" s="47"/>
      <c r="G1511" s="47"/>
      <c r="H1511" s="47"/>
      <c r="I1511" s="47"/>
      <c r="J1511" s="47"/>
      <c r="K1511" s="47"/>
      <c r="L1511" s="47"/>
      <c r="M1511" s="47"/>
      <c r="N1511" s="47"/>
      <c r="O1511" s="47"/>
      <c r="P1511" s="47"/>
      <c r="Q1511" s="47"/>
      <c r="R1511" s="47"/>
    </row>
    <row r="1512" spans="2:18" ht="39.75">
      <c r="B1512" s="16"/>
      <c r="C1512" s="6"/>
      <c r="D1512" s="46"/>
      <c r="E1512" s="46"/>
      <c r="F1512" s="46"/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</row>
    <row r="1513" spans="2:18" ht="58.5">
      <c r="B1513" s="18">
        <f t="shared" ref="B1513" si="165">B1509+1</f>
        <v>378</v>
      </c>
      <c r="C1513" s="6"/>
      <c r="D1513" s="36"/>
      <c r="E1513" s="36"/>
      <c r="F1513" s="36"/>
      <c r="G1513" s="36"/>
      <c r="H1513" s="36"/>
      <c r="I1513" s="36"/>
      <c r="J1513" s="36"/>
      <c r="K1513" s="36"/>
      <c r="L1513" s="36"/>
      <c r="M1513" s="36"/>
      <c r="N1513" s="36"/>
      <c r="O1513" s="36"/>
      <c r="P1513" s="36"/>
      <c r="Q1513" s="36"/>
      <c r="R1513" s="36"/>
    </row>
    <row r="1514" spans="2:18" ht="48.75">
      <c r="B1514" s="20"/>
      <c r="C1514" s="6"/>
      <c r="D1514" s="73"/>
      <c r="E1514" s="73"/>
      <c r="F1514" s="73"/>
      <c r="G1514" s="73"/>
      <c r="H1514" s="73"/>
      <c r="I1514" s="73"/>
      <c r="J1514" s="73"/>
      <c r="K1514" s="73"/>
      <c r="L1514" s="73"/>
      <c r="M1514" s="73"/>
      <c r="N1514" s="73"/>
      <c r="O1514" s="73"/>
      <c r="P1514" s="73"/>
      <c r="Q1514" s="73"/>
      <c r="R1514" s="73"/>
    </row>
    <row r="1515" spans="2:18">
      <c r="B1515" s="12"/>
      <c r="C1515" s="31"/>
      <c r="D1515" s="47"/>
      <c r="E1515" s="47"/>
      <c r="F1515" s="47"/>
      <c r="G1515" s="47"/>
      <c r="H1515" s="47"/>
      <c r="I1515" s="47"/>
      <c r="J1515" s="47"/>
      <c r="K1515" s="47"/>
      <c r="L1515" s="47"/>
      <c r="M1515" s="47"/>
      <c r="N1515" s="47"/>
      <c r="O1515" s="47"/>
      <c r="P1515" s="47"/>
      <c r="Q1515" s="47"/>
      <c r="R1515" s="47"/>
    </row>
    <row r="1516" spans="2:18" ht="39.75">
      <c r="B1516" s="16"/>
      <c r="C1516" s="6"/>
      <c r="D1516" s="46"/>
      <c r="E1516" s="46"/>
      <c r="F1516" s="46"/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</row>
    <row r="1517" spans="2:18" ht="58.5">
      <c r="B1517" s="18">
        <f t="shared" ref="B1517" si="166">B1513+1</f>
        <v>379</v>
      </c>
      <c r="C1517" s="6"/>
      <c r="D1517" s="36"/>
      <c r="E1517" s="36"/>
      <c r="F1517" s="36"/>
      <c r="G1517" s="36"/>
      <c r="H1517" s="36"/>
      <c r="I1517" s="36"/>
      <c r="J1517" s="36"/>
      <c r="K1517" s="36"/>
      <c r="L1517" s="36"/>
      <c r="M1517" s="36"/>
      <c r="N1517" s="36"/>
      <c r="O1517" s="36"/>
      <c r="P1517" s="36"/>
      <c r="Q1517" s="36"/>
      <c r="R1517" s="36"/>
    </row>
    <row r="1518" spans="2:18" ht="48.75">
      <c r="B1518" s="20"/>
      <c r="C1518" s="6"/>
      <c r="D1518" s="73"/>
      <c r="E1518" s="73"/>
      <c r="F1518" s="73"/>
      <c r="G1518" s="73"/>
      <c r="H1518" s="73"/>
      <c r="I1518" s="73"/>
      <c r="J1518" s="73"/>
      <c r="K1518" s="73"/>
      <c r="L1518" s="73"/>
      <c r="M1518" s="73"/>
      <c r="N1518" s="73"/>
      <c r="O1518" s="73"/>
      <c r="P1518" s="73"/>
      <c r="Q1518" s="73"/>
      <c r="R1518" s="73"/>
    </row>
    <row r="1519" spans="2:18">
      <c r="B1519" s="12"/>
      <c r="C1519" s="31"/>
      <c r="D1519" s="47"/>
      <c r="E1519" s="47"/>
      <c r="F1519" s="47"/>
      <c r="G1519" s="47"/>
      <c r="H1519" s="47"/>
      <c r="I1519" s="47"/>
      <c r="J1519" s="47"/>
      <c r="K1519" s="47"/>
      <c r="L1519" s="47"/>
      <c r="M1519" s="47"/>
      <c r="N1519" s="47"/>
      <c r="O1519" s="47"/>
      <c r="P1519" s="47"/>
      <c r="Q1519" s="47"/>
      <c r="R1519" s="47"/>
    </row>
    <row r="1520" spans="2:18" ht="39.75">
      <c r="B1520" s="16"/>
      <c r="C1520" s="6"/>
      <c r="D1520" s="46"/>
      <c r="E1520" s="46"/>
      <c r="F1520" s="46"/>
      <c r="G1520" s="46"/>
      <c r="H1520" s="46"/>
      <c r="I1520" s="46"/>
      <c r="J1520" s="46"/>
      <c r="K1520" s="46"/>
      <c r="L1520" s="46"/>
      <c r="M1520" s="46"/>
      <c r="N1520" s="46"/>
      <c r="O1520" s="46"/>
      <c r="P1520" s="46"/>
      <c r="Q1520" s="46"/>
      <c r="R1520" s="46"/>
    </row>
    <row r="1521" spans="2:18" ht="58.5">
      <c r="B1521" s="18">
        <f t="shared" ref="B1521" si="167">B1517+1</f>
        <v>380</v>
      </c>
      <c r="C1521" s="6"/>
      <c r="D1521" s="36"/>
      <c r="E1521" s="36"/>
      <c r="F1521" s="36"/>
      <c r="G1521" s="36"/>
      <c r="H1521" s="36"/>
      <c r="I1521" s="36"/>
      <c r="J1521" s="36"/>
      <c r="K1521" s="36"/>
      <c r="L1521" s="36"/>
      <c r="M1521" s="36"/>
      <c r="N1521" s="36"/>
      <c r="O1521" s="36"/>
      <c r="P1521" s="36"/>
      <c r="Q1521" s="36"/>
      <c r="R1521" s="36"/>
    </row>
    <row r="1522" spans="2:18" ht="48.75">
      <c r="B1522" s="20"/>
      <c r="C1522" s="6"/>
      <c r="D1522" s="73"/>
      <c r="E1522" s="73"/>
      <c r="F1522" s="73"/>
      <c r="G1522" s="73"/>
      <c r="H1522" s="73"/>
      <c r="I1522" s="73"/>
      <c r="J1522" s="73"/>
      <c r="K1522" s="73"/>
      <c r="L1522" s="73"/>
      <c r="M1522" s="73"/>
      <c r="N1522" s="73"/>
      <c r="O1522" s="73"/>
      <c r="P1522" s="73"/>
      <c r="Q1522" s="73"/>
      <c r="R1522" s="73"/>
    </row>
    <row r="1523" spans="2:18">
      <c r="B1523" s="12"/>
      <c r="C1523" s="31"/>
      <c r="D1523" s="47"/>
      <c r="E1523" s="47"/>
      <c r="F1523" s="47"/>
      <c r="G1523" s="47"/>
      <c r="H1523" s="47"/>
      <c r="I1523" s="47"/>
      <c r="J1523" s="47"/>
      <c r="K1523" s="47"/>
      <c r="L1523" s="47"/>
      <c r="M1523" s="47"/>
      <c r="N1523" s="47"/>
      <c r="O1523" s="47"/>
      <c r="P1523" s="47"/>
      <c r="Q1523" s="47"/>
      <c r="R1523" s="47"/>
    </row>
    <row r="1524" spans="2:18" ht="39.75">
      <c r="B1524" s="16"/>
      <c r="C1524" s="6"/>
      <c r="D1524" s="46"/>
      <c r="E1524" s="46"/>
      <c r="F1524" s="46"/>
      <c r="G1524" s="46"/>
      <c r="H1524" s="46"/>
      <c r="I1524" s="46"/>
      <c r="J1524" s="46"/>
      <c r="K1524" s="46"/>
      <c r="L1524" s="46"/>
      <c r="M1524" s="46"/>
      <c r="N1524" s="46"/>
      <c r="O1524" s="46"/>
      <c r="P1524" s="46"/>
      <c r="Q1524" s="46"/>
      <c r="R1524" s="46"/>
    </row>
    <row r="1525" spans="2:18" ht="58.5">
      <c r="B1525" s="18">
        <f t="shared" ref="B1525" si="168">B1521+1</f>
        <v>381</v>
      </c>
      <c r="C1525" s="6"/>
      <c r="D1525" s="36"/>
      <c r="E1525" s="36"/>
      <c r="F1525" s="36"/>
      <c r="G1525" s="36"/>
      <c r="H1525" s="36"/>
      <c r="I1525" s="36"/>
      <c r="J1525" s="36"/>
      <c r="K1525" s="36"/>
      <c r="L1525" s="36"/>
      <c r="M1525" s="36"/>
      <c r="N1525" s="36"/>
      <c r="O1525" s="36"/>
      <c r="P1525" s="36"/>
      <c r="Q1525" s="36"/>
      <c r="R1525" s="36"/>
    </row>
    <row r="1526" spans="2:18" ht="48.75">
      <c r="B1526" s="20"/>
      <c r="C1526" s="6"/>
      <c r="D1526" s="73"/>
      <c r="E1526" s="73"/>
      <c r="F1526" s="73"/>
      <c r="G1526" s="73"/>
      <c r="H1526" s="73"/>
      <c r="I1526" s="73"/>
      <c r="J1526" s="73"/>
      <c r="K1526" s="73"/>
      <c r="L1526" s="73"/>
      <c r="M1526" s="73"/>
      <c r="N1526" s="73"/>
      <c r="O1526" s="73"/>
      <c r="P1526" s="73"/>
      <c r="Q1526" s="73"/>
      <c r="R1526" s="73"/>
    </row>
    <row r="1527" spans="2:18">
      <c r="B1527" s="12"/>
      <c r="C1527" s="31"/>
      <c r="D1527" s="47"/>
      <c r="E1527" s="47"/>
      <c r="F1527" s="47"/>
      <c r="G1527" s="47"/>
      <c r="H1527" s="47"/>
      <c r="I1527" s="47"/>
      <c r="J1527" s="47"/>
      <c r="K1527" s="47"/>
      <c r="L1527" s="47"/>
      <c r="M1527" s="47"/>
      <c r="N1527" s="47"/>
      <c r="O1527" s="47"/>
      <c r="P1527" s="47"/>
      <c r="Q1527" s="47"/>
      <c r="R1527" s="47"/>
    </row>
    <row r="1528" spans="2:18" ht="39.75">
      <c r="B1528" s="16"/>
      <c r="C1528" s="6"/>
      <c r="D1528" s="46"/>
      <c r="E1528" s="46"/>
      <c r="F1528" s="46"/>
      <c r="G1528" s="46"/>
      <c r="H1528" s="46"/>
      <c r="I1528" s="46"/>
      <c r="J1528" s="46"/>
      <c r="K1528" s="46"/>
      <c r="L1528" s="46"/>
      <c r="M1528" s="46"/>
      <c r="N1528" s="46"/>
      <c r="O1528" s="46"/>
      <c r="P1528" s="46"/>
      <c r="Q1528" s="46"/>
      <c r="R1528" s="46"/>
    </row>
    <row r="1529" spans="2:18" ht="58.5">
      <c r="B1529" s="18">
        <f t="shared" ref="B1529" si="169">B1525+1</f>
        <v>382</v>
      </c>
      <c r="C1529" s="6"/>
      <c r="D1529" s="36"/>
      <c r="E1529" s="36"/>
      <c r="F1529" s="36"/>
      <c r="G1529" s="36"/>
      <c r="H1529" s="36"/>
      <c r="I1529" s="36"/>
      <c r="J1529" s="36"/>
      <c r="K1529" s="36"/>
      <c r="L1529" s="36"/>
      <c r="M1529" s="36"/>
      <c r="N1529" s="36"/>
      <c r="O1529" s="36"/>
      <c r="P1529" s="36"/>
      <c r="Q1529" s="36"/>
      <c r="R1529" s="36"/>
    </row>
    <row r="1530" spans="2:18" ht="48.75">
      <c r="B1530" s="20"/>
      <c r="C1530" s="6"/>
      <c r="D1530" s="73"/>
      <c r="E1530" s="73"/>
      <c r="F1530" s="73"/>
      <c r="G1530" s="73"/>
      <c r="H1530" s="73"/>
      <c r="I1530" s="73"/>
      <c r="J1530" s="73"/>
      <c r="K1530" s="73"/>
      <c r="L1530" s="73"/>
      <c r="M1530" s="73"/>
      <c r="N1530" s="73"/>
      <c r="O1530" s="73"/>
      <c r="P1530" s="73"/>
      <c r="Q1530" s="73"/>
      <c r="R1530" s="73"/>
    </row>
    <row r="1531" spans="2:18">
      <c r="B1531" s="12"/>
      <c r="C1531" s="31"/>
      <c r="D1531" s="47"/>
      <c r="E1531" s="47"/>
      <c r="F1531" s="47"/>
      <c r="G1531" s="47"/>
      <c r="H1531" s="47"/>
      <c r="I1531" s="47"/>
      <c r="J1531" s="47"/>
      <c r="K1531" s="47"/>
      <c r="L1531" s="47"/>
      <c r="M1531" s="47"/>
      <c r="N1531" s="47"/>
      <c r="O1531" s="47"/>
      <c r="P1531" s="47"/>
      <c r="Q1531" s="47"/>
      <c r="R1531" s="47"/>
    </row>
    <row r="1532" spans="2:18" ht="39.75">
      <c r="B1532" s="16"/>
      <c r="C1532" s="6"/>
      <c r="D1532" s="46"/>
      <c r="E1532" s="46"/>
      <c r="F1532" s="46"/>
      <c r="G1532" s="46"/>
      <c r="H1532" s="46"/>
      <c r="I1532" s="46"/>
      <c r="J1532" s="46"/>
      <c r="K1532" s="46"/>
      <c r="L1532" s="46"/>
      <c r="M1532" s="46"/>
      <c r="N1532" s="46"/>
      <c r="O1532" s="46"/>
      <c r="P1532" s="46"/>
      <c r="Q1532" s="46"/>
      <c r="R1532" s="46"/>
    </row>
    <row r="1533" spans="2:18" ht="58.5">
      <c r="B1533" s="18">
        <f t="shared" ref="B1533" si="170">B1529+1</f>
        <v>383</v>
      </c>
      <c r="C1533" s="6"/>
      <c r="D1533" s="36"/>
      <c r="E1533" s="36"/>
      <c r="F1533" s="36"/>
      <c r="G1533" s="36"/>
      <c r="H1533" s="36"/>
      <c r="I1533" s="36"/>
      <c r="J1533" s="36"/>
      <c r="K1533" s="36"/>
      <c r="L1533" s="36"/>
      <c r="M1533" s="36"/>
      <c r="N1533" s="36"/>
      <c r="O1533" s="36"/>
      <c r="P1533" s="36"/>
      <c r="Q1533" s="36"/>
      <c r="R1533" s="36"/>
    </row>
    <row r="1534" spans="2:18" ht="48.75">
      <c r="B1534" s="20"/>
      <c r="C1534" s="6"/>
      <c r="D1534" s="73"/>
      <c r="E1534" s="73"/>
      <c r="F1534" s="73"/>
      <c r="G1534" s="73"/>
      <c r="H1534" s="73"/>
      <c r="I1534" s="73"/>
      <c r="J1534" s="73"/>
      <c r="K1534" s="73"/>
      <c r="L1534" s="73"/>
      <c r="M1534" s="73"/>
      <c r="N1534" s="73"/>
      <c r="O1534" s="73"/>
      <c r="P1534" s="73"/>
      <c r="Q1534" s="73"/>
      <c r="R1534" s="73"/>
    </row>
    <row r="1535" spans="2:18">
      <c r="B1535" s="12"/>
      <c r="C1535" s="31"/>
      <c r="D1535" s="47"/>
      <c r="E1535" s="47"/>
      <c r="F1535" s="47"/>
      <c r="G1535" s="47"/>
      <c r="H1535" s="47"/>
      <c r="I1535" s="47"/>
      <c r="J1535" s="47"/>
      <c r="K1535" s="47"/>
      <c r="L1535" s="47"/>
      <c r="M1535" s="47"/>
      <c r="N1535" s="47"/>
      <c r="O1535" s="47"/>
      <c r="P1535" s="47"/>
      <c r="Q1535" s="47"/>
      <c r="R1535" s="47"/>
    </row>
    <row r="1536" spans="2:18" ht="39.75">
      <c r="B1536" s="16"/>
      <c r="C1536" s="6"/>
      <c r="D1536" s="46"/>
      <c r="E1536" s="46"/>
      <c r="F1536" s="46"/>
      <c r="G1536" s="46"/>
      <c r="H1536" s="46"/>
      <c r="I1536" s="46"/>
      <c r="J1536" s="46"/>
      <c r="K1536" s="46"/>
      <c r="L1536" s="46"/>
      <c r="M1536" s="46"/>
      <c r="N1536" s="46"/>
      <c r="O1536" s="46"/>
      <c r="P1536" s="46"/>
      <c r="Q1536" s="46"/>
      <c r="R1536" s="46"/>
    </row>
    <row r="1537" spans="2:18" ht="58.5">
      <c r="B1537" s="18">
        <f t="shared" ref="B1537" si="171">B1533+1</f>
        <v>384</v>
      </c>
      <c r="C1537" s="6"/>
      <c r="D1537" s="36"/>
      <c r="E1537" s="36"/>
      <c r="F1537" s="36"/>
      <c r="G1537" s="36"/>
      <c r="H1537" s="36"/>
      <c r="I1537" s="36"/>
      <c r="J1537" s="36"/>
      <c r="K1537" s="36"/>
      <c r="L1537" s="36"/>
      <c r="M1537" s="36"/>
      <c r="N1537" s="36"/>
      <c r="O1537" s="36"/>
      <c r="P1537" s="36"/>
      <c r="Q1537" s="36"/>
      <c r="R1537" s="36"/>
    </row>
    <row r="1538" spans="2:18" ht="48.75">
      <c r="B1538" s="20"/>
      <c r="C1538" s="6"/>
      <c r="D1538" s="73"/>
      <c r="E1538" s="73"/>
      <c r="F1538" s="73"/>
      <c r="G1538" s="73"/>
      <c r="H1538" s="73"/>
      <c r="I1538" s="73"/>
      <c r="J1538" s="73"/>
      <c r="K1538" s="73"/>
      <c r="L1538" s="73"/>
      <c r="M1538" s="73"/>
      <c r="N1538" s="73"/>
      <c r="O1538" s="73"/>
      <c r="P1538" s="73"/>
      <c r="Q1538" s="73"/>
      <c r="R1538" s="73"/>
    </row>
    <row r="1539" spans="2:18">
      <c r="B1539" s="12"/>
      <c r="C1539" s="31"/>
      <c r="D1539" s="47"/>
      <c r="E1539" s="47"/>
      <c r="F1539" s="47"/>
      <c r="G1539" s="47"/>
      <c r="H1539" s="47"/>
      <c r="I1539" s="47"/>
      <c r="J1539" s="47"/>
      <c r="K1539" s="47"/>
      <c r="L1539" s="47"/>
      <c r="M1539" s="47"/>
      <c r="N1539" s="47"/>
      <c r="O1539" s="47"/>
      <c r="P1539" s="47"/>
      <c r="Q1539" s="47"/>
      <c r="R1539" s="47"/>
    </row>
    <row r="1540" spans="2:18" ht="39.75">
      <c r="B1540" s="16"/>
      <c r="C1540" s="6"/>
      <c r="D1540" s="46"/>
      <c r="E1540" s="46"/>
      <c r="F1540" s="46"/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</row>
    <row r="1541" spans="2:18" ht="58.5">
      <c r="B1541" s="18">
        <f t="shared" ref="B1541" si="172">B1537+1</f>
        <v>385</v>
      </c>
      <c r="C1541" s="6"/>
      <c r="D1541" s="36"/>
      <c r="E1541" s="36"/>
      <c r="F1541" s="36"/>
      <c r="G1541" s="36"/>
      <c r="H1541" s="36"/>
      <c r="I1541" s="36"/>
      <c r="J1541" s="36"/>
      <c r="K1541" s="36"/>
      <c r="L1541" s="36"/>
      <c r="M1541" s="36"/>
      <c r="N1541" s="36"/>
      <c r="O1541" s="36"/>
      <c r="P1541" s="36"/>
      <c r="Q1541" s="36"/>
      <c r="R1541" s="36"/>
    </row>
    <row r="1542" spans="2:18" ht="48.75">
      <c r="B1542" s="20"/>
      <c r="C1542" s="6"/>
      <c r="D1542" s="73"/>
      <c r="E1542" s="73"/>
      <c r="F1542" s="73"/>
      <c r="G1542" s="73"/>
      <c r="H1542" s="73"/>
      <c r="I1542" s="73"/>
      <c r="J1542" s="73"/>
      <c r="K1542" s="73"/>
      <c r="L1542" s="73"/>
      <c r="M1542" s="73"/>
      <c r="N1542" s="73"/>
      <c r="O1542" s="73"/>
      <c r="P1542" s="73"/>
      <c r="Q1542" s="73"/>
      <c r="R1542" s="73"/>
    </row>
    <row r="1543" spans="2:18">
      <c r="B1543" s="12"/>
      <c r="C1543" s="31"/>
      <c r="D1543" s="47"/>
      <c r="E1543" s="47"/>
      <c r="F1543" s="47"/>
      <c r="G1543" s="47"/>
      <c r="H1543" s="47"/>
      <c r="I1543" s="47"/>
      <c r="J1543" s="47"/>
      <c r="K1543" s="47"/>
      <c r="L1543" s="47"/>
      <c r="M1543" s="47"/>
      <c r="N1543" s="47"/>
      <c r="O1543" s="47"/>
      <c r="P1543" s="47"/>
      <c r="Q1543" s="47"/>
      <c r="R1543" s="47"/>
    </row>
    <row r="1544" spans="2:18" ht="39.75">
      <c r="B1544" s="16"/>
      <c r="C1544" s="6"/>
      <c r="D1544" s="46"/>
      <c r="E1544" s="46"/>
      <c r="F1544" s="46"/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</row>
    <row r="1545" spans="2:18" ht="58.5">
      <c r="B1545" s="18">
        <f t="shared" ref="B1545" si="173">B1541+1</f>
        <v>386</v>
      </c>
      <c r="C1545" s="6"/>
      <c r="D1545" s="36"/>
      <c r="E1545" s="36"/>
      <c r="F1545" s="36"/>
      <c r="G1545" s="36"/>
      <c r="H1545" s="36"/>
      <c r="I1545" s="36"/>
      <c r="J1545" s="36"/>
      <c r="K1545" s="36"/>
      <c r="L1545" s="36"/>
      <c r="M1545" s="36"/>
      <c r="N1545" s="36"/>
      <c r="O1545" s="36"/>
      <c r="P1545" s="36"/>
      <c r="Q1545" s="36"/>
      <c r="R1545" s="36"/>
    </row>
    <row r="1546" spans="2:18" ht="48.75">
      <c r="B1546" s="20"/>
      <c r="C1546" s="6"/>
      <c r="D1546" s="73"/>
      <c r="E1546" s="73"/>
      <c r="F1546" s="73"/>
      <c r="G1546" s="73"/>
      <c r="H1546" s="73"/>
      <c r="I1546" s="73"/>
      <c r="J1546" s="73"/>
      <c r="K1546" s="73"/>
      <c r="L1546" s="73"/>
      <c r="M1546" s="73"/>
      <c r="N1546" s="73"/>
      <c r="O1546" s="73"/>
      <c r="P1546" s="73"/>
      <c r="Q1546" s="73"/>
      <c r="R1546" s="73"/>
    </row>
    <row r="1547" spans="2:18">
      <c r="B1547" s="12"/>
      <c r="C1547" s="31"/>
      <c r="D1547" s="47"/>
      <c r="E1547" s="47"/>
      <c r="F1547" s="47"/>
      <c r="G1547" s="47"/>
      <c r="H1547" s="47"/>
      <c r="I1547" s="47"/>
      <c r="J1547" s="47"/>
      <c r="K1547" s="47"/>
      <c r="L1547" s="47"/>
      <c r="M1547" s="47"/>
      <c r="N1547" s="47"/>
      <c r="O1547" s="47"/>
      <c r="P1547" s="47"/>
      <c r="Q1547" s="47"/>
      <c r="R1547" s="47"/>
    </row>
    <row r="1548" spans="2:18" ht="39.75">
      <c r="B1548" s="16"/>
      <c r="C1548" s="6"/>
      <c r="D1548" s="46"/>
      <c r="E1548" s="46"/>
      <c r="F1548" s="46"/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</row>
    <row r="1549" spans="2:18" ht="58.5">
      <c r="B1549" s="18">
        <f t="shared" ref="B1549" si="174">B1545+1</f>
        <v>387</v>
      </c>
      <c r="C1549" s="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</row>
    <row r="1550" spans="2:18" ht="48.75">
      <c r="B1550" s="20"/>
      <c r="C1550" s="6"/>
      <c r="D1550" s="73"/>
      <c r="E1550" s="73"/>
      <c r="F1550" s="73"/>
      <c r="G1550" s="73"/>
      <c r="H1550" s="73"/>
      <c r="I1550" s="73"/>
      <c r="J1550" s="73"/>
      <c r="K1550" s="73"/>
      <c r="L1550" s="73"/>
      <c r="M1550" s="73"/>
      <c r="N1550" s="73"/>
      <c r="O1550" s="73"/>
      <c r="P1550" s="73"/>
      <c r="Q1550" s="73"/>
      <c r="R1550" s="73"/>
    </row>
    <row r="1551" spans="2:18">
      <c r="B1551" s="12"/>
      <c r="C1551" s="31"/>
      <c r="D1551" s="47"/>
      <c r="E1551" s="47"/>
      <c r="F1551" s="47"/>
      <c r="G1551" s="47"/>
      <c r="H1551" s="47"/>
      <c r="I1551" s="47"/>
      <c r="J1551" s="47"/>
      <c r="K1551" s="47"/>
      <c r="L1551" s="47"/>
      <c r="M1551" s="47"/>
      <c r="N1551" s="47"/>
      <c r="O1551" s="47"/>
      <c r="P1551" s="47"/>
      <c r="Q1551" s="47"/>
      <c r="R1551" s="47"/>
    </row>
    <row r="1552" spans="2:18" ht="39.75">
      <c r="B1552" s="16"/>
      <c r="C1552" s="6"/>
      <c r="D1552" s="46"/>
      <c r="E1552" s="46"/>
      <c r="F1552" s="46"/>
      <c r="G1552" s="46"/>
      <c r="H1552" s="46"/>
      <c r="I1552" s="46"/>
      <c r="J1552" s="46"/>
      <c r="K1552" s="46"/>
      <c r="L1552" s="46"/>
      <c r="M1552" s="46"/>
      <c r="N1552" s="46"/>
      <c r="O1552" s="46"/>
      <c r="P1552" s="46"/>
      <c r="Q1552" s="46"/>
      <c r="R1552" s="46"/>
    </row>
    <row r="1553" spans="2:18" ht="58.5">
      <c r="B1553" s="18">
        <f t="shared" ref="B1553" si="175">B1549+1</f>
        <v>388</v>
      </c>
      <c r="C1553" s="6"/>
      <c r="D1553" s="36"/>
      <c r="E1553" s="36"/>
      <c r="F1553" s="36"/>
      <c r="G1553" s="36"/>
      <c r="H1553" s="36"/>
      <c r="I1553" s="36"/>
      <c r="J1553" s="36"/>
      <c r="K1553" s="36"/>
      <c r="L1553" s="36"/>
      <c r="M1553" s="36"/>
      <c r="N1553" s="36"/>
      <c r="O1553" s="36"/>
      <c r="P1553" s="36"/>
      <c r="Q1553" s="36"/>
      <c r="R1553" s="36"/>
    </row>
    <row r="1554" spans="2:18" ht="48.75">
      <c r="B1554" s="20"/>
      <c r="C1554" s="6"/>
      <c r="D1554" s="73"/>
      <c r="E1554" s="73"/>
      <c r="F1554" s="73"/>
      <c r="G1554" s="73"/>
      <c r="H1554" s="73"/>
      <c r="I1554" s="73"/>
      <c r="J1554" s="73"/>
      <c r="K1554" s="73"/>
      <c r="L1554" s="73"/>
      <c r="M1554" s="73"/>
      <c r="N1554" s="73"/>
      <c r="O1554" s="73"/>
      <c r="P1554" s="73"/>
      <c r="Q1554" s="73"/>
      <c r="R1554" s="73"/>
    </row>
    <row r="1555" spans="2:18">
      <c r="B1555" s="12"/>
      <c r="C1555" s="31"/>
      <c r="D1555" s="47"/>
      <c r="E1555" s="47"/>
      <c r="F1555" s="47"/>
      <c r="G1555" s="47"/>
      <c r="H1555" s="47"/>
      <c r="I1555" s="47"/>
      <c r="J1555" s="47"/>
      <c r="K1555" s="47"/>
      <c r="L1555" s="47"/>
      <c r="M1555" s="47"/>
      <c r="N1555" s="47"/>
      <c r="O1555" s="47"/>
      <c r="P1555" s="47"/>
      <c r="Q1555" s="47"/>
      <c r="R1555" s="47"/>
    </row>
    <row r="1556" spans="2:18" ht="39.75">
      <c r="B1556" s="16"/>
      <c r="C1556" s="6"/>
      <c r="D1556" s="46"/>
      <c r="E1556" s="46"/>
      <c r="F1556" s="46"/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</row>
    <row r="1557" spans="2:18" ht="58.5">
      <c r="B1557" s="18">
        <f t="shared" ref="B1557" si="176">B1553+1</f>
        <v>389</v>
      </c>
      <c r="C1557" s="6"/>
      <c r="D1557" s="36"/>
      <c r="E1557" s="36"/>
      <c r="F1557" s="36"/>
      <c r="G1557" s="36"/>
      <c r="H1557" s="36"/>
      <c r="I1557" s="36"/>
      <c r="J1557" s="36"/>
      <c r="K1557" s="36"/>
      <c r="L1557" s="36"/>
      <c r="M1557" s="36"/>
      <c r="N1557" s="36"/>
      <c r="O1557" s="36"/>
      <c r="P1557" s="36"/>
      <c r="Q1557" s="36"/>
      <c r="R1557" s="36"/>
    </row>
    <row r="1558" spans="2:18" ht="48.75">
      <c r="B1558" s="20"/>
      <c r="C1558" s="6"/>
      <c r="D1558" s="73"/>
      <c r="E1558" s="73"/>
      <c r="F1558" s="73"/>
      <c r="G1558" s="73"/>
      <c r="H1558" s="73"/>
      <c r="I1558" s="73"/>
      <c r="J1558" s="73"/>
      <c r="K1558" s="73"/>
      <c r="L1558" s="73"/>
      <c r="M1558" s="73"/>
      <c r="N1558" s="73"/>
      <c r="O1558" s="73"/>
      <c r="P1558" s="73"/>
      <c r="Q1558" s="73"/>
      <c r="R1558" s="73"/>
    </row>
    <row r="1559" spans="2:18">
      <c r="B1559" s="12"/>
      <c r="C1559" s="31"/>
      <c r="D1559" s="47"/>
      <c r="E1559" s="47"/>
      <c r="F1559" s="47"/>
      <c r="G1559" s="47"/>
      <c r="H1559" s="47"/>
      <c r="I1559" s="47"/>
      <c r="J1559" s="47"/>
      <c r="K1559" s="47"/>
      <c r="L1559" s="47"/>
      <c r="M1559" s="47"/>
      <c r="N1559" s="47"/>
      <c r="O1559" s="47"/>
      <c r="P1559" s="47"/>
      <c r="Q1559" s="47"/>
      <c r="R1559" s="47"/>
    </row>
    <row r="1560" spans="2:18" ht="39.75">
      <c r="B1560" s="16"/>
      <c r="C1560" s="6"/>
      <c r="D1560" s="46"/>
      <c r="E1560" s="46"/>
      <c r="F1560" s="46"/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</row>
    <row r="1561" spans="2:18" ht="58.5">
      <c r="B1561" s="18">
        <f t="shared" ref="B1561" si="177">B1557+1</f>
        <v>390</v>
      </c>
      <c r="C1561" s="6"/>
      <c r="D1561" s="36"/>
      <c r="E1561" s="36"/>
      <c r="F1561" s="36"/>
      <c r="G1561" s="36"/>
      <c r="H1561" s="36"/>
      <c r="I1561" s="36"/>
      <c r="J1561" s="36"/>
      <c r="K1561" s="36"/>
      <c r="L1561" s="36"/>
      <c r="M1561" s="36"/>
      <c r="N1561" s="36"/>
      <c r="O1561" s="36"/>
      <c r="P1561" s="36"/>
      <c r="Q1561" s="36"/>
      <c r="R1561" s="36"/>
    </row>
    <row r="1562" spans="2:18" ht="48.75">
      <c r="B1562" s="20"/>
      <c r="C1562" s="6"/>
      <c r="D1562" s="73"/>
      <c r="E1562" s="73"/>
      <c r="F1562" s="73"/>
      <c r="G1562" s="73"/>
      <c r="H1562" s="73"/>
      <c r="I1562" s="73"/>
      <c r="J1562" s="73"/>
      <c r="K1562" s="73"/>
      <c r="L1562" s="73"/>
      <c r="M1562" s="73"/>
      <c r="N1562" s="73"/>
      <c r="O1562" s="73"/>
      <c r="P1562" s="73"/>
      <c r="Q1562" s="73"/>
      <c r="R1562" s="73"/>
    </row>
    <row r="1563" spans="2:18">
      <c r="B1563" s="12"/>
      <c r="C1563" s="31"/>
      <c r="D1563" s="47"/>
      <c r="E1563" s="47"/>
      <c r="F1563" s="47"/>
      <c r="G1563" s="47"/>
      <c r="H1563" s="47"/>
      <c r="I1563" s="47"/>
      <c r="J1563" s="47"/>
      <c r="K1563" s="47"/>
      <c r="L1563" s="47"/>
      <c r="M1563" s="47"/>
      <c r="N1563" s="47"/>
      <c r="O1563" s="47"/>
      <c r="P1563" s="47"/>
      <c r="Q1563" s="47"/>
      <c r="R1563" s="47"/>
    </row>
    <row r="1564" spans="2:18" ht="39.75">
      <c r="B1564" s="16"/>
      <c r="C1564" s="6"/>
      <c r="D1564" s="46"/>
      <c r="E1564" s="46"/>
      <c r="F1564" s="46"/>
      <c r="G1564" s="46"/>
      <c r="H1564" s="46"/>
      <c r="I1564" s="46"/>
      <c r="J1564" s="46"/>
      <c r="K1564" s="46"/>
      <c r="L1564" s="46"/>
      <c r="M1564" s="46"/>
      <c r="N1564" s="46"/>
      <c r="O1564" s="46"/>
      <c r="P1564" s="46"/>
      <c r="Q1564" s="46"/>
      <c r="R1564" s="46"/>
    </row>
    <row r="1565" spans="2:18" ht="58.5">
      <c r="B1565" s="18">
        <f t="shared" ref="B1565" si="178">B1561+1</f>
        <v>391</v>
      </c>
      <c r="C1565" s="6"/>
      <c r="D1565" s="36"/>
      <c r="E1565" s="36"/>
      <c r="F1565" s="36"/>
      <c r="G1565" s="36"/>
      <c r="H1565" s="36"/>
      <c r="I1565" s="36"/>
      <c r="J1565" s="36"/>
      <c r="K1565" s="36"/>
      <c r="L1565" s="36"/>
      <c r="M1565" s="36"/>
      <c r="N1565" s="36"/>
      <c r="O1565" s="36"/>
      <c r="P1565" s="36"/>
      <c r="Q1565" s="36"/>
      <c r="R1565" s="36"/>
    </row>
    <row r="1566" spans="2:18" ht="48.75">
      <c r="B1566" s="20"/>
      <c r="C1566" s="6"/>
      <c r="D1566" s="73"/>
      <c r="E1566" s="73"/>
      <c r="F1566" s="73"/>
      <c r="G1566" s="73"/>
      <c r="H1566" s="73"/>
      <c r="I1566" s="73"/>
      <c r="J1566" s="73"/>
      <c r="K1566" s="73"/>
      <c r="L1566" s="73"/>
      <c r="M1566" s="73"/>
      <c r="N1566" s="73"/>
      <c r="O1566" s="73"/>
      <c r="P1566" s="73"/>
      <c r="Q1566" s="73"/>
      <c r="R1566" s="73"/>
    </row>
    <row r="1567" spans="2:18">
      <c r="B1567" s="12"/>
      <c r="C1567" s="31"/>
      <c r="D1567" s="47"/>
      <c r="E1567" s="47"/>
      <c r="F1567" s="47"/>
      <c r="G1567" s="47"/>
      <c r="H1567" s="47"/>
      <c r="I1567" s="47"/>
      <c r="J1567" s="47"/>
      <c r="K1567" s="47"/>
      <c r="L1567" s="47"/>
      <c r="M1567" s="47"/>
      <c r="N1567" s="47"/>
      <c r="O1567" s="47"/>
      <c r="P1567" s="47"/>
      <c r="Q1567" s="47"/>
      <c r="R1567" s="47"/>
    </row>
    <row r="1568" spans="2:18" ht="39.75">
      <c r="B1568" s="16"/>
      <c r="C1568" s="6"/>
      <c r="D1568" s="46"/>
      <c r="E1568" s="46"/>
      <c r="F1568" s="46"/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</row>
    <row r="1569" spans="2:18" ht="58.5">
      <c r="B1569" s="18">
        <f t="shared" ref="B1569" si="179">B1565+1</f>
        <v>392</v>
      </c>
      <c r="C1569" s="6"/>
      <c r="D1569" s="36"/>
      <c r="E1569" s="36"/>
      <c r="F1569" s="36"/>
      <c r="G1569" s="36"/>
      <c r="H1569" s="36"/>
      <c r="I1569" s="36"/>
      <c r="J1569" s="36"/>
      <c r="K1569" s="36"/>
      <c r="L1569" s="36"/>
      <c r="M1569" s="36"/>
      <c r="N1569" s="36"/>
      <c r="O1569" s="36"/>
      <c r="P1569" s="36"/>
      <c r="Q1569" s="36"/>
      <c r="R1569" s="36"/>
    </row>
    <row r="1570" spans="2:18" ht="48.75">
      <c r="B1570" s="20"/>
      <c r="C1570" s="6"/>
      <c r="D1570" s="73"/>
      <c r="E1570" s="73"/>
      <c r="F1570" s="73"/>
      <c r="G1570" s="73"/>
      <c r="H1570" s="73"/>
      <c r="I1570" s="73"/>
      <c r="J1570" s="73"/>
      <c r="K1570" s="73"/>
      <c r="L1570" s="73"/>
      <c r="M1570" s="73"/>
      <c r="N1570" s="73"/>
      <c r="O1570" s="73"/>
      <c r="P1570" s="73"/>
      <c r="Q1570" s="73"/>
      <c r="R1570" s="73"/>
    </row>
    <row r="1571" spans="2:18">
      <c r="B1571" s="12"/>
      <c r="C1571" s="31"/>
      <c r="D1571" s="47"/>
      <c r="E1571" s="47"/>
      <c r="F1571" s="47"/>
      <c r="G1571" s="47"/>
      <c r="H1571" s="47"/>
      <c r="I1571" s="47"/>
      <c r="J1571" s="47"/>
      <c r="K1571" s="47"/>
      <c r="L1571" s="47"/>
      <c r="M1571" s="47"/>
      <c r="N1571" s="47"/>
      <c r="O1571" s="47"/>
      <c r="P1571" s="47"/>
      <c r="Q1571" s="47"/>
      <c r="R1571" s="47"/>
    </row>
    <row r="1572" spans="2:18" ht="39.75">
      <c r="B1572" s="16"/>
      <c r="C1572" s="6"/>
      <c r="D1572" s="46"/>
      <c r="E1572" s="46"/>
      <c r="F1572" s="46"/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</row>
    <row r="1573" spans="2:18" ht="58.5">
      <c r="B1573" s="18">
        <f t="shared" ref="B1573" si="180">B1569+1</f>
        <v>393</v>
      </c>
      <c r="C1573" s="6"/>
      <c r="D1573" s="36"/>
      <c r="E1573" s="36"/>
      <c r="F1573" s="36"/>
      <c r="G1573" s="36"/>
      <c r="H1573" s="36"/>
      <c r="I1573" s="36"/>
      <c r="J1573" s="36"/>
      <c r="K1573" s="36"/>
      <c r="L1573" s="36"/>
      <c r="M1573" s="36"/>
      <c r="N1573" s="36"/>
      <c r="O1573" s="36"/>
      <c r="P1573" s="36"/>
      <c r="Q1573" s="36"/>
      <c r="R1573" s="36"/>
    </row>
    <row r="1574" spans="2:18" ht="48.75">
      <c r="B1574" s="20"/>
      <c r="C1574" s="6"/>
      <c r="D1574" s="73"/>
      <c r="E1574" s="73"/>
      <c r="F1574" s="73"/>
      <c r="G1574" s="73"/>
      <c r="H1574" s="73"/>
      <c r="I1574" s="73"/>
      <c r="J1574" s="73"/>
      <c r="K1574" s="73"/>
      <c r="L1574" s="73"/>
      <c r="M1574" s="73"/>
      <c r="N1574" s="73"/>
      <c r="O1574" s="73"/>
      <c r="P1574" s="73"/>
      <c r="Q1574" s="73"/>
      <c r="R1574" s="73"/>
    </row>
    <row r="1575" spans="2:18">
      <c r="B1575" s="12"/>
      <c r="C1575" s="31"/>
      <c r="D1575" s="47"/>
      <c r="E1575" s="47"/>
      <c r="F1575" s="47"/>
      <c r="G1575" s="47"/>
      <c r="H1575" s="47"/>
      <c r="I1575" s="47"/>
      <c r="J1575" s="47"/>
      <c r="K1575" s="47"/>
      <c r="L1575" s="47"/>
      <c r="M1575" s="47"/>
      <c r="N1575" s="47"/>
      <c r="O1575" s="47"/>
      <c r="P1575" s="47"/>
      <c r="Q1575" s="47"/>
      <c r="R1575" s="47"/>
    </row>
    <row r="1576" spans="2:18" ht="39.75">
      <c r="B1576" s="16"/>
      <c r="C1576" s="6"/>
      <c r="D1576" s="46"/>
      <c r="E1576" s="46"/>
      <c r="F1576" s="46"/>
      <c r="G1576" s="46"/>
      <c r="H1576" s="46"/>
      <c r="I1576" s="46"/>
      <c r="J1576" s="46"/>
      <c r="K1576" s="46"/>
      <c r="L1576" s="46"/>
      <c r="M1576" s="46"/>
      <c r="N1576" s="46"/>
      <c r="O1576" s="46"/>
      <c r="P1576" s="46"/>
      <c r="Q1576" s="46"/>
      <c r="R1576" s="46"/>
    </row>
    <row r="1577" spans="2:18" ht="58.5">
      <c r="B1577" s="18">
        <f t="shared" ref="B1577" si="181">B1573+1</f>
        <v>394</v>
      </c>
      <c r="C1577" s="6"/>
      <c r="D1577" s="36"/>
      <c r="E1577" s="36"/>
      <c r="F1577" s="36"/>
      <c r="G1577" s="36"/>
      <c r="H1577" s="36"/>
      <c r="I1577" s="36"/>
      <c r="J1577" s="36"/>
      <c r="K1577" s="36"/>
      <c r="L1577" s="36"/>
      <c r="M1577" s="36"/>
      <c r="N1577" s="36"/>
      <c r="O1577" s="36"/>
      <c r="P1577" s="36"/>
      <c r="Q1577" s="36"/>
      <c r="R1577" s="36"/>
    </row>
    <row r="1578" spans="2:18" ht="48.75">
      <c r="B1578" s="20"/>
      <c r="C1578" s="6"/>
      <c r="D1578" s="73"/>
      <c r="E1578" s="73"/>
      <c r="F1578" s="73"/>
      <c r="G1578" s="73"/>
      <c r="H1578" s="73"/>
      <c r="I1578" s="73"/>
      <c r="J1578" s="73"/>
      <c r="K1578" s="73"/>
      <c r="L1578" s="73"/>
      <c r="M1578" s="73"/>
      <c r="N1578" s="73"/>
      <c r="O1578" s="73"/>
      <c r="P1578" s="73"/>
      <c r="Q1578" s="73"/>
      <c r="R1578" s="73"/>
    </row>
    <row r="1579" spans="2:18">
      <c r="B1579" s="12"/>
      <c r="C1579" s="31"/>
      <c r="D1579" s="47"/>
      <c r="E1579" s="47"/>
      <c r="F1579" s="47"/>
      <c r="G1579" s="47"/>
      <c r="H1579" s="47"/>
      <c r="I1579" s="47"/>
      <c r="J1579" s="47"/>
      <c r="K1579" s="47"/>
      <c r="L1579" s="47"/>
      <c r="M1579" s="47"/>
      <c r="N1579" s="47"/>
      <c r="O1579" s="47"/>
      <c r="P1579" s="47"/>
      <c r="Q1579" s="47"/>
      <c r="R1579" s="47"/>
    </row>
    <row r="1580" spans="2:18" ht="39.75">
      <c r="B1580" s="16"/>
      <c r="C1580" s="6"/>
      <c r="D1580" s="46"/>
      <c r="E1580" s="46"/>
      <c r="F1580" s="46"/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</row>
    <row r="1581" spans="2:18" ht="58.5">
      <c r="B1581" s="18">
        <f t="shared" ref="B1581" si="182">B1577+1</f>
        <v>395</v>
      </c>
      <c r="C1581" s="6"/>
      <c r="D1581" s="36"/>
      <c r="E1581" s="36"/>
      <c r="F1581" s="36"/>
      <c r="G1581" s="36"/>
      <c r="H1581" s="36"/>
      <c r="I1581" s="36"/>
      <c r="J1581" s="36"/>
      <c r="K1581" s="36"/>
      <c r="L1581" s="36"/>
      <c r="M1581" s="36"/>
      <c r="N1581" s="36"/>
      <c r="O1581" s="36"/>
      <c r="P1581" s="36"/>
      <c r="Q1581" s="36"/>
      <c r="R1581" s="36"/>
    </row>
    <row r="1582" spans="2:18" ht="48.75">
      <c r="B1582" s="20"/>
      <c r="C1582" s="6"/>
      <c r="D1582" s="73"/>
      <c r="E1582" s="73"/>
      <c r="F1582" s="73"/>
      <c r="G1582" s="73"/>
      <c r="H1582" s="73"/>
      <c r="I1582" s="73"/>
      <c r="J1582" s="73"/>
      <c r="K1582" s="73"/>
      <c r="L1582" s="73"/>
      <c r="M1582" s="73"/>
      <c r="N1582" s="73"/>
      <c r="O1582" s="73"/>
      <c r="P1582" s="73"/>
      <c r="Q1582" s="73"/>
      <c r="R1582" s="73"/>
    </row>
    <row r="1583" spans="2:18">
      <c r="B1583" s="12"/>
      <c r="C1583" s="31"/>
      <c r="D1583" s="47"/>
      <c r="E1583" s="47"/>
      <c r="F1583" s="47"/>
      <c r="G1583" s="47"/>
      <c r="H1583" s="47"/>
      <c r="I1583" s="47"/>
      <c r="J1583" s="47"/>
      <c r="K1583" s="47"/>
      <c r="L1583" s="47"/>
      <c r="M1583" s="47"/>
      <c r="N1583" s="47"/>
      <c r="O1583" s="47"/>
      <c r="P1583" s="47"/>
      <c r="Q1583" s="47"/>
      <c r="R1583" s="47"/>
    </row>
    <row r="1584" spans="2:18" ht="39.75">
      <c r="B1584" s="16"/>
      <c r="C1584" s="6"/>
      <c r="D1584" s="46"/>
      <c r="E1584" s="46"/>
      <c r="F1584" s="46"/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</row>
    <row r="1585" spans="2:18" ht="58.5">
      <c r="B1585" s="18">
        <f t="shared" ref="B1585" si="183">B1581+1</f>
        <v>396</v>
      </c>
      <c r="C1585" s="6"/>
      <c r="D1585" s="36"/>
      <c r="E1585" s="36"/>
      <c r="F1585" s="36"/>
      <c r="G1585" s="36"/>
      <c r="H1585" s="36"/>
      <c r="I1585" s="36"/>
      <c r="J1585" s="36"/>
      <c r="K1585" s="36"/>
      <c r="L1585" s="36"/>
      <c r="M1585" s="36"/>
      <c r="N1585" s="36"/>
      <c r="O1585" s="36"/>
      <c r="P1585" s="36"/>
      <c r="Q1585" s="36"/>
      <c r="R1585" s="36"/>
    </row>
    <row r="1586" spans="2:18" ht="48.75">
      <c r="B1586" s="20"/>
      <c r="C1586" s="6"/>
      <c r="D1586" s="73"/>
      <c r="E1586" s="73"/>
      <c r="F1586" s="73"/>
      <c r="G1586" s="73"/>
      <c r="H1586" s="73"/>
      <c r="I1586" s="73"/>
      <c r="J1586" s="73"/>
      <c r="K1586" s="73"/>
      <c r="L1586" s="73"/>
      <c r="M1586" s="73"/>
      <c r="N1586" s="73"/>
      <c r="O1586" s="73"/>
      <c r="P1586" s="73"/>
      <c r="Q1586" s="73"/>
      <c r="R1586" s="73"/>
    </row>
    <row r="1587" spans="2:18">
      <c r="B1587" s="12"/>
      <c r="C1587" s="31"/>
      <c r="D1587" s="47"/>
      <c r="E1587" s="47"/>
      <c r="F1587" s="47"/>
      <c r="G1587" s="47"/>
      <c r="H1587" s="47"/>
      <c r="I1587" s="47"/>
      <c r="J1587" s="47"/>
      <c r="K1587" s="47"/>
      <c r="L1587" s="47"/>
      <c r="M1587" s="47"/>
      <c r="N1587" s="47"/>
      <c r="O1587" s="47"/>
      <c r="P1587" s="47"/>
      <c r="Q1587" s="47"/>
      <c r="R1587" s="47"/>
    </row>
    <row r="1588" spans="2:18" ht="39.75">
      <c r="B1588" s="16"/>
      <c r="C1588" s="6"/>
      <c r="D1588" s="46"/>
      <c r="E1588" s="46"/>
      <c r="F1588" s="46"/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</row>
    <row r="1589" spans="2:18" ht="58.5">
      <c r="B1589" s="18">
        <f t="shared" ref="B1589" si="184">B1585+1</f>
        <v>397</v>
      </c>
      <c r="C1589" s="6"/>
      <c r="D1589" s="36"/>
      <c r="E1589" s="36"/>
      <c r="F1589" s="36"/>
      <c r="G1589" s="36"/>
      <c r="H1589" s="36"/>
      <c r="I1589" s="36"/>
      <c r="J1589" s="36"/>
      <c r="K1589" s="36"/>
      <c r="L1589" s="36"/>
      <c r="M1589" s="36"/>
      <c r="N1589" s="36"/>
      <c r="O1589" s="36"/>
      <c r="P1589" s="36"/>
      <c r="Q1589" s="36"/>
      <c r="R1589" s="36"/>
    </row>
    <row r="1590" spans="2:18" ht="48.75">
      <c r="B1590" s="20"/>
      <c r="C1590" s="6"/>
      <c r="D1590" s="73"/>
      <c r="E1590" s="73"/>
      <c r="F1590" s="73"/>
      <c r="G1590" s="73"/>
      <c r="H1590" s="73"/>
      <c r="I1590" s="73"/>
      <c r="J1590" s="73"/>
      <c r="K1590" s="73"/>
      <c r="L1590" s="73"/>
      <c r="M1590" s="73"/>
      <c r="N1590" s="73"/>
      <c r="O1590" s="73"/>
      <c r="P1590" s="73"/>
      <c r="Q1590" s="73"/>
      <c r="R1590" s="73"/>
    </row>
    <row r="1591" spans="2:18">
      <c r="B1591" s="12"/>
      <c r="C1591" s="31"/>
      <c r="D1591" s="47"/>
      <c r="E1591" s="47"/>
      <c r="F1591" s="47"/>
      <c r="G1591" s="47"/>
      <c r="H1591" s="47"/>
      <c r="I1591" s="47"/>
      <c r="J1591" s="47"/>
      <c r="K1591" s="47"/>
      <c r="L1591" s="47"/>
      <c r="M1591" s="47"/>
      <c r="N1591" s="47"/>
      <c r="O1591" s="47"/>
      <c r="P1591" s="47"/>
      <c r="Q1591" s="47"/>
      <c r="R1591" s="47"/>
    </row>
    <row r="1592" spans="2:18" ht="39.75">
      <c r="B1592" s="16"/>
      <c r="C1592" s="6"/>
      <c r="D1592" s="46"/>
      <c r="E1592" s="46"/>
      <c r="F1592" s="46"/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</row>
    <row r="1593" spans="2:18" ht="58.5">
      <c r="B1593" s="18">
        <f t="shared" ref="B1593" si="185">B1589+1</f>
        <v>398</v>
      </c>
      <c r="C1593" s="6"/>
      <c r="D1593" s="36"/>
      <c r="E1593" s="36"/>
      <c r="F1593" s="36"/>
      <c r="G1593" s="36"/>
      <c r="H1593" s="36"/>
      <c r="I1593" s="36"/>
      <c r="J1593" s="36"/>
      <c r="K1593" s="36"/>
      <c r="L1593" s="36"/>
      <c r="M1593" s="36"/>
      <c r="N1593" s="36"/>
      <c r="O1593" s="36"/>
      <c r="P1593" s="36"/>
      <c r="Q1593" s="36"/>
      <c r="R1593" s="36"/>
    </row>
    <row r="1594" spans="2:18" ht="48.75">
      <c r="B1594" s="20"/>
      <c r="C1594" s="6"/>
      <c r="D1594" s="73"/>
      <c r="E1594" s="73"/>
      <c r="F1594" s="73"/>
      <c r="G1594" s="73"/>
      <c r="H1594" s="73"/>
      <c r="I1594" s="73"/>
      <c r="J1594" s="73"/>
      <c r="K1594" s="73"/>
      <c r="L1594" s="73"/>
      <c r="M1594" s="73"/>
      <c r="N1594" s="73"/>
      <c r="O1594" s="73"/>
      <c r="P1594" s="73"/>
      <c r="Q1594" s="73"/>
      <c r="R1594" s="73"/>
    </row>
    <row r="1595" spans="2:18">
      <c r="B1595" s="12"/>
      <c r="C1595" s="31"/>
      <c r="D1595" s="47"/>
      <c r="E1595" s="47"/>
      <c r="F1595" s="47"/>
      <c r="G1595" s="47"/>
      <c r="H1595" s="47"/>
      <c r="I1595" s="47"/>
      <c r="J1595" s="47"/>
      <c r="K1595" s="47"/>
      <c r="L1595" s="47"/>
      <c r="M1595" s="47"/>
      <c r="N1595" s="47"/>
      <c r="O1595" s="47"/>
      <c r="P1595" s="47"/>
      <c r="Q1595" s="47"/>
      <c r="R1595" s="47"/>
    </row>
    <row r="1596" spans="2:18" ht="39.75">
      <c r="B1596" s="16"/>
      <c r="C1596" s="6"/>
      <c r="D1596" s="46"/>
      <c r="E1596" s="46"/>
      <c r="F1596" s="46"/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</row>
    <row r="1597" spans="2:18" ht="58.5">
      <c r="B1597" s="18">
        <f t="shared" ref="B1597" si="186">B1593+1</f>
        <v>399</v>
      </c>
      <c r="C1597" s="6"/>
      <c r="D1597" s="36"/>
      <c r="E1597" s="36"/>
      <c r="F1597" s="36"/>
      <c r="G1597" s="36"/>
      <c r="H1597" s="36"/>
      <c r="I1597" s="36"/>
      <c r="J1597" s="36"/>
      <c r="K1597" s="36"/>
      <c r="L1597" s="36"/>
      <c r="M1597" s="36"/>
      <c r="N1597" s="36"/>
      <c r="O1597" s="36"/>
      <c r="P1597" s="36"/>
      <c r="Q1597" s="36"/>
      <c r="R1597" s="36"/>
    </row>
    <row r="1598" spans="2:18" ht="48.75">
      <c r="B1598" s="20"/>
      <c r="C1598" s="6"/>
      <c r="D1598" s="73"/>
      <c r="E1598" s="73"/>
      <c r="F1598" s="73"/>
      <c r="G1598" s="73"/>
      <c r="H1598" s="73"/>
      <c r="I1598" s="73"/>
      <c r="J1598" s="73"/>
      <c r="K1598" s="73"/>
      <c r="L1598" s="73"/>
      <c r="M1598" s="73"/>
      <c r="N1598" s="73"/>
      <c r="O1598" s="73"/>
      <c r="P1598" s="73"/>
      <c r="Q1598" s="73"/>
      <c r="R1598" s="73"/>
    </row>
    <row r="1599" spans="2:18">
      <c r="B1599" s="12"/>
      <c r="C1599" s="31"/>
      <c r="D1599" s="47"/>
      <c r="E1599" s="47"/>
      <c r="F1599" s="47"/>
      <c r="G1599" s="47"/>
      <c r="H1599" s="47"/>
      <c r="I1599" s="47"/>
      <c r="J1599" s="47"/>
      <c r="K1599" s="47"/>
      <c r="L1599" s="47"/>
      <c r="M1599" s="47"/>
      <c r="N1599" s="47"/>
      <c r="O1599" s="47"/>
      <c r="P1599" s="47"/>
      <c r="Q1599" s="47"/>
      <c r="R1599" s="47"/>
    </row>
    <row r="1600" spans="2:18" ht="39.75">
      <c r="B1600" s="16"/>
      <c r="C1600" s="6"/>
      <c r="D1600" s="46"/>
      <c r="E1600" s="46"/>
      <c r="F1600" s="46"/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</row>
    <row r="1601" spans="2:18" ht="58.5">
      <c r="B1601" s="18">
        <f t="shared" ref="B1601" si="187">B1597+1</f>
        <v>400</v>
      </c>
      <c r="C1601" s="6"/>
      <c r="D1601" s="36"/>
      <c r="E1601" s="36"/>
      <c r="F1601" s="36"/>
      <c r="G1601" s="36"/>
      <c r="H1601" s="36"/>
      <c r="I1601" s="36"/>
      <c r="J1601" s="36"/>
      <c r="K1601" s="36"/>
      <c r="L1601" s="36"/>
      <c r="M1601" s="36"/>
      <c r="N1601" s="36"/>
      <c r="O1601" s="36"/>
      <c r="P1601" s="36"/>
      <c r="Q1601" s="36"/>
      <c r="R1601" s="36"/>
    </row>
    <row r="1602" spans="2:18" ht="48.75">
      <c r="B1602" s="20"/>
      <c r="C1602" s="6"/>
      <c r="D1602" s="73"/>
      <c r="E1602" s="73"/>
      <c r="F1602" s="73"/>
      <c r="G1602" s="73"/>
      <c r="H1602" s="73"/>
      <c r="I1602" s="73"/>
      <c r="J1602" s="73"/>
      <c r="K1602" s="73"/>
      <c r="L1602" s="73"/>
      <c r="M1602" s="73"/>
      <c r="N1602" s="73"/>
      <c r="O1602" s="73"/>
      <c r="P1602" s="73"/>
      <c r="Q1602" s="73"/>
      <c r="R1602" s="73"/>
    </row>
    <row r="1603" spans="2:18">
      <c r="B1603" s="12"/>
      <c r="C1603" s="31"/>
      <c r="D1603" s="47"/>
      <c r="E1603" s="47"/>
      <c r="F1603" s="47"/>
      <c r="G1603" s="47"/>
      <c r="H1603" s="47"/>
      <c r="I1603" s="47"/>
      <c r="J1603" s="47"/>
      <c r="K1603" s="47"/>
      <c r="L1603" s="47"/>
      <c r="M1603" s="47"/>
      <c r="N1603" s="47"/>
      <c r="O1603" s="47"/>
      <c r="P1603" s="47"/>
      <c r="Q1603" s="47"/>
      <c r="R1603" s="47"/>
    </row>
    <row r="1604" spans="2:18" ht="39.75">
      <c r="B1604" s="16"/>
      <c r="C1604" s="6"/>
      <c r="D1604" s="46"/>
      <c r="E1604" s="46"/>
      <c r="F1604" s="46"/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</row>
    <row r="1605" spans="2:18" ht="58.5">
      <c r="B1605" s="18">
        <f t="shared" ref="B1605" si="188">B1601+1</f>
        <v>401</v>
      </c>
      <c r="C1605" s="6"/>
      <c r="D1605" s="36"/>
      <c r="E1605" s="36"/>
      <c r="F1605" s="36"/>
      <c r="G1605" s="36"/>
      <c r="H1605" s="36"/>
      <c r="I1605" s="36"/>
      <c r="J1605" s="36"/>
      <c r="K1605" s="36"/>
      <c r="L1605" s="36"/>
      <c r="M1605" s="36"/>
      <c r="N1605" s="36"/>
      <c r="O1605" s="36"/>
      <c r="P1605" s="36"/>
      <c r="Q1605" s="36"/>
      <c r="R1605" s="36"/>
    </row>
    <row r="1606" spans="2:18" ht="48.75">
      <c r="B1606" s="20"/>
      <c r="C1606" s="6"/>
      <c r="D1606" s="73"/>
      <c r="E1606" s="73"/>
      <c r="F1606" s="73"/>
      <c r="G1606" s="73"/>
      <c r="H1606" s="73"/>
      <c r="I1606" s="73"/>
      <c r="J1606" s="73"/>
      <c r="K1606" s="73"/>
      <c r="L1606" s="73"/>
      <c r="M1606" s="73"/>
      <c r="N1606" s="73"/>
      <c r="O1606" s="73"/>
      <c r="P1606" s="73"/>
      <c r="Q1606" s="73"/>
      <c r="R1606" s="73"/>
    </row>
    <row r="1607" spans="2:18">
      <c r="B1607" s="24"/>
      <c r="C1607" s="25"/>
      <c r="D1607" s="47"/>
      <c r="E1607" s="47"/>
      <c r="F1607" s="47"/>
      <c r="G1607" s="47"/>
      <c r="H1607" s="47"/>
      <c r="I1607" s="47"/>
      <c r="J1607" s="47"/>
      <c r="K1607" s="47"/>
      <c r="L1607" s="47"/>
      <c r="M1607" s="47"/>
      <c r="N1607" s="47"/>
      <c r="O1607" s="47"/>
      <c r="P1607" s="47"/>
      <c r="Q1607" s="47"/>
      <c r="R1607" s="47"/>
    </row>
    <row r="1608" spans="2:18" ht="39.75">
      <c r="B1608" s="16"/>
      <c r="C1608" s="6"/>
      <c r="D1608" s="46"/>
      <c r="E1608" s="46"/>
      <c r="F1608" s="46"/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</row>
    <row r="1609" spans="2:18" ht="58.5">
      <c r="B1609" s="18">
        <f>B1605+1</f>
        <v>402</v>
      </c>
      <c r="C1609" s="6"/>
      <c r="D1609" s="36"/>
      <c r="E1609" s="36"/>
      <c r="F1609" s="36"/>
      <c r="G1609" s="36"/>
      <c r="H1609" s="36"/>
      <c r="I1609" s="36"/>
      <c r="J1609" s="36"/>
      <c r="K1609" s="36"/>
      <c r="L1609" s="36"/>
      <c r="M1609" s="36"/>
      <c r="N1609" s="36"/>
      <c r="O1609" s="36"/>
      <c r="P1609" s="36"/>
      <c r="Q1609" s="36"/>
      <c r="R1609" s="36"/>
    </row>
    <row r="1610" spans="2:18" ht="48.75">
      <c r="B1610" s="20"/>
      <c r="C1610" s="6"/>
      <c r="D1610" s="73"/>
      <c r="E1610" s="73"/>
      <c r="F1610" s="73"/>
      <c r="G1610" s="73"/>
      <c r="H1610" s="73"/>
      <c r="I1610" s="73"/>
      <c r="J1610" s="73"/>
      <c r="K1610" s="73"/>
      <c r="L1610" s="73"/>
      <c r="M1610" s="73"/>
      <c r="N1610" s="73"/>
      <c r="O1610" s="73"/>
      <c r="P1610" s="73"/>
      <c r="Q1610" s="73"/>
      <c r="R1610" s="73"/>
    </row>
    <row r="1611" spans="2:18">
      <c r="B1611" s="29"/>
      <c r="C1611" s="30"/>
      <c r="D1611" s="47"/>
      <c r="E1611" s="47"/>
      <c r="F1611" s="47"/>
      <c r="G1611" s="47"/>
      <c r="H1611" s="47"/>
      <c r="I1611" s="47"/>
      <c r="J1611" s="47"/>
      <c r="K1611" s="47"/>
      <c r="L1611" s="47"/>
      <c r="M1611" s="47"/>
      <c r="N1611" s="47"/>
      <c r="O1611" s="47"/>
      <c r="P1611" s="47"/>
      <c r="Q1611" s="47"/>
      <c r="R1611" s="47"/>
    </row>
    <row r="1612" spans="2:18" ht="39.75">
      <c r="B1612" s="16"/>
      <c r="C1612" s="6"/>
      <c r="D1612" s="46"/>
      <c r="E1612" s="46"/>
      <c r="F1612" s="46"/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</row>
    <row r="1613" spans="2:18" ht="58.5">
      <c r="B1613" s="18">
        <f>B1609+1</f>
        <v>403</v>
      </c>
      <c r="C1613" s="6"/>
      <c r="D1613" s="36"/>
      <c r="E1613" s="36"/>
      <c r="F1613" s="36"/>
      <c r="G1613" s="36"/>
      <c r="H1613" s="36"/>
      <c r="I1613" s="36"/>
      <c r="J1613" s="36"/>
      <c r="K1613" s="36"/>
      <c r="L1613" s="36"/>
      <c r="M1613" s="36"/>
      <c r="N1613" s="36"/>
      <c r="O1613" s="36"/>
      <c r="P1613" s="36"/>
      <c r="Q1613" s="36"/>
      <c r="R1613" s="36"/>
    </row>
    <row r="1614" spans="2:18" ht="48.75">
      <c r="B1614" s="20"/>
      <c r="C1614" s="6"/>
      <c r="D1614" s="73"/>
      <c r="E1614" s="73"/>
      <c r="F1614" s="73"/>
      <c r="G1614" s="73"/>
      <c r="H1614" s="73"/>
      <c r="I1614" s="73"/>
      <c r="J1614" s="73"/>
      <c r="K1614" s="73"/>
      <c r="L1614" s="73"/>
      <c r="M1614" s="73"/>
      <c r="N1614" s="73"/>
      <c r="O1614" s="73"/>
      <c r="P1614" s="73"/>
      <c r="Q1614" s="73"/>
      <c r="R1614" s="73"/>
    </row>
    <row r="1615" spans="2:18">
      <c r="B1615" s="12"/>
      <c r="C1615" s="31"/>
      <c r="D1615" s="47"/>
      <c r="E1615" s="47"/>
      <c r="F1615" s="47"/>
      <c r="G1615" s="47"/>
      <c r="H1615" s="47"/>
      <c r="I1615" s="47"/>
      <c r="J1615" s="47"/>
      <c r="K1615" s="47"/>
      <c r="L1615" s="47"/>
      <c r="M1615" s="47"/>
      <c r="N1615" s="47"/>
      <c r="O1615" s="47"/>
      <c r="P1615" s="47"/>
      <c r="Q1615" s="47"/>
      <c r="R1615" s="47"/>
    </row>
    <row r="1616" spans="2:18" ht="39.75">
      <c r="B1616" s="16"/>
      <c r="C1616" s="6"/>
      <c r="D1616" s="46"/>
      <c r="E1616" s="46"/>
      <c r="F1616" s="46"/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</row>
    <row r="1617" spans="2:18" ht="58.5">
      <c r="B1617" s="18">
        <f>B1613+1</f>
        <v>404</v>
      </c>
      <c r="C1617" s="6"/>
      <c r="D1617" s="36"/>
      <c r="E1617" s="36"/>
      <c r="F1617" s="36"/>
      <c r="G1617" s="36"/>
      <c r="H1617" s="36"/>
      <c r="I1617" s="36"/>
      <c r="J1617" s="36"/>
      <c r="K1617" s="36"/>
      <c r="L1617" s="36"/>
      <c r="M1617" s="36"/>
      <c r="N1617" s="36"/>
      <c r="O1617" s="36"/>
      <c r="P1617" s="36"/>
      <c r="Q1617" s="36"/>
      <c r="R1617" s="36"/>
    </row>
    <row r="1618" spans="2:18" ht="48.75">
      <c r="B1618" s="20"/>
      <c r="C1618" s="6"/>
      <c r="D1618" s="73"/>
      <c r="E1618" s="73"/>
      <c r="F1618" s="73"/>
      <c r="G1618" s="73"/>
      <c r="H1618" s="73"/>
      <c r="I1618" s="73"/>
      <c r="J1618" s="73"/>
      <c r="K1618" s="73"/>
      <c r="L1618" s="73"/>
      <c r="M1618" s="73"/>
      <c r="N1618" s="73"/>
      <c r="O1618" s="73"/>
      <c r="P1618" s="73"/>
      <c r="Q1618" s="73"/>
      <c r="R1618" s="73"/>
    </row>
    <row r="1619" spans="2:18">
      <c r="B1619" s="12"/>
      <c r="C1619" s="31"/>
      <c r="D1619" s="47"/>
      <c r="E1619" s="47"/>
      <c r="F1619" s="47"/>
      <c r="G1619" s="47"/>
      <c r="H1619" s="47"/>
      <c r="I1619" s="47"/>
      <c r="J1619" s="47"/>
      <c r="K1619" s="47"/>
      <c r="L1619" s="47"/>
      <c r="M1619" s="47"/>
      <c r="N1619" s="47"/>
      <c r="O1619" s="47"/>
      <c r="P1619" s="47"/>
      <c r="Q1619" s="47"/>
      <c r="R1619" s="47"/>
    </row>
    <row r="1620" spans="2:18" ht="39.75">
      <c r="B1620" s="16"/>
      <c r="C1620" s="6"/>
      <c r="D1620" s="46"/>
      <c r="E1620" s="46"/>
      <c r="F1620" s="46"/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</row>
    <row r="1621" spans="2:18" ht="58.5">
      <c r="B1621" s="18">
        <f>B1617+1</f>
        <v>405</v>
      </c>
      <c r="C1621" s="6"/>
      <c r="D1621" s="36"/>
      <c r="E1621" s="36"/>
      <c r="F1621" s="36"/>
      <c r="G1621" s="36"/>
      <c r="H1621" s="36"/>
      <c r="I1621" s="36"/>
      <c r="J1621" s="36"/>
      <c r="K1621" s="36"/>
      <c r="L1621" s="36"/>
      <c r="M1621" s="36"/>
      <c r="N1621" s="36"/>
      <c r="O1621" s="36"/>
      <c r="P1621" s="36"/>
      <c r="Q1621" s="36"/>
      <c r="R1621" s="36"/>
    </row>
    <row r="1622" spans="2:18" ht="48.75">
      <c r="B1622" s="20"/>
      <c r="C1622" s="6"/>
      <c r="D1622" s="73"/>
      <c r="E1622" s="73"/>
      <c r="F1622" s="73"/>
      <c r="G1622" s="73"/>
      <c r="H1622" s="73"/>
      <c r="I1622" s="73"/>
      <c r="J1622" s="73"/>
      <c r="K1622" s="73"/>
      <c r="L1622" s="73"/>
      <c r="M1622" s="73"/>
      <c r="N1622" s="73"/>
      <c r="O1622" s="73"/>
      <c r="P1622" s="73"/>
      <c r="Q1622" s="73"/>
      <c r="R1622" s="73"/>
    </row>
    <row r="1623" spans="2:18">
      <c r="B1623" s="12"/>
      <c r="C1623" s="31"/>
      <c r="D1623" s="47"/>
      <c r="E1623" s="47"/>
      <c r="F1623" s="47"/>
      <c r="G1623" s="47"/>
      <c r="H1623" s="47"/>
      <c r="I1623" s="47"/>
      <c r="J1623" s="47"/>
      <c r="K1623" s="47"/>
      <c r="L1623" s="47"/>
      <c r="M1623" s="47"/>
      <c r="N1623" s="47"/>
      <c r="O1623" s="47"/>
      <c r="P1623" s="47"/>
      <c r="Q1623" s="47"/>
      <c r="R1623" s="47"/>
    </row>
    <row r="1624" spans="2:18" ht="39.75">
      <c r="B1624" s="16"/>
      <c r="C1624" s="6"/>
      <c r="D1624" s="46"/>
      <c r="E1624" s="46"/>
      <c r="F1624" s="46"/>
      <c r="G1624" s="46"/>
      <c r="H1624" s="46"/>
      <c r="I1624" s="46"/>
      <c r="J1624" s="46"/>
      <c r="K1624" s="46"/>
      <c r="L1624" s="46"/>
      <c r="M1624" s="46"/>
      <c r="N1624" s="46"/>
      <c r="O1624" s="46"/>
      <c r="P1624" s="46"/>
      <c r="Q1624" s="46"/>
      <c r="R1624" s="46"/>
    </row>
    <row r="1625" spans="2:18" ht="58.5">
      <c r="B1625" s="18">
        <f>B1621+1</f>
        <v>406</v>
      </c>
      <c r="C1625" s="6"/>
      <c r="D1625" s="36"/>
      <c r="E1625" s="36"/>
      <c r="F1625" s="36"/>
      <c r="G1625" s="36"/>
      <c r="H1625" s="36"/>
      <c r="I1625" s="36"/>
      <c r="J1625" s="36"/>
      <c r="K1625" s="36"/>
      <c r="L1625" s="36"/>
      <c r="M1625" s="36"/>
      <c r="N1625" s="36"/>
      <c r="O1625" s="36"/>
      <c r="P1625" s="36"/>
      <c r="Q1625" s="36"/>
      <c r="R1625" s="36"/>
    </row>
    <row r="1626" spans="2:18" ht="48.75">
      <c r="B1626" s="20"/>
      <c r="C1626" s="6"/>
      <c r="D1626" s="73"/>
      <c r="E1626" s="73"/>
      <c r="F1626" s="73"/>
      <c r="G1626" s="73"/>
      <c r="H1626" s="73"/>
      <c r="I1626" s="73"/>
      <c r="J1626" s="73"/>
      <c r="K1626" s="73"/>
      <c r="L1626" s="73"/>
      <c r="M1626" s="73"/>
      <c r="N1626" s="73"/>
      <c r="O1626" s="73"/>
      <c r="P1626" s="73"/>
      <c r="Q1626" s="73"/>
      <c r="R1626" s="73"/>
    </row>
    <row r="1627" spans="2:18">
      <c r="B1627" s="12"/>
      <c r="C1627" s="31"/>
      <c r="D1627" s="47"/>
      <c r="E1627" s="47"/>
      <c r="F1627" s="47"/>
      <c r="G1627" s="47"/>
      <c r="H1627" s="47"/>
      <c r="I1627" s="47"/>
      <c r="J1627" s="47"/>
      <c r="K1627" s="47"/>
      <c r="L1627" s="47"/>
      <c r="M1627" s="47"/>
      <c r="N1627" s="47"/>
      <c r="O1627" s="47"/>
      <c r="P1627" s="47"/>
      <c r="Q1627" s="47"/>
      <c r="R1627" s="47"/>
    </row>
    <row r="1628" spans="2:18" ht="39.75">
      <c r="B1628" s="16"/>
      <c r="C1628" s="6"/>
      <c r="D1628" s="46"/>
      <c r="E1628" s="46"/>
      <c r="F1628" s="46"/>
      <c r="G1628" s="46"/>
      <c r="H1628" s="46"/>
      <c r="I1628" s="46"/>
      <c r="J1628" s="46"/>
      <c r="K1628" s="46"/>
      <c r="L1628" s="46"/>
      <c r="M1628" s="46"/>
      <c r="N1628" s="46"/>
      <c r="O1628" s="46"/>
      <c r="P1628" s="46"/>
      <c r="Q1628" s="46"/>
      <c r="R1628" s="46"/>
    </row>
    <row r="1629" spans="2:18" ht="58.5">
      <c r="B1629" s="18">
        <f>B1625+1</f>
        <v>407</v>
      </c>
      <c r="C1629" s="6"/>
      <c r="D1629" s="36"/>
      <c r="E1629" s="36"/>
      <c r="F1629" s="36"/>
      <c r="G1629" s="36"/>
      <c r="H1629" s="36"/>
      <c r="I1629" s="36"/>
      <c r="J1629" s="36"/>
      <c r="K1629" s="36"/>
      <c r="L1629" s="36"/>
      <c r="M1629" s="36"/>
      <c r="N1629" s="36"/>
      <c r="O1629" s="36"/>
      <c r="P1629" s="36"/>
      <c r="Q1629" s="36"/>
      <c r="R1629" s="36"/>
    </row>
    <row r="1630" spans="2:18" ht="48.75">
      <c r="B1630" s="20"/>
      <c r="C1630" s="6"/>
      <c r="D1630" s="73"/>
      <c r="E1630" s="73"/>
      <c r="F1630" s="73"/>
      <c r="G1630" s="73"/>
      <c r="H1630" s="73"/>
      <c r="I1630" s="73"/>
      <c r="J1630" s="73"/>
      <c r="K1630" s="73"/>
      <c r="L1630" s="73"/>
      <c r="M1630" s="73"/>
      <c r="N1630" s="73"/>
      <c r="O1630" s="73"/>
      <c r="P1630" s="73"/>
      <c r="Q1630" s="73"/>
      <c r="R1630" s="73"/>
    </row>
    <row r="1631" spans="2:18">
      <c r="B1631" s="12"/>
      <c r="C1631" s="31"/>
      <c r="D1631" s="47"/>
      <c r="E1631" s="47"/>
      <c r="F1631" s="47"/>
      <c r="G1631" s="47"/>
      <c r="H1631" s="47"/>
      <c r="I1631" s="47"/>
      <c r="J1631" s="47"/>
      <c r="K1631" s="47"/>
      <c r="L1631" s="47"/>
      <c r="M1631" s="47"/>
      <c r="N1631" s="47"/>
      <c r="O1631" s="47"/>
      <c r="P1631" s="47"/>
      <c r="Q1631" s="47"/>
      <c r="R1631" s="47"/>
    </row>
    <row r="1632" spans="2:18" ht="39.75">
      <c r="B1632" s="16"/>
      <c r="C1632" s="6"/>
      <c r="D1632" s="46"/>
      <c r="E1632" s="46"/>
      <c r="F1632" s="46"/>
      <c r="G1632" s="46"/>
      <c r="H1632" s="46"/>
      <c r="I1632" s="46"/>
      <c r="J1632" s="46"/>
      <c r="K1632" s="46"/>
      <c r="L1632" s="46"/>
      <c r="M1632" s="46"/>
      <c r="N1632" s="46"/>
      <c r="O1632" s="46"/>
      <c r="P1632" s="46"/>
      <c r="Q1632" s="46"/>
      <c r="R1632" s="46"/>
    </row>
    <row r="1633" spans="2:18" ht="58.5">
      <c r="B1633" s="18">
        <f>B1629+1</f>
        <v>408</v>
      </c>
      <c r="C1633" s="6"/>
      <c r="D1633" s="36"/>
      <c r="E1633" s="36"/>
      <c r="F1633" s="36"/>
      <c r="G1633" s="36"/>
      <c r="H1633" s="36"/>
      <c r="I1633" s="36"/>
      <c r="J1633" s="36"/>
      <c r="K1633" s="36"/>
      <c r="L1633" s="36"/>
      <c r="M1633" s="36"/>
      <c r="N1633" s="36"/>
      <c r="O1633" s="36"/>
      <c r="P1633" s="36"/>
      <c r="Q1633" s="36"/>
      <c r="R1633" s="36"/>
    </row>
    <row r="1634" spans="2:18" ht="48.75">
      <c r="B1634" s="20"/>
      <c r="C1634" s="6"/>
      <c r="D1634" s="73"/>
      <c r="E1634" s="73"/>
      <c r="F1634" s="73"/>
      <c r="G1634" s="73"/>
      <c r="H1634" s="73"/>
      <c r="I1634" s="73"/>
      <c r="J1634" s="73"/>
      <c r="K1634" s="73"/>
      <c r="L1634" s="73"/>
      <c r="M1634" s="73"/>
      <c r="N1634" s="73"/>
      <c r="O1634" s="73"/>
      <c r="P1634" s="73"/>
      <c r="Q1634" s="73"/>
      <c r="R1634" s="73"/>
    </row>
    <row r="1635" spans="2:18">
      <c r="B1635" s="12"/>
      <c r="C1635" s="31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</row>
    <row r="1636" spans="2:18" ht="39.75">
      <c r="B1636" s="16"/>
      <c r="C1636" s="6"/>
      <c r="D1636" s="46"/>
      <c r="E1636" s="46"/>
      <c r="F1636" s="46"/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</row>
    <row r="1637" spans="2:18" ht="58.5">
      <c r="B1637" s="18">
        <f>B1633+1</f>
        <v>409</v>
      </c>
      <c r="C1637" s="6"/>
      <c r="D1637" s="36"/>
      <c r="E1637" s="36"/>
      <c r="F1637" s="36"/>
      <c r="G1637" s="36"/>
      <c r="H1637" s="36"/>
      <c r="I1637" s="36"/>
      <c r="J1637" s="36"/>
      <c r="K1637" s="36"/>
      <c r="L1637" s="36"/>
      <c r="M1637" s="36"/>
      <c r="N1637" s="36"/>
      <c r="O1637" s="36"/>
      <c r="P1637" s="36"/>
      <c r="Q1637" s="36"/>
      <c r="R1637" s="36"/>
    </row>
    <row r="1638" spans="2:18" ht="48.75">
      <c r="B1638" s="20"/>
      <c r="C1638" s="6"/>
      <c r="D1638" s="73"/>
      <c r="E1638" s="73"/>
      <c r="F1638" s="73"/>
      <c r="G1638" s="73"/>
      <c r="H1638" s="73"/>
      <c r="I1638" s="73"/>
      <c r="J1638" s="73"/>
      <c r="K1638" s="73"/>
      <c r="L1638" s="73"/>
      <c r="M1638" s="73"/>
      <c r="N1638" s="73"/>
      <c r="O1638" s="73"/>
      <c r="P1638" s="73"/>
      <c r="Q1638" s="73"/>
      <c r="R1638" s="73"/>
    </row>
    <row r="1639" spans="2:18">
      <c r="B1639" s="12"/>
      <c r="C1639" s="31"/>
      <c r="D1639" s="47"/>
      <c r="E1639" s="47"/>
      <c r="F1639" s="47"/>
      <c r="G1639" s="47"/>
      <c r="H1639" s="47"/>
      <c r="I1639" s="47"/>
      <c r="J1639" s="47"/>
      <c r="K1639" s="47"/>
      <c r="L1639" s="47"/>
      <c r="M1639" s="47"/>
      <c r="N1639" s="47"/>
      <c r="O1639" s="47"/>
      <c r="P1639" s="47"/>
      <c r="Q1639" s="47"/>
      <c r="R1639" s="47"/>
    </row>
    <row r="1640" spans="2:18" ht="39.75">
      <c r="B1640" s="16"/>
      <c r="C1640" s="6"/>
      <c r="D1640" s="46"/>
      <c r="E1640" s="46"/>
      <c r="F1640" s="46"/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</row>
    <row r="1641" spans="2:18" ht="58.5">
      <c r="B1641" s="18">
        <f>B1637+1</f>
        <v>410</v>
      </c>
      <c r="C1641" s="6"/>
      <c r="D1641" s="36"/>
      <c r="E1641" s="36"/>
      <c r="F1641" s="36"/>
      <c r="G1641" s="36"/>
      <c r="H1641" s="36"/>
      <c r="I1641" s="36"/>
      <c r="J1641" s="36"/>
      <c r="K1641" s="36"/>
      <c r="L1641" s="36"/>
      <c r="M1641" s="36"/>
      <c r="N1641" s="36"/>
      <c r="O1641" s="36"/>
      <c r="P1641" s="36"/>
      <c r="Q1641" s="36"/>
      <c r="R1641" s="36"/>
    </row>
    <row r="1642" spans="2:18" ht="48.75">
      <c r="B1642" s="20"/>
      <c r="C1642" s="6"/>
      <c r="D1642" s="73"/>
      <c r="E1642" s="73"/>
      <c r="F1642" s="73"/>
      <c r="G1642" s="73"/>
      <c r="H1642" s="73"/>
      <c r="I1642" s="73"/>
      <c r="J1642" s="73"/>
      <c r="K1642" s="73"/>
      <c r="L1642" s="73"/>
      <c r="M1642" s="73"/>
      <c r="N1642" s="73"/>
      <c r="O1642" s="73"/>
      <c r="P1642" s="73"/>
      <c r="Q1642" s="73"/>
      <c r="R1642" s="73"/>
    </row>
    <row r="1643" spans="2:18">
      <c r="B1643" s="12"/>
      <c r="C1643" s="31"/>
      <c r="D1643" s="47"/>
      <c r="E1643" s="47"/>
      <c r="F1643" s="47"/>
      <c r="G1643" s="47"/>
      <c r="H1643" s="47"/>
      <c r="I1643" s="47"/>
      <c r="J1643" s="47"/>
      <c r="K1643" s="47"/>
      <c r="L1643" s="47"/>
      <c r="M1643" s="47"/>
      <c r="N1643" s="47"/>
      <c r="O1643" s="47"/>
      <c r="P1643" s="47"/>
      <c r="Q1643" s="47"/>
      <c r="R1643" s="47"/>
    </row>
    <row r="1644" spans="2:18" ht="39.75">
      <c r="B1644" s="16"/>
      <c r="C1644" s="6"/>
      <c r="D1644" s="46"/>
      <c r="E1644" s="46"/>
      <c r="F1644" s="46"/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</row>
    <row r="1645" spans="2:18" ht="58.5">
      <c r="B1645" s="18">
        <f>B1641+1</f>
        <v>411</v>
      </c>
      <c r="C1645" s="6"/>
      <c r="D1645" s="36"/>
      <c r="E1645" s="36"/>
      <c r="F1645" s="36"/>
      <c r="G1645" s="36"/>
      <c r="H1645" s="36"/>
      <c r="I1645" s="36"/>
      <c r="J1645" s="36"/>
      <c r="K1645" s="36"/>
      <c r="L1645" s="36"/>
      <c r="M1645" s="36"/>
      <c r="N1645" s="36"/>
      <c r="O1645" s="36"/>
      <c r="P1645" s="36"/>
      <c r="Q1645" s="36"/>
      <c r="R1645" s="36"/>
    </row>
    <row r="1646" spans="2:18" ht="48.75">
      <c r="B1646" s="20"/>
      <c r="C1646" s="6"/>
      <c r="D1646" s="73"/>
      <c r="E1646" s="73"/>
      <c r="F1646" s="73"/>
      <c r="G1646" s="73"/>
      <c r="H1646" s="73"/>
      <c r="I1646" s="73"/>
      <c r="J1646" s="73"/>
      <c r="K1646" s="73"/>
      <c r="L1646" s="73"/>
      <c r="M1646" s="73"/>
      <c r="N1646" s="73"/>
      <c r="O1646" s="73"/>
      <c r="P1646" s="73"/>
      <c r="Q1646" s="73"/>
      <c r="R1646" s="73"/>
    </row>
    <row r="1647" spans="2:18">
      <c r="B1647" s="12"/>
      <c r="C1647" s="31"/>
      <c r="D1647" s="47"/>
      <c r="E1647" s="47"/>
      <c r="F1647" s="47"/>
      <c r="G1647" s="47"/>
      <c r="H1647" s="47"/>
      <c r="I1647" s="47"/>
      <c r="J1647" s="47"/>
      <c r="K1647" s="47"/>
      <c r="L1647" s="47"/>
      <c r="M1647" s="47"/>
      <c r="N1647" s="47"/>
      <c r="O1647" s="47"/>
      <c r="P1647" s="47"/>
      <c r="Q1647" s="47"/>
      <c r="R1647" s="47"/>
    </row>
    <row r="1648" spans="2:18" ht="39.75">
      <c r="B1648" s="16"/>
      <c r="C1648" s="6"/>
      <c r="D1648" s="46"/>
      <c r="E1648" s="46"/>
      <c r="F1648" s="46"/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</row>
    <row r="1649" spans="2:18" ht="58.5">
      <c r="B1649" s="18">
        <f>B1645+1</f>
        <v>412</v>
      </c>
      <c r="C1649" s="6"/>
      <c r="D1649" s="36"/>
      <c r="E1649" s="36"/>
      <c r="F1649" s="36"/>
      <c r="G1649" s="36"/>
      <c r="H1649" s="36"/>
      <c r="I1649" s="36"/>
      <c r="J1649" s="36"/>
      <c r="K1649" s="36"/>
      <c r="L1649" s="36"/>
      <c r="M1649" s="36"/>
      <c r="N1649" s="36"/>
      <c r="O1649" s="36"/>
      <c r="P1649" s="36"/>
      <c r="Q1649" s="36"/>
      <c r="R1649" s="36"/>
    </row>
    <row r="1650" spans="2:18" ht="48.75">
      <c r="B1650" s="20"/>
      <c r="C1650" s="6"/>
      <c r="D1650" s="73"/>
      <c r="E1650" s="73"/>
      <c r="F1650" s="73"/>
      <c r="G1650" s="73"/>
      <c r="H1650" s="73"/>
      <c r="I1650" s="73"/>
      <c r="J1650" s="73"/>
      <c r="K1650" s="73"/>
      <c r="L1650" s="73"/>
      <c r="M1650" s="73"/>
      <c r="N1650" s="73"/>
      <c r="O1650" s="73"/>
      <c r="P1650" s="73"/>
      <c r="Q1650" s="73"/>
      <c r="R1650" s="73"/>
    </row>
    <row r="1651" spans="2:18">
      <c r="B1651" s="12"/>
      <c r="C1651" s="31"/>
      <c r="D1651" s="47"/>
      <c r="E1651" s="47"/>
      <c r="F1651" s="47"/>
      <c r="G1651" s="47"/>
      <c r="H1651" s="47"/>
      <c r="I1651" s="47"/>
      <c r="J1651" s="47"/>
      <c r="K1651" s="47"/>
      <c r="L1651" s="47"/>
      <c r="M1651" s="47"/>
      <c r="N1651" s="47"/>
      <c r="O1651" s="47"/>
      <c r="P1651" s="47"/>
      <c r="Q1651" s="47"/>
      <c r="R1651" s="47"/>
    </row>
    <row r="1652" spans="2:18" ht="39.75">
      <c r="B1652" s="16"/>
      <c r="C1652" s="6"/>
      <c r="D1652" s="46"/>
      <c r="E1652" s="46"/>
      <c r="F1652" s="46"/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</row>
    <row r="1653" spans="2:18" ht="58.5">
      <c r="B1653" s="18">
        <f>B1649+1</f>
        <v>413</v>
      </c>
      <c r="C1653" s="6"/>
      <c r="D1653" s="36"/>
      <c r="E1653" s="36"/>
      <c r="F1653" s="36"/>
      <c r="G1653" s="36"/>
      <c r="H1653" s="36"/>
      <c r="I1653" s="36"/>
      <c r="J1653" s="36"/>
      <c r="K1653" s="36"/>
      <c r="L1653" s="36"/>
      <c r="M1653" s="36"/>
      <c r="N1653" s="36"/>
      <c r="O1653" s="36"/>
      <c r="P1653" s="36"/>
      <c r="Q1653" s="36"/>
      <c r="R1653" s="36"/>
    </row>
    <row r="1654" spans="2:18" ht="48.75">
      <c r="B1654" s="20"/>
      <c r="C1654" s="6"/>
      <c r="D1654" s="73"/>
      <c r="E1654" s="73"/>
      <c r="F1654" s="73"/>
      <c r="G1654" s="73"/>
      <c r="H1654" s="73"/>
      <c r="I1654" s="73"/>
      <c r="J1654" s="73"/>
      <c r="K1654" s="73"/>
      <c r="L1654" s="73"/>
      <c r="M1654" s="73"/>
      <c r="N1654" s="73"/>
      <c r="O1654" s="73"/>
      <c r="P1654" s="73"/>
      <c r="Q1654" s="73"/>
      <c r="R1654" s="73"/>
    </row>
    <row r="1655" spans="2:18">
      <c r="B1655" s="12"/>
      <c r="C1655" s="31"/>
      <c r="D1655" s="47"/>
      <c r="E1655" s="47"/>
      <c r="F1655" s="47"/>
      <c r="G1655" s="47"/>
      <c r="H1655" s="47"/>
      <c r="I1655" s="47"/>
      <c r="J1655" s="47"/>
      <c r="K1655" s="47"/>
      <c r="L1655" s="47"/>
      <c r="M1655" s="47"/>
      <c r="N1655" s="47"/>
      <c r="O1655" s="47"/>
      <c r="P1655" s="47"/>
      <c r="Q1655" s="47"/>
      <c r="R1655" s="47"/>
    </row>
    <row r="1656" spans="2:18" ht="39.75">
      <c r="B1656" s="16"/>
      <c r="C1656" s="6"/>
      <c r="D1656" s="46"/>
      <c r="E1656" s="46"/>
      <c r="F1656" s="46"/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</row>
    <row r="1657" spans="2:18" ht="58.5">
      <c r="B1657" s="18">
        <f>B1653+1</f>
        <v>414</v>
      </c>
      <c r="C1657" s="6"/>
      <c r="D1657" s="36"/>
      <c r="E1657" s="36"/>
      <c r="F1657" s="36"/>
      <c r="G1657" s="36"/>
      <c r="H1657" s="36"/>
      <c r="I1657" s="36"/>
      <c r="J1657" s="36"/>
      <c r="K1657" s="36"/>
      <c r="L1657" s="36"/>
      <c r="M1657" s="36"/>
      <c r="N1657" s="36"/>
      <c r="O1657" s="36"/>
      <c r="P1657" s="36"/>
      <c r="Q1657" s="36"/>
      <c r="R1657" s="36"/>
    </row>
    <row r="1658" spans="2:18" ht="48.75">
      <c r="B1658" s="20"/>
      <c r="C1658" s="6"/>
      <c r="D1658" s="73"/>
      <c r="E1658" s="73"/>
      <c r="F1658" s="73"/>
      <c r="G1658" s="73"/>
      <c r="H1658" s="73"/>
      <c r="I1658" s="73"/>
      <c r="J1658" s="73"/>
      <c r="K1658" s="73"/>
      <c r="L1658" s="73"/>
      <c r="M1658" s="73"/>
      <c r="N1658" s="73"/>
      <c r="O1658" s="73"/>
      <c r="P1658" s="73"/>
      <c r="Q1658" s="73"/>
      <c r="R1658" s="73"/>
    </row>
    <row r="1659" spans="2:18">
      <c r="B1659" s="12"/>
      <c r="C1659" s="31"/>
      <c r="D1659" s="47"/>
      <c r="E1659" s="47"/>
      <c r="F1659" s="47"/>
      <c r="G1659" s="47"/>
      <c r="H1659" s="47"/>
      <c r="I1659" s="47"/>
      <c r="J1659" s="47"/>
      <c r="K1659" s="47"/>
      <c r="L1659" s="47"/>
      <c r="M1659" s="47"/>
      <c r="N1659" s="47"/>
      <c r="O1659" s="47"/>
      <c r="P1659" s="47"/>
      <c r="Q1659" s="47"/>
      <c r="R1659" s="47"/>
    </row>
    <row r="1660" spans="2:18" ht="39.75">
      <c r="B1660" s="16"/>
      <c r="C1660" s="6"/>
      <c r="D1660" s="46"/>
      <c r="E1660" s="46"/>
      <c r="F1660" s="46"/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</row>
    <row r="1661" spans="2:18" ht="58.5">
      <c r="B1661" s="18">
        <f>B1657+1</f>
        <v>415</v>
      </c>
      <c r="C1661" s="6"/>
      <c r="D1661" s="36"/>
      <c r="E1661" s="36"/>
      <c r="F1661" s="36"/>
      <c r="G1661" s="36"/>
      <c r="H1661" s="36"/>
      <c r="I1661" s="36"/>
      <c r="J1661" s="36"/>
      <c r="K1661" s="36"/>
      <c r="L1661" s="36"/>
      <c r="M1661" s="36"/>
      <c r="N1661" s="36"/>
      <c r="O1661" s="36"/>
      <c r="P1661" s="36"/>
      <c r="Q1661" s="36"/>
      <c r="R1661" s="36"/>
    </row>
    <row r="1662" spans="2:18" ht="48.75">
      <c r="B1662" s="20"/>
      <c r="C1662" s="6"/>
      <c r="D1662" s="73"/>
      <c r="E1662" s="73"/>
      <c r="F1662" s="73"/>
      <c r="G1662" s="73"/>
      <c r="H1662" s="73"/>
      <c r="I1662" s="73"/>
      <c r="J1662" s="73"/>
      <c r="K1662" s="73"/>
      <c r="L1662" s="73"/>
      <c r="M1662" s="73"/>
      <c r="N1662" s="73"/>
      <c r="O1662" s="73"/>
      <c r="P1662" s="73"/>
      <c r="Q1662" s="73"/>
      <c r="R1662" s="73"/>
    </row>
    <row r="1663" spans="2:18">
      <c r="B1663" s="12"/>
      <c r="C1663" s="31"/>
      <c r="D1663" s="47"/>
      <c r="E1663" s="47"/>
      <c r="F1663" s="47"/>
      <c r="G1663" s="47"/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R1663" s="47"/>
    </row>
    <row r="1664" spans="2:18" ht="39.75">
      <c r="B1664" s="16"/>
      <c r="C1664" s="6"/>
      <c r="D1664" s="46"/>
      <c r="E1664" s="46"/>
      <c r="F1664" s="46"/>
      <c r="G1664" s="46"/>
      <c r="H1664" s="46"/>
      <c r="I1664" s="46"/>
      <c r="J1664" s="46"/>
      <c r="K1664" s="46"/>
      <c r="L1664" s="46"/>
      <c r="M1664" s="46"/>
      <c r="N1664" s="46"/>
      <c r="O1664" s="46"/>
      <c r="P1664" s="46"/>
      <c r="Q1664" s="46"/>
      <c r="R1664" s="46"/>
    </row>
    <row r="1665" spans="2:18" ht="58.5">
      <c r="B1665" s="18">
        <f>B1661+1</f>
        <v>416</v>
      </c>
      <c r="C1665" s="6"/>
      <c r="D1665" s="36"/>
      <c r="E1665" s="36"/>
      <c r="F1665" s="36"/>
      <c r="G1665" s="36"/>
      <c r="H1665" s="36"/>
      <c r="I1665" s="36"/>
      <c r="J1665" s="36"/>
      <c r="K1665" s="36"/>
      <c r="L1665" s="36"/>
      <c r="M1665" s="36"/>
      <c r="N1665" s="36"/>
      <c r="O1665" s="36"/>
      <c r="P1665" s="36"/>
      <c r="Q1665" s="36"/>
      <c r="R1665" s="36"/>
    </row>
    <row r="1666" spans="2:18" ht="48.75">
      <c r="B1666" s="20"/>
      <c r="C1666" s="6"/>
      <c r="D1666" s="73"/>
      <c r="E1666" s="73"/>
      <c r="F1666" s="73"/>
      <c r="G1666" s="73"/>
      <c r="H1666" s="73"/>
      <c r="I1666" s="73"/>
      <c r="J1666" s="73"/>
      <c r="K1666" s="73"/>
      <c r="L1666" s="73"/>
      <c r="M1666" s="73"/>
      <c r="N1666" s="73"/>
      <c r="O1666" s="73"/>
      <c r="P1666" s="73"/>
      <c r="Q1666" s="73"/>
      <c r="R1666" s="73"/>
    </row>
    <row r="1667" spans="2:18">
      <c r="B1667" s="12"/>
      <c r="C1667" s="31"/>
      <c r="D1667" s="47"/>
      <c r="E1667" s="47"/>
      <c r="F1667" s="47"/>
      <c r="G1667" s="47"/>
      <c r="H1667" s="47"/>
      <c r="I1667" s="47"/>
      <c r="J1667" s="47"/>
      <c r="K1667" s="47"/>
      <c r="L1667" s="47"/>
      <c r="M1667" s="47"/>
      <c r="N1667" s="47"/>
      <c r="O1667" s="47"/>
      <c r="P1667" s="47"/>
      <c r="Q1667" s="47"/>
      <c r="R1667" s="47"/>
    </row>
    <row r="1668" spans="2:18" ht="39.75">
      <c r="B1668" s="16"/>
      <c r="C1668" s="6"/>
      <c r="D1668" s="46"/>
      <c r="E1668" s="46"/>
      <c r="F1668" s="46"/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</row>
    <row r="1669" spans="2:18" ht="58.5">
      <c r="B1669" s="18">
        <f>B1665+1</f>
        <v>417</v>
      </c>
      <c r="C1669" s="6"/>
      <c r="D1669" s="36"/>
      <c r="E1669" s="36"/>
      <c r="F1669" s="36"/>
      <c r="G1669" s="36"/>
      <c r="H1669" s="36"/>
      <c r="I1669" s="36"/>
      <c r="J1669" s="36"/>
      <c r="K1669" s="36"/>
      <c r="L1669" s="36"/>
      <c r="M1669" s="36"/>
      <c r="N1669" s="36"/>
      <c r="O1669" s="36"/>
      <c r="P1669" s="36"/>
      <c r="Q1669" s="36"/>
      <c r="R1669" s="36"/>
    </row>
    <row r="1670" spans="2:18" ht="48.75">
      <c r="B1670" s="20"/>
      <c r="C1670" s="6"/>
      <c r="D1670" s="73"/>
      <c r="E1670" s="73"/>
      <c r="F1670" s="73"/>
      <c r="G1670" s="73"/>
      <c r="H1670" s="73"/>
      <c r="I1670" s="73"/>
      <c r="J1670" s="73"/>
      <c r="K1670" s="73"/>
      <c r="L1670" s="73"/>
      <c r="M1670" s="73"/>
      <c r="N1670" s="73"/>
      <c r="O1670" s="73"/>
      <c r="P1670" s="73"/>
      <c r="Q1670" s="73"/>
      <c r="R1670" s="73"/>
    </row>
    <row r="1671" spans="2:18">
      <c r="B1671" s="12"/>
      <c r="C1671" s="31"/>
      <c r="D1671" s="47"/>
      <c r="E1671" s="47"/>
      <c r="F1671" s="47"/>
      <c r="G1671" s="47"/>
      <c r="H1671" s="47"/>
      <c r="I1671" s="47"/>
      <c r="J1671" s="47"/>
      <c r="K1671" s="47"/>
      <c r="L1671" s="47"/>
      <c r="M1671" s="47"/>
      <c r="N1671" s="47"/>
      <c r="O1671" s="47"/>
      <c r="P1671" s="47"/>
      <c r="Q1671" s="47"/>
      <c r="R1671" s="47"/>
    </row>
    <row r="1672" spans="2:18" ht="39.75">
      <c r="B1672" s="16"/>
      <c r="C1672" s="6"/>
      <c r="D1672" s="46"/>
      <c r="E1672" s="46"/>
      <c r="F1672" s="46"/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</row>
    <row r="1673" spans="2:18" ht="58.5">
      <c r="B1673" s="18">
        <f>B1669+1</f>
        <v>418</v>
      </c>
      <c r="C1673" s="6"/>
      <c r="D1673" s="36"/>
      <c r="E1673" s="36"/>
      <c r="F1673" s="36"/>
      <c r="G1673" s="36"/>
      <c r="H1673" s="36"/>
      <c r="I1673" s="36"/>
      <c r="J1673" s="36"/>
      <c r="K1673" s="36"/>
      <c r="L1673" s="36"/>
      <c r="M1673" s="36"/>
      <c r="N1673" s="36"/>
      <c r="O1673" s="36"/>
      <c r="P1673" s="36"/>
      <c r="Q1673" s="36"/>
      <c r="R1673" s="36"/>
    </row>
    <row r="1674" spans="2:18" ht="48.75">
      <c r="B1674" s="20"/>
      <c r="C1674" s="6"/>
      <c r="D1674" s="73"/>
      <c r="E1674" s="73"/>
      <c r="F1674" s="73"/>
      <c r="G1674" s="73"/>
      <c r="H1674" s="73"/>
      <c r="I1674" s="73"/>
      <c r="J1674" s="73"/>
      <c r="K1674" s="73"/>
      <c r="L1674" s="73"/>
      <c r="M1674" s="73"/>
      <c r="N1674" s="73"/>
      <c r="O1674" s="73"/>
      <c r="P1674" s="73"/>
      <c r="Q1674" s="73"/>
      <c r="R1674" s="73"/>
    </row>
    <row r="1675" spans="2:18">
      <c r="B1675" s="12"/>
      <c r="C1675" s="31"/>
      <c r="D1675" s="47"/>
      <c r="E1675" s="47"/>
      <c r="F1675" s="47"/>
      <c r="G1675" s="47"/>
      <c r="H1675" s="47"/>
      <c r="I1675" s="47"/>
      <c r="J1675" s="47"/>
      <c r="K1675" s="47"/>
      <c r="L1675" s="47"/>
      <c r="M1675" s="47"/>
      <c r="N1675" s="47"/>
      <c r="O1675" s="47"/>
      <c r="P1675" s="47"/>
      <c r="Q1675" s="47"/>
      <c r="R1675" s="47"/>
    </row>
    <row r="1676" spans="2:18" ht="39.75">
      <c r="B1676" s="16"/>
      <c r="C1676" s="6"/>
      <c r="D1676" s="46"/>
      <c r="E1676" s="46"/>
      <c r="F1676" s="46"/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</row>
    <row r="1677" spans="2:18" ht="58.5">
      <c r="B1677" s="18">
        <f>B1673+1</f>
        <v>419</v>
      </c>
      <c r="C1677" s="6"/>
      <c r="D1677" s="36"/>
      <c r="E1677" s="36"/>
      <c r="F1677" s="36"/>
      <c r="G1677" s="36"/>
      <c r="H1677" s="36"/>
      <c r="I1677" s="36"/>
      <c r="J1677" s="36"/>
      <c r="K1677" s="36"/>
      <c r="L1677" s="36"/>
      <c r="M1677" s="36"/>
      <c r="N1677" s="36"/>
      <c r="O1677" s="36"/>
      <c r="P1677" s="36"/>
      <c r="Q1677" s="36"/>
      <c r="R1677" s="36"/>
    </row>
    <row r="1678" spans="2:18" ht="48.75">
      <c r="B1678" s="20"/>
      <c r="C1678" s="6"/>
      <c r="D1678" s="73"/>
      <c r="E1678" s="73"/>
      <c r="F1678" s="73"/>
      <c r="G1678" s="73"/>
      <c r="H1678" s="73"/>
      <c r="I1678" s="73"/>
      <c r="J1678" s="73"/>
      <c r="K1678" s="73"/>
      <c r="L1678" s="73"/>
      <c r="M1678" s="73"/>
      <c r="N1678" s="73"/>
      <c r="O1678" s="73"/>
      <c r="P1678" s="73"/>
      <c r="Q1678" s="73"/>
      <c r="R1678" s="73"/>
    </row>
    <row r="1679" spans="2:18">
      <c r="B1679" s="12"/>
      <c r="C1679" s="31"/>
      <c r="D1679" s="47"/>
      <c r="E1679" s="47"/>
      <c r="F1679" s="47"/>
      <c r="G1679" s="47"/>
      <c r="H1679" s="47"/>
      <c r="I1679" s="47"/>
      <c r="J1679" s="47"/>
      <c r="K1679" s="47"/>
      <c r="L1679" s="47"/>
      <c r="M1679" s="47"/>
      <c r="N1679" s="47"/>
      <c r="O1679" s="47"/>
      <c r="P1679" s="47"/>
      <c r="Q1679" s="47"/>
      <c r="R1679" s="47"/>
    </row>
    <row r="1680" spans="2:18" ht="39.75">
      <c r="B1680" s="16"/>
      <c r="C1680" s="6"/>
      <c r="D1680" s="46"/>
      <c r="E1680" s="46"/>
      <c r="F1680" s="46"/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</row>
    <row r="1681" spans="2:18" ht="58.5">
      <c r="B1681" s="18">
        <f>B1677+1</f>
        <v>420</v>
      </c>
      <c r="C1681" s="6"/>
      <c r="D1681" s="36"/>
      <c r="E1681" s="36"/>
      <c r="F1681" s="36"/>
      <c r="G1681" s="36"/>
      <c r="H1681" s="36"/>
      <c r="I1681" s="36"/>
      <c r="J1681" s="36"/>
      <c r="K1681" s="36"/>
      <c r="L1681" s="36"/>
      <c r="M1681" s="36"/>
      <c r="N1681" s="36"/>
      <c r="O1681" s="36"/>
      <c r="P1681" s="36"/>
      <c r="Q1681" s="36"/>
      <c r="R1681" s="36"/>
    </row>
    <row r="1682" spans="2:18" ht="48.75">
      <c r="B1682" s="20"/>
      <c r="C1682" s="6"/>
      <c r="D1682" s="73"/>
      <c r="E1682" s="73"/>
      <c r="F1682" s="73"/>
      <c r="G1682" s="73"/>
      <c r="H1682" s="73"/>
      <c r="I1682" s="73"/>
      <c r="J1682" s="73"/>
      <c r="K1682" s="73"/>
      <c r="L1682" s="73"/>
      <c r="M1682" s="73"/>
      <c r="N1682" s="73"/>
      <c r="O1682" s="73"/>
      <c r="P1682" s="73"/>
      <c r="Q1682" s="73"/>
      <c r="R1682" s="73"/>
    </row>
    <row r="1683" spans="2:18">
      <c r="B1683" s="12"/>
      <c r="C1683" s="31"/>
      <c r="D1683" s="47"/>
      <c r="E1683" s="47"/>
      <c r="F1683" s="47"/>
      <c r="G1683" s="47"/>
      <c r="H1683" s="47"/>
      <c r="I1683" s="47"/>
      <c r="J1683" s="47"/>
      <c r="K1683" s="47"/>
      <c r="L1683" s="47"/>
      <c r="M1683" s="47"/>
      <c r="N1683" s="47"/>
      <c r="O1683" s="47"/>
      <c r="P1683" s="47"/>
      <c r="Q1683" s="47"/>
      <c r="R1683" s="47"/>
    </row>
    <row r="1684" spans="2:18" ht="39.75">
      <c r="B1684" s="16"/>
      <c r="C1684" s="6"/>
      <c r="D1684" s="46"/>
      <c r="E1684" s="46"/>
      <c r="F1684" s="46"/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</row>
    <row r="1685" spans="2:18" ht="58.5">
      <c r="B1685" s="18">
        <f>B1681+1</f>
        <v>421</v>
      </c>
      <c r="C1685" s="6"/>
      <c r="D1685" s="36"/>
      <c r="E1685" s="36"/>
      <c r="F1685" s="36"/>
      <c r="G1685" s="36"/>
      <c r="H1685" s="36"/>
      <c r="I1685" s="36"/>
      <c r="J1685" s="36"/>
      <c r="K1685" s="36"/>
      <c r="L1685" s="36"/>
      <c r="M1685" s="36"/>
      <c r="N1685" s="36"/>
      <c r="O1685" s="36"/>
      <c r="P1685" s="36"/>
      <c r="Q1685" s="36"/>
      <c r="R1685" s="36"/>
    </row>
    <row r="1686" spans="2:18" ht="48.75">
      <c r="B1686" s="20"/>
      <c r="C1686" s="6"/>
      <c r="D1686" s="73"/>
      <c r="E1686" s="73"/>
      <c r="F1686" s="73"/>
      <c r="G1686" s="73"/>
      <c r="H1686" s="73"/>
      <c r="I1686" s="73"/>
      <c r="J1686" s="73"/>
      <c r="K1686" s="73"/>
      <c r="L1686" s="73"/>
      <c r="M1686" s="73"/>
      <c r="N1686" s="73"/>
      <c r="O1686" s="73"/>
      <c r="P1686" s="73"/>
      <c r="Q1686" s="73"/>
      <c r="R1686" s="73"/>
    </row>
    <row r="1687" spans="2:18">
      <c r="B1687" s="12"/>
      <c r="C1687" s="31"/>
      <c r="D1687" s="47"/>
      <c r="E1687" s="47"/>
      <c r="F1687" s="47"/>
      <c r="G1687" s="47"/>
      <c r="H1687" s="47"/>
      <c r="I1687" s="47"/>
      <c r="J1687" s="47"/>
      <c r="K1687" s="47"/>
      <c r="L1687" s="47"/>
      <c r="M1687" s="47"/>
      <c r="N1687" s="47"/>
      <c r="O1687" s="47"/>
      <c r="P1687" s="47"/>
      <c r="Q1687" s="47"/>
      <c r="R1687" s="47"/>
    </row>
    <row r="1688" spans="2:18" ht="39.75">
      <c r="B1688" s="16"/>
      <c r="C1688" s="6"/>
      <c r="D1688" s="46"/>
      <c r="E1688" s="46"/>
      <c r="F1688" s="46"/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</row>
    <row r="1689" spans="2:18" ht="58.5">
      <c r="B1689" s="18">
        <f>B1685+1</f>
        <v>422</v>
      </c>
      <c r="C1689" s="6"/>
      <c r="D1689" s="36"/>
      <c r="E1689" s="36"/>
      <c r="F1689" s="36"/>
      <c r="G1689" s="36"/>
      <c r="H1689" s="36"/>
      <c r="I1689" s="36"/>
      <c r="J1689" s="36"/>
      <c r="K1689" s="36"/>
      <c r="L1689" s="36"/>
      <c r="M1689" s="36"/>
      <c r="N1689" s="36"/>
      <c r="O1689" s="36"/>
      <c r="P1689" s="36"/>
      <c r="Q1689" s="36"/>
      <c r="R1689" s="36"/>
    </row>
    <row r="1690" spans="2:18" ht="48.75">
      <c r="B1690" s="20"/>
      <c r="C1690" s="6"/>
      <c r="D1690" s="73"/>
      <c r="E1690" s="73"/>
      <c r="F1690" s="73"/>
      <c r="G1690" s="73"/>
      <c r="H1690" s="73"/>
      <c r="I1690" s="73"/>
      <c r="J1690" s="73"/>
      <c r="K1690" s="73"/>
      <c r="L1690" s="73"/>
      <c r="M1690" s="73"/>
      <c r="N1690" s="73"/>
      <c r="O1690" s="73"/>
      <c r="P1690" s="73"/>
      <c r="Q1690" s="73"/>
      <c r="R1690" s="73"/>
    </row>
    <row r="1691" spans="2:18">
      <c r="B1691" s="12"/>
      <c r="C1691" s="31"/>
      <c r="D1691" s="47"/>
      <c r="E1691" s="47"/>
      <c r="F1691" s="47"/>
      <c r="G1691" s="47"/>
      <c r="H1691" s="47"/>
      <c r="I1691" s="47"/>
      <c r="J1691" s="47"/>
      <c r="K1691" s="47"/>
      <c r="L1691" s="47"/>
      <c r="M1691" s="47"/>
      <c r="N1691" s="47"/>
      <c r="O1691" s="47"/>
      <c r="P1691" s="47"/>
      <c r="Q1691" s="47"/>
      <c r="R1691" s="47"/>
    </row>
    <row r="1692" spans="2:18" ht="39.75">
      <c r="B1692" s="16"/>
      <c r="C1692" s="6"/>
      <c r="D1692" s="46"/>
      <c r="E1692" s="46"/>
      <c r="F1692" s="46"/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</row>
    <row r="1693" spans="2:18" ht="58.5">
      <c r="B1693" s="18">
        <f>B1689+1</f>
        <v>423</v>
      </c>
      <c r="C1693" s="6"/>
      <c r="D1693" s="36"/>
      <c r="E1693" s="36"/>
      <c r="F1693" s="36"/>
      <c r="G1693" s="36"/>
      <c r="H1693" s="36"/>
      <c r="I1693" s="36"/>
      <c r="J1693" s="36"/>
      <c r="K1693" s="36"/>
      <c r="L1693" s="36"/>
      <c r="M1693" s="36"/>
      <c r="N1693" s="36"/>
      <c r="O1693" s="36"/>
      <c r="P1693" s="36"/>
      <c r="Q1693" s="36"/>
      <c r="R1693" s="36"/>
    </row>
    <row r="1694" spans="2:18" ht="48.75">
      <c r="B1694" s="20"/>
      <c r="C1694" s="6"/>
      <c r="D1694" s="73"/>
      <c r="E1694" s="73"/>
      <c r="F1694" s="73"/>
      <c r="G1694" s="73"/>
      <c r="H1694" s="73"/>
      <c r="I1694" s="73"/>
      <c r="J1694" s="73"/>
      <c r="K1694" s="73"/>
      <c r="L1694" s="73"/>
      <c r="M1694" s="73"/>
      <c r="N1694" s="73"/>
      <c r="O1694" s="73"/>
      <c r="P1694" s="73"/>
      <c r="Q1694" s="73"/>
      <c r="R1694" s="73"/>
    </row>
    <row r="1695" spans="2:18">
      <c r="B1695" s="12"/>
      <c r="C1695" s="31"/>
      <c r="D1695" s="47"/>
      <c r="E1695" s="47"/>
      <c r="F1695" s="47"/>
      <c r="G1695" s="47"/>
      <c r="H1695" s="47"/>
      <c r="I1695" s="47"/>
      <c r="J1695" s="47"/>
      <c r="K1695" s="47"/>
      <c r="L1695" s="47"/>
      <c r="M1695" s="47"/>
      <c r="N1695" s="47"/>
      <c r="O1695" s="47"/>
      <c r="P1695" s="47"/>
      <c r="Q1695" s="47"/>
      <c r="R1695" s="47"/>
    </row>
    <row r="1696" spans="2:18" ht="39.75">
      <c r="B1696" s="16"/>
      <c r="C1696" s="6"/>
      <c r="D1696" s="46"/>
      <c r="E1696" s="46"/>
      <c r="F1696" s="46"/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</row>
    <row r="1697" spans="2:18" ht="58.5">
      <c r="B1697" s="18">
        <f>B1693+1</f>
        <v>424</v>
      </c>
      <c r="C1697" s="6"/>
      <c r="D1697" s="36"/>
      <c r="E1697" s="36"/>
      <c r="F1697" s="36"/>
      <c r="G1697" s="36"/>
      <c r="H1697" s="36"/>
      <c r="I1697" s="36"/>
      <c r="J1697" s="36"/>
      <c r="K1697" s="36"/>
      <c r="L1697" s="36"/>
      <c r="M1697" s="36"/>
      <c r="N1697" s="36"/>
      <c r="O1697" s="36"/>
      <c r="P1697" s="36"/>
      <c r="Q1697" s="36"/>
      <c r="R1697" s="36"/>
    </row>
    <row r="1698" spans="2:18" ht="48.75">
      <c r="B1698" s="20"/>
      <c r="C1698" s="6"/>
      <c r="D1698" s="73"/>
      <c r="E1698" s="73"/>
      <c r="F1698" s="73"/>
      <c r="G1698" s="73"/>
      <c r="H1698" s="73"/>
      <c r="I1698" s="73"/>
      <c r="J1698" s="73"/>
      <c r="K1698" s="73"/>
      <c r="L1698" s="73"/>
      <c r="M1698" s="73"/>
      <c r="N1698" s="73"/>
      <c r="O1698" s="73"/>
      <c r="P1698" s="73"/>
      <c r="Q1698" s="73"/>
      <c r="R1698" s="73"/>
    </row>
    <row r="1699" spans="2:18">
      <c r="B1699" s="12"/>
      <c r="C1699" s="31"/>
      <c r="D1699" s="47"/>
      <c r="E1699" s="47"/>
      <c r="F1699" s="47"/>
      <c r="G1699" s="47"/>
      <c r="H1699" s="47"/>
      <c r="I1699" s="47"/>
      <c r="J1699" s="47"/>
      <c r="K1699" s="47"/>
      <c r="L1699" s="47"/>
      <c r="M1699" s="47"/>
      <c r="N1699" s="47"/>
      <c r="O1699" s="47"/>
      <c r="P1699" s="47"/>
      <c r="Q1699" s="47"/>
      <c r="R1699" s="47"/>
    </row>
    <row r="1700" spans="2:18" ht="39.75">
      <c r="B1700" s="16"/>
      <c r="C1700" s="6"/>
      <c r="D1700" s="46"/>
      <c r="E1700" s="46"/>
      <c r="F1700" s="46"/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</row>
    <row r="1701" spans="2:18" ht="58.5">
      <c r="B1701" s="18">
        <f>B1697+1</f>
        <v>425</v>
      </c>
      <c r="C1701" s="6"/>
      <c r="D1701" s="36"/>
      <c r="E1701" s="36"/>
      <c r="F1701" s="36"/>
      <c r="G1701" s="36"/>
      <c r="H1701" s="36"/>
      <c r="I1701" s="36"/>
      <c r="J1701" s="36"/>
      <c r="K1701" s="36"/>
      <c r="L1701" s="36"/>
      <c r="M1701" s="36"/>
      <c r="N1701" s="36"/>
      <c r="O1701" s="36"/>
      <c r="P1701" s="36"/>
      <c r="Q1701" s="36"/>
      <c r="R1701" s="36"/>
    </row>
    <row r="1702" spans="2:18" ht="48.75">
      <c r="B1702" s="20"/>
      <c r="C1702" s="6"/>
      <c r="D1702" s="73"/>
      <c r="E1702" s="73"/>
      <c r="F1702" s="73"/>
      <c r="G1702" s="73"/>
      <c r="H1702" s="73"/>
      <c r="I1702" s="73"/>
      <c r="J1702" s="73"/>
      <c r="K1702" s="73"/>
      <c r="L1702" s="73"/>
      <c r="M1702" s="73"/>
      <c r="N1702" s="73"/>
      <c r="O1702" s="73"/>
      <c r="P1702" s="73"/>
      <c r="Q1702" s="73"/>
      <c r="R1702" s="73"/>
    </row>
    <row r="1703" spans="2:18">
      <c r="B1703" s="12"/>
      <c r="C1703" s="31"/>
      <c r="D1703" s="47"/>
      <c r="E1703" s="47"/>
      <c r="F1703" s="47"/>
      <c r="G1703" s="47"/>
      <c r="H1703" s="47"/>
      <c r="I1703" s="47"/>
      <c r="J1703" s="47"/>
      <c r="K1703" s="47"/>
      <c r="L1703" s="47"/>
      <c r="M1703" s="47"/>
      <c r="N1703" s="47"/>
      <c r="O1703" s="47"/>
      <c r="P1703" s="47"/>
      <c r="Q1703" s="47"/>
      <c r="R1703" s="47"/>
    </row>
    <row r="1704" spans="2:18" ht="39.75">
      <c r="B1704" s="16"/>
      <c r="C1704" s="6"/>
      <c r="D1704" s="46"/>
      <c r="E1704" s="46"/>
      <c r="F1704" s="46"/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</row>
    <row r="1705" spans="2:18" ht="58.5">
      <c r="B1705" s="18">
        <f>B1701+1</f>
        <v>426</v>
      </c>
      <c r="C1705" s="6"/>
      <c r="D1705" s="36"/>
      <c r="E1705" s="36"/>
      <c r="F1705" s="36"/>
      <c r="G1705" s="36"/>
      <c r="H1705" s="36"/>
      <c r="I1705" s="36"/>
      <c r="J1705" s="36"/>
      <c r="K1705" s="36"/>
      <c r="L1705" s="36"/>
      <c r="M1705" s="36"/>
      <c r="N1705" s="36"/>
      <c r="O1705" s="36"/>
      <c r="P1705" s="36"/>
      <c r="Q1705" s="36"/>
      <c r="R1705" s="36"/>
    </row>
    <row r="1706" spans="2:18" ht="48.75">
      <c r="B1706" s="20"/>
      <c r="C1706" s="6"/>
      <c r="D1706" s="73"/>
      <c r="E1706" s="73"/>
      <c r="F1706" s="73"/>
      <c r="G1706" s="73"/>
      <c r="H1706" s="73"/>
      <c r="I1706" s="73"/>
      <c r="J1706" s="73"/>
      <c r="K1706" s="73"/>
      <c r="L1706" s="73"/>
      <c r="M1706" s="73"/>
      <c r="N1706" s="73"/>
      <c r="O1706" s="73"/>
      <c r="P1706" s="73"/>
      <c r="Q1706" s="73"/>
      <c r="R1706" s="73"/>
    </row>
    <row r="1707" spans="2:18">
      <c r="B1707" s="12"/>
      <c r="C1707" s="31"/>
      <c r="D1707" s="47"/>
      <c r="E1707" s="47"/>
      <c r="F1707" s="47"/>
      <c r="G1707" s="47"/>
      <c r="H1707" s="47"/>
      <c r="I1707" s="47"/>
      <c r="J1707" s="47"/>
      <c r="K1707" s="47"/>
      <c r="L1707" s="47"/>
      <c r="M1707" s="47"/>
      <c r="N1707" s="47"/>
      <c r="O1707" s="47"/>
      <c r="P1707" s="47"/>
      <c r="Q1707" s="47"/>
      <c r="R1707" s="47"/>
    </row>
    <row r="1708" spans="2:18" ht="39.75">
      <c r="B1708" s="16"/>
      <c r="C1708" s="6"/>
      <c r="D1708" s="46"/>
      <c r="E1708" s="46"/>
      <c r="F1708" s="46"/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</row>
    <row r="1709" spans="2:18" ht="58.5">
      <c r="B1709" s="18">
        <f>B1705+1</f>
        <v>427</v>
      </c>
      <c r="C1709" s="6"/>
      <c r="D1709" s="36"/>
      <c r="E1709" s="36"/>
      <c r="F1709" s="36"/>
      <c r="G1709" s="36"/>
      <c r="H1709" s="36"/>
      <c r="I1709" s="36"/>
      <c r="J1709" s="36"/>
      <c r="K1709" s="36"/>
      <c r="L1709" s="36"/>
      <c r="M1709" s="36"/>
      <c r="N1709" s="36"/>
      <c r="O1709" s="36"/>
      <c r="P1709" s="36"/>
      <c r="Q1709" s="36"/>
      <c r="R1709" s="36"/>
    </row>
    <row r="1710" spans="2:18" ht="48.75">
      <c r="B1710" s="20"/>
      <c r="C1710" s="6"/>
      <c r="D1710" s="73"/>
      <c r="E1710" s="73"/>
      <c r="F1710" s="73"/>
      <c r="G1710" s="73"/>
      <c r="H1710" s="73"/>
      <c r="I1710" s="73"/>
      <c r="J1710" s="73"/>
      <c r="K1710" s="73"/>
      <c r="L1710" s="73"/>
      <c r="M1710" s="73"/>
      <c r="N1710" s="73"/>
      <c r="O1710" s="73"/>
      <c r="P1710" s="73"/>
      <c r="Q1710" s="73"/>
      <c r="R1710" s="73"/>
    </row>
    <row r="1711" spans="2:18">
      <c r="B1711" s="12"/>
      <c r="C1711" s="31"/>
      <c r="D1711" s="47"/>
      <c r="E1711" s="47"/>
      <c r="F1711" s="47"/>
      <c r="G1711" s="47"/>
      <c r="H1711" s="47"/>
      <c r="I1711" s="47"/>
      <c r="J1711" s="47"/>
      <c r="K1711" s="47"/>
      <c r="L1711" s="47"/>
      <c r="M1711" s="47"/>
      <c r="N1711" s="47"/>
      <c r="O1711" s="47"/>
      <c r="P1711" s="47"/>
      <c r="Q1711" s="47"/>
      <c r="R1711" s="47"/>
    </row>
    <row r="1712" spans="2:18" ht="39.75">
      <c r="B1712" s="16"/>
      <c r="C1712" s="6"/>
      <c r="D1712" s="46"/>
      <c r="E1712" s="46"/>
      <c r="F1712" s="46"/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</row>
    <row r="1713" spans="2:18" ht="58.5">
      <c r="B1713" s="18">
        <f t="shared" ref="B1713" si="189">B1709+1</f>
        <v>428</v>
      </c>
      <c r="C1713" s="6"/>
      <c r="D1713" s="36"/>
      <c r="E1713" s="36"/>
      <c r="F1713" s="36"/>
      <c r="G1713" s="36"/>
      <c r="H1713" s="36"/>
      <c r="I1713" s="36"/>
      <c r="J1713" s="36"/>
      <c r="K1713" s="36"/>
      <c r="L1713" s="36"/>
      <c r="M1713" s="36"/>
      <c r="N1713" s="36"/>
      <c r="O1713" s="36"/>
      <c r="P1713" s="36"/>
      <c r="Q1713" s="36"/>
      <c r="R1713" s="36"/>
    </row>
    <row r="1714" spans="2:18" ht="48.75">
      <c r="B1714" s="20"/>
      <c r="C1714" s="6"/>
      <c r="D1714" s="73"/>
      <c r="E1714" s="73"/>
      <c r="F1714" s="73"/>
      <c r="G1714" s="73"/>
      <c r="H1714" s="73"/>
      <c r="I1714" s="73"/>
      <c r="J1714" s="73"/>
      <c r="K1714" s="73"/>
      <c r="L1714" s="73"/>
      <c r="M1714" s="73"/>
      <c r="N1714" s="73"/>
      <c r="O1714" s="73"/>
      <c r="P1714" s="73"/>
      <c r="Q1714" s="73"/>
      <c r="R1714" s="73"/>
    </row>
    <row r="1715" spans="2:18">
      <c r="B1715" s="12"/>
      <c r="C1715" s="31"/>
      <c r="D1715" s="47"/>
      <c r="E1715" s="47"/>
      <c r="F1715" s="47"/>
      <c r="G1715" s="47"/>
      <c r="H1715" s="47"/>
      <c r="I1715" s="47"/>
      <c r="J1715" s="47"/>
      <c r="K1715" s="47"/>
      <c r="L1715" s="47"/>
      <c r="M1715" s="47"/>
      <c r="N1715" s="47"/>
      <c r="O1715" s="47"/>
      <c r="P1715" s="47"/>
      <c r="Q1715" s="47"/>
      <c r="R1715" s="47"/>
    </row>
    <row r="1716" spans="2:18" ht="39.75">
      <c r="B1716" s="16"/>
      <c r="C1716" s="6"/>
      <c r="D1716" s="46"/>
      <c r="E1716" s="46"/>
      <c r="F1716" s="46"/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</row>
    <row r="1717" spans="2:18" ht="58.5">
      <c r="B1717" s="18">
        <f t="shared" ref="B1717" si="190">B1713+1</f>
        <v>429</v>
      </c>
      <c r="C1717" s="6"/>
      <c r="D1717" s="36"/>
      <c r="E1717" s="36"/>
      <c r="F1717" s="36"/>
      <c r="G1717" s="36"/>
      <c r="H1717" s="36"/>
      <c r="I1717" s="36"/>
      <c r="J1717" s="36"/>
      <c r="K1717" s="36"/>
      <c r="L1717" s="36"/>
      <c r="M1717" s="36"/>
      <c r="N1717" s="36"/>
      <c r="O1717" s="36"/>
      <c r="P1717" s="36"/>
      <c r="Q1717" s="36"/>
      <c r="R1717" s="36"/>
    </row>
    <row r="1718" spans="2:18" ht="48.75">
      <c r="B1718" s="20"/>
      <c r="C1718" s="6"/>
      <c r="D1718" s="73"/>
      <c r="E1718" s="73"/>
      <c r="F1718" s="73"/>
      <c r="G1718" s="73"/>
      <c r="H1718" s="73"/>
      <c r="I1718" s="73"/>
      <c r="J1718" s="73"/>
      <c r="K1718" s="73"/>
      <c r="L1718" s="73"/>
      <c r="M1718" s="73"/>
      <c r="N1718" s="73"/>
      <c r="O1718" s="73"/>
      <c r="P1718" s="73"/>
      <c r="Q1718" s="73"/>
      <c r="R1718" s="73"/>
    </row>
    <row r="1719" spans="2:18">
      <c r="B1719" s="12"/>
      <c r="C1719" s="31"/>
      <c r="D1719" s="47"/>
      <c r="E1719" s="47"/>
      <c r="F1719" s="47"/>
      <c r="G1719" s="47"/>
      <c r="H1719" s="47"/>
      <c r="I1719" s="47"/>
      <c r="J1719" s="47"/>
      <c r="K1719" s="47"/>
      <c r="L1719" s="47"/>
      <c r="M1719" s="47"/>
      <c r="N1719" s="47"/>
      <c r="O1719" s="47"/>
      <c r="P1719" s="47"/>
      <c r="Q1719" s="47"/>
      <c r="R1719" s="47"/>
    </row>
    <row r="1720" spans="2:18" ht="39.75">
      <c r="B1720" s="16"/>
      <c r="C1720" s="6"/>
      <c r="D1720" s="46"/>
      <c r="E1720" s="46"/>
      <c r="F1720" s="46"/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</row>
    <row r="1721" spans="2:18" ht="58.5">
      <c r="B1721" s="18">
        <f t="shared" ref="B1721" si="191">B1717+1</f>
        <v>430</v>
      </c>
      <c r="C1721" s="6"/>
      <c r="D1721" s="36"/>
      <c r="E1721" s="36"/>
      <c r="F1721" s="36"/>
      <c r="G1721" s="36"/>
      <c r="H1721" s="36"/>
      <c r="I1721" s="36"/>
      <c r="J1721" s="36"/>
      <c r="K1721" s="36"/>
      <c r="L1721" s="36"/>
      <c r="M1721" s="36"/>
      <c r="N1721" s="36"/>
      <c r="O1721" s="36"/>
      <c r="P1721" s="36"/>
      <c r="Q1721" s="36"/>
      <c r="R1721" s="36"/>
    </row>
    <row r="1722" spans="2:18" ht="48.75">
      <c r="B1722" s="20"/>
      <c r="C1722" s="6"/>
      <c r="D1722" s="73"/>
      <c r="E1722" s="73"/>
      <c r="F1722" s="73"/>
      <c r="G1722" s="73"/>
      <c r="H1722" s="73"/>
      <c r="I1722" s="73"/>
      <c r="J1722" s="73"/>
      <c r="K1722" s="73"/>
      <c r="L1722" s="73"/>
      <c r="M1722" s="73"/>
      <c r="N1722" s="73"/>
      <c r="O1722" s="73"/>
      <c r="P1722" s="73"/>
      <c r="Q1722" s="73"/>
      <c r="R1722" s="73"/>
    </row>
    <row r="1723" spans="2:18">
      <c r="B1723" s="12"/>
      <c r="C1723" s="31"/>
      <c r="D1723" s="47"/>
      <c r="E1723" s="47"/>
      <c r="F1723" s="47"/>
      <c r="G1723" s="47"/>
      <c r="H1723" s="47"/>
      <c r="I1723" s="47"/>
      <c r="J1723" s="47"/>
      <c r="K1723" s="47"/>
      <c r="L1723" s="47"/>
      <c r="M1723" s="47"/>
      <c r="N1723" s="47"/>
      <c r="O1723" s="47"/>
      <c r="P1723" s="47"/>
      <c r="Q1723" s="47"/>
      <c r="R1723" s="47"/>
    </row>
    <row r="1724" spans="2:18" ht="39.75">
      <c r="B1724" s="16"/>
      <c r="C1724" s="6"/>
      <c r="D1724" s="46"/>
      <c r="E1724" s="46"/>
      <c r="F1724" s="46"/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</row>
    <row r="1725" spans="2:18" ht="58.5">
      <c r="B1725" s="18">
        <f t="shared" ref="B1725" si="192">B1721+1</f>
        <v>431</v>
      </c>
      <c r="C1725" s="6"/>
      <c r="D1725" s="36"/>
      <c r="E1725" s="36"/>
      <c r="F1725" s="36"/>
      <c r="G1725" s="36"/>
      <c r="H1725" s="36"/>
      <c r="I1725" s="36"/>
      <c r="J1725" s="36"/>
      <c r="K1725" s="36"/>
      <c r="L1725" s="36"/>
      <c r="M1725" s="36"/>
      <c r="N1725" s="36"/>
      <c r="O1725" s="36"/>
      <c r="P1725" s="36"/>
      <c r="Q1725" s="36"/>
      <c r="R1725" s="36"/>
    </row>
    <row r="1726" spans="2:18" ht="48.75">
      <c r="B1726" s="20"/>
      <c r="C1726" s="6"/>
      <c r="D1726" s="73"/>
      <c r="E1726" s="73"/>
      <c r="F1726" s="73"/>
      <c r="G1726" s="73"/>
      <c r="H1726" s="73"/>
      <c r="I1726" s="73"/>
      <c r="J1726" s="73"/>
      <c r="K1726" s="73"/>
      <c r="L1726" s="73"/>
      <c r="M1726" s="73"/>
      <c r="N1726" s="73"/>
      <c r="O1726" s="73"/>
      <c r="P1726" s="73"/>
      <c r="Q1726" s="73"/>
      <c r="R1726" s="73"/>
    </row>
    <row r="1727" spans="2:18">
      <c r="B1727" s="12"/>
      <c r="C1727" s="31"/>
      <c r="D1727" s="47"/>
      <c r="E1727" s="47"/>
      <c r="F1727" s="47"/>
      <c r="G1727" s="47"/>
      <c r="H1727" s="47"/>
      <c r="I1727" s="47"/>
      <c r="J1727" s="47"/>
      <c r="K1727" s="47"/>
      <c r="L1727" s="47"/>
      <c r="M1727" s="47"/>
      <c r="N1727" s="47"/>
      <c r="O1727" s="47"/>
      <c r="P1727" s="47"/>
      <c r="Q1727" s="47"/>
      <c r="R1727" s="47"/>
    </row>
    <row r="1728" spans="2:18" ht="39.75">
      <c r="B1728" s="16"/>
      <c r="C1728" s="6"/>
      <c r="D1728" s="46"/>
      <c r="E1728" s="46"/>
      <c r="F1728" s="46"/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</row>
    <row r="1729" spans="2:18" ht="58.5">
      <c r="B1729" s="18">
        <f t="shared" ref="B1729" si="193">B1725+1</f>
        <v>432</v>
      </c>
      <c r="C1729" s="6"/>
      <c r="D1729" s="36"/>
      <c r="E1729" s="36"/>
      <c r="F1729" s="36"/>
      <c r="G1729" s="36"/>
      <c r="H1729" s="36"/>
      <c r="I1729" s="36"/>
      <c r="J1729" s="36"/>
      <c r="K1729" s="36"/>
      <c r="L1729" s="36"/>
      <c r="M1729" s="36"/>
      <c r="N1729" s="36"/>
      <c r="O1729" s="36"/>
      <c r="P1729" s="36"/>
      <c r="Q1729" s="36"/>
      <c r="R1729" s="36"/>
    </row>
    <row r="1730" spans="2:18" ht="48.75">
      <c r="B1730" s="20"/>
      <c r="C1730" s="6"/>
      <c r="D1730" s="73"/>
      <c r="E1730" s="73"/>
      <c r="F1730" s="73"/>
      <c r="G1730" s="73"/>
      <c r="H1730" s="73"/>
      <c r="I1730" s="73"/>
      <c r="J1730" s="73"/>
      <c r="K1730" s="73"/>
      <c r="L1730" s="73"/>
      <c r="M1730" s="73"/>
      <c r="N1730" s="73"/>
      <c r="O1730" s="73"/>
      <c r="P1730" s="73"/>
      <c r="Q1730" s="73"/>
      <c r="R1730" s="73"/>
    </row>
    <row r="1731" spans="2:18">
      <c r="B1731" s="12"/>
      <c r="C1731" s="31"/>
      <c r="D1731" s="47"/>
      <c r="E1731" s="47"/>
      <c r="F1731" s="47"/>
      <c r="G1731" s="47"/>
      <c r="H1731" s="47"/>
      <c r="I1731" s="47"/>
      <c r="J1731" s="47"/>
      <c r="K1731" s="47"/>
      <c r="L1731" s="47"/>
      <c r="M1731" s="47"/>
      <c r="N1731" s="47"/>
      <c r="O1731" s="47"/>
      <c r="P1731" s="47"/>
      <c r="Q1731" s="47"/>
      <c r="R1731" s="47"/>
    </row>
    <row r="1732" spans="2:18" ht="39.75">
      <c r="B1732" s="16"/>
      <c r="C1732" s="6"/>
      <c r="D1732" s="46"/>
      <c r="E1732" s="46"/>
      <c r="F1732" s="46"/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</row>
    <row r="1733" spans="2:18" ht="58.5">
      <c r="B1733" s="18">
        <f t="shared" ref="B1733" si="194">B1729+1</f>
        <v>433</v>
      </c>
      <c r="C1733" s="6"/>
      <c r="D1733" s="36"/>
      <c r="E1733" s="36"/>
      <c r="F1733" s="36"/>
      <c r="G1733" s="36"/>
      <c r="H1733" s="36"/>
      <c r="I1733" s="36"/>
      <c r="J1733" s="36"/>
      <c r="K1733" s="36"/>
      <c r="L1733" s="36"/>
      <c r="M1733" s="36"/>
      <c r="N1733" s="36"/>
      <c r="O1733" s="36"/>
      <c r="P1733" s="36"/>
      <c r="Q1733" s="36"/>
      <c r="R1733" s="36"/>
    </row>
    <row r="1734" spans="2:18" ht="48.75">
      <c r="B1734" s="20"/>
      <c r="C1734" s="6"/>
      <c r="D1734" s="73"/>
      <c r="E1734" s="73"/>
      <c r="F1734" s="73"/>
      <c r="G1734" s="73"/>
      <c r="H1734" s="73"/>
      <c r="I1734" s="73"/>
      <c r="J1734" s="73"/>
      <c r="K1734" s="73"/>
      <c r="L1734" s="73"/>
      <c r="M1734" s="73"/>
      <c r="N1734" s="73"/>
      <c r="O1734" s="73"/>
      <c r="P1734" s="73"/>
      <c r="Q1734" s="73"/>
      <c r="R1734" s="73"/>
    </row>
    <row r="1735" spans="2:18">
      <c r="B1735" s="12"/>
      <c r="C1735" s="31"/>
      <c r="D1735" s="47"/>
      <c r="E1735" s="47"/>
      <c r="F1735" s="47"/>
      <c r="G1735" s="47"/>
      <c r="H1735" s="47"/>
      <c r="I1735" s="47"/>
      <c r="J1735" s="47"/>
      <c r="K1735" s="47"/>
      <c r="L1735" s="47"/>
      <c r="M1735" s="47"/>
      <c r="N1735" s="47"/>
      <c r="O1735" s="47"/>
      <c r="P1735" s="47"/>
      <c r="Q1735" s="47"/>
      <c r="R1735" s="47"/>
    </row>
    <row r="1736" spans="2:18" ht="39.75">
      <c r="B1736" s="16"/>
      <c r="C1736" s="6"/>
      <c r="D1736" s="46"/>
      <c r="E1736" s="46"/>
      <c r="F1736" s="46"/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</row>
    <row r="1737" spans="2:18" ht="58.5">
      <c r="B1737" s="18">
        <f t="shared" ref="B1737" si="195">B1733+1</f>
        <v>434</v>
      </c>
      <c r="C1737" s="6"/>
      <c r="D1737" s="36"/>
      <c r="E1737" s="36"/>
      <c r="F1737" s="36"/>
      <c r="G1737" s="36"/>
      <c r="H1737" s="36"/>
      <c r="I1737" s="36"/>
      <c r="J1737" s="36"/>
      <c r="K1737" s="36"/>
      <c r="L1737" s="36"/>
      <c r="M1737" s="36"/>
      <c r="N1737" s="36"/>
      <c r="O1737" s="36"/>
      <c r="P1737" s="36"/>
      <c r="Q1737" s="36"/>
      <c r="R1737" s="36"/>
    </row>
    <row r="1738" spans="2:18" ht="48.75">
      <c r="B1738" s="20"/>
      <c r="C1738" s="6"/>
      <c r="D1738" s="73"/>
      <c r="E1738" s="73"/>
      <c r="F1738" s="73"/>
      <c r="G1738" s="73"/>
      <c r="H1738" s="73"/>
      <c r="I1738" s="73"/>
      <c r="J1738" s="73"/>
      <c r="K1738" s="73"/>
      <c r="L1738" s="73"/>
      <c r="M1738" s="73"/>
      <c r="N1738" s="73"/>
      <c r="O1738" s="73"/>
      <c r="P1738" s="73"/>
      <c r="Q1738" s="73"/>
      <c r="R1738" s="73"/>
    </row>
    <row r="1739" spans="2:18">
      <c r="B1739" s="12"/>
      <c r="C1739" s="31"/>
      <c r="D1739" s="47"/>
      <c r="E1739" s="47"/>
      <c r="F1739" s="47"/>
      <c r="G1739" s="47"/>
      <c r="H1739" s="47"/>
      <c r="I1739" s="47"/>
      <c r="J1739" s="47"/>
      <c r="K1739" s="47"/>
      <c r="L1739" s="47"/>
      <c r="M1739" s="47"/>
      <c r="N1739" s="47"/>
      <c r="O1739" s="47"/>
      <c r="P1739" s="47"/>
      <c r="Q1739" s="47"/>
      <c r="R1739" s="47"/>
    </row>
    <row r="1740" spans="2:18" ht="39.75">
      <c r="B1740" s="16"/>
      <c r="C1740" s="6"/>
      <c r="D1740" s="46"/>
      <c r="E1740" s="46"/>
      <c r="F1740" s="46"/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</row>
    <row r="1741" spans="2:18" ht="58.5">
      <c r="B1741" s="18">
        <f t="shared" ref="B1741" si="196">B1737+1</f>
        <v>435</v>
      </c>
      <c r="C1741" s="6"/>
      <c r="D1741" s="36"/>
      <c r="E1741" s="36"/>
      <c r="F1741" s="36"/>
      <c r="G1741" s="36"/>
      <c r="H1741" s="36"/>
      <c r="I1741" s="36"/>
      <c r="J1741" s="36"/>
      <c r="K1741" s="36"/>
      <c r="L1741" s="36"/>
      <c r="M1741" s="36"/>
      <c r="N1741" s="36"/>
      <c r="O1741" s="36"/>
      <c r="P1741" s="36"/>
      <c r="Q1741" s="36"/>
      <c r="R1741" s="36"/>
    </row>
    <row r="1742" spans="2:18" ht="48.75">
      <c r="B1742" s="20"/>
      <c r="C1742" s="6"/>
      <c r="D1742" s="73"/>
      <c r="E1742" s="73"/>
      <c r="F1742" s="73"/>
      <c r="G1742" s="73"/>
      <c r="H1742" s="73"/>
      <c r="I1742" s="73"/>
      <c r="J1742" s="73"/>
      <c r="K1742" s="73"/>
      <c r="L1742" s="73"/>
      <c r="M1742" s="73"/>
      <c r="N1742" s="73"/>
      <c r="O1742" s="73"/>
      <c r="P1742" s="73"/>
      <c r="Q1742" s="73"/>
      <c r="R1742" s="73"/>
    </row>
    <row r="1743" spans="2:18">
      <c r="B1743" s="12"/>
      <c r="C1743" s="31"/>
      <c r="D1743" s="47"/>
      <c r="E1743" s="47"/>
      <c r="F1743" s="47"/>
      <c r="G1743" s="47"/>
      <c r="H1743" s="47"/>
      <c r="I1743" s="47"/>
      <c r="J1743" s="47"/>
      <c r="K1743" s="47"/>
      <c r="L1743" s="47"/>
      <c r="M1743" s="47"/>
      <c r="N1743" s="47"/>
      <c r="O1743" s="47"/>
      <c r="P1743" s="47"/>
      <c r="Q1743" s="47"/>
      <c r="R1743" s="47"/>
    </row>
    <row r="1744" spans="2:18" ht="39.75">
      <c r="B1744" s="16"/>
      <c r="C1744" s="6"/>
      <c r="D1744" s="46"/>
      <c r="E1744" s="46"/>
      <c r="F1744" s="46"/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</row>
    <row r="1745" spans="2:18" ht="58.5">
      <c r="B1745" s="18">
        <f t="shared" ref="B1745" si="197">B1741+1</f>
        <v>436</v>
      </c>
      <c r="C1745" s="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</row>
    <row r="1746" spans="2:18" ht="48.75">
      <c r="B1746" s="20"/>
      <c r="C1746" s="6"/>
      <c r="D1746" s="73"/>
      <c r="E1746" s="73"/>
      <c r="F1746" s="73"/>
      <c r="G1746" s="73"/>
      <c r="H1746" s="73"/>
      <c r="I1746" s="73"/>
      <c r="J1746" s="73"/>
      <c r="K1746" s="73"/>
      <c r="L1746" s="73"/>
      <c r="M1746" s="73"/>
      <c r="N1746" s="73"/>
      <c r="O1746" s="73"/>
      <c r="P1746" s="73"/>
      <c r="Q1746" s="73"/>
      <c r="R1746" s="73"/>
    </row>
    <row r="1747" spans="2:18">
      <c r="B1747" s="12"/>
      <c r="C1747" s="31"/>
      <c r="D1747" s="47"/>
      <c r="E1747" s="47"/>
      <c r="F1747" s="47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R1747" s="47"/>
    </row>
    <row r="1748" spans="2:18" ht="39.75">
      <c r="B1748" s="16"/>
      <c r="C1748" s="6"/>
      <c r="D1748" s="46"/>
      <c r="E1748" s="46"/>
      <c r="F1748" s="46"/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</row>
    <row r="1749" spans="2:18" ht="58.5">
      <c r="B1749" s="18">
        <f t="shared" ref="B1749" si="198">B1745+1</f>
        <v>437</v>
      </c>
      <c r="C1749" s="6"/>
      <c r="D1749" s="36"/>
      <c r="E1749" s="36"/>
      <c r="F1749" s="36"/>
      <c r="G1749" s="36"/>
      <c r="H1749" s="36"/>
      <c r="I1749" s="36"/>
      <c r="J1749" s="36"/>
      <c r="K1749" s="36"/>
      <c r="L1749" s="36"/>
      <c r="M1749" s="36"/>
      <c r="N1749" s="36"/>
      <c r="O1749" s="36"/>
      <c r="P1749" s="36"/>
      <c r="Q1749" s="36"/>
      <c r="R1749" s="36"/>
    </row>
    <row r="1750" spans="2:18" ht="48.75">
      <c r="B1750" s="20"/>
      <c r="C1750" s="6"/>
      <c r="D1750" s="73"/>
      <c r="E1750" s="73"/>
      <c r="F1750" s="73"/>
      <c r="G1750" s="73"/>
      <c r="H1750" s="73"/>
      <c r="I1750" s="73"/>
      <c r="J1750" s="73"/>
      <c r="K1750" s="73"/>
      <c r="L1750" s="73"/>
      <c r="M1750" s="73"/>
      <c r="N1750" s="73"/>
      <c r="O1750" s="73"/>
      <c r="P1750" s="73"/>
      <c r="Q1750" s="73"/>
      <c r="R1750" s="73"/>
    </row>
    <row r="1751" spans="2:18">
      <c r="B1751" s="12"/>
      <c r="C1751" s="31"/>
      <c r="D1751" s="47"/>
      <c r="E1751" s="47"/>
      <c r="F1751" s="47"/>
      <c r="G1751" s="47"/>
      <c r="H1751" s="47"/>
      <c r="I1751" s="47"/>
      <c r="J1751" s="47"/>
      <c r="K1751" s="47"/>
      <c r="L1751" s="47"/>
      <c r="M1751" s="47"/>
      <c r="N1751" s="47"/>
      <c r="O1751" s="47"/>
      <c r="P1751" s="47"/>
      <c r="Q1751" s="47"/>
      <c r="R1751" s="47"/>
    </row>
    <row r="1752" spans="2:18" ht="39.75">
      <c r="B1752" s="16"/>
      <c r="C1752" s="6"/>
      <c r="D1752" s="46"/>
      <c r="E1752" s="46"/>
      <c r="F1752" s="46"/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</row>
    <row r="1753" spans="2:18" ht="58.5">
      <c r="B1753" s="18">
        <f t="shared" ref="B1753" si="199">B1749+1</f>
        <v>438</v>
      </c>
      <c r="C1753" s="6"/>
      <c r="D1753" s="36"/>
      <c r="E1753" s="36"/>
      <c r="F1753" s="36"/>
      <c r="G1753" s="36"/>
      <c r="H1753" s="36"/>
      <c r="I1753" s="36"/>
      <c r="J1753" s="36"/>
      <c r="K1753" s="36"/>
      <c r="L1753" s="36"/>
      <c r="M1753" s="36"/>
      <c r="N1753" s="36"/>
      <c r="O1753" s="36"/>
      <c r="P1753" s="36"/>
      <c r="Q1753" s="36"/>
      <c r="R1753" s="36"/>
    </row>
    <row r="1754" spans="2:18" ht="48.75">
      <c r="B1754" s="20"/>
      <c r="C1754" s="6"/>
      <c r="D1754" s="73"/>
      <c r="E1754" s="73"/>
      <c r="F1754" s="73"/>
      <c r="G1754" s="73"/>
      <c r="H1754" s="73"/>
      <c r="I1754" s="73"/>
      <c r="J1754" s="73"/>
      <c r="K1754" s="73"/>
      <c r="L1754" s="73"/>
      <c r="M1754" s="73"/>
      <c r="N1754" s="73"/>
      <c r="O1754" s="73"/>
      <c r="P1754" s="73"/>
      <c r="Q1754" s="73"/>
      <c r="R1754" s="73"/>
    </row>
    <row r="1755" spans="2:18">
      <c r="B1755" s="12"/>
      <c r="C1755" s="31"/>
      <c r="D1755" s="47"/>
      <c r="E1755" s="47"/>
      <c r="F1755" s="47"/>
      <c r="G1755" s="47"/>
      <c r="H1755" s="47"/>
      <c r="I1755" s="47"/>
      <c r="J1755" s="47"/>
      <c r="K1755" s="47"/>
      <c r="L1755" s="47"/>
      <c r="M1755" s="47"/>
      <c r="N1755" s="47"/>
      <c r="O1755" s="47"/>
      <c r="P1755" s="47"/>
      <c r="Q1755" s="47"/>
      <c r="R1755" s="47"/>
    </row>
    <row r="1756" spans="2:18" ht="39.75">
      <c r="B1756" s="16"/>
      <c r="C1756" s="6"/>
      <c r="D1756" s="46"/>
      <c r="E1756" s="46"/>
      <c r="F1756" s="46"/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</row>
    <row r="1757" spans="2:18" ht="58.5">
      <c r="B1757" s="18">
        <f t="shared" ref="B1757" si="200">B1753+1</f>
        <v>439</v>
      </c>
      <c r="C1757" s="6"/>
      <c r="D1757" s="36"/>
      <c r="E1757" s="36"/>
      <c r="F1757" s="36"/>
      <c r="G1757" s="36"/>
      <c r="H1757" s="36"/>
      <c r="I1757" s="36"/>
      <c r="J1757" s="36"/>
      <c r="K1757" s="36"/>
      <c r="L1757" s="36"/>
      <c r="M1757" s="36"/>
      <c r="N1757" s="36"/>
      <c r="O1757" s="36"/>
      <c r="P1757" s="36"/>
      <c r="Q1757" s="36"/>
      <c r="R1757" s="36"/>
    </row>
    <row r="1758" spans="2:18" ht="48.75">
      <c r="B1758" s="20"/>
      <c r="C1758" s="6"/>
      <c r="D1758" s="73"/>
      <c r="E1758" s="73"/>
      <c r="F1758" s="73"/>
      <c r="G1758" s="73"/>
      <c r="H1758" s="73"/>
      <c r="I1758" s="73"/>
      <c r="J1758" s="73"/>
      <c r="K1758" s="73"/>
      <c r="L1758" s="73"/>
      <c r="M1758" s="73"/>
      <c r="N1758" s="73"/>
      <c r="O1758" s="73"/>
      <c r="P1758" s="73"/>
      <c r="Q1758" s="73"/>
      <c r="R1758" s="73"/>
    </row>
    <row r="1759" spans="2:18">
      <c r="B1759" s="12"/>
      <c r="C1759" s="31"/>
      <c r="D1759" s="47"/>
      <c r="E1759" s="47"/>
      <c r="F1759" s="47"/>
      <c r="G1759" s="47"/>
      <c r="H1759" s="47"/>
      <c r="I1759" s="47"/>
      <c r="J1759" s="47"/>
      <c r="K1759" s="47"/>
      <c r="L1759" s="47"/>
      <c r="M1759" s="47"/>
      <c r="N1759" s="47"/>
      <c r="O1759" s="47"/>
      <c r="P1759" s="47"/>
      <c r="Q1759" s="47"/>
      <c r="R1759" s="47"/>
    </row>
    <row r="1760" spans="2:18" ht="39.75">
      <c r="B1760" s="16"/>
      <c r="C1760" s="6"/>
      <c r="D1760" s="46"/>
      <c r="E1760" s="46"/>
      <c r="F1760" s="46"/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</row>
    <row r="1761" spans="2:18" ht="58.5">
      <c r="B1761" s="18">
        <f t="shared" ref="B1761" si="201">B1757+1</f>
        <v>440</v>
      </c>
      <c r="C1761" s="6"/>
      <c r="D1761" s="36"/>
      <c r="E1761" s="36"/>
      <c r="F1761" s="36"/>
      <c r="G1761" s="36"/>
      <c r="H1761" s="36"/>
      <c r="I1761" s="36"/>
      <c r="J1761" s="36"/>
      <c r="K1761" s="36"/>
      <c r="L1761" s="36"/>
      <c r="M1761" s="36"/>
      <c r="N1761" s="36"/>
      <c r="O1761" s="36"/>
      <c r="P1761" s="36"/>
      <c r="Q1761" s="36"/>
      <c r="R1761" s="36"/>
    </row>
    <row r="1762" spans="2:18" ht="48.75">
      <c r="B1762" s="20"/>
      <c r="C1762" s="6"/>
      <c r="D1762" s="73"/>
      <c r="E1762" s="73"/>
      <c r="F1762" s="73"/>
      <c r="G1762" s="73"/>
      <c r="H1762" s="73"/>
      <c r="I1762" s="73"/>
      <c r="J1762" s="73"/>
      <c r="K1762" s="73"/>
      <c r="L1762" s="73"/>
      <c r="M1762" s="73"/>
      <c r="N1762" s="73"/>
      <c r="O1762" s="73"/>
      <c r="P1762" s="73"/>
      <c r="Q1762" s="73"/>
      <c r="R1762" s="73"/>
    </row>
    <row r="1763" spans="2:18">
      <c r="B1763" s="12"/>
      <c r="C1763" s="31"/>
      <c r="D1763" s="47"/>
      <c r="E1763" s="47"/>
      <c r="F1763" s="47"/>
      <c r="G1763" s="47"/>
      <c r="H1763" s="47"/>
      <c r="I1763" s="47"/>
      <c r="J1763" s="47"/>
      <c r="K1763" s="47"/>
      <c r="L1763" s="47"/>
      <c r="M1763" s="47"/>
      <c r="N1763" s="47"/>
      <c r="O1763" s="47"/>
      <c r="P1763" s="47"/>
      <c r="Q1763" s="47"/>
      <c r="R1763" s="47"/>
    </row>
    <row r="1764" spans="2:18" ht="39.75">
      <c r="B1764" s="16"/>
      <c r="C1764" s="6"/>
      <c r="D1764" s="46"/>
      <c r="E1764" s="46"/>
      <c r="F1764" s="46"/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</row>
    <row r="1765" spans="2:18" ht="58.5">
      <c r="B1765" s="18">
        <f t="shared" ref="B1765" si="202">B1761+1</f>
        <v>441</v>
      </c>
      <c r="C1765" s="6"/>
      <c r="D1765" s="36"/>
      <c r="E1765" s="36"/>
      <c r="F1765" s="36"/>
      <c r="G1765" s="36"/>
      <c r="H1765" s="36"/>
      <c r="I1765" s="36"/>
      <c r="J1765" s="36"/>
      <c r="K1765" s="36"/>
      <c r="L1765" s="36"/>
      <c r="M1765" s="36"/>
      <c r="N1765" s="36"/>
      <c r="O1765" s="36"/>
      <c r="P1765" s="36"/>
      <c r="Q1765" s="36"/>
      <c r="R1765" s="36"/>
    </row>
    <row r="1766" spans="2:18" ht="48.75">
      <c r="B1766" s="20"/>
      <c r="C1766" s="6"/>
      <c r="D1766" s="73"/>
      <c r="E1766" s="73"/>
      <c r="F1766" s="73"/>
      <c r="G1766" s="73"/>
      <c r="H1766" s="73"/>
      <c r="I1766" s="73"/>
      <c r="J1766" s="73"/>
      <c r="K1766" s="73"/>
      <c r="L1766" s="73"/>
      <c r="M1766" s="73"/>
      <c r="N1766" s="73"/>
      <c r="O1766" s="73"/>
      <c r="P1766" s="73"/>
      <c r="Q1766" s="73"/>
      <c r="R1766" s="73"/>
    </row>
    <row r="1767" spans="2:18">
      <c r="B1767" s="12"/>
      <c r="C1767" s="31"/>
      <c r="D1767" s="47"/>
      <c r="E1767" s="47"/>
      <c r="F1767" s="47"/>
      <c r="G1767" s="47"/>
      <c r="H1767" s="47"/>
      <c r="I1767" s="47"/>
      <c r="J1767" s="47"/>
      <c r="K1767" s="47"/>
      <c r="L1767" s="47"/>
      <c r="M1767" s="47"/>
      <c r="N1767" s="47"/>
      <c r="O1767" s="47"/>
      <c r="P1767" s="47"/>
      <c r="Q1767" s="47"/>
      <c r="R1767" s="47"/>
    </row>
    <row r="1768" spans="2:18" ht="39.75">
      <c r="B1768" s="16"/>
      <c r="C1768" s="6"/>
      <c r="D1768" s="46"/>
      <c r="E1768" s="46"/>
      <c r="F1768" s="46"/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</row>
    <row r="1769" spans="2:18" ht="58.5">
      <c r="B1769" s="18">
        <f t="shared" ref="B1769" si="203">B1765+1</f>
        <v>442</v>
      </c>
      <c r="C1769" s="6"/>
      <c r="D1769" s="36"/>
      <c r="E1769" s="36"/>
      <c r="F1769" s="36"/>
      <c r="G1769" s="36"/>
      <c r="H1769" s="36"/>
      <c r="I1769" s="36"/>
      <c r="J1769" s="36"/>
      <c r="K1769" s="36"/>
      <c r="L1769" s="36"/>
      <c r="M1769" s="36"/>
      <c r="N1769" s="36"/>
      <c r="O1769" s="36"/>
      <c r="P1769" s="36"/>
      <c r="Q1769" s="36"/>
      <c r="R1769" s="36"/>
    </row>
    <row r="1770" spans="2:18" ht="48.75">
      <c r="B1770" s="20"/>
      <c r="C1770" s="6"/>
      <c r="D1770" s="73"/>
      <c r="E1770" s="73"/>
      <c r="F1770" s="73"/>
      <c r="G1770" s="73"/>
      <c r="H1770" s="73"/>
      <c r="I1770" s="73"/>
      <c r="J1770" s="73"/>
      <c r="K1770" s="73"/>
      <c r="L1770" s="73"/>
      <c r="M1770" s="73"/>
      <c r="N1770" s="73"/>
      <c r="O1770" s="73"/>
      <c r="P1770" s="73"/>
      <c r="Q1770" s="73"/>
      <c r="R1770" s="73"/>
    </row>
    <row r="1771" spans="2:18">
      <c r="B1771" s="12"/>
      <c r="C1771" s="31"/>
      <c r="D1771" s="47"/>
      <c r="E1771" s="47"/>
      <c r="F1771" s="47"/>
      <c r="G1771" s="47"/>
      <c r="H1771" s="47"/>
      <c r="I1771" s="47"/>
      <c r="J1771" s="47"/>
      <c r="K1771" s="47"/>
      <c r="L1771" s="47"/>
      <c r="M1771" s="47"/>
      <c r="N1771" s="47"/>
      <c r="O1771" s="47"/>
      <c r="P1771" s="47"/>
      <c r="Q1771" s="47"/>
      <c r="R1771" s="47"/>
    </row>
    <row r="1772" spans="2:18" ht="39.75">
      <c r="B1772" s="16"/>
      <c r="C1772" s="6"/>
      <c r="D1772" s="46"/>
      <c r="E1772" s="46"/>
      <c r="F1772" s="46"/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</row>
    <row r="1773" spans="2:18" ht="58.5">
      <c r="B1773" s="18">
        <f t="shared" ref="B1773" si="204">B1769+1</f>
        <v>443</v>
      </c>
      <c r="C1773" s="6"/>
      <c r="D1773" s="36"/>
      <c r="E1773" s="36"/>
      <c r="F1773" s="36"/>
      <c r="G1773" s="36"/>
      <c r="H1773" s="36"/>
      <c r="I1773" s="36"/>
      <c r="J1773" s="36"/>
      <c r="K1773" s="36"/>
      <c r="L1773" s="36"/>
      <c r="M1773" s="36"/>
      <c r="N1773" s="36"/>
      <c r="O1773" s="36"/>
      <c r="P1773" s="36"/>
      <c r="Q1773" s="36"/>
      <c r="R1773" s="36"/>
    </row>
    <row r="1774" spans="2:18" ht="48.75">
      <c r="B1774" s="20"/>
      <c r="C1774" s="6"/>
      <c r="D1774" s="73"/>
      <c r="E1774" s="73"/>
      <c r="F1774" s="73"/>
      <c r="G1774" s="73"/>
      <c r="H1774" s="73"/>
      <c r="I1774" s="73"/>
      <c r="J1774" s="73"/>
      <c r="K1774" s="73"/>
      <c r="L1774" s="73"/>
      <c r="M1774" s="73"/>
      <c r="N1774" s="73"/>
      <c r="O1774" s="73"/>
      <c r="P1774" s="73"/>
      <c r="Q1774" s="73"/>
      <c r="R1774" s="73"/>
    </row>
    <row r="1775" spans="2:18">
      <c r="B1775" s="12"/>
      <c r="C1775" s="31"/>
      <c r="D1775" s="47"/>
      <c r="E1775" s="47"/>
      <c r="F1775" s="47"/>
      <c r="G1775" s="47"/>
      <c r="H1775" s="47"/>
      <c r="I1775" s="47"/>
      <c r="J1775" s="47"/>
      <c r="K1775" s="47"/>
      <c r="L1775" s="47"/>
      <c r="M1775" s="47"/>
      <c r="N1775" s="47"/>
      <c r="O1775" s="47"/>
      <c r="P1775" s="47"/>
      <c r="Q1775" s="47"/>
      <c r="R1775" s="47"/>
    </row>
    <row r="1776" spans="2:18" ht="39.75">
      <c r="B1776" s="16"/>
      <c r="C1776" s="6"/>
      <c r="D1776" s="46"/>
      <c r="E1776" s="46"/>
      <c r="F1776" s="46"/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</row>
    <row r="1777" spans="2:18" ht="58.5">
      <c r="B1777" s="18">
        <f t="shared" ref="B1777" si="205">B1773+1</f>
        <v>444</v>
      </c>
      <c r="C1777" s="6"/>
      <c r="D1777" s="36"/>
      <c r="E1777" s="36"/>
      <c r="F1777" s="36"/>
      <c r="G1777" s="36"/>
      <c r="H1777" s="36"/>
      <c r="I1777" s="36"/>
      <c r="J1777" s="36"/>
      <c r="K1777" s="36"/>
      <c r="L1777" s="36"/>
      <c r="M1777" s="36"/>
      <c r="N1777" s="36"/>
      <c r="O1777" s="36"/>
      <c r="P1777" s="36"/>
      <c r="Q1777" s="36"/>
      <c r="R1777" s="36"/>
    </row>
    <row r="1778" spans="2:18" ht="48.75">
      <c r="B1778" s="20"/>
      <c r="C1778" s="6"/>
      <c r="D1778" s="73"/>
      <c r="E1778" s="73"/>
      <c r="F1778" s="73"/>
      <c r="G1778" s="73"/>
      <c r="H1778" s="73"/>
      <c r="I1778" s="73"/>
      <c r="J1778" s="73"/>
      <c r="K1778" s="73"/>
      <c r="L1778" s="73"/>
      <c r="M1778" s="73"/>
      <c r="N1778" s="73"/>
      <c r="O1778" s="73"/>
      <c r="P1778" s="73"/>
      <c r="Q1778" s="73"/>
      <c r="R1778" s="73"/>
    </row>
    <row r="1779" spans="2:18">
      <c r="B1779" s="12"/>
      <c r="C1779" s="31"/>
      <c r="D1779" s="47"/>
      <c r="E1779" s="47"/>
      <c r="F1779" s="47"/>
      <c r="G1779" s="47"/>
      <c r="H1779" s="47"/>
      <c r="I1779" s="47"/>
      <c r="J1779" s="47"/>
      <c r="K1779" s="47"/>
      <c r="L1779" s="47"/>
      <c r="M1779" s="47"/>
      <c r="N1779" s="47"/>
      <c r="O1779" s="47"/>
      <c r="P1779" s="47"/>
      <c r="Q1779" s="47"/>
      <c r="R1779" s="47"/>
    </row>
    <row r="1780" spans="2:18" ht="39.75">
      <c r="B1780" s="16"/>
      <c r="C1780" s="6"/>
      <c r="D1780" s="46"/>
      <c r="E1780" s="46"/>
      <c r="F1780" s="46"/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/>
      <c r="R1780" s="46"/>
    </row>
    <row r="1781" spans="2:18" ht="58.5">
      <c r="B1781" s="18">
        <f t="shared" ref="B1781" si="206">B1777+1</f>
        <v>445</v>
      </c>
      <c r="C1781" s="6"/>
      <c r="D1781" s="36"/>
      <c r="E1781" s="36"/>
      <c r="F1781" s="36"/>
      <c r="G1781" s="36"/>
      <c r="H1781" s="36"/>
      <c r="I1781" s="36"/>
      <c r="J1781" s="36"/>
      <c r="K1781" s="36"/>
      <c r="L1781" s="36"/>
      <c r="M1781" s="36"/>
      <c r="N1781" s="36"/>
      <c r="O1781" s="36"/>
      <c r="P1781" s="36"/>
      <c r="Q1781" s="36"/>
      <c r="R1781" s="36"/>
    </row>
    <row r="1782" spans="2:18" ht="48.75">
      <c r="B1782" s="20"/>
      <c r="C1782" s="6"/>
      <c r="D1782" s="73"/>
      <c r="E1782" s="73"/>
      <c r="F1782" s="73"/>
      <c r="G1782" s="73"/>
      <c r="H1782" s="73"/>
      <c r="I1782" s="73"/>
      <c r="J1782" s="73"/>
      <c r="K1782" s="73"/>
      <c r="L1782" s="73"/>
      <c r="M1782" s="73"/>
      <c r="N1782" s="73"/>
      <c r="O1782" s="73"/>
      <c r="P1782" s="73"/>
      <c r="Q1782" s="73"/>
      <c r="R1782" s="73"/>
    </row>
    <row r="1783" spans="2:18">
      <c r="B1783" s="12"/>
      <c r="C1783" s="31"/>
      <c r="D1783" s="47"/>
      <c r="E1783" s="47"/>
      <c r="F1783" s="47"/>
      <c r="G1783" s="47"/>
      <c r="H1783" s="47"/>
      <c r="I1783" s="47"/>
      <c r="J1783" s="47"/>
      <c r="K1783" s="47"/>
      <c r="L1783" s="47"/>
      <c r="M1783" s="47"/>
      <c r="N1783" s="47"/>
      <c r="O1783" s="47"/>
      <c r="P1783" s="47"/>
      <c r="Q1783" s="47"/>
      <c r="R1783" s="47"/>
    </row>
    <row r="1784" spans="2:18" ht="39.75">
      <c r="B1784" s="16"/>
      <c r="C1784" s="6"/>
      <c r="D1784" s="46"/>
      <c r="E1784" s="46"/>
      <c r="F1784" s="46"/>
      <c r="G1784" s="46"/>
      <c r="H1784" s="46"/>
      <c r="I1784" s="46"/>
      <c r="J1784" s="46"/>
      <c r="K1784" s="46"/>
      <c r="L1784" s="46"/>
      <c r="M1784" s="46"/>
      <c r="N1784" s="46"/>
      <c r="O1784" s="46"/>
      <c r="P1784" s="46"/>
      <c r="Q1784" s="46"/>
      <c r="R1784" s="46"/>
    </row>
    <row r="1785" spans="2:18" ht="58.5">
      <c r="B1785" s="18">
        <f t="shared" ref="B1785" si="207">B1781+1</f>
        <v>446</v>
      </c>
      <c r="C1785" s="6"/>
      <c r="D1785" s="36"/>
      <c r="E1785" s="36"/>
      <c r="F1785" s="36"/>
      <c r="G1785" s="36"/>
      <c r="H1785" s="36"/>
      <c r="I1785" s="36"/>
      <c r="J1785" s="36"/>
      <c r="K1785" s="36"/>
      <c r="L1785" s="36"/>
      <c r="M1785" s="36"/>
      <c r="N1785" s="36"/>
      <c r="O1785" s="36"/>
      <c r="P1785" s="36"/>
      <c r="Q1785" s="36"/>
      <c r="R1785" s="36"/>
    </row>
    <row r="1786" spans="2:18" ht="48.75">
      <c r="B1786" s="20"/>
      <c r="C1786" s="6"/>
      <c r="D1786" s="73"/>
      <c r="E1786" s="73"/>
      <c r="F1786" s="73"/>
      <c r="G1786" s="73"/>
      <c r="H1786" s="73"/>
      <c r="I1786" s="73"/>
      <c r="J1786" s="73"/>
      <c r="K1786" s="73"/>
      <c r="L1786" s="73"/>
      <c r="M1786" s="73"/>
      <c r="N1786" s="73"/>
      <c r="O1786" s="73"/>
      <c r="P1786" s="73"/>
      <c r="Q1786" s="73"/>
      <c r="R1786" s="73"/>
    </row>
    <row r="1787" spans="2:18">
      <c r="B1787" s="12"/>
      <c r="C1787" s="31"/>
      <c r="D1787" s="47"/>
      <c r="E1787" s="47"/>
      <c r="F1787" s="47"/>
      <c r="G1787" s="47"/>
      <c r="H1787" s="47"/>
      <c r="I1787" s="47"/>
      <c r="J1787" s="47"/>
      <c r="K1787" s="47"/>
      <c r="L1787" s="47"/>
      <c r="M1787" s="47"/>
      <c r="N1787" s="47"/>
      <c r="O1787" s="47"/>
      <c r="P1787" s="47"/>
      <c r="Q1787" s="47"/>
      <c r="R1787" s="47"/>
    </row>
    <row r="1788" spans="2:18" ht="39.75">
      <c r="B1788" s="16"/>
      <c r="C1788" s="6"/>
      <c r="D1788" s="46"/>
      <c r="E1788" s="46"/>
      <c r="F1788" s="46"/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</row>
    <row r="1789" spans="2:18" ht="58.5">
      <c r="B1789" s="18">
        <f t="shared" ref="B1789" si="208">B1785+1</f>
        <v>447</v>
      </c>
      <c r="C1789" s="6"/>
      <c r="D1789" s="36"/>
      <c r="E1789" s="36"/>
      <c r="F1789" s="36"/>
      <c r="G1789" s="36"/>
      <c r="H1789" s="36"/>
      <c r="I1789" s="36"/>
      <c r="J1789" s="36"/>
      <c r="K1789" s="36"/>
      <c r="L1789" s="36"/>
      <c r="M1789" s="36"/>
      <c r="N1789" s="36"/>
      <c r="O1789" s="36"/>
      <c r="P1789" s="36"/>
      <c r="Q1789" s="36"/>
      <c r="R1789" s="36"/>
    </row>
    <row r="1790" spans="2:18" ht="48.75">
      <c r="B1790" s="20"/>
      <c r="C1790" s="6"/>
      <c r="D1790" s="73"/>
      <c r="E1790" s="73"/>
      <c r="F1790" s="73"/>
      <c r="G1790" s="73"/>
      <c r="H1790" s="73"/>
      <c r="I1790" s="73"/>
      <c r="J1790" s="73"/>
      <c r="K1790" s="73"/>
      <c r="L1790" s="73"/>
      <c r="M1790" s="73"/>
      <c r="N1790" s="73"/>
      <c r="O1790" s="73"/>
      <c r="P1790" s="73"/>
      <c r="Q1790" s="73"/>
      <c r="R1790" s="73"/>
    </row>
    <row r="1791" spans="2:18">
      <c r="B1791" s="12"/>
      <c r="C1791" s="31"/>
      <c r="D1791" s="47"/>
      <c r="E1791" s="47"/>
      <c r="F1791" s="47"/>
      <c r="G1791" s="47"/>
      <c r="H1791" s="47"/>
      <c r="I1791" s="47"/>
      <c r="J1791" s="47"/>
      <c r="K1791" s="47"/>
      <c r="L1791" s="47"/>
      <c r="M1791" s="47"/>
      <c r="N1791" s="47"/>
      <c r="O1791" s="47"/>
      <c r="P1791" s="47"/>
      <c r="Q1791" s="47"/>
      <c r="R1791" s="47"/>
    </row>
    <row r="1792" spans="2:18" ht="39.75">
      <c r="B1792" s="16"/>
      <c r="C1792" s="6"/>
      <c r="D1792" s="46"/>
      <c r="E1792" s="46"/>
      <c r="F1792" s="46"/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</row>
    <row r="1793" spans="2:18" ht="58.5">
      <c r="B1793" s="18">
        <f t="shared" ref="B1793" si="209">B1789+1</f>
        <v>448</v>
      </c>
      <c r="C1793" s="6"/>
      <c r="D1793" s="36"/>
      <c r="E1793" s="36"/>
      <c r="F1793" s="36"/>
      <c r="G1793" s="36"/>
      <c r="H1793" s="36"/>
      <c r="I1793" s="36"/>
      <c r="J1793" s="36"/>
      <c r="K1793" s="36"/>
      <c r="L1793" s="36"/>
      <c r="M1793" s="36"/>
      <c r="N1793" s="36"/>
      <c r="O1793" s="36"/>
      <c r="P1793" s="36"/>
      <c r="Q1793" s="36"/>
      <c r="R1793" s="36"/>
    </row>
    <row r="1794" spans="2:18" ht="48.75">
      <c r="B1794" s="20"/>
      <c r="C1794" s="6"/>
      <c r="D1794" s="73"/>
      <c r="E1794" s="73"/>
      <c r="F1794" s="73"/>
      <c r="G1794" s="73"/>
      <c r="H1794" s="73"/>
      <c r="I1794" s="73"/>
      <c r="J1794" s="73"/>
      <c r="K1794" s="73"/>
      <c r="L1794" s="73"/>
      <c r="M1794" s="73"/>
      <c r="N1794" s="73"/>
      <c r="O1794" s="73"/>
      <c r="P1794" s="73"/>
      <c r="Q1794" s="73"/>
      <c r="R1794" s="73"/>
    </row>
    <row r="1795" spans="2:18">
      <c r="B1795" s="12"/>
      <c r="C1795" s="31"/>
      <c r="D1795" s="47"/>
      <c r="E1795" s="47"/>
      <c r="F1795" s="47"/>
      <c r="G1795" s="47"/>
      <c r="H1795" s="47"/>
      <c r="I1795" s="47"/>
      <c r="J1795" s="47"/>
      <c r="K1795" s="47"/>
      <c r="L1795" s="47"/>
      <c r="M1795" s="47"/>
      <c r="N1795" s="47"/>
      <c r="O1795" s="47"/>
      <c r="P1795" s="47"/>
      <c r="Q1795" s="47"/>
      <c r="R1795" s="47"/>
    </row>
    <row r="1796" spans="2:18" ht="39.75">
      <c r="B1796" s="16"/>
      <c r="C1796" s="6"/>
      <c r="D1796" s="46"/>
      <c r="E1796" s="46"/>
      <c r="F1796" s="46"/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</row>
    <row r="1797" spans="2:18" ht="58.5">
      <c r="B1797" s="18">
        <f t="shared" ref="B1797" si="210">B1793+1</f>
        <v>449</v>
      </c>
      <c r="C1797" s="6"/>
      <c r="D1797" s="36"/>
      <c r="E1797" s="36"/>
      <c r="F1797" s="36"/>
      <c r="G1797" s="36"/>
      <c r="H1797" s="36"/>
      <c r="I1797" s="36"/>
      <c r="J1797" s="36"/>
      <c r="K1797" s="36"/>
      <c r="L1797" s="36"/>
      <c r="M1797" s="36"/>
      <c r="N1797" s="36"/>
      <c r="O1797" s="36"/>
      <c r="P1797" s="36"/>
      <c r="Q1797" s="36"/>
      <c r="R1797" s="36"/>
    </row>
    <row r="1798" spans="2:18" ht="48.75">
      <c r="B1798" s="20"/>
      <c r="C1798" s="6"/>
      <c r="D1798" s="73"/>
      <c r="E1798" s="73"/>
      <c r="F1798" s="73"/>
      <c r="G1798" s="73"/>
      <c r="H1798" s="73"/>
      <c r="I1798" s="73"/>
      <c r="J1798" s="73"/>
      <c r="K1798" s="73"/>
      <c r="L1798" s="73"/>
      <c r="M1798" s="73"/>
      <c r="N1798" s="73"/>
      <c r="O1798" s="73"/>
      <c r="P1798" s="73"/>
      <c r="Q1798" s="73"/>
      <c r="R1798" s="73"/>
    </row>
    <row r="1799" spans="2:18">
      <c r="B1799" s="12"/>
      <c r="C1799" s="31"/>
      <c r="D1799" s="47"/>
      <c r="E1799" s="47"/>
      <c r="F1799" s="47"/>
      <c r="G1799" s="47"/>
      <c r="H1799" s="47"/>
      <c r="I1799" s="47"/>
      <c r="J1799" s="47"/>
      <c r="K1799" s="47"/>
      <c r="L1799" s="47"/>
      <c r="M1799" s="47"/>
      <c r="N1799" s="47"/>
      <c r="O1799" s="47"/>
      <c r="P1799" s="47"/>
      <c r="Q1799" s="47"/>
      <c r="R1799" s="47"/>
    </row>
    <row r="1800" spans="2:18" ht="39.75">
      <c r="B1800" s="16"/>
      <c r="C1800" s="6"/>
      <c r="D1800" s="46"/>
      <c r="E1800" s="46"/>
      <c r="F1800" s="46"/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</row>
    <row r="1801" spans="2:18" ht="58.5">
      <c r="B1801" s="18">
        <f t="shared" ref="B1801" si="211">B1797+1</f>
        <v>450</v>
      </c>
      <c r="C1801" s="6"/>
      <c r="D1801" s="36"/>
      <c r="E1801" s="36"/>
      <c r="F1801" s="36"/>
      <c r="G1801" s="36"/>
      <c r="H1801" s="36"/>
      <c r="I1801" s="36"/>
      <c r="J1801" s="36"/>
      <c r="K1801" s="36"/>
      <c r="L1801" s="36"/>
      <c r="M1801" s="36"/>
      <c r="N1801" s="36"/>
      <c r="O1801" s="36"/>
      <c r="P1801" s="36"/>
      <c r="Q1801" s="36"/>
      <c r="R1801" s="36"/>
    </row>
    <row r="1802" spans="2:18" ht="48.75">
      <c r="B1802" s="20"/>
      <c r="C1802" s="6"/>
      <c r="D1802" s="73"/>
      <c r="E1802" s="73"/>
      <c r="F1802" s="73"/>
      <c r="G1802" s="73"/>
      <c r="H1802" s="73"/>
      <c r="I1802" s="73"/>
      <c r="J1802" s="73"/>
      <c r="K1802" s="73"/>
      <c r="L1802" s="73"/>
      <c r="M1802" s="73"/>
      <c r="N1802" s="73"/>
      <c r="O1802" s="73"/>
      <c r="P1802" s="73"/>
      <c r="Q1802" s="73"/>
      <c r="R1802" s="73"/>
    </row>
    <row r="1803" spans="2:18">
      <c r="B1803" s="12"/>
      <c r="C1803" s="31"/>
      <c r="D1803" s="47"/>
      <c r="E1803" s="47"/>
      <c r="F1803" s="47"/>
      <c r="G1803" s="47"/>
      <c r="H1803" s="47"/>
      <c r="I1803" s="47"/>
      <c r="J1803" s="47"/>
      <c r="K1803" s="47"/>
      <c r="L1803" s="47"/>
      <c r="M1803" s="47"/>
      <c r="N1803" s="47"/>
      <c r="O1803" s="47"/>
      <c r="P1803" s="47"/>
      <c r="Q1803" s="47"/>
      <c r="R1803" s="47"/>
    </row>
    <row r="1804" spans="2:18" ht="39.75">
      <c r="B1804" s="16"/>
      <c r="C1804" s="6"/>
      <c r="D1804" s="46"/>
      <c r="E1804" s="46"/>
      <c r="F1804" s="46"/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</row>
    <row r="1805" spans="2:18" ht="58.5">
      <c r="B1805" s="18">
        <f>B1801+1</f>
        <v>451</v>
      </c>
      <c r="C1805" s="6"/>
      <c r="D1805" s="36"/>
      <c r="E1805" s="36"/>
      <c r="F1805" s="36"/>
      <c r="G1805" s="36"/>
      <c r="H1805" s="36"/>
      <c r="I1805" s="36"/>
      <c r="J1805" s="36"/>
      <c r="K1805" s="36"/>
      <c r="L1805" s="36"/>
      <c r="M1805" s="36"/>
      <c r="N1805" s="36"/>
      <c r="O1805" s="36"/>
      <c r="P1805" s="36"/>
      <c r="Q1805" s="36"/>
      <c r="R1805" s="36"/>
    </row>
    <row r="1806" spans="2:18" ht="48.75">
      <c r="B1806" s="20"/>
      <c r="C1806" s="6"/>
      <c r="D1806" s="73"/>
      <c r="E1806" s="73"/>
      <c r="F1806" s="73"/>
      <c r="G1806" s="73"/>
      <c r="H1806" s="73"/>
      <c r="I1806" s="73"/>
      <c r="J1806" s="73"/>
      <c r="K1806" s="73"/>
      <c r="L1806" s="73"/>
      <c r="M1806" s="73"/>
      <c r="N1806" s="73"/>
      <c r="O1806" s="73"/>
      <c r="P1806" s="73"/>
      <c r="Q1806" s="73"/>
      <c r="R1806" s="73"/>
    </row>
    <row r="1807" spans="2:18">
      <c r="B1807" s="24"/>
      <c r="C1807" s="25"/>
      <c r="D1807" s="47"/>
      <c r="E1807" s="47"/>
      <c r="F1807" s="47"/>
      <c r="G1807" s="47"/>
      <c r="H1807" s="47"/>
      <c r="I1807" s="47"/>
      <c r="J1807" s="47"/>
      <c r="K1807" s="47"/>
      <c r="L1807" s="47"/>
      <c r="M1807" s="47"/>
      <c r="N1807" s="47"/>
      <c r="O1807" s="47"/>
      <c r="P1807" s="47"/>
      <c r="Q1807" s="47"/>
      <c r="R1807" s="47"/>
    </row>
    <row r="1808" spans="2:18" ht="39.75">
      <c r="B1808" s="16"/>
      <c r="C1808" s="6"/>
      <c r="D1808" s="46"/>
      <c r="E1808" s="46"/>
      <c r="F1808" s="46"/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</row>
    <row r="1809" spans="2:18" ht="58.5">
      <c r="B1809" s="18">
        <f>B1805+1</f>
        <v>452</v>
      </c>
      <c r="C1809" s="6"/>
      <c r="D1809" s="36"/>
      <c r="E1809" s="36"/>
      <c r="F1809" s="36"/>
      <c r="G1809" s="36"/>
      <c r="H1809" s="36"/>
      <c r="I1809" s="36"/>
      <c r="J1809" s="36"/>
      <c r="K1809" s="36"/>
      <c r="L1809" s="36"/>
      <c r="M1809" s="36"/>
      <c r="N1809" s="36"/>
      <c r="O1809" s="36"/>
      <c r="P1809" s="36"/>
      <c r="Q1809" s="36"/>
      <c r="R1809" s="36"/>
    </row>
    <row r="1810" spans="2:18" ht="48.75">
      <c r="B1810" s="20"/>
      <c r="C1810" s="6"/>
      <c r="D1810" s="73"/>
      <c r="E1810" s="73"/>
      <c r="F1810" s="73"/>
      <c r="G1810" s="73"/>
      <c r="H1810" s="73"/>
      <c r="I1810" s="73"/>
      <c r="J1810" s="73"/>
      <c r="K1810" s="73"/>
      <c r="L1810" s="73"/>
      <c r="M1810" s="73"/>
      <c r="N1810" s="73"/>
      <c r="O1810" s="73"/>
      <c r="P1810" s="73"/>
      <c r="Q1810" s="73"/>
      <c r="R1810" s="73"/>
    </row>
    <row r="1811" spans="2:18">
      <c r="B1811" s="29"/>
      <c r="C1811" s="30"/>
      <c r="D1811" s="47"/>
      <c r="E1811" s="47"/>
      <c r="F1811" s="47"/>
      <c r="G1811" s="47"/>
      <c r="H1811" s="47"/>
      <c r="I1811" s="47"/>
      <c r="J1811" s="47"/>
      <c r="K1811" s="47"/>
      <c r="L1811" s="47"/>
      <c r="M1811" s="47"/>
      <c r="N1811" s="47"/>
      <c r="O1811" s="47"/>
      <c r="P1811" s="47"/>
      <c r="Q1811" s="47"/>
      <c r="R1811" s="47"/>
    </row>
    <row r="1812" spans="2:18" ht="39.75">
      <c r="B1812" s="16"/>
      <c r="C1812" s="6"/>
      <c r="D1812" s="46"/>
      <c r="E1812" s="46"/>
      <c r="F1812" s="46"/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</row>
    <row r="1813" spans="2:18" ht="58.5">
      <c r="B1813" s="18">
        <f>B1809+1</f>
        <v>453</v>
      </c>
      <c r="C1813" s="6"/>
      <c r="D1813" s="36"/>
      <c r="E1813" s="36"/>
      <c r="F1813" s="36"/>
      <c r="G1813" s="36"/>
      <c r="H1813" s="36"/>
      <c r="I1813" s="36"/>
      <c r="J1813" s="36"/>
      <c r="K1813" s="36"/>
      <c r="L1813" s="36"/>
      <c r="M1813" s="36"/>
      <c r="N1813" s="36"/>
      <c r="O1813" s="36"/>
      <c r="P1813" s="36"/>
      <c r="Q1813" s="36"/>
      <c r="R1813" s="36"/>
    </row>
    <row r="1814" spans="2:18" ht="48.75">
      <c r="B1814" s="20"/>
      <c r="C1814" s="6"/>
      <c r="D1814" s="73"/>
      <c r="E1814" s="73"/>
      <c r="F1814" s="73"/>
      <c r="G1814" s="73"/>
      <c r="H1814" s="73"/>
      <c r="I1814" s="73"/>
      <c r="J1814" s="73"/>
      <c r="K1814" s="73"/>
      <c r="L1814" s="73"/>
      <c r="M1814" s="73"/>
      <c r="N1814" s="73"/>
      <c r="O1814" s="73"/>
      <c r="P1814" s="73"/>
      <c r="Q1814" s="73"/>
      <c r="R1814" s="73"/>
    </row>
    <row r="1815" spans="2:18">
      <c r="B1815" s="12"/>
      <c r="C1815" s="31"/>
      <c r="D1815" s="47"/>
      <c r="E1815" s="47"/>
      <c r="F1815" s="47"/>
      <c r="G1815" s="47"/>
      <c r="H1815" s="47"/>
      <c r="I1815" s="47"/>
      <c r="J1815" s="47"/>
      <c r="K1815" s="47"/>
      <c r="L1815" s="47"/>
      <c r="M1815" s="47"/>
      <c r="N1815" s="47"/>
      <c r="O1815" s="47"/>
      <c r="P1815" s="47"/>
      <c r="Q1815" s="47"/>
      <c r="R1815" s="47"/>
    </row>
    <row r="1816" spans="2:18" ht="39.75">
      <c r="B1816" s="16"/>
      <c r="C1816" s="6"/>
      <c r="D1816" s="46"/>
      <c r="E1816" s="46"/>
      <c r="F1816" s="46"/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</row>
    <row r="1817" spans="2:18" ht="58.5">
      <c r="B1817" s="18">
        <f>B1813+1</f>
        <v>454</v>
      </c>
      <c r="C1817" s="6"/>
      <c r="D1817" s="36"/>
      <c r="E1817" s="36"/>
      <c r="F1817" s="36"/>
      <c r="G1817" s="36"/>
      <c r="H1817" s="36"/>
      <c r="I1817" s="36"/>
      <c r="J1817" s="36"/>
      <c r="K1817" s="36"/>
      <c r="L1817" s="36"/>
      <c r="M1817" s="36"/>
      <c r="N1817" s="36"/>
      <c r="O1817" s="36"/>
      <c r="P1817" s="36"/>
      <c r="Q1817" s="36"/>
      <c r="R1817" s="36"/>
    </row>
    <row r="1818" spans="2:18" ht="48.75">
      <c r="B1818" s="20"/>
      <c r="C1818" s="6"/>
      <c r="D1818" s="73"/>
      <c r="E1818" s="73"/>
      <c r="F1818" s="73"/>
      <c r="G1818" s="73"/>
      <c r="H1818" s="73"/>
      <c r="I1818" s="73"/>
      <c r="J1818" s="73"/>
      <c r="K1818" s="73"/>
      <c r="L1818" s="73"/>
      <c r="M1818" s="73"/>
      <c r="N1818" s="73"/>
      <c r="O1818" s="73"/>
      <c r="P1818" s="73"/>
      <c r="Q1818" s="73"/>
      <c r="R1818" s="73"/>
    </row>
    <row r="1819" spans="2:18">
      <c r="B1819" s="12"/>
      <c r="C1819" s="31"/>
      <c r="D1819" s="47"/>
      <c r="E1819" s="47"/>
      <c r="F1819" s="47"/>
      <c r="G1819" s="47"/>
      <c r="H1819" s="47"/>
      <c r="I1819" s="47"/>
      <c r="J1819" s="47"/>
      <c r="K1819" s="47"/>
      <c r="L1819" s="47"/>
      <c r="M1819" s="47"/>
      <c r="N1819" s="47"/>
      <c r="O1819" s="47"/>
      <c r="P1819" s="47"/>
      <c r="Q1819" s="47"/>
      <c r="R1819" s="47"/>
    </row>
    <row r="1820" spans="2:18" ht="39.75">
      <c r="B1820" s="16"/>
      <c r="C1820" s="6"/>
      <c r="D1820" s="46"/>
      <c r="E1820" s="46"/>
      <c r="F1820" s="46"/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</row>
    <row r="1821" spans="2:18" ht="58.5">
      <c r="B1821" s="18">
        <f>B1817+1</f>
        <v>455</v>
      </c>
      <c r="C1821" s="6"/>
      <c r="D1821" s="36"/>
      <c r="E1821" s="36"/>
      <c r="F1821" s="36"/>
      <c r="G1821" s="36"/>
      <c r="H1821" s="36"/>
      <c r="I1821" s="36"/>
      <c r="J1821" s="36"/>
      <c r="K1821" s="36"/>
      <c r="L1821" s="36"/>
      <c r="M1821" s="36"/>
      <c r="N1821" s="36"/>
      <c r="O1821" s="36"/>
      <c r="P1821" s="36"/>
      <c r="Q1821" s="36"/>
      <c r="R1821" s="36"/>
    </row>
    <row r="1822" spans="2:18" ht="48.75">
      <c r="B1822" s="20"/>
      <c r="C1822" s="6"/>
      <c r="D1822" s="73"/>
      <c r="E1822" s="73"/>
      <c r="F1822" s="73"/>
      <c r="G1822" s="73"/>
      <c r="H1822" s="73"/>
      <c r="I1822" s="73"/>
      <c r="J1822" s="73"/>
      <c r="K1822" s="73"/>
      <c r="L1822" s="73"/>
      <c r="M1822" s="73"/>
      <c r="N1822" s="73"/>
      <c r="O1822" s="73"/>
      <c r="P1822" s="73"/>
      <c r="Q1822" s="73"/>
      <c r="R1822" s="73"/>
    </row>
    <row r="1823" spans="2:18">
      <c r="B1823" s="12"/>
      <c r="C1823" s="31"/>
      <c r="D1823" s="47"/>
      <c r="E1823" s="47"/>
      <c r="F1823" s="47"/>
      <c r="G1823" s="47"/>
      <c r="H1823" s="47"/>
      <c r="I1823" s="47"/>
      <c r="J1823" s="47"/>
      <c r="K1823" s="47"/>
      <c r="L1823" s="47"/>
      <c r="M1823" s="47"/>
      <c r="N1823" s="47"/>
      <c r="O1823" s="47"/>
      <c r="P1823" s="47"/>
      <c r="Q1823" s="47"/>
      <c r="R1823" s="47"/>
    </row>
    <row r="1824" spans="2:18" ht="39.75">
      <c r="B1824" s="16"/>
      <c r="C1824" s="6"/>
      <c r="D1824" s="46"/>
      <c r="E1824" s="46"/>
      <c r="F1824" s="46"/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</row>
    <row r="1825" spans="2:18" ht="58.5">
      <c r="B1825" s="18">
        <f>B1821+1</f>
        <v>456</v>
      </c>
      <c r="C1825" s="6"/>
      <c r="D1825" s="36"/>
      <c r="E1825" s="36"/>
      <c r="F1825" s="36"/>
      <c r="G1825" s="36"/>
      <c r="H1825" s="36"/>
      <c r="I1825" s="36"/>
      <c r="J1825" s="36"/>
      <c r="K1825" s="36"/>
      <c r="L1825" s="36"/>
      <c r="M1825" s="36"/>
      <c r="N1825" s="36"/>
      <c r="O1825" s="36"/>
      <c r="P1825" s="36"/>
      <c r="Q1825" s="36"/>
      <c r="R1825" s="36"/>
    </row>
    <row r="1826" spans="2:18" ht="48.75">
      <c r="B1826" s="20"/>
      <c r="C1826" s="6"/>
      <c r="D1826" s="73"/>
      <c r="E1826" s="73"/>
      <c r="F1826" s="73"/>
      <c r="G1826" s="73"/>
      <c r="H1826" s="73"/>
      <c r="I1826" s="73"/>
      <c r="J1826" s="73"/>
      <c r="K1826" s="73"/>
      <c r="L1826" s="73"/>
      <c r="M1826" s="73"/>
      <c r="N1826" s="73"/>
      <c r="O1826" s="73"/>
      <c r="P1826" s="73"/>
      <c r="Q1826" s="73"/>
      <c r="R1826" s="73"/>
    </row>
    <row r="1827" spans="2:18">
      <c r="B1827" s="12"/>
      <c r="C1827" s="31"/>
      <c r="D1827" s="47"/>
      <c r="E1827" s="47"/>
      <c r="F1827" s="47"/>
      <c r="G1827" s="47"/>
      <c r="H1827" s="47"/>
      <c r="I1827" s="47"/>
      <c r="J1827" s="47"/>
      <c r="K1827" s="47"/>
      <c r="L1827" s="47"/>
      <c r="M1827" s="47"/>
      <c r="N1827" s="47"/>
      <c r="O1827" s="47"/>
      <c r="P1827" s="47"/>
      <c r="Q1827" s="47"/>
      <c r="R1827" s="47"/>
    </row>
    <row r="1828" spans="2:18" ht="39.75">
      <c r="B1828" s="16"/>
      <c r="C1828" s="6"/>
      <c r="D1828" s="46"/>
      <c r="E1828" s="46"/>
      <c r="F1828" s="46"/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</row>
    <row r="1829" spans="2:18" ht="58.5">
      <c r="B1829" s="18">
        <f>B1825+1</f>
        <v>457</v>
      </c>
      <c r="C1829" s="6"/>
      <c r="D1829" s="36"/>
      <c r="E1829" s="36"/>
      <c r="F1829" s="36"/>
      <c r="G1829" s="36"/>
      <c r="H1829" s="36"/>
      <c r="I1829" s="36"/>
      <c r="J1829" s="36"/>
      <c r="K1829" s="36"/>
      <c r="L1829" s="36"/>
      <c r="M1829" s="36"/>
      <c r="N1829" s="36"/>
      <c r="O1829" s="36"/>
      <c r="P1829" s="36"/>
      <c r="Q1829" s="36"/>
      <c r="R1829" s="36"/>
    </row>
    <row r="1830" spans="2:18" ht="48.75">
      <c r="B1830" s="20"/>
      <c r="C1830" s="6"/>
      <c r="D1830" s="73"/>
      <c r="E1830" s="73"/>
      <c r="F1830" s="73"/>
      <c r="G1830" s="73"/>
      <c r="H1830" s="73"/>
      <c r="I1830" s="73"/>
      <c r="J1830" s="73"/>
      <c r="K1830" s="73"/>
      <c r="L1830" s="73"/>
      <c r="M1830" s="73"/>
      <c r="N1830" s="73"/>
      <c r="O1830" s="73"/>
      <c r="P1830" s="73"/>
      <c r="Q1830" s="73"/>
      <c r="R1830" s="73"/>
    </row>
    <row r="1831" spans="2:18">
      <c r="B1831" s="12"/>
      <c r="C1831" s="31"/>
      <c r="D1831" s="47"/>
      <c r="E1831" s="47"/>
      <c r="F1831" s="47"/>
      <c r="G1831" s="47"/>
      <c r="H1831" s="47"/>
      <c r="I1831" s="47"/>
      <c r="J1831" s="47"/>
      <c r="K1831" s="47"/>
      <c r="L1831" s="47"/>
      <c r="M1831" s="47"/>
      <c r="N1831" s="47"/>
      <c r="O1831" s="47"/>
      <c r="P1831" s="47"/>
      <c r="Q1831" s="47"/>
      <c r="R1831" s="47"/>
    </row>
    <row r="1832" spans="2:18" ht="39.75">
      <c r="B1832" s="16"/>
      <c r="C1832" s="6"/>
      <c r="D1832" s="46"/>
      <c r="E1832" s="46"/>
      <c r="F1832" s="46"/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</row>
    <row r="1833" spans="2:18" ht="58.5">
      <c r="B1833" s="18">
        <f>B1829+1</f>
        <v>458</v>
      </c>
      <c r="C1833" s="6"/>
      <c r="D1833" s="36"/>
      <c r="E1833" s="36"/>
      <c r="F1833" s="36"/>
      <c r="G1833" s="36"/>
      <c r="H1833" s="36"/>
      <c r="I1833" s="36"/>
      <c r="J1833" s="36"/>
      <c r="K1833" s="36"/>
      <c r="L1833" s="36"/>
      <c r="M1833" s="36"/>
      <c r="N1833" s="36"/>
      <c r="O1833" s="36"/>
      <c r="P1833" s="36"/>
      <c r="Q1833" s="36"/>
      <c r="R1833" s="36"/>
    </row>
    <row r="1834" spans="2:18" ht="48.75">
      <c r="B1834" s="20"/>
      <c r="C1834" s="6"/>
      <c r="D1834" s="73"/>
      <c r="E1834" s="73"/>
      <c r="F1834" s="73"/>
      <c r="G1834" s="73"/>
      <c r="H1834" s="73"/>
      <c r="I1834" s="73"/>
      <c r="J1834" s="73"/>
      <c r="K1834" s="73"/>
      <c r="L1834" s="73"/>
      <c r="M1834" s="73"/>
      <c r="N1834" s="73"/>
      <c r="O1834" s="73"/>
      <c r="P1834" s="73"/>
      <c r="Q1834" s="73"/>
      <c r="R1834" s="73"/>
    </row>
    <row r="1835" spans="2:18">
      <c r="B1835" s="12"/>
      <c r="C1835" s="31"/>
      <c r="D1835" s="47"/>
      <c r="E1835" s="47"/>
      <c r="F1835" s="47"/>
      <c r="G1835" s="47"/>
      <c r="H1835" s="47"/>
      <c r="I1835" s="47"/>
      <c r="J1835" s="47"/>
      <c r="K1835" s="47"/>
      <c r="L1835" s="47"/>
      <c r="M1835" s="47"/>
      <c r="N1835" s="47"/>
      <c r="O1835" s="47"/>
      <c r="P1835" s="47"/>
      <c r="Q1835" s="47"/>
      <c r="R1835" s="47"/>
    </row>
    <row r="1836" spans="2:18" ht="39.75">
      <c r="B1836" s="16"/>
      <c r="C1836" s="6"/>
      <c r="D1836" s="46"/>
      <c r="E1836" s="46"/>
      <c r="F1836" s="46"/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</row>
    <row r="1837" spans="2:18" ht="58.5">
      <c r="B1837" s="18">
        <f>B1833+1</f>
        <v>459</v>
      </c>
      <c r="C1837" s="6"/>
      <c r="D1837" s="36"/>
      <c r="E1837" s="36"/>
      <c r="F1837" s="36"/>
      <c r="G1837" s="36"/>
      <c r="H1837" s="36"/>
      <c r="I1837" s="36"/>
      <c r="J1837" s="36"/>
      <c r="K1837" s="36"/>
      <c r="L1837" s="36"/>
      <c r="M1837" s="36"/>
      <c r="N1837" s="36"/>
      <c r="O1837" s="36"/>
      <c r="P1837" s="36"/>
      <c r="Q1837" s="36"/>
      <c r="R1837" s="36"/>
    </row>
    <row r="1838" spans="2:18" ht="48.75">
      <c r="B1838" s="20"/>
      <c r="C1838" s="6"/>
      <c r="D1838" s="73"/>
      <c r="E1838" s="73"/>
      <c r="F1838" s="73"/>
      <c r="G1838" s="73"/>
      <c r="H1838" s="73"/>
      <c r="I1838" s="73"/>
      <c r="J1838" s="73"/>
      <c r="K1838" s="73"/>
      <c r="L1838" s="73"/>
      <c r="M1838" s="73"/>
      <c r="N1838" s="73"/>
      <c r="O1838" s="73"/>
      <c r="P1838" s="73"/>
      <c r="Q1838" s="73"/>
      <c r="R1838" s="73"/>
    </row>
    <row r="1839" spans="2:18">
      <c r="B1839" s="12"/>
      <c r="C1839" s="31"/>
      <c r="D1839" s="47"/>
      <c r="E1839" s="47"/>
      <c r="F1839" s="47"/>
      <c r="G1839" s="47"/>
      <c r="H1839" s="47"/>
      <c r="I1839" s="47"/>
      <c r="J1839" s="47"/>
      <c r="K1839" s="47"/>
      <c r="L1839" s="47"/>
      <c r="M1839" s="47"/>
      <c r="N1839" s="47"/>
      <c r="O1839" s="47"/>
      <c r="P1839" s="47"/>
      <c r="Q1839" s="47"/>
      <c r="R1839" s="47"/>
    </row>
    <row r="1840" spans="2:18" ht="39.75">
      <c r="B1840" s="16"/>
      <c r="C1840" s="6"/>
      <c r="D1840" s="46"/>
      <c r="E1840" s="46"/>
      <c r="F1840" s="46"/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</row>
    <row r="1841" spans="2:18" ht="58.5">
      <c r="B1841" s="18">
        <f>B1837+1</f>
        <v>460</v>
      </c>
      <c r="C1841" s="6"/>
      <c r="D1841" s="36"/>
      <c r="E1841" s="36"/>
      <c r="F1841" s="36"/>
      <c r="G1841" s="36"/>
      <c r="H1841" s="36"/>
      <c r="I1841" s="36"/>
      <c r="J1841" s="36"/>
      <c r="K1841" s="36"/>
      <c r="L1841" s="36"/>
      <c r="M1841" s="36"/>
      <c r="N1841" s="36"/>
      <c r="O1841" s="36"/>
      <c r="P1841" s="36"/>
      <c r="Q1841" s="36"/>
      <c r="R1841" s="36"/>
    </row>
    <row r="1842" spans="2:18" ht="48.75">
      <c r="B1842" s="20"/>
      <c r="C1842" s="6"/>
      <c r="D1842" s="73"/>
      <c r="E1842" s="73"/>
      <c r="F1842" s="73"/>
      <c r="G1842" s="73"/>
      <c r="H1842" s="73"/>
      <c r="I1842" s="73"/>
      <c r="J1842" s="73"/>
      <c r="K1842" s="73"/>
      <c r="L1842" s="73"/>
      <c r="M1842" s="73"/>
      <c r="N1842" s="73"/>
      <c r="O1842" s="73"/>
      <c r="P1842" s="73"/>
      <c r="Q1842" s="73"/>
      <c r="R1842" s="73"/>
    </row>
    <row r="1843" spans="2:18">
      <c r="B1843" s="12"/>
      <c r="C1843" s="31"/>
      <c r="D1843" s="47"/>
      <c r="E1843" s="47"/>
      <c r="F1843" s="47"/>
      <c r="G1843" s="47"/>
      <c r="H1843" s="47"/>
      <c r="I1843" s="47"/>
      <c r="J1843" s="47"/>
      <c r="K1843" s="47"/>
      <c r="L1843" s="47"/>
      <c r="M1843" s="47"/>
      <c r="N1843" s="47"/>
      <c r="O1843" s="47"/>
      <c r="P1843" s="47"/>
      <c r="Q1843" s="47"/>
      <c r="R1843" s="47"/>
    </row>
    <row r="1844" spans="2:18" ht="39.75">
      <c r="B1844" s="16"/>
      <c r="C1844" s="6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</row>
    <row r="1845" spans="2:18" ht="58.5">
      <c r="B1845" s="18">
        <f>B1841+1</f>
        <v>461</v>
      </c>
      <c r="C1845" s="6"/>
      <c r="D1845" s="36"/>
      <c r="E1845" s="36"/>
      <c r="F1845" s="36"/>
      <c r="G1845" s="36"/>
      <c r="H1845" s="36"/>
      <c r="I1845" s="36"/>
      <c r="J1845" s="36"/>
      <c r="K1845" s="36"/>
      <c r="L1845" s="36"/>
      <c r="M1845" s="36"/>
      <c r="N1845" s="36"/>
      <c r="O1845" s="36"/>
      <c r="P1845" s="36"/>
      <c r="Q1845" s="36"/>
      <c r="R1845" s="36"/>
    </row>
    <row r="1846" spans="2:18" ht="48.75">
      <c r="B1846" s="20"/>
      <c r="C1846" s="6"/>
      <c r="D1846" s="73"/>
      <c r="E1846" s="73"/>
      <c r="F1846" s="73"/>
      <c r="G1846" s="73"/>
      <c r="H1846" s="73"/>
      <c r="I1846" s="73"/>
      <c r="J1846" s="73"/>
      <c r="K1846" s="73"/>
      <c r="L1846" s="73"/>
      <c r="M1846" s="73"/>
      <c r="N1846" s="73"/>
      <c r="O1846" s="73"/>
      <c r="P1846" s="73"/>
      <c r="Q1846" s="73"/>
      <c r="R1846" s="73"/>
    </row>
    <row r="1847" spans="2:18">
      <c r="B1847" s="12"/>
      <c r="C1847" s="31"/>
      <c r="D1847" s="47"/>
      <c r="E1847" s="47"/>
      <c r="F1847" s="47"/>
      <c r="G1847" s="47"/>
      <c r="H1847" s="47"/>
      <c r="I1847" s="47"/>
      <c r="J1847" s="47"/>
      <c r="K1847" s="47"/>
      <c r="L1847" s="47"/>
      <c r="M1847" s="47"/>
      <c r="N1847" s="47"/>
      <c r="O1847" s="47"/>
      <c r="P1847" s="47"/>
      <c r="Q1847" s="47"/>
      <c r="R1847" s="47"/>
    </row>
    <row r="1848" spans="2:18" ht="39.75">
      <c r="B1848" s="16"/>
      <c r="C1848" s="6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</row>
    <row r="1849" spans="2:18" ht="58.5">
      <c r="B1849" s="18">
        <f>B1845+1</f>
        <v>462</v>
      </c>
      <c r="C1849" s="6"/>
      <c r="D1849" s="36"/>
      <c r="E1849" s="36"/>
      <c r="F1849" s="36"/>
      <c r="G1849" s="36"/>
      <c r="H1849" s="36"/>
      <c r="I1849" s="36"/>
      <c r="J1849" s="36"/>
      <c r="K1849" s="36"/>
      <c r="L1849" s="36"/>
      <c r="M1849" s="36"/>
      <c r="N1849" s="36"/>
      <c r="O1849" s="36"/>
      <c r="P1849" s="36"/>
      <c r="Q1849" s="36"/>
      <c r="R1849" s="36"/>
    </row>
    <row r="1850" spans="2:18" ht="48.75">
      <c r="B1850" s="20"/>
      <c r="C1850" s="6"/>
      <c r="D1850" s="73"/>
      <c r="E1850" s="73"/>
      <c r="F1850" s="73"/>
      <c r="G1850" s="73"/>
      <c r="H1850" s="73"/>
      <c r="I1850" s="73"/>
      <c r="J1850" s="73"/>
      <c r="K1850" s="73"/>
      <c r="L1850" s="73"/>
      <c r="M1850" s="73"/>
      <c r="N1850" s="73"/>
      <c r="O1850" s="73"/>
      <c r="P1850" s="73"/>
      <c r="Q1850" s="73"/>
      <c r="R1850" s="73"/>
    </row>
    <row r="1851" spans="2:18">
      <c r="B1851" s="12"/>
      <c r="C1851" s="31"/>
      <c r="D1851" s="47"/>
      <c r="E1851" s="47"/>
      <c r="F1851" s="47"/>
      <c r="G1851" s="47"/>
      <c r="H1851" s="47"/>
      <c r="I1851" s="47"/>
      <c r="J1851" s="47"/>
      <c r="K1851" s="47"/>
      <c r="L1851" s="47"/>
      <c r="M1851" s="47"/>
      <c r="N1851" s="47"/>
      <c r="O1851" s="47"/>
      <c r="P1851" s="47"/>
      <c r="Q1851" s="47"/>
      <c r="R1851" s="47"/>
    </row>
    <row r="1852" spans="2:18" ht="39.75">
      <c r="B1852" s="16"/>
      <c r="C1852" s="6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</row>
    <row r="1853" spans="2:18" ht="58.5">
      <c r="B1853" s="18">
        <f>B1849+1</f>
        <v>463</v>
      </c>
      <c r="C1853" s="6"/>
      <c r="D1853" s="36"/>
      <c r="E1853" s="36"/>
      <c r="F1853" s="36"/>
      <c r="G1853" s="36"/>
      <c r="H1853" s="36"/>
      <c r="I1853" s="36"/>
      <c r="J1853" s="36"/>
      <c r="K1853" s="36"/>
      <c r="L1853" s="36"/>
      <c r="M1853" s="36"/>
      <c r="N1853" s="36"/>
      <c r="O1853" s="36"/>
      <c r="P1853" s="36"/>
      <c r="Q1853" s="36"/>
      <c r="R1853" s="36"/>
    </row>
    <row r="1854" spans="2:18" ht="48.75">
      <c r="B1854" s="20"/>
      <c r="C1854" s="6"/>
      <c r="D1854" s="73"/>
      <c r="E1854" s="73"/>
      <c r="F1854" s="73"/>
      <c r="G1854" s="73"/>
      <c r="H1854" s="73"/>
      <c r="I1854" s="73"/>
      <c r="J1854" s="73"/>
      <c r="K1854" s="73"/>
      <c r="L1854" s="73"/>
      <c r="M1854" s="73"/>
      <c r="N1854" s="73"/>
      <c r="O1854" s="73"/>
      <c r="P1854" s="73"/>
      <c r="Q1854" s="73"/>
      <c r="R1854" s="73"/>
    </row>
    <row r="1855" spans="2:18">
      <c r="B1855" s="12"/>
      <c r="C1855" s="31"/>
      <c r="D1855" s="47"/>
      <c r="E1855" s="47"/>
      <c r="F1855" s="47"/>
      <c r="G1855" s="47"/>
      <c r="H1855" s="47"/>
      <c r="I1855" s="47"/>
      <c r="J1855" s="47"/>
      <c r="K1855" s="47"/>
      <c r="L1855" s="47"/>
      <c r="M1855" s="47"/>
      <c r="N1855" s="47"/>
      <c r="O1855" s="47"/>
      <c r="P1855" s="47"/>
      <c r="Q1855" s="47"/>
      <c r="R1855" s="47"/>
    </row>
    <row r="1856" spans="2:18" ht="39.75">
      <c r="B1856" s="16"/>
      <c r="C1856" s="6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</row>
    <row r="1857" spans="2:18" ht="58.5">
      <c r="B1857" s="18">
        <f>B1853+1</f>
        <v>464</v>
      </c>
      <c r="C1857" s="6"/>
      <c r="D1857" s="36"/>
      <c r="E1857" s="36"/>
      <c r="F1857" s="36"/>
      <c r="G1857" s="36"/>
      <c r="H1857" s="36"/>
      <c r="I1857" s="36"/>
      <c r="J1857" s="36"/>
      <c r="K1857" s="36"/>
      <c r="L1857" s="36"/>
      <c r="M1857" s="36"/>
      <c r="N1857" s="36"/>
      <c r="O1857" s="36"/>
      <c r="P1857" s="36"/>
      <c r="Q1857" s="36"/>
      <c r="R1857" s="36"/>
    </row>
    <row r="1858" spans="2:18" ht="48.75">
      <c r="B1858" s="20"/>
      <c r="C1858" s="6"/>
      <c r="D1858" s="73"/>
      <c r="E1858" s="73"/>
      <c r="F1858" s="73"/>
      <c r="G1858" s="73"/>
      <c r="H1858" s="73"/>
      <c r="I1858" s="73"/>
      <c r="J1858" s="73"/>
      <c r="K1858" s="73"/>
      <c r="L1858" s="73"/>
      <c r="M1858" s="73"/>
      <c r="N1858" s="73"/>
      <c r="O1858" s="73"/>
      <c r="P1858" s="73"/>
      <c r="Q1858" s="73"/>
      <c r="R1858" s="73"/>
    </row>
    <row r="1859" spans="2:18">
      <c r="B1859" s="12"/>
      <c r="C1859" s="31"/>
      <c r="D1859" s="47"/>
      <c r="E1859" s="47"/>
      <c r="F1859" s="47"/>
      <c r="G1859" s="47"/>
      <c r="H1859" s="47"/>
      <c r="I1859" s="47"/>
      <c r="J1859" s="47"/>
      <c r="K1859" s="47"/>
      <c r="L1859" s="47"/>
      <c r="M1859" s="47"/>
      <c r="N1859" s="47"/>
      <c r="O1859" s="47"/>
      <c r="P1859" s="47"/>
      <c r="Q1859" s="47"/>
      <c r="R1859" s="47"/>
    </row>
    <row r="1860" spans="2:18" ht="39.75">
      <c r="B1860" s="16"/>
      <c r="C1860" s="6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</row>
    <row r="1861" spans="2:18" ht="58.5">
      <c r="B1861" s="18">
        <f>B1857+1</f>
        <v>465</v>
      </c>
      <c r="C1861" s="6"/>
      <c r="D1861" s="36"/>
      <c r="E1861" s="36"/>
      <c r="F1861" s="36"/>
      <c r="G1861" s="36"/>
      <c r="H1861" s="36"/>
      <c r="I1861" s="36"/>
      <c r="J1861" s="36"/>
      <c r="K1861" s="36"/>
      <c r="L1861" s="36"/>
      <c r="M1861" s="36"/>
      <c r="N1861" s="36"/>
      <c r="O1861" s="36"/>
      <c r="P1861" s="36"/>
      <c r="Q1861" s="36"/>
      <c r="R1861" s="36"/>
    </row>
    <row r="1862" spans="2:18" ht="48.75">
      <c r="B1862" s="20"/>
      <c r="C1862" s="6"/>
      <c r="D1862" s="73"/>
      <c r="E1862" s="73"/>
      <c r="F1862" s="73"/>
      <c r="G1862" s="73"/>
      <c r="H1862" s="73"/>
      <c r="I1862" s="73"/>
      <c r="J1862" s="73"/>
      <c r="K1862" s="73"/>
      <c r="L1862" s="73"/>
      <c r="M1862" s="73"/>
      <c r="N1862" s="73"/>
      <c r="O1862" s="73"/>
      <c r="P1862" s="73"/>
      <c r="Q1862" s="73"/>
      <c r="R1862" s="73"/>
    </row>
    <row r="1863" spans="2:18">
      <c r="B1863" s="12"/>
      <c r="C1863" s="31"/>
      <c r="D1863" s="47"/>
      <c r="E1863" s="47"/>
      <c r="F1863" s="47"/>
      <c r="G1863" s="47"/>
      <c r="H1863" s="47"/>
      <c r="I1863" s="47"/>
      <c r="J1863" s="47"/>
      <c r="K1863" s="47"/>
      <c r="L1863" s="47"/>
      <c r="M1863" s="47"/>
      <c r="N1863" s="47"/>
      <c r="O1863" s="47"/>
      <c r="P1863" s="47"/>
      <c r="Q1863" s="47"/>
      <c r="R1863" s="47"/>
    </row>
    <row r="1864" spans="2:18" ht="39.75">
      <c r="B1864" s="16"/>
      <c r="C1864" s="6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</row>
    <row r="1865" spans="2:18" ht="58.5">
      <c r="B1865" s="18">
        <f>B1861+1</f>
        <v>466</v>
      </c>
      <c r="C1865" s="6"/>
      <c r="D1865" s="36"/>
      <c r="E1865" s="36"/>
      <c r="F1865" s="36"/>
      <c r="G1865" s="36"/>
      <c r="H1865" s="36"/>
      <c r="I1865" s="36"/>
      <c r="J1865" s="36"/>
      <c r="K1865" s="36"/>
      <c r="L1865" s="36"/>
      <c r="M1865" s="36"/>
      <c r="N1865" s="36"/>
      <c r="O1865" s="36"/>
      <c r="P1865" s="36"/>
      <c r="Q1865" s="36"/>
      <c r="R1865" s="36"/>
    </row>
    <row r="1866" spans="2:18" ht="48.75">
      <c r="B1866" s="20"/>
      <c r="C1866" s="6"/>
      <c r="D1866" s="73"/>
      <c r="E1866" s="73"/>
      <c r="F1866" s="73"/>
      <c r="G1866" s="73"/>
      <c r="H1866" s="73"/>
      <c r="I1866" s="73"/>
      <c r="J1866" s="73"/>
      <c r="K1866" s="73"/>
      <c r="L1866" s="73"/>
      <c r="M1866" s="73"/>
      <c r="N1866" s="73"/>
      <c r="O1866" s="73"/>
      <c r="P1866" s="73"/>
      <c r="Q1866" s="73"/>
      <c r="R1866" s="73"/>
    </row>
    <row r="1867" spans="2:18">
      <c r="B1867" s="12"/>
      <c r="C1867" s="31"/>
      <c r="D1867" s="47"/>
      <c r="E1867" s="47"/>
      <c r="F1867" s="47"/>
      <c r="G1867" s="47"/>
      <c r="H1867" s="47"/>
      <c r="I1867" s="47"/>
      <c r="J1867" s="47"/>
      <c r="K1867" s="47"/>
      <c r="L1867" s="47"/>
      <c r="M1867" s="47"/>
      <c r="N1867" s="47"/>
      <c r="O1867" s="47"/>
      <c r="P1867" s="47"/>
      <c r="Q1867" s="47"/>
      <c r="R1867" s="47"/>
    </row>
    <row r="1868" spans="2:18" ht="39.75">
      <c r="B1868" s="16"/>
      <c r="C1868" s="6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</row>
    <row r="1869" spans="2:18" ht="58.5">
      <c r="B1869" s="18">
        <f>B1865+1</f>
        <v>467</v>
      </c>
      <c r="C1869" s="6"/>
      <c r="D1869" s="36"/>
      <c r="E1869" s="36"/>
      <c r="F1869" s="36"/>
      <c r="G1869" s="36"/>
      <c r="H1869" s="36"/>
      <c r="I1869" s="36"/>
      <c r="J1869" s="36"/>
      <c r="K1869" s="36"/>
      <c r="L1869" s="36"/>
      <c r="M1869" s="36"/>
      <c r="N1869" s="36"/>
      <c r="O1869" s="36"/>
      <c r="P1869" s="36"/>
      <c r="Q1869" s="36"/>
      <c r="R1869" s="36"/>
    </row>
    <row r="1870" spans="2:18" ht="48.75">
      <c r="B1870" s="20"/>
      <c r="C1870" s="6"/>
      <c r="D1870" s="73"/>
      <c r="E1870" s="73"/>
      <c r="F1870" s="73"/>
      <c r="G1870" s="73"/>
      <c r="H1870" s="73"/>
      <c r="I1870" s="73"/>
      <c r="J1870" s="73"/>
      <c r="K1870" s="73"/>
      <c r="L1870" s="73"/>
      <c r="M1870" s="73"/>
      <c r="N1870" s="73"/>
      <c r="O1870" s="73"/>
      <c r="P1870" s="73"/>
      <c r="Q1870" s="73"/>
      <c r="R1870" s="73"/>
    </row>
    <row r="1871" spans="2:18">
      <c r="B1871" s="12"/>
      <c r="C1871" s="31"/>
      <c r="D1871" s="47"/>
      <c r="E1871" s="47"/>
      <c r="F1871" s="47"/>
      <c r="G1871" s="47"/>
      <c r="H1871" s="47"/>
      <c r="I1871" s="47"/>
      <c r="J1871" s="47"/>
      <c r="K1871" s="47"/>
      <c r="L1871" s="47"/>
      <c r="M1871" s="47"/>
      <c r="N1871" s="47"/>
      <c r="O1871" s="47"/>
      <c r="P1871" s="47"/>
      <c r="Q1871" s="47"/>
      <c r="R1871" s="47"/>
    </row>
    <row r="1872" spans="2:18" ht="39.75">
      <c r="B1872" s="16"/>
      <c r="C1872" s="6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</row>
    <row r="1873" spans="2:18" ht="58.5">
      <c r="B1873" s="18">
        <f>B1869+1</f>
        <v>468</v>
      </c>
      <c r="C1873" s="6"/>
      <c r="D1873" s="36"/>
      <c r="E1873" s="36"/>
      <c r="F1873" s="36"/>
      <c r="G1873" s="36"/>
      <c r="H1873" s="36"/>
      <c r="I1873" s="36"/>
      <c r="J1873" s="36"/>
      <c r="K1873" s="36"/>
      <c r="L1873" s="36"/>
      <c r="M1873" s="36"/>
      <c r="N1873" s="36"/>
      <c r="O1873" s="36"/>
      <c r="P1873" s="36"/>
      <c r="Q1873" s="36"/>
      <c r="R1873" s="36"/>
    </row>
    <row r="1874" spans="2:18" ht="48.75">
      <c r="B1874" s="20"/>
      <c r="C1874" s="6"/>
      <c r="D1874" s="73"/>
      <c r="E1874" s="73"/>
      <c r="F1874" s="73"/>
      <c r="G1874" s="73"/>
      <c r="H1874" s="73"/>
      <c r="I1874" s="73"/>
      <c r="J1874" s="73"/>
      <c r="K1874" s="73"/>
      <c r="L1874" s="73"/>
      <c r="M1874" s="73"/>
      <c r="N1874" s="73"/>
      <c r="O1874" s="73"/>
      <c r="P1874" s="73"/>
      <c r="Q1874" s="73"/>
      <c r="R1874" s="73"/>
    </row>
    <row r="1875" spans="2:18">
      <c r="B1875" s="12"/>
      <c r="C1875" s="31"/>
      <c r="D1875" s="47"/>
      <c r="E1875" s="47"/>
      <c r="F1875" s="47"/>
      <c r="G1875" s="47"/>
      <c r="H1875" s="47"/>
      <c r="I1875" s="47"/>
      <c r="J1875" s="47"/>
      <c r="K1875" s="47"/>
      <c r="L1875" s="47"/>
      <c r="M1875" s="47"/>
      <c r="N1875" s="47"/>
      <c r="O1875" s="47"/>
      <c r="P1875" s="47"/>
      <c r="Q1875" s="47"/>
      <c r="R1875" s="47"/>
    </row>
    <row r="1876" spans="2:18" ht="39.75">
      <c r="B1876" s="16"/>
      <c r="C1876" s="6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</row>
    <row r="1877" spans="2:18" ht="58.5">
      <c r="B1877" s="18">
        <f>B1873+1</f>
        <v>469</v>
      </c>
      <c r="C1877" s="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</row>
    <row r="1878" spans="2:18" ht="48.75">
      <c r="B1878" s="20"/>
      <c r="C1878" s="6"/>
      <c r="D1878" s="73"/>
      <c r="E1878" s="73"/>
      <c r="F1878" s="73"/>
      <c r="G1878" s="73"/>
      <c r="H1878" s="73"/>
      <c r="I1878" s="73"/>
      <c r="J1878" s="73"/>
      <c r="K1878" s="73"/>
      <c r="L1878" s="73"/>
      <c r="M1878" s="73"/>
      <c r="N1878" s="73"/>
      <c r="O1878" s="73"/>
      <c r="P1878" s="73"/>
      <c r="Q1878" s="73"/>
      <c r="R1878" s="73"/>
    </row>
    <row r="1879" spans="2:18">
      <c r="B1879" s="12"/>
      <c r="C1879" s="31"/>
      <c r="D1879" s="47"/>
      <c r="E1879" s="47"/>
      <c r="F1879" s="47"/>
      <c r="G1879" s="47"/>
      <c r="H1879" s="47"/>
      <c r="I1879" s="47"/>
      <c r="J1879" s="47"/>
      <c r="K1879" s="47"/>
      <c r="L1879" s="47"/>
      <c r="M1879" s="47"/>
      <c r="N1879" s="47"/>
      <c r="O1879" s="47"/>
      <c r="P1879" s="47"/>
      <c r="Q1879" s="47"/>
      <c r="R1879" s="47"/>
    </row>
    <row r="1880" spans="2:18" ht="39.75">
      <c r="B1880" s="16"/>
      <c r="C1880" s="6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</row>
    <row r="1881" spans="2:18" ht="58.5">
      <c r="B1881" s="18">
        <f>B1877+1</f>
        <v>470</v>
      </c>
      <c r="C1881" s="6"/>
      <c r="D1881" s="36"/>
      <c r="E1881" s="36"/>
      <c r="F1881" s="36"/>
      <c r="G1881" s="36"/>
      <c r="H1881" s="36"/>
      <c r="I1881" s="36"/>
      <c r="J1881" s="36"/>
      <c r="K1881" s="36"/>
      <c r="L1881" s="36"/>
      <c r="M1881" s="36"/>
      <c r="N1881" s="36"/>
      <c r="O1881" s="36"/>
      <c r="P1881" s="36"/>
      <c r="Q1881" s="36"/>
      <c r="R1881" s="36"/>
    </row>
    <row r="1882" spans="2:18" ht="48.75">
      <c r="B1882" s="20"/>
      <c r="C1882" s="6"/>
      <c r="D1882" s="73"/>
      <c r="E1882" s="73"/>
      <c r="F1882" s="73"/>
      <c r="G1882" s="73"/>
      <c r="H1882" s="73"/>
      <c r="I1882" s="73"/>
      <c r="J1882" s="73"/>
      <c r="K1882" s="73"/>
      <c r="L1882" s="73"/>
      <c r="M1882" s="73"/>
      <c r="N1882" s="73"/>
      <c r="O1882" s="73"/>
      <c r="P1882" s="73"/>
      <c r="Q1882" s="73"/>
      <c r="R1882" s="73"/>
    </row>
    <row r="1883" spans="2:18">
      <c r="B1883" s="12"/>
      <c r="C1883" s="31"/>
      <c r="D1883" s="47"/>
      <c r="E1883" s="47"/>
      <c r="F1883" s="47"/>
      <c r="G1883" s="47"/>
      <c r="H1883" s="47"/>
      <c r="I1883" s="47"/>
      <c r="J1883" s="47"/>
      <c r="K1883" s="47"/>
      <c r="L1883" s="47"/>
      <c r="M1883" s="47"/>
      <c r="N1883" s="47"/>
      <c r="O1883" s="47"/>
      <c r="P1883" s="47"/>
      <c r="Q1883" s="47"/>
      <c r="R1883" s="47"/>
    </row>
    <row r="1884" spans="2:18" ht="39.75">
      <c r="B1884" s="16"/>
      <c r="C1884" s="6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</row>
    <row r="1885" spans="2:18" ht="58.5">
      <c r="B1885" s="18">
        <f>B1881+1</f>
        <v>471</v>
      </c>
      <c r="C1885" s="6"/>
      <c r="D1885" s="36"/>
      <c r="E1885" s="36"/>
      <c r="F1885" s="36"/>
      <c r="G1885" s="36"/>
      <c r="H1885" s="36"/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</row>
    <row r="1886" spans="2:18" ht="48.75">
      <c r="B1886" s="20"/>
      <c r="C1886" s="6"/>
      <c r="D1886" s="73"/>
      <c r="E1886" s="73"/>
      <c r="F1886" s="73"/>
      <c r="G1886" s="73"/>
      <c r="H1886" s="73"/>
      <c r="I1886" s="73"/>
      <c r="J1886" s="73"/>
      <c r="K1886" s="73"/>
      <c r="L1886" s="73"/>
      <c r="M1886" s="73"/>
      <c r="N1886" s="73"/>
      <c r="O1886" s="73"/>
      <c r="P1886" s="73"/>
      <c r="Q1886" s="73"/>
      <c r="R1886" s="73"/>
    </row>
    <row r="1887" spans="2:18">
      <c r="B1887" s="12"/>
      <c r="C1887" s="31"/>
      <c r="D1887" s="47"/>
      <c r="E1887" s="47"/>
      <c r="F1887" s="47"/>
      <c r="G1887" s="47"/>
      <c r="H1887" s="47"/>
      <c r="I1887" s="47"/>
      <c r="J1887" s="47"/>
      <c r="K1887" s="47"/>
      <c r="L1887" s="47"/>
      <c r="M1887" s="47"/>
      <c r="N1887" s="47"/>
      <c r="O1887" s="47"/>
      <c r="P1887" s="47"/>
      <c r="Q1887" s="47"/>
      <c r="R1887" s="47"/>
    </row>
    <row r="1888" spans="2:18" ht="39.75">
      <c r="B1888" s="16"/>
      <c r="C1888" s="6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</row>
    <row r="1889" spans="2:18" ht="58.5">
      <c r="B1889" s="18">
        <f>B1885+1</f>
        <v>472</v>
      </c>
      <c r="C1889" s="6"/>
      <c r="D1889" s="36"/>
      <c r="E1889" s="36"/>
      <c r="F1889" s="36"/>
      <c r="G1889" s="36"/>
      <c r="H1889" s="36"/>
      <c r="I1889" s="36"/>
      <c r="J1889" s="36"/>
      <c r="K1889" s="36"/>
      <c r="L1889" s="36"/>
      <c r="M1889" s="36"/>
      <c r="N1889" s="36"/>
      <c r="O1889" s="36"/>
      <c r="P1889" s="36"/>
      <c r="Q1889" s="36"/>
      <c r="R1889" s="36"/>
    </row>
    <row r="1890" spans="2:18" ht="48.75">
      <c r="B1890" s="20"/>
      <c r="C1890" s="6"/>
      <c r="D1890" s="73"/>
      <c r="E1890" s="73"/>
      <c r="F1890" s="73"/>
      <c r="G1890" s="73"/>
      <c r="H1890" s="73"/>
      <c r="I1890" s="73"/>
      <c r="J1890" s="73"/>
      <c r="K1890" s="73"/>
      <c r="L1890" s="73"/>
      <c r="M1890" s="73"/>
      <c r="N1890" s="73"/>
      <c r="O1890" s="73"/>
      <c r="P1890" s="73"/>
      <c r="Q1890" s="73"/>
      <c r="R1890" s="73"/>
    </row>
    <row r="1891" spans="2:18">
      <c r="B1891" s="12"/>
      <c r="C1891" s="31"/>
      <c r="D1891" s="47"/>
      <c r="E1891" s="47"/>
      <c r="F1891" s="47"/>
      <c r="G1891" s="47"/>
      <c r="H1891" s="47"/>
      <c r="I1891" s="47"/>
      <c r="J1891" s="47"/>
      <c r="K1891" s="47"/>
      <c r="L1891" s="47"/>
      <c r="M1891" s="47"/>
      <c r="N1891" s="47"/>
      <c r="O1891" s="47"/>
      <c r="P1891" s="47"/>
      <c r="Q1891" s="47"/>
      <c r="R1891" s="47"/>
    </row>
    <row r="1892" spans="2:18" ht="39.75">
      <c r="B1892" s="16"/>
      <c r="C1892" s="6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</row>
    <row r="1893" spans="2:18" ht="58.5">
      <c r="B1893" s="18">
        <f>B1889+1</f>
        <v>473</v>
      </c>
      <c r="C1893" s="6"/>
      <c r="D1893" s="36"/>
      <c r="E1893" s="36"/>
      <c r="F1893" s="36"/>
      <c r="G1893" s="36"/>
      <c r="H1893" s="36"/>
      <c r="I1893" s="36"/>
      <c r="J1893" s="36"/>
      <c r="K1893" s="36"/>
      <c r="L1893" s="36"/>
      <c r="M1893" s="36"/>
      <c r="N1893" s="36"/>
      <c r="O1893" s="36"/>
      <c r="P1893" s="36"/>
      <c r="Q1893" s="36"/>
      <c r="R1893" s="36"/>
    </row>
    <row r="1894" spans="2:18" ht="48.75">
      <c r="B1894" s="20"/>
      <c r="C1894" s="6"/>
      <c r="D1894" s="73"/>
      <c r="E1894" s="73"/>
      <c r="F1894" s="73"/>
      <c r="G1894" s="73"/>
      <c r="H1894" s="73"/>
      <c r="I1894" s="73"/>
      <c r="J1894" s="73"/>
      <c r="K1894" s="73"/>
      <c r="L1894" s="73"/>
      <c r="M1894" s="73"/>
      <c r="N1894" s="73"/>
      <c r="O1894" s="73"/>
      <c r="P1894" s="73"/>
      <c r="Q1894" s="73"/>
      <c r="R1894" s="73"/>
    </row>
    <row r="1895" spans="2:18">
      <c r="B1895" s="12"/>
      <c r="C1895" s="31"/>
      <c r="D1895" s="47"/>
      <c r="E1895" s="47"/>
      <c r="F1895" s="47"/>
      <c r="G1895" s="47"/>
      <c r="H1895" s="47"/>
      <c r="I1895" s="47"/>
      <c r="J1895" s="47"/>
      <c r="K1895" s="47"/>
      <c r="L1895" s="47"/>
      <c r="M1895" s="47"/>
      <c r="N1895" s="47"/>
      <c r="O1895" s="47"/>
      <c r="P1895" s="47"/>
      <c r="Q1895" s="47"/>
      <c r="R1895" s="47"/>
    </row>
    <row r="1896" spans="2:18" ht="39.75">
      <c r="B1896" s="16"/>
      <c r="C1896" s="6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</row>
    <row r="1897" spans="2:18" ht="58.5">
      <c r="B1897" s="18">
        <f>B1893+1</f>
        <v>474</v>
      </c>
      <c r="C1897" s="6"/>
      <c r="D1897" s="36"/>
      <c r="E1897" s="36"/>
      <c r="F1897" s="36"/>
      <c r="G1897" s="36"/>
      <c r="H1897" s="36"/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</row>
    <row r="1898" spans="2:18" ht="48.75">
      <c r="B1898" s="20"/>
      <c r="C1898" s="6"/>
      <c r="D1898" s="73"/>
      <c r="E1898" s="73"/>
      <c r="F1898" s="73"/>
      <c r="G1898" s="73"/>
      <c r="H1898" s="73"/>
      <c r="I1898" s="73"/>
      <c r="J1898" s="73"/>
      <c r="K1898" s="73"/>
      <c r="L1898" s="73"/>
      <c r="M1898" s="73"/>
      <c r="N1898" s="73"/>
      <c r="O1898" s="73"/>
      <c r="P1898" s="73"/>
      <c r="Q1898" s="73"/>
      <c r="R1898" s="73"/>
    </row>
    <row r="1899" spans="2:18">
      <c r="B1899" s="12"/>
      <c r="C1899" s="31"/>
      <c r="D1899" s="47"/>
      <c r="E1899" s="47"/>
      <c r="F1899" s="47"/>
      <c r="G1899" s="47"/>
      <c r="H1899" s="47"/>
      <c r="I1899" s="47"/>
      <c r="J1899" s="47"/>
      <c r="K1899" s="47"/>
      <c r="L1899" s="47"/>
      <c r="M1899" s="47"/>
      <c r="N1899" s="47"/>
      <c r="O1899" s="47"/>
      <c r="P1899" s="47"/>
      <c r="Q1899" s="47"/>
      <c r="R1899" s="47"/>
    </row>
    <row r="1900" spans="2:18" ht="39.75">
      <c r="B1900" s="16"/>
      <c r="C1900" s="6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</row>
    <row r="1901" spans="2:18" ht="58.5">
      <c r="B1901" s="18">
        <f>B1897+1</f>
        <v>475</v>
      </c>
      <c r="C1901" s="6"/>
      <c r="D1901" s="36"/>
      <c r="E1901" s="36"/>
      <c r="F1901" s="36"/>
      <c r="G1901" s="36"/>
      <c r="H1901" s="36"/>
      <c r="I1901" s="36"/>
      <c r="J1901" s="36"/>
      <c r="K1901" s="36"/>
      <c r="L1901" s="36"/>
      <c r="M1901" s="36"/>
      <c r="N1901" s="36"/>
      <c r="O1901" s="36"/>
      <c r="P1901" s="36"/>
      <c r="Q1901" s="36"/>
      <c r="R1901" s="36"/>
    </row>
    <row r="1902" spans="2:18" ht="48.75">
      <c r="B1902" s="20"/>
      <c r="C1902" s="6"/>
      <c r="D1902" s="73"/>
      <c r="E1902" s="73"/>
      <c r="F1902" s="73"/>
      <c r="G1902" s="73"/>
      <c r="H1902" s="73"/>
      <c r="I1902" s="73"/>
      <c r="J1902" s="73"/>
      <c r="K1902" s="73"/>
      <c r="L1902" s="73"/>
      <c r="M1902" s="73"/>
      <c r="N1902" s="73"/>
      <c r="O1902" s="73"/>
      <c r="P1902" s="73"/>
      <c r="Q1902" s="73"/>
      <c r="R1902" s="73"/>
    </row>
    <row r="1903" spans="2:18">
      <c r="B1903" s="12"/>
      <c r="C1903" s="31"/>
      <c r="D1903" s="47"/>
      <c r="E1903" s="47"/>
      <c r="F1903" s="47"/>
      <c r="G1903" s="47"/>
      <c r="H1903" s="47"/>
      <c r="I1903" s="47"/>
      <c r="J1903" s="47"/>
      <c r="K1903" s="47"/>
      <c r="L1903" s="47"/>
      <c r="M1903" s="47"/>
      <c r="N1903" s="47"/>
      <c r="O1903" s="47"/>
      <c r="P1903" s="47"/>
      <c r="Q1903" s="47"/>
      <c r="R1903" s="47"/>
    </row>
    <row r="1904" spans="2:18" ht="39.75">
      <c r="B1904" s="16"/>
      <c r="C1904" s="6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</row>
    <row r="1905" spans="2:18" ht="58.5">
      <c r="B1905" s="18">
        <f>B1901+1</f>
        <v>476</v>
      </c>
      <c r="C1905" s="6"/>
      <c r="D1905" s="36"/>
      <c r="E1905" s="36"/>
      <c r="F1905" s="36"/>
      <c r="G1905" s="36"/>
      <c r="H1905" s="36"/>
      <c r="I1905" s="36"/>
      <c r="J1905" s="36"/>
      <c r="K1905" s="36"/>
      <c r="L1905" s="36"/>
      <c r="M1905" s="36"/>
      <c r="N1905" s="36"/>
      <c r="O1905" s="36"/>
      <c r="P1905" s="36"/>
      <c r="Q1905" s="36"/>
      <c r="R1905" s="36"/>
    </row>
    <row r="1906" spans="2:18" ht="48.75">
      <c r="B1906" s="20"/>
      <c r="C1906" s="6"/>
      <c r="D1906" s="73"/>
      <c r="E1906" s="73"/>
      <c r="F1906" s="73"/>
      <c r="G1906" s="73"/>
      <c r="H1906" s="73"/>
      <c r="I1906" s="73"/>
      <c r="J1906" s="73"/>
      <c r="K1906" s="73"/>
      <c r="L1906" s="73"/>
      <c r="M1906" s="73"/>
      <c r="N1906" s="73"/>
      <c r="O1906" s="73"/>
      <c r="P1906" s="73"/>
      <c r="Q1906" s="73"/>
      <c r="R1906" s="73"/>
    </row>
    <row r="1907" spans="2:18">
      <c r="B1907" s="12"/>
      <c r="C1907" s="31"/>
      <c r="D1907" s="47"/>
      <c r="E1907" s="47"/>
      <c r="F1907" s="47"/>
      <c r="G1907" s="47"/>
      <c r="H1907" s="47"/>
      <c r="I1907" s="47"/>
      <c r="J1907" s="47"/>
      <c r="K1907" s="47"/>
      <c r="L1907" s="47"/>
      <c r="M1907" s="47"/>
      <c r="N1907" s="47"/>
      <c r="O1907" s="47"/>
      <c r="P1907" s="47"/>
      <c r="Q1907" s="47"/>
      <c r="R1907" s="47"/>
    </row>
    <row r="1908" spans="2:18" ht="39.75">
      <c r="B1908" s="16"/>
      <c r="C1908" s="6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</row>
    <row r="1909" spans="2:18" ht="58.5">
      <c r="B1909" s="18">
        <f>B1905+1</f>
        <v>477</v>
      </c>
      <c r="C1909" s="6"/>
      <c r="D1909" s="36"/>
      <c r="E1909" s="36"/>
      <c r="F1909" s="36"/>
      <c r="G1909" s="36"/>
      <c r="H1909" s="36"/>
      <c r="I1909" s="36"/>
      <c r="J1909" s="36"/>
      <c r="K1909" s="36"/>
      <c r="L1909" s="36"/>
      <c r="M1909" s="36"/>
      <c r="N1909" s="36"/>
      <c r="O1909" s="36"/>
      <c r="P1909" s="36"/>
      <c r="Q1909" s="36"/>
      <c r="R1909" s="36"/>
    </row>
    <row r="1910" spans="2:18" ht="48.75">
      <c r="B1910" s="20"/>
      <c r="C1910" s="6"/>
      <c r="D1910" s="73"/>
      <c r="E1910" s="73"/>
      <c r="F1910" s="73"/>
      <c r="G1910" s="73"/>
      <c r="H1910" s="73"/>
      <c r="I1910" s="73"/>
      <c r="J1910" s="73"/>
      <c r="K1910" s="73"/>
      <c r="L1910" s="73"/>
      <c r="M1910" s="73"/>
      <c r="N1910" s="73"/>
      <c r="O1910" s="73"/>
      <c r="P1910" s="73"/>
      <c r="Q1910" s="73"/>
      <c r="R1910" s="73"/>
    </row>
    <row r="1911" spans="2:18">
      <c r="B1911" s="12"/>
      <c r="C1911" s="31"/>
      <c r="D1911" s="47"/>
      <c r="E1911" s="47"/>
      <c r="F1911" s="47"/>
      <c r="G1911" s="47"/>
      <c r="H1911" s="47"/>
      <c r="I1911" s="47"/>
      <c r="J1911" s="47"/>
      <c r="K1911" s="47"/>
      <c r="L1911" s="47"/>
      <c r="M1911" s="47"/>
      <c r="N1911" s="47"/>
      <c r="O1911" s="47"/>
      <c r="P1911" s="47"/>
      <c r="Q1911" s="47"/>
      <c r="R1911" s="47"/>
    </row>
    <row r="1912" spans="2:18" ht="39.75">
      <c r="B1912" s="16"/>
      <c r="C1912" s="6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</row>
    <row r="1913" spans="2:18" ht="58.5">
      <c r="B1913" s="18">
        <f t="shared" ref="B1913" si="212">B1909+1</f>
        <v>478</v>
      </c>
      <c r="C1913" s="6"/>
      <c r="D1913" s="36"/>
      <c r="E1913" s="36"/>
      <c r="F1913" s="36"/>
      <c r="G1913" s="36"/>
      <c r="H1913" s="36"/>
      <c r="I1913" s="36"/>
      <c r="J1913" s="36"/>
      <c r="K1913" s="36"/>
      <c r="L1913" s="36"/>
      <c r="M1913" s="36"/>
      <c r="N1913" s="36"/>
      <c r="O1913" s="36"/>
      <c r="P1913" s="36"/>
      <c r="Q1913" s="36"/>
      <c r="R1913" s="36"/>
    </row>
    <row r="1914" spans="2:18" ht="48.75">
      <c r="B1914" s="20"/>
      <c r="C1914" s="6"/>
      <c r="D1914" s="73"/>
      <c r="E1914" s="73"/>
      <c r="F1914" s="73"/>
      <c r="G1914" s="73"/>
      <c r="H1914" s="73"/>
      <c r="I1914" s="73"/>
      <c r="J1914" s="73"/>
      <c r="K1914" s="73"/>
      <c r="L1914" s="73"/>
      <c r="M1914" s="73"/>
      <c r="N1914" s="73"/>
      <c r="O1914" s="73"/>
      <c r="P1914" s="73"/>
      <c r="Q1914" s="73"/>
      <c r="R1914" s="73"/>
    </row>
    <row r="1915" spans="2:18">
      <c r="B1915" s="12"/>
      <c r="C1915" s="31"/>
      <c r="D1915" s="47"/>
      <c r="E1915" s="47"/>
      <c r="F1915" s="47"/>
      <c r="G1915" s="47"/>
      <c r="H1915" s="47"/>
      <c r="I1915" s="47"/>
      <c r="J1915" s="47"/>
      <c r="K1915" s="47"/>
      <c r="L1915" s="47"/>
      <c r="M1915" s="47"/>
      <c r="N1915" s="47"/>
      <c r="O1915" s="47"/>
      <c r="P1915" s="47"/>
      <c r="Q1915" s="47"/>
      <c r="R1915" s="47"/>
    </row>
    <row r="1916" spans="2:18" ht="39.75">
      <c r="B1916" s="16"/>
      <c r="C1916" s="6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</row>
    <row r="1917" spans="2:18" ht="58.5">
      <c r="B1917" s="18">
        <f t="shared" ref="B1917" si="213">B1913+1</f>
        <v>479</v>
      </c>
      <c r="C1917" s="6"/>
      <c r="D1917" s="36"/>
      <c r="E1917" s="36"/>
      <c r="F1917" s="36"/>
      <c r="G1917" s="36"/>
      <c r="H1917" s="36"/>
      <c r="I1917" s="36"/>
      <c r="J1917" s="36"/>
      <c r="K1917" s="36"/>
      <c r="L1917" s="36"/>
      <c r="M1917" s="36"/>
      <c r="N1917" s="36"/>
      <c r="O1917" s="36"/>
      <c r="P1917" s="36"/>
      <c r="Q1917" s="36"/>
      <c r="R1917" s="36"/>
    </row>
    <row r="1918" spans="2:18" ht="48.75">
      <c r="B1918" s="20"/>
      <c r="C1918" s="6"/>
      <c r="D1918" s="73"/>
      <c r="E1918" s="73"/>
      <c r="F1918" s="73"/>
      <c r="G1918" s="73"/>
      <c r="H1918" s="73"/>
      <c r="I1918" s="73"/>
      <c r="J1918" s="73"/>
      <c r="K1918" s="73"/>
      <c r="L1918" s="73"/>
      <c r="M1918" s="73"/>
      <c r="N1918" s="73"/>
      <c r="O1918" s="73"/>
      <c r="P1918" s="73"/>
      <c r="Q1918" s="73"/>
      <c r="R1918" s="73"/>
    </row>
    <row r="1919" spans="2:18">
      <c r="B1919" s="12"/>
      <c r="C1919" s="31"/>
      <c r="D1919" s="47"/>
      <c r="E1919" s="47"/>
      <c r="F1919" s="47"/>
      <c r="G1919" s="47"/>
      <c r="H1919" s="47"/>
      <c r="I1919" s="47"/>
      <c r="J1919" s="47"/>
      <c r="K1919" s="47"/>
      <c r="L1919" s="47"/>
      <c r="M1919" s="47"/>
      <c r="N1919" s="47"/>
      <c r="O1919" s="47"/>
      <c r="P1919" s="47"/>
      <c r="Q1919" s="47"/>
      <c r="R1919" s="47"/>
    </row>
    <row r="1920" spans="2:18" ht="39.75">
      <c r="B1920" s="16"/>
      <c r="C1920" s="6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</row>
    <row r="1921" spans="2:18" ht="58.5">
      <c r="B1921" s="18">
        <f t="shared" ref="B1921" si="214">B1917+1</f>
        <v>480</v>
      </c>
      <c r="C1921" s="6"/>
      <c r="D1921" s="36"/>
      <c r="E1921" s="36"/>
      <c r="F1921" s="36"/>
      <c r="G1921" s="36"/>
      <c r="H1921" s="36"/>
      <c r="I1921" s="36"/>
      <c r="J1921" s="36"/>
      <c r="K1921" s="36"/>
      <c r="L1921" s="36"/>
      <c r="M1921" s="36"/>
      <c r="N1921" s="36"/>
      <c r="O1921" s="36"/>
      <c r="P1921" s="36"/>
      <c r="Q1921" s="36"/>
      <c r="R1921" s="36"/>
    </row>
    <row r="1922" spans="2:18" ht="48.75">
      <c r="B1922" s="20"/>
      <c r="C1922" s="6"/>
      <c r="D1922" s="73"/>
      <c r="E1922" s="73"/>
      <c r="F1922" s="73"/>
      <c r="G1922" s="73"/>
      <c r="H1922" s="73"/>
      <c r="I1922" s="73"/>
      <c r="J1922" s="73"/>
      <c r="K1922" s="73"/>
      <c r="L1922" s="73"/>
      <c r="M1922" s="73"/>
      <c r="N1922" s="73"/>
      <c r="O1922" s="73"/>
      <c r="P1922" s="73"/>
      <c r="Q1922" s="73"/>
      <c r="R1922" s="73"/>
    </row>
    <row r="1923" spans="2:18">
      <c r="B1923" s="12"/>
      <c r="C1923" s="31"/>
      <c r="D1923" s="47"/>
      <c r="E1923" s="47"/>
      <c r="F1923" s="47"/>
      <c r="G1923" s="47"/>
      <c r="H1923" s="47"/>
      <c r="I1923" s="47"/>
      <c r="J1923" s="47"/>
      <c r="K1923" s="47"/>
      <c r="L1923" s="47"/>
      <c r="M1923" s="47"/>
      <c r="N1923" s="47"/>
      <c r="O1923" s="47"/>
      <c r="P1923" s="47"/>
      <c r="Q1923" s="47"/>
      <c r="R1923" s="47"/>
    </row>
    <row r="1924" spans="2:18" ht="39.75">
      <c r="B1924" s="16"/>
      <c r="C1924" s="6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</row>
    <row r="1925" spans="2:18" ht="58.5">
      <c r="B1925" s="18">
        <f t="shared" ref="B1925" si="215">B1921+1</f>
        <v>481</v>
      </c>
      <c r="C1925" s="6"/>
      <c r="D1925" s="36"/>
      <c r="E1925" s="36"/>
      <c r="F1925" s="36"/>
      <c r="G1925" s="36"/>
      <c r="H1925" s="36"/>
      <c r="I1925" s="36"/>
      <c r="J1925" s="36"/>
      <c r="K1925" s="36"/>
      <c r="L1925" s="36"/>
      <c r="M1925" s="36"/>
      <c r="N1925" s="36"/>
      <c r="O1925" s="36"/>
      <c r="P1925" s="36"/>
      <c r="Q1925" s="36"/>
      <c r="R1925" s="36"/>
    </row>
    <row r="1926" spans="2:18" ht="48.75">
      <c r="B1926" s="20"/>
      <c r="C1926" s="6"/>
      <c r="D1926" s="73"/>
      <c r="E1926" s="73"/>
      <c r="F1926" s="73"/>
      <c r="G1926" s="73"/>
      <c r="H1926" s="73"/>
      <c r="I1926" s="73"/>
      <c r="J1926" s="73"/>
      <c r="K1926" s="73"/>
      <c r="L1926" s="73"/>
      <c r="M1926" s="73"/>
      <c r="N1926" s="73"/>
      <c r="O1926" s="73"/>
      <c r="P1926" s="73"/>
      <c r="Q1926" s="73"/>
      <c r="R1926" s="73"/>
    </row>
    <row r="1927" spans="2:18">
      <c r="B1927" s="12"/>
      <c r="C1927" s="31"/>
      <c r="D1927" s="47"/>
      <c r="E1927" s="47"/>
      <c r="F1927" s="47"/>
      <c r="G1927" s="47"/>
      <c r="H1927" s="47"/>
      <c r="I1927" s="47"/>
      <c r="J1927" s="47"/>
      <c r="K1927" s="47"/>
      <c r="L1927" s="47"/>
      <c r="M1927" s="47"/>
      <c r="N1927" s="47"/>
      <c r="O1927" s="47"/>
      <c r="P1927" s="47"/>
      <c r="Q1927" s="47"/>
      <c r="R1927" s="47"/>
    </row>
    <row r="1928" spans="2:18" ht="39.75">
      <c r="B1928" s="16"/>
      <c r="C1928" s="6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</row>
    <row r="1929" spans="2:18" ht="58.5">
      <c r="B1929" s="18">
        <f t="shared" ref="B1929" si="216">B1925+1</f>
        <v>482</v>
      </c>
      <c r="C1929" s="6"/>
      <c r="D1929" s="36"/>
      <c r="E1929" s="36"/>
      <c r="F1929" s="36"/>
      <c r="G1929" s="36"/>
      <c r="H1929" s="36"/>
      <c r="I1929" s="36"/>
      <c r="J1929" s="36"/>
      <c r="K1929" s="36"/>
      <c r="L1929" s="36"/>
      <c r="M1929" s="36"/>
      <c r="N1929" s="36"/>
      <c r="O1929" s="36"/>
      <c r="P1929" s="36"/>
      <c r="Q1929" s="36"/>
      <c r="R1929" s="36"/>
    </row>
    <row r="1930" spans="2:18" ht="48.75">
      <c r="B1930" s="20"/>
      <c r="C1930" s="6"/>
      <c r="D1930" s="73"/>
      <c r="E1930" s="73"/>
      <c r="F1930" s="73"/>
      <c r="G1930" s="73"/>
      <c r="H1930" s="73"/>
      <c r="I1930" s="73"/>
      <c r="J1930" s="73"/>
      <c r="K1930" s="73"/>
      <c r="L1930" s="73"/>
      <c r="M1930" s="73"/>
      <c r="N1930" s="73"/>
      <c r="O1930" s="73"/>
      <c r="P1930" s="73"/>
      <c r="Q1930" s="73"/>
      <c r="R1930" s="73"/>
    </row>
    <row r="1931" spans="2:18">
      <c r="B1931" s="12"/>
      <c r="C1931" s="31"/>
      <c r="D1931" s="47"/>
      <c r="E1931" s="47"/>
      <c r="F1931" s="47"/>
      <c r="G1931" s="47"/>
      <c r="H1931" s="47"/>
      <c r="I1931" s="47"/>
      <c r="J1931" s="47"/>
      <c r="K1931" s="47"/>
      <c r="L1931" s="47"/>
      <c r="M1931" s="47"/>
      <c r="N1931" s="47"/>
      <c r="O1931" s="47"/>
      <c r="P1931" s="47"/>
      <c r="Q1931" s="47"/>
      <c r="R1931" s="47"/>
    </row>
    <row r="1932" spans="2:18" ht="39.75">
      <c r="B1932" s="16"/>
      <c r="C1932" s="6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</row>
    <row r="1933" spans="2:18" ht="58.5">
      <c r="B1933" s="18">
        <f t="shared" ref="B1933" si="217">B1929+1</f>
        <v>483</v>
      </c>
      <c r="C1933" s="6"/>
      <c r="D1933" s="36"/>
      <c r="E1933" s="36"/>
      <c r="F1933" s="36"/>
      <c r="G1933" s="36"/>
      <c r="H1933" s="36"/>
      <c r="I1933" s="36"/>
      <c r="J1933" s="36"/>
      <c r="K1933" s="36"/>
      <c r="L1933" s="36"/>
      <c r="M1933" s="36"/>
      <c r="N1933" s="36"/>
      <c r="O1933" s="36"/>
      <c r="P1933" s="36"/>
      <c r="Q1933" s="36"/>
      <c r="R1933" s="36"/>
    </row>
    <row r="1934" spans="2:18" ht="48.75">
      <c r="B1934" s="20"/>
      <c r="C1934" s="6"/>
      <c r="D1934" s="73"/>
      <c r="E1934" s="73"/>
      <c r="F1934" s="73"/>
      <c r="G1934" s="73"/>
      <c r="H1934" s="73"/>
      <c r="I1934" s="73"/>
      <c r="J1934" s="73"/>
      <c r="K1934" s="73"/>
      <c r="L1934" s="73"/>
      <c r="M1934" s="73"/>
      <c r="N1934" s="73"/>
      <c r="O1934" s="73"/>
      <c r="P1934" s="73"/>
      <c r="Q1934" s="73"/>
      <c r="R1934" s="73"/>
    </row>
    <row r="1935" spans="2:18">
      <c r="B1935" s="12"/>
      <c r="C1935" s="31"/>
      <c r="D1935" s="47"/>
      <c r="E1935" s="47"/>
      <c r="F1935" s="47"/>
      <c r="G1935" s="47"/>
      <c r="H1935" s="47"/>
      <c r="I1935" s="47"/>
      <c r="J1935" s="47"/>
      <c r="K1935" s="47"/>
      <c r="L1935" s="47"/>
      <c r="M1935" s="47"/>
      <c r="N1935" s="47"/>
      <c r="O1935" s="47"/>
      <c r="P1935" s="47"/>
      <c r="Q1935" s="47"/>
      <c r="R1935" s="47"/>
    </row>
    <row r="1936" spans="2:18" ht="39.75">
      <c r="B1936" s="16"/>
      <c r="C1936" s="6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</row>
    <row r="1937" spans="2:18" ht="58.5">
      <c r="B1937" s="18">
        <f t="shared" ref="B1937" si="218">B1933+1</f>
        <v>484</v>
      </c>
      <c r="C1937" s="6"/>
      <c r="D1937" s="36"/>
      <c r="E1937" s="36"/>
      <c r="F1937" s="36"/>
      <c r="G1937" s="36"/>
      <c r="H1937" s="36"/>
      <c r="I1937" s="36"/>
      <c r="J1937" s="36"/>
      <c r="K1937" s="36"/>
      <c r="L1937" s="36"/>
      <c r="M1937" s="36"/>
      <c r="N1937" s="36"/>
      <c r="O1937" s="36"/>
      <c r="P1937" s="36"/>
      <c r="Q1937" s="36"/>
      <c r="R1937" s="36"/>
    </row>
    <row r="1938" spans="2:18" ht="48.75">
      <c r="B1938" s="20"/>
      <c r="C1938" s="6"/>
      <c r="D1938" s="73"/>
      <c r="E1938" s="73"/>
      <c r="F1938" s="73"/>
      <c r="G1938" s="73"/>
      <c r="H1938" s="73"/>
      <c r="I1938" s="73"/>
      <c r="J1938" s="73"/>
      <c r="K1938" s="73"/>
      <c r="L1938" s="73"/>
      <c r="M1938" s="73"/>
      <c r="N1938" s="73"/>
      <c r="O1938" s="73"/>
      <c r="P1938" s="73"/>
      <c r="Q1938" s="73"/>
      <c r="R1938" s="73"/>
    </row>
    <row r="1939" spans="2:18">
      <c r="B1939" s="12"/>
      <c r="C1939" s="31"/>
      <c r="D1939" s="47"/>
      <c r="E1939" s="47"/>
      <c r="F1939" s="47"/>
      <c r="G1939" s="47"/>
      <c r="H1939" s="47"/>
      <c r="I1939" s="47"/>
      <c r="J1939" s="47"/>
      <c r="K1939" s="47"/>
      <c r="L1939" s="47"/>
      <c r="M1939" s="47"/>
      <c r="N1939" s="47"/>
      <c r="O1939" s="47"/>
      <c r="P1939" s="47"/>
      <c r="Q1939" s="47"/>
      <c r="R1939" s="47"/>
    </row>
    <row r="1940" spans="2:18" ht="39.75">
      <c r="B1940" s="16"/>
      <c r="C1940" s="6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</row>
    <row r="1941" spans="2:18" ht="58.5">
      <c r="B1941" s="18">
        <f t="shared" ref="B1941" si="219">B1937+1</f>
        <v>485</v>
      </c>
      <c r="C1941" s="6"/>
      <c r="D1941" s="36"/>
      <c r="E1941" s="36"/>
      <c r="F1941" s="36"/>
      <c r="G1941" s="36"/>
      <c r="H1941" s="36"/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</row>
    <row r="1942" spans="2:18" ht="48.75">
      <c r="B1942" s="20"/>
      <c r="C1942" s="6"/>
      <c r="D1942" s="73"/>
      <c r="E1942" s="73"/>
      <c r="F1942" s="73"/>
      <c r="G1942" s="73"/>
      <c r="H1942" s="73"/>
      <c r="I1942" s="73"/>
      <c r="J1942" s="73"/>
      <c r="K1942" s="73"/>
      <c r="L1942" s="73"/>
      <c r="M1942" s="73"/>
      <c r="N1942" s="73"/>
      <c r="O1942" s="73"/>
      <c r="P1942" s="73"/>
      <c r="Q1942" s="73"/>
      <c r="R1942" s="73"/>
    </row>
    <row r="1943" spans="2:18">
      <c r="B1943" s="12"/>
      <c r="C1943" s="31"/>
      <c r="D1943" s="47"/>
      <c r="E1943" s="47"/>
      <c r="F1943" s="47"/>
      <c r="G1943" s="47"/>
      <c r="H1943" s="47"/>
      <c r="I1943" s="47"/>
      <c r="J1943" s="47"/>
      <c r="K1943" s="47"/>
      <c r="L1943" s="47"/>
      <c r="M1943" s="47"/>
      <c r="N1943" s="47"/>
      <c r="O1943" s="47"/>
      <c r="P1943" s="47"/>
      <c r="Q1943" s="47"/>
      <c r="R1943" s="47"/>
    </row>
    <row r="1944" spans="2:18" ht="39.75">
      <c r="B1944" s="16"/>
      <c r="C1944" s="6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</row>
    <row r="1945" spans="2:18" ht="58.5">
      <c r="B1945" s="18">
        <f t="shared" ref="B1945" si="220">B1941+1</f>
        <v>486</v>
      </c>
      <c r="C1945" s="6"/>
      <c r="D1945" s="36"/>
      <c r="E1945" s="36"/>
      <c r="F1945" s="36"/>
      <c r="G1945" s="36"/>
      <c r="H1945" s="36"/>
      <c r="I1945" s="36"/>
      <c r="J1945" s="36"/>
      <c r="K1945" s="36"/>
      <c r="L1945" s="36"/>
      <c r="M1945" s="36"/>
      <c r="N1945" s="36"/>
      <c r="O1945" s="36"/>
      <c r="P1945" s="36"/>
      <c r="Q1945" s="36"/>
      <c r="R1945" s="36"/>
    </row>
    <row r="1946" spans="2:18" ht="48.75">
      <c r="B1946" s="20"/>
      <c r="C1946" s="6"/>
      <c r="D1946" s="73"/>
      <c r="E1946" s="73"/>
      <c r="F1946" s="73"/>
      <c r="G1946" s="73"/>
      <c r="H1946" s="73"/>
      <c r="I1946" s="73"/>
      <c r="J1946" s="73"/>
      <c r="K1946" s="73"/>
      <c r="L1946" s="73"/>
      <c r="M1946" s="73"/>
      <c r="N1946" s="73"/>
      <c r="O1946" s="73"/>
      <c r="P1946" s="73"/>
      <c r="Q1946" s="73"/>
      <c r="R1946" s="73"/>
    </row>
    <row r="1947" spans="2:18">
      <c r="B1947" s="12"/>
      <c r="C1947" s="31"/>
      <c r="D1947" s="47"/>
      <c r="E1947" s="47"/>
      <c r="F1947" s="47"/>
      <c r="G1947" s="47"/>
      <c r="H1947" s="47"/>
      <c r="I1947" s="47"/>
      <c r="J1947" s="47"/>
      <c r="K1947" s="47"/>
      <c r="L1947" s="47"/>
      <c r="M1947" s="47"/>
      <c r="N1947" s="47"/>
      <c r="O1947" s="47"/>
      <c r="P1947" s="47"/>
      <c r="Q1947" s="47"/>
      <c r="R1947" s="47"/>
    </row>
    <row r="1948" spans="2:18" ht="39.75">
      <c r="B1948" s="16"/>
      <c r="C1948" s="6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</row>
    <row r="1949" spans="2:18" ht="58.5">
      <c r="B1949" s="18">
        <f t="shared" ref="B1949" si="221">B1945+1</f>
        <v>487</v>
      </c>
      <c r="C1949" s="6"/>
      <c r="D1949" s="36"/>
      <c r="E1949" s="36"/>
      <c r="F1949" s="36"/>
      <c r="G1949" s="36"/>
      <c r="H1949" s="36"/>
      <c r="I1949" s="36"/>
      <c r="J1949" s="36"/>
      <c r="K1949" s="36"/>
      <c r="L1949" s="36"/>
      <c r="M1949" s="36"/>
      <c r="N1949" s="36"/>
      <c r="O1949" s="36"/>
      <c r="P1949" s="36"/>
      <c r="Q1949" s="36"/>
      <c r="R1949" s="36"/>
    </row>
    <row r="1950" spans="2:18" ht="48.75">
      <c r="B1950" s="20"/>
      <c r="C1950" s="6"/>
      <c r="D1950" s="73"/>
      <c r="E1950" s="73"/>
      <c r="F1950" s="73"/>
      <c r="G1950" s="73"/>
      <c r="H1950" s="73"/>
      <c r="I1950" s="73"/>
      <c r="J1950" s="73"/>
      <c r="K1950" s="73"/>
      <c r="L1950" s="73"/>
      <c r="M1950" s="73"/>
      <c r="N1950" s="73"/>
      <c r="O1950" s="73"/>
      <c r="P1950" s="73"/>
      <c r="Q1950" s="73"/>
      <c r="R1950" s="73"/>
    </row>
    <row r="1951" spans="2:18">
      <c r="B1951" s="12"/>
      <c r="C1951" s="31"/>
      <c r="D1951" s="47"/>
      <c r="E1951" s="47"/>
      <c r="F1951" s="47"/>
      <c r="G1951" s="47"/>
      <c r="H1951" s="47"/>
      <c r="I1951" s="47"/>
      <c r="J1951" s="47"/>
      <c r="K1951" s="47"/>
      <c r="L1951" s="47"/>
      <c r="M1951" s="47"/>
      <c r="N1951" s="47"/>
      <c r="O1951" s="47"/>
      <c r="P1951" s="47"/>
      <c r="Q1951" s="47"/>
      <c r="R1951" s="47"/>
    </row>
    <row r="1952" spans="2:18" ht="39.75">
      <c r="B1952" s="16"/>
      <c r="C1952" s="6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</row>
    <row r="1953" spans="2:18" ht="58.5">
      <c r="B1953" s="18">
        <f t="shared" ref="B1953" si="222">B1949+1</f>
        <v>488</v>
      </c>
      <c r="C1953" s="6"/>
      <c r="D1953" s="36"/>
      <c r="E1953" s="36"/>
      <c r="F1953" s="36"/>
      <c r="G1953" s="36"/>
      <c r="H1953" s="36"/>
      <c r="I1953" s="36"/>
      <c r="J1953" s="36"/>
      <c r="K1953" s="36"/>
      <c r="L1953" s="36"/>
      <c r="M1953" s="36"/>
      <c r="N1953" s="36"/>
      <c r="O1953" s="36"/>
      <c r="P1953" s="36"/>
      <c r="Q1953" s="36"/>
      <c r="R1953" s="36"/>
    </row>
    <row r="1954" spans="2:18" ht="48.75">
      <c r="B1954" s="20"/>
      <c r="C1954" s="6"/>
      <c r="D1954" s="73"/>
      <c r="E1954" s="73"/>
      <c r="F1954" s="73"/>
      <c r="G1954" s="73"/>
      <c r="H1954" s="73"/>
      <c r="I1954" s="73"/>
      <c r="J1954" s="73"/>
      <c r="K1954" s="73"/>
      <c r="L1954" s="73"/>
      <c r="M1954" s="73"/>
      <c r="N1954" s="73"/>
      <c r="O1954" s="73"/>
      <c r="P1954" s="73"/>
      <c r="Q1954" s="73"/>
      <c r="R1954" s="73"/>
    </row>
    <row r="1955" spans="2:18">
      <c r="B1955" s="12"/>
      <c r="C1955" s="31"/>
      <c r="D1955" s="47"/>
      <c r="E1955" s="47"/>
      <c r="F1955" s="47"/>
      <c r="G1955" s="47"/>
      <c r="H1955" s="47"/>
      <c r="I1955" s="47"/>
      <c r="J1955" s="47"/>
      <c r="K1955" s="47"/>
      <c r="L1955" s="47"/>
      <c r="M1955" s="47"/>
      <c r="N1955" s="47"/>
      <c r="O1955" s="47"/>
      <c r="P1955" s="47"/>
      <c r="Q1955" s="47"/>
      <c r="R1955" s="47"/>
    </row>
    <row r="1956" spans="2:18" ht="39.75">
      <c r="B1956" s="16"/>
      <c r="C1956" s="6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</row>
    <row r="1957" spans="2:18" ht="58.5">
      <c r="B1957" s="18">
        <f t="shared" ref="B1957" si="223">B1953+1</f>
        <v>489</v>
      </c>
      <c r="C1957" s="6"/>
      <c r="D1957" s="36"/>
      <c r="E1957" s="36"/>
      <c r="F1957" s="36"/>
      <c r="G1957" s="36"/>
      <c r="H1957" s="36"/>
      <c r="I1957" s="36"/>
      <c r="J1957" s="36"/>
      <c r="K1957" s="36"/>
      <c r="L1957" s="36"/>
      <c r="M1957" s="36"/>
      <c r="N1957" s="36"/>
      <c r="O1957" s="36"/>
      <c r="P1957" s="36"/>
      <c r="Q1957" s="36"/>
      <c r="R1957" s="36"/>
    </row>
    <row r="1958" spans="2:18" ht="48.75">
      <c r="B1958" s="20"/>
      <c r="C1958" s="6"/>
      <c r="D1958" s="73"/>
      <c r="E1958" s="73"/>
      <c r="F1958" s="73"/>
      <c r="G1958" s="73"/>
      <c r="H1958" s="73"/>
      <c r="I1958" s="73"/>
      <c r="J1958" s="73"/>
      <c r="K1958" s="73"/>
      <c r="L1958" s="73"/>
      <c r="M1958" s="73"/>
      <c r="N1958" s="73"/>
      <c r="O1958" s="73"/>
      <c r="P1958" s="73"/>
      <c r="Q1958" s="73"/>
      <c r="R1958" s="73"/>
    </row>
    <row r="1959" spans="2:18">
      <c r="B1959" s="12"/>
      <c r="C1959" s="31"/>
      <c r="D1959" s="47"/>
      <c r="E1959" s="47"/>
      <c r="F1959" s="47"/>
      <c r="G1959" s="47"/>
      <c r="H1959" s="47"/>
      <c r="I1959" s="47"/>
      <c r="J1959" s="47"/>
      <c r="K1959" s="47"/>
      <c r="L1959" s="47"/>
      <c r="M1959" s="47"/>
      <c r="N1959" s="47"/>
      <c r="O1959" s="47"/>
      <c r="P1959" s="47"/>
      <c r="Q1959" s="47"/>
      <c r="R1959" s="47"/>
    </row>
    <row r="1960" spans="2:18" ht="39.75">
      <c r="B1960" s="16"/>
      <c r="C1960" s="6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</row>
    <row r="1961" spans="2:18" ht="58.5">
      <c r="B1961" s="18">
        <f t="shared" ref="B1961" si="224">B1957+1</f>
        <v>490</v>
      </c>
      <c r="C1961" s="6"/>
      <c r="D1961" s="36"/>
      <c r="E1961" s="36"/>
      <c r="F1961" s="36"/>
      <c r="G1961" s="36"/>
      <c r="H1961" s="36"/>
      <c r="I1961" s="36"/>
      <c r="J1961" s="36"/>
      <c r="K1961" s="36"/>
      <c r="L1961" s="36"/>
      <c r="M1961" s="36"/>
      <c r="N1961" s="36"/>
      <c r="O1961" s="36"/>
      <c r="P1961" s="36"/>
      <c r="Q1961" s="36"/>
      <c r="R1961" s="36"/>
    </row>
    <row r="1962" spans="2:18" ht="48.75">
      <c r="B1962" s="20"/>
      <c r="C1962" s="6"/>
      <c r="D1962" s="73"/>
      <c r="E1962" s="73"/>
      <c r="F1962" s="73"/>
      <c r="G1962" s="73"/>
      <c r="H1962" s="73"/>
      <c r="I1962" s="73"/>
      <c r="J1962" s="73"/>
      <c r="K1962" s="73"/>
      <c r="L1962" s="73"/>
      <c r="M1962" s="73"/>
      <c r="N1962" s="73"/>
      <c r="O1962" s="73"/>
      <c r="P1962" s="73"/>
      <c r="Q1962" s="73"/>
      <c r="R1962" s="73"/>
    </row>
    <row r="1963" spans="2:18">
      <c r="B1963" s="12"/>
      <c r="C1963" s="31"/>
      <c r="D1963" s="47"/>
      <c r="E1963" s="47"/>
      <c r="F1963" s="47"/>
      <c r="G1963" s="47"/>
      <c r="H1963" s="47"/>
      <c r="I1963" s="47"/>
      <c r="J1963" s="47"/>
      <c r="K1963" s="47"/>
      <c r="L1963" s="47"/>
      <c r="M1963" s="47"/>
      <c r="N1963" s="47"/>
      <c r="O1963" s="47"/>
      <c r="P1963" s="47"/>
      <c r="Q1963" s="47"/>
      <c r="R1963" s="47"/>
    </row>
    <row r="1964" spans="2:18" ht="39.75">
      <c r="B1964" s="16"/>
      <c r="C1964" s="6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</row>
    <row r="1965" spans="2:18" ht="58.5">
      <c r="B1965" s="18">
        <f t="shared" ref="B1965" si="225">B1961+1</f>
        <v>491</v>
      </c>
      <c r="C1965" s="6"/>
      <c r="D1965" s="36"/>
      <c r="E1965" s="36"/>
      <c r="F1965" s="36"/>
      <c r="G1965" s="36"/>
      <c r="H1965" s="36"/>
      <c r="I1965" s="36"/>
      <c r="J1965" s="36"/>
      <c r="K1965" s="36"/>
      <c r="L1965" s="36"/>
      <c r="M1965" s="36"/>
      <c r="N1965" s="36"/>
      <c r="O1965" s="36"/>
      <c r="P1965" s="36"/>
      <c r="Q1965" s="36"/>
      <c r="R1965" s="36"/>
    </row>
    <row r="1966" spans="2:18" ht="48.75">
      <c r="B1966" s="20"/>
      <c r="C1966" s="6"/>
      <c r="D1966" s="73"/>
      <c r="E1966" s="73"/>
      <c r="F1966" s="73"/>
      <c r="G1966" s="73"/>
      <c r="H1966" s="73"/>
      <c r="I1966" s="73"/>
      <c r="J1966" s="73"/>
      <c r="K1966" s="73"/>
      <c r="L1966" s="73"/>
      <c r="M1966" s="73"/>
      <c r="N1966" s="73"/>
      <c r="O1966" s="73"/>
      <c r="P1966" s="73"/>
      <c r="Q1966" s="73"/>
      <c r="R1966" s="73"/>
    </row>
    <row r="1967" spans="2:18">
      <c r="B1967" s="12"/>
      <c r="C1967" s="31"/>
      <c r="D1967" s="47"/>
      <c r="E1967" s="47"/>
      <c r="F1967" s="47"/>
      <c r="G1967" s="47"/>
      <c r="H1967" s="47"/>
      <c r="I1967" s="47"/>
      <c r="J1967" s="47"/>
      <c r="K1967" s="47"/>
      <c r="L1967" s="47"/>
      <c r="M1967" s="47"/>
      <c r="N1967" s="47"/>
      <c r="O1967" s="47"/>
      <c r="P1967" s="47"/>
      <c r="Q1967" s="47"/>
      <c r="R1967" s="47"/>
    </row>
    <row r="1968" spans="2:18" ht="39.75">
      <c r="B1968" s="16"/>
      <c r="C1968" s="6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</row>
    <row r="1969" spans="2:18" ht="58.5">
      <c r="B1969" s="18">
        <f t="shared" ref="B1969" si="226">B1965+1</f>
        <v>492</v>
      </c>
      <c r="C1969" s="6"/>
      <c r="D1969" s="36"/>
      <c r="E1969" s="36"/>
      <c r="F1969" s="36"/>
      <c r="G1969" s="36"/>
      <c r="H1969" s="36"/>
      <c r="I1969" s="36"/>
      <c r="J1969" s="36"/>
      <c r="K1969" s="36"/>
      <c r="L1969" s="36"/>
      <c r="M1969" s="36"/>
      <c r="N1969" s="36"/>
      <c r="O1969" s="36"/>
      <c r="P1969" s="36"/>
      <c r="Q1969" s="36"/>
      <c r="R1969" s="36"/>
    </row>
    <row r="1970" spans="2:18" ht="48.75">
      <c r="B1970" s="20"/>
      <c r="C1970" s="6"/>
      <c r="D1970" s="73"/>
      <c r="E1970" s="73"/>
      <c r="F1970" s="73"/>
      <c r="G1970" s="73"/>
      <c r="H1970" s="73"/>
      <c r="I1970" s="73"/>
      <c r="J1970" s="73"/>
      <c r="K1970" s="73"/>
      <c r="L1970" s="73"/>
      <c r="M1970" s="73"/>
      <c r="N1970" s="73"/>
      <c r="O1970" s="73"/>
      <c r="P1970" s="73"/>
      <c r="Q1970" s="73"/>
      <c r="R1970" s="73"/>
    </row>
    <row r="1971" spans="2:18">
      <c r="B1971" s="12"/>
      <c r="C1971" s="31"/>
      <c r="D1971" s="47"/>
      <c r="E1971" s="47"/>
      <c r="F1971" s="47"/>
      <c r="G1971" s="47"/>
      <c r="H1971" s="47"/>
      <c r="I1971" s="47"/>
      <c r="J1971" s="47"/>
      <c r="K1971" s="47"/>
      <c r="L1971" s="47"/>
      <c r="M1971" s="47"/>
      <c r="N1971" s="47"/>
      <c r="O1971" s="47"/>
      <c r="P1971" s="47"/>
      <c r="Q1971" s="47"/>
      <c r="R1971" s="47"/>
    </row>
    <row r="1972" spans="2:18" ht="39.75">
      <c r="B1972" s="16"/>
      <c r="C1972" s="6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</row>
    <row r="1973" spans="2:18" ht="58.5">
      <c r="B1973" s="18">
        <f t="shared" ref="B1973" si="227">B1969+1</f>
        <v>493</v>
      </c>
      <c r="C1973" s="6"/>
      <c r="D1973" s="36"/>
      <c r="E1973" s="36"/>
      <c r="F1973" s="36"/>
      <c r="G1973" s="36"/>
      <c r="H1973" s="36"/>
      <c r="I1973" s="36"/>
      <c r="J1973" s="36"/>
      <c r="K1973" s="36"/>
      <c r="L1973" s="36"/>
      <c r="M1973" s="36"/>
      <c r="N1973" s="36"/>
      <c r="O1973" s="36"/>
      <c r="P1973" s="36"/>
      <c r="Q1973" s="36"/>
      <c r="R1973" s="36"/>
    </row>
    <row r="1974" spans="2:18" ht="48.75">
      <c r="B1974" s="20"/>
      <c r="C1974" s="6"/>
      <c r="D1974" s="73"/>
      <c r="E1974" s="73"/>
      <c r="F1974" s="73"/>
      <c r="G1974" s="73"/>
      <c r="H1974" s="73"/>
      <c r="I1974" s="73"/>
      <c r="J1974" s="73"/>
      <c r="K1974" s="73"/>
      <c r="L1974" s="73"/>
      <c r="M1974" s="73"/>
      <c r="N1974" s="73"/>
      <c r="O1974" s="73"/>
      <c r="P1974" s="73"/>
      <c r="Q1974" s="73"/>
      <c r="R1974" s="73"/>
    </row>
    <row r="1975" spans="2:18">
      <c r="B1975" s="12"/>
      <c r="C1975" s="31"/>
      <c r="D1975" s="47"/>
      <c r="E1975" s="47"/>
      <c r="F1975" s="47"/>
      <c r="G1975" s="47"/>
      <c r="H1975" s="47"/>
      <c r="I1975" s="47"/>
      <c r="J1975" s="47"/>
      <c r="K1975" s="47"/>
      <c r="L1975" s="47"/>
      <c r="M1975" s="47"/>
      <c r="N1975" s="47"/>
      <c r="O1975" s="47"/>
      <c r="P1975" s="47"/>
      <c r="Q1975" s="47"/>
      <c r="R1975" s="47"/>
    </row>
    <row r="1976" spans="2:18" ht="39.75">
      <c r="B1976" s="16"/>
      <c r="C1976" s="6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</row>
    <row r="1977" spans="2:18" ht="58.5">
      <c r="B1977" s="18">
        <f t="shared" ref="B1977" si="228">B1973+1</f>
        <v>494</v>
      </c>
      <c r="C1977" s="6"/>
      <c r="D1977" s="36"/>
      <c r="E1977" s="36"/>
      <c r="F1977" s="36"/>
      <c r="G1977" s="36"/>
      <c r="H1977" s="36"/>
      <c r="I1977" s="36"/>
      <c r="J1977" s="36"/>
      <c r="K1977" s="36"/>
      <c r="L1977" s="36"/>
      <c r="M1977" s="36"/>
      <c r="N1977" s="36"/>
      <c r="O1977" s="36"/>
      <c r="P1977" s="36"/>
      <c r="Q1977" s="36"/>
      <c r="R1977" s="36"/>
    </row>
    <row r="1978" spans="2:18" ht="48.75">
      <c r="B1978" s="20"/>
      <c r="C1978" s="6"/>
      <c r="D1978" s="73"/>
      <c r="E1978" s="73"/>
      <c r="F1978" s="73"/>
      <c r="G1978" s="73"/>
      <c r="H1978" s="73"/>
      <c r="I1978" s="73"/>
      <c r="J1978" s="73"/>
      <c r="K1978" s="73"/>
      <c r="L1978" s="73"/>
      <c r="M1978" s="73"/>
      <c r="N1978" s="73"/>
      <c r="O1978" s="73"/>
      <c r="P1978" s="73"/>
      <c r="Q1978" s="73"/>
      <c r="R1978" s="73"/>
    </row>
    <row r="1979" spans="2:18">
      <c r="B1979" s="12"/>
      <c r="C1979" s="31"/>
      <c r="D1979" s="47"/>
      <c r="E1979" s="47"/>
      <c r="F1979" s="47"/>
      <c r="G1979" s="47"/>
      <c r="H1979" s="47"/>
      <c r="I1979" s="47"/>
      <c r="J1979" s="47"/>
      <c r="K1979" s="47"/>
      <c r="L1979" s="47"/>
      <c r="M1979" s="47"/>
      <c r="N1979" s="47"/>
      <c r="O1979" s="47"/>
      <c r="P1979" s="47"/>
      <c r="Q1979" s="47"/>
      <c r="R1979" s="47"/>
    </row>
    <row r="1980" spans="2:18" ht="39.75">
      <c r="B1980" s="16"/>
      <c r="C1980" s="6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</row>
    <row r="1981" spans="2:18" ht="58.5">
      <c r="B1981" s="18">
        <f t="shared" ref="B1981" si="229">B1977+1</f>
        <v>495</v>
      </c>
      <c r="C1981" s="6"/>
      <c r="D1981" s="36"/>
      <c r="E1981" s="36"/>
      <c r="F1981" s="36"/>
      <c r="G1981" s="36"/>
      <c r="H1981" s="36"/>
      <c r="I1981" s="36"/>
      <c r="J1981" s="36"/>
      <c r="K1981" s="36"/>
      <c r="L1981" s="36"/>
      <c r="M1981" s="36"/>
      <c r="N1981" s="36"/>
      <c r="O1981" s="36"/>
      <c r="P1981" s="36"/>
      <c r="Q1981" s="36"/>
      <c r="R1981" s="36"/>
    </row>
    <row r="1982" spans="2:18" ht="48.75">
      <c r="B1982" s="20"/>
      <c r="C1982" s="6"/>
      <c r="D1982" s="73"/>
      <c r="E1982" s="73"/>
      <c r="F1982" s="73"/>
      <c r="G1982" s="73"/>
      <c r="H1982" s="73"/>
      <c r="I1982" s="73"/>
      <c r="J1982" s="73"/>
      <c r="K1982" s="73"/>
      <c r="L1982" s="73"/>
      <c r="M1982" s="73"/>
      <c r="N1982" s="73"/>
      <c r="O1982" s="73"/>
      <c r="P1982" s="73"/>
      <c r="Q1982" s="73"/>
      <c r="R1982" s="73"/>
    </row>
    <row r="1983" spans="2:18">
      <c r="B1983" s="12"/>
      <c r="C1983" s="31"/>
      <c r="D1983" s="47"/>
      <c r="E1983" s="47"/>
      <c r="F1983" s="47"/>
      <c r="G1983" s="47"/>
      <c r="H1983" s="47"/>
      <c r="I1983" s="47"/>
      <c r="J1983" s="47"/>
      <c r="K1983" s="47"/>
      <c r="L1983" s="47"/>
      <c r="M1983" s="47"/>
      <c r="N1983" s="47"/>
      <c r="O1983" s="47"/>
      <c r="P1983" s="47"/>
      <c r="Q1983" s="47"/>
      <c r="R1983" s="47"/>
    </row>
    <row r="1984" spans="2:18" ht="39.75">
      <c r="B1984" s="16"/>
      <c r="C1984" s="6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</row>
    <row r="1985" spans="2:18" ht="58.5">
      <c r="B1985" s="18">
        <f t="shared" ref="B1985" si="230">B1981+1</f>
        <v>496</v>
      </c>
      <c r="C1985" s="6"/>
      <c r="D1985" s="36"/>
      <c r="E1985" s="36"/>
      <c r="F1985" s="36"/>
      <c r="G1985" s="36"/>
      <c r="H1985" s="36"/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</row>
    <row r="1986" spans="2:18" ht="48.75">
      <c r="B1986" s="20"/>
      <c r="C1986" s="6"/>
      <c r="D1986" s="73"/>
      <c r="E1986" s="73"/>
      <c r="F1986" s="73"/>
      <c r="G1986" s="73"/>
      <c r="H1986" s="73"/>
      <c r="I1986" s="73"/>
      <c r="J1986" s="73"/>
      <c r="K1986" s="73"/>
      <c r="L1986" s="73"/>
      <c r="M1986" s="73"/>
      <c r="N1986" s="73"/>
      <c r="O1986" s="73"/>
      <c r="P1986" s="73"/>
      <c r="Q1986" s="73"/>
      <c r="R1986" s="73"/>
    </row>
    <row r="1987" spans="2:18">
      <c r="B1987" s="12"/>
      <c r="C1987" s="31"/>
      <c r="D1987" s="47"/>
      <c r="E1987" s="47"/>
      <c r="F1987" s="47"/>
      <c r="G1987" s="47"/>
      <c r="H1987" s="47"/>
      <c r="I1987" s="47"/>
      <c r="J1987" s="47"/>
      <c r="K1987" s="47"/>
      <c r="L1987" s="47"/>
      <c r="M1987" s="47"/>
      <c r="N1987" s="47"/>
      <c r="O1987" s="47"/>
      <c r="P1987" s="47"/>
      <c r="Q1987" s="47"/>
      <c r="R1987" s="47"/>
    </row>
    <row r="1988" spans="2:18" ht="39.75">
      <c r="B1988" s="16"/>
      <c r="C1988" s="6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</row>
    <row r="1989" spans="2:18" ht="58.5">
      <c r="B1989" s="18">
        <f t="shared" ref="B1989" si="231">B1985+1</f>
        <v>497</v>
      </c>
      <c r="C1989" s="6"/>
      <c r="D1989" s="36"/>
      <c r="E1989" s="36"/>
      <c r="F1989" s="36"/>
      <c r="G1989" s="36"/>
      <c r="H1989" s="36"/>
      <c r="I1989" s="36"/>
      <c r="J1989" s="36"/>
      <c r="K1989" s="36"/>
      <c r="L1989" s="36"/>
      <c r="M1989" s="36"/>
      <c r="N1989" s="36"/>
      <c r="O1989" s="36"/>
      <c r="P1989" s="36"/>
      <c r="Q1989" s="36"/>
      <c r="R1989" s="36"/>
    </row>
    <row r="1990" spans="2:18" ht="48.75">
      <c r="B1990" s="20"/>
      <c r="C1990" s="6"/>
      <c r="D1990" s="73"/>
      <c r="E1990" s="73"/>
      <c r="F1990" s="73"/>
      <c r="G1990" s="73"/>
      <c r="H1990" s="73"/>
      <c r="I1990" s="73"/>
      <c r="J1990" s="73"/>
      <c r="K1990" s="73"/>
      <c r="L1990" s="73"/>
      <c r="M1990" s="73"/>
      <c r="N1990" s="73"/>
      <c r="O1990" s="73"/>
      <c r="P1990" s="73"/>
      <c r="Q1990" s="73"/>
      <c r="R1990" s="73"/>
    </row>
    <row r="1991" spans="2:18">
      <c r="B1991" s="12"/>
      <c r="C1991" s="31"/>
      <c r="D1991" s="47"/>
      <c r="E1991" s="47"/>
      <c r="F1991" s="47"/>
      <c r="G1991" s="47"/>
      <c r="H1991" s="47"/>
      <c r="I1991" s="47"/>
      <c r="J1991" s="47"/>
      <c r="K1991" s="47"/>
      <c r="L1991" s="47"/>
      <c r="M1991" s="47"/>
      <c r="N1991" s="47"/>
      <c r="O1991" s="47"/>
      <c r="P1991" s="47"/>
      <c r="Q1991" s="47"/>
      <c r="R1991" s="47"/>
    </row>
    <row r="1992" spans="2:18" ht="39.75">
      <c r="B1992" s="16"/>
      <c r="C1992" s="6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</row>
    <row r="1993" spans="2:18" ht="58.5">
      <c r="B1993" s="18">
        <f t="shared" ref="B1993" si="232">B1989+1</f>
        <v>498</v>
      </c>
      <c r="C1993" s="6"/>
      <c r="D1993" s="36"/>
      <c r="E1993" s="36"/>
      <c r="F1993" s="36"/>
      <c r="G1993" s="36"/>
      <c r="H1993" s="36"/>
      <c r="I1993" s="36"/>
      <c r="J1993" s="36"/>
      <c r="K1993" s="36"/>
      <c r="L1993" s="36"/>
      <c r="M1993" s="36"/>
      <c r="N1993" s="36"/>
      <c r="O1993" s="36"/>
      <c r="P1993" s="36"/>
      <c r="Q1993" s="36"/>
      <c r="R1993" s="36"/>
    </row>
    <row r="1994" spans="2:18" ht="48.75">
      <c r="B1994" s="20"/>
      <c r="C1994" s="6"/>
      <c r="D1994" s="73"/>
      <c r="E1994" s="73"/>
      <c r="F1994" s="73"/>
      <c r="G1994" s="73"/>
      <c r="H1994" s="73"/>
      <c r="I1994" s="73"/>
      <c r="J1994" s="73"/>
      <c r="K1994" s="73"/>
      <c r="L1994" s="73"/>
      <c r="M1994" s="73"/>
      <c r="N1994" s="73"/>
      <c r="O1994" s="73"/>
      <c r="P1994" s="73"/>
      <c r="Q1994" s="73"/>
      <c r="R1994" s="73"/>
    </row>
    <row r="1995" spans="2:18">
      <c r="B1995" s="12"/>
      <c r="C1995" s="31"/>
      <c r="D1995" s="47"/>
      <c r="E1995" s="47"/>
      <c r="F1995" s="47"/>
      <c r="G1995" s="47"/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R1995" s="47"/>
    </row>
    <row r="1996" spans="2:18" ht="39.75">
      <c r="B1996" s="16"/>
      <c r="C1996" s="6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</row>
    <row r="1997" spans="2:18" ht="58.5">
      <c r="B1997" s="18">
        <f t="shared" ref="B1997" si="233">B1993+1</f>
        <v>499</v>
      </c>
      <c r="C1997" s="6"/>
      <c r="D1997" s="36"/>
      <c r="E1997" s="36"/>
      <c r="F1997" s="36"/>
      <c r="G1997" s="36"/>
      <c r="H1997" s="36"/>
      <c r="I1997" s="36"/>
      <c r="J1997" s="36"/>
      <c r="K1997" s="36"/>
      <c r="L1997" s="36"/>
      <c r="M1997" s="36"/>
      <c r="N1997" s="36"/>
      <c r="O1997" s="36"/>
      <c r="P1997" s="36"/>
      <c r="Q1997" s="36"/>
      <c r="R1997" s="36"/>
    </row>
    <row r="1998" spans="2:18" ht="48.75">
      <c r="B1998" s="20"/>
      <c r="C1998" s="6"/>
      <c r="D1998" s="73"/>
      <c r="E1998" s="73"/>
      <c r="F1998" s="73"/>
      <c r="G1998" s="73"/>
      <c r="H1998" s="73"/>
      <c r="I1998" s="73"/>
      <c r="J1998" s="73"/>
      <c r="K1998" s="73"/>
      <c r="L1998" s="73"/>
      <c r="M1998" s="73"/>
      <c r="N1998" s="73"/>
      <c r="O1998" s="73"/>
      <c r="P1998" s="73"/>
      <c r="Q1998" s="73"/>
      <c r="R1998" s="73"/>
    </row>
    <row r="1999" spans="2:18">
      <c r="B1999" s="12"/>
      <c r="C1999" s="31"/>
      <c r="D1999" s="47"/>
      <c r="E1999" s="47"/>
      <c r="F1999" s="47"/>
      <c r="G1999" s="47"/>
      <c r="H1999" s="47"/>
      <c r="I1999" s="47"/>
      <c r="J1999" s="47"/>
      <c r="K1999" s="47"/>
      <c r="L1999" s="47"/>
      <c r="M1999" s="47"/>
      <c r="N1999" s="47"/>
      <c r="O1999" s="47"/>
      <c r="P1999" s="47"/>
      <c r="Q1999" s="47"/>
      <c r="R1999" s="47"/>
    </row>
    <row r="2000" spans="2:18" ht="39.75">
      <c r="B2000" s="16"/>
      <c r="C2000" s="6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</row>
    <row r="2001" spans="2:18" ht="58.5">
      <c r="B2001" s="18">
        <f t="shared" ref="B2001" si="234">B1997+1</f>
        <v>500</v>
      </c>
      <c r="C2001" s="6"/>
      <c r="D2001" s="36"/>
      <c r="E2001" s="36"/>
      <c r="F2001" s="36"/>
      <c r="G2001" s="36"/>
      <c r="H2001" s="36"/>
      <c r="I2001" s="36"/>
      <c r="J2001" s="36"/>
      <c r="K2001" s="36"/>
      <c r="L2001" s="36"/>
      <c r="M2001" s="36"/>
      <c r="N2001" s="36"/>
      <c r="O2001" s="36"/>
      <c r="P2001" s="36"/>
      <c r="Q2001" s="36"/>
      <c r="R2001" s="36"/>
    </row>
    <row r="2002" spans="2:18" ht="48.75">
      <c r="B2002" s="20"/>
      <c r="C2002" s="6"/>
      <c r="D2002" s="73"/>
      <c r="E2002" s="73"/>
      <c r="F2002" s="73"/>
      <c r="G2002" s="73"/>
      <c r="H2002" s="73"/>
      <c r="I2002" s="73"/>
      <c r="J2002" s="73"/>
      <c r="K2002" s="73"/>
      <c r="L2002" s="73"/>
      <c r="M2002" s="73"/>
      <c r="N2002" s="73"/>
      <c r="O2002" s="73"/>
      <c r="P2002" s="73"/>
      <c r="Q2002" s="73"/>
      <c r="R2002" s="73"/>
    </row>
    <row r="2003" spans="2:18">
      <c r="B2003" s="12"/>
      <c r="D2003" s="47"/>
      <c r="E2003" s="47"/>
      <c r="F2003" s="47"/>
      <c r="G2003" s="47"/>
      <c r="H2003" s="47"/>
      <c r="I2003" s="47"/>
      <c r="J2003" s="47"/>
      <c r="K2003" s="47"/>
      <c r="L2003" s="47"/>
      <c r="M2003" s="47"/>
      <c r="N2003" s="47"/>
      <c r="O2003" s="47"/>
      <c r="P2003" s="47"/>
      <c r="Q2003" s="47"/>
      <c r="R2003" s="47"/>
    </row>
    <row r="2004" spans="2:18" ht="39.75">
      <c r="B2004" s="16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</row>
    <row r="2005" spans="2:18" ht="58.5">
      <c r="B2005" s="18">
        <f t="shared" ref="B2005" si="235">B2001+1</f>
        <v>501</v>
      </c>
      <c r="D2005" s="36"/>
      <c r="E2005" s="36"/>
      <c r="F2005" s="36"/>
      <c r="G2005" s="36"/>
      <c r="H2005" s="36"/>
      <c r="I2005" s="36"/>
      <c r="J2005" s="36"/>
      <c r="K2005" s="36"/>
      <c r="L2005" s="36"/>
      <c r="M2005" s="36"/>
      <c r="N2005" s="36"/>
      <c r="O2005" s="36"/>
      <c r="P2005" s="36"/>
      <c r="Q2005" s="36"/>
      <c r="R2005" s="36"/>
    </row>
    <row r="2006" spans="2:18" ht="48.75">
      <c r="B2006" s="20"/>
      <c r="D2006" s="73"/>
      <c r="E2006" s="73"/>
      <c r="F2006" s="73"/>
      <c r="G2006" s="73"/>
      <c r="H2006" s="73"/>
      <c r="I2006" s="73"/>
      <c r="J2006" s="73"/>
      <c r="K2006" s="73"/>
      <c r="L2006" s="73"/>
      <c r="M2006" s="73"/>
      <c r="N2006" s="73"/>
      <c r="O2006" s="73"/>
      <c r="P2006" s="73"/>
      <c r="Q2006" s="73"/>
      <c r="R2006" s="73"/>
    </row>
    <row r="2007" spans="2:18">
      <c r="B2007" s="12"/>
      <c r="D2007" s="47"/>
      <c r="E2007" s="47"/>
      <c r="F2007" s="47"/>
      <c r="G2007" s="47"/>
      <c r="H2007" s="47"/>
      <c r="I2007" s="47"/>
      <c r="J2007" s="47"/>
      <c r="K2007" s="47"/>
      <c r="L2007" s="47"/>
      <c r="M2007" s="47"/>
      <c r="N2007" s="47"/>
      <c r="O2007" s="47"/>
      <c r="P2007" s="47"/>
      <c r="Q2007" s="47"/>
      <c r="R2007" s="47"/>
    </row>
    <row r="2008" spans="2:18" ht="39.75">
      <c r="B2008" s="16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</row>
    <row r="2009" spans="2:18" ht="58.5">
      <c r="B2009" s="18">
        <f t="shared" ref="B2009" si="236">B2005+1</f>
        <v>502</v>
      </c>
      <c r="D2009" s="36"/>
      <c r="E2009" s="36"/>
      <c r="F2009" s="36"/>
      <c r="G2009" s="36"/>
      <c r="H2009" s="36"/>
      <c r="I2009" s="36"/>
      <c r="J2009" s="36"/>
      <c r="K2009" s="36"/>
      <c r="L2009" s="36"/>
      <c r="M2009" s="36"/>
      <c r="N2009" s="36"/>
      <c r="O2009" s="36"/>
      <c r="P2009" s="36"/>
      <c r="Q2009" s="36"/>
      <c r="R2009" s="36"/>
    </row>
    <row r="2010" spans="2:18" ht="48.75">
      <c r="B2010" s="20"/>
      <c r="D2010" s="73"/>
      <c r="E2010" s="73"/>
      <c r="F2010" s="73"/>
      <c r="G2010" s="73"/>
      <c r="H2010" s="73"/>
      <c r="I2010" s="73"/>
      <c r="J2010" s="73"/>
      <c r="K2010" s="73"/>
      <c r="L2010" s="73"/>
      <c r="M2010" s="73"/>
      <c r="N2010" s="73"/>
      <c r="O2010" s="73"/>
      <c r="P2010" s="73"/>
      <c r="Q2010" s="73"/>
      <c r="R2010" s="73"/>
    </row>
    <row r="2011" spans="2:18">
      <c r="B2011" s="12"/>
      <c r="D2011" s="47"/>
      <c r="E2011" s="47"/>
      <c r="F2011" s="47"/>
      <c r="G2011" s="47"/>
      <c r="H2011" s="47"/>
      <c r="I2011" s="47"/>
      <c r="J2011" s="47"/>
      <c r="K2011" s="47"/>
      <c r="L2011" s="47"/>
      <c r="M2011" s="47"/>
      <c r="N2011" s="47"/>
      <c r="O2011" s="47"/>
      <c r="P2011" s="47"/>
      <c r="Q2011" s="47"/>
      <c r="R2011" s="47"/>
    </row>
    <row r="2012" spans="2:18" ht="39.75">
      <c r="B2012" s="16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</row>
    <row r="2013" spans="2:18" ht="58.5">
      <c r="B2013" s="18">
        <f t="shared" ref="B2013" si="237">B2009+1</f>
        <v>503</v>
      </c>
      <c r="D2013" s="36"/>
      <c r="E2013" s="36"/>
      <c r="F2013" s="36"/>
      <c r="G2013" s="36"/>
      <c r="H2013" s="36"/>
      <c r="I2013" s="36"/>
      <c r="J2013" s="36"/>
      <c r="K2013" s="36"/>
      <c r="L2013" s="36"/>
      <c r="M2013" s="36"/>
      <c r="N2013" s="36"/>
      <c r="O2013" s="36"/>
      <c r="P2013" s="36"/>
      <c r="Q2013" s="36"/>
      <c r="R2013" s="36"/>
    </row>
    <row r="2014" spans="2:18" ht="48.75">
      <c r="B2014" s="20"/>
      <c r="D2014" s="73"/>
      <c r="E2014" s="73"/>
      <c r="F2014" s="73"/>
      <c r="G2014" s="73"/>
      <c r="H2014" s="73"/>
      <c r="I2014" s="73"/>
      <c r="J2014" s="73"/>
      <c r="K2014" s="73"/>
      <c r="L2014" s="73"/>
      <c r="M2014" s="73"/>
      <c r="N2014" s="73"/>
      <c r="O2014" s="73"/>
      <c r="P2014" s="73"/>
      <c r="Q2014" s="73"/>
      <c r="R2014" s="73"/>
    </row>
    <row r="2015" spans="2:18">
      <c r="B2015" s="12"/>
      <c r="D2015" s="47"/>
      <c r="E2015" s="47"/>
      <c r="F2015" s="47"/>
      <c r="G2015" s="47"/>
      <c r="H2015" s="47"/>
      <c r="I2015" s="47"/>
      <c r="J2015" s="47"/>
      <c r="K2015" s="47"/>
      <c r="L2015" s="47"/>
      <c r="M2015" s="47"/>
      <c r="N2015" s="47"/>
      <c r="O2015" s="47"/>
      <c r="P2015" s="47"/>
      <c r="Q2015" s="47"/>
      <c r="R2015" s="47"/>
    </row>
    <row r="2016" spans="2:18" ht="39.75">
      <c r="B2016" s="16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</row>
    <row r="2017" spans="2:18" ht="58.5">
      <c r="B2017" s="18">
        <f t="shared" ref="B2017" si="238">B2013+1</f>
        <v>504</v>
      </c>
      <c r="D2017" s="36"/>
      <c r="E2017" s="36"/>
      <c r="F2017" s="36"/>
      <c r="G2017" s="36"/>
      <c r="H2017" s="36"/>
      <c r="I2017" s="36"/>
      <c r="J2017" s="36"/>
      <c r="K2017" s="36"/>
      <c r="L2017" s="36"/>
      <c r="M2017" s="36"/>
      <c r="N2017" s="36"/>
      <c r="O2017" s="36"/>
      <c r="P2017" s="36"/>
      <c r="Q2017" s="36"/>
      <c r="R2017" s="36"/>
    </row>
    <row r="2018" spans="2:18" ht="48.75">
      <c r="B2018" s="20"/>
      <c r="D2018" s="73"/>
      <c r="E2018" s="73"/>
      <c r="F2018" s="73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73"/>
    </row>
    <row r="2019" spans="2:18">
      <c r="B2019" s="12"/>
      <c r="D2019" s="47"/>
      <c r="E2019" s="47"/>
      <c r="F2019" s="47"/>
      <c r="G2019" s="47"/>
      <c r="H2019" s="47"/>
      <c r="I2019" s="47"/>
      <c r="J2019" s="47"/>
      <c r="K2019" s="47"/>
      <c r="L2019" s="47"/>
      <c r="M2019" s="47"/>
      <c r="N2019" s="47"/>
      <c r="O2019" s="47"/>
      <c r="P2019" s="47"/>
      <c r="Q2019" s="47"/>
      <c r="R2019" s="47"/>
    </row>
    <row r="2020" spans="2:18" ht="39.75">
      <c r="B2020" s="16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</row>
    <row r="2021" spans="2:18" ht="58.5">
      <c r="B2021" s="18">
        <f t="shared" ref="B2021" si="239">B2017+1</f>
        <v>505</v>
      </c>
      <c r="D2021" s="36"/>
      <c r="E2021" s="36"/>
      <c r="F2021" s="36"/>
      <c r="G2021" s="36"/>
      <c r="H2021" s="36"/>
      <c r="I2021" s="36"/>
      <c r="J2021" s="36"/>
      <c r="K2021" s="36"/>
      <c r="L2021" s="36"/>
      <c r="M2021" s="36"/>
      <c r="N2021" s="36"/>
      <c r="O2021" s="36"/>
      <c r="P2021" s="36"/>
      <c r="Q2021" s="36"/>
      <c r="R2021" s="36"/>
    </row>
    <row r="2022" spans="2:18" ht="48.75">
      <c r="B2022" s="20"/>
      <c r="D2022" s="73"/>
      <c r="E2022" s="73"/>
      <c r="F2022" s="73"/>
      <c r="G2022" s="73"/>
      <c r="H2022" s="73"/>
      <c r="I2022" s="73"/>
      <c r="J2022" s="73"/>
      <c r="K2022" s="73"/>
      <c r="L2022" s="73"/>
      <c r="M2022" s="73"/>
      <c r="N2022" s="73"/>
      <c r="O2022" s="73"/>
      <c r="P2022" s="73"/>
      <c r="Q2022" s="73"/>
      <c r="R2022" s="73"/>
    </row>
    <row r="2023" spans="2:18">
      <c r="B2023" s="12"/>
      <c r="D2023" s="47"/>
      <c r="E2023" s="47"/>
      <c r="F2023" s="47"/>
      <c r="G2023" s="47"/>
      <c r="H2023" s="47"/>
      <c r="I2023" s="47"/>
      <c r="J2023" s="47"/>
      <c r="K2023" s="47"/>
      <c r="L2023" s="47"/>
      <c r="M2023" s="47"/>
      <c r="N2023" s="47"/>
      <c r="O2023" s="47"/>
      <c r="P2023" s="47"/>
      <c r="Q2023" s="47"/>
      <c r="R2023" s="47"/>
    </row>
    <row r="2024" spans="2:18" ht="39.75">
      <c r="B2024" s="16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</row>
    <row r="2025" spans="2:18" ht="58.5">
      <c r="B2025" s="18">
        <f t="shared" ref="B2025" si="240">B2021+1</f>
        <v>506</v>
      </c>
      <c r="D2025" s="36"/>
      <c r="E2025" s="36"/>
      <c r="F2025" s="36"/>
      <c r="G2025" s="36"/>
      <c r="H2025" s="36"/>
      <c r="I2025" s="36"/>
      <c r="J2025" s="36"/>
      <c r="K2025" s="36"/>
      <c r="L2025" s="36"/>
      <c r="M2025" s="36"/>
      <c r="N2025" s="36"/>
      <c r="O2025" s="36"/>
      <c r="P2025" s="36"/>
      <c r="Q2025" s="36"/>
      <c r="R2025" s="36"/>
    </row>
    <row r="2026" spans="2:18" ht="48.75">
      <c r="B2026" s="20"/>
      <c r="D2026" s="73"/>
      <c r="E2026" s="73"/>
      <c r="F2026" s="73"/>
      <c r="G2026" s="73"/>
      <c r="H2026" s="73"/>
      <c r="I2026" s="73"/>
      <c r="J2026" s="73"/>
      <c r="K2026" s="73"/>
      <c r="L2026" s="73"/>
      <c r="M2026" s="73"/>
      <c r="N2026" s="73"/>
      <c r="O2026" s="73"/>
      <c r="P2026" s="73"/>
      <c r="Q2026" s="73"/>
      <c r="R2026" s="73"/>
    </row>
    <row r="2027" spans="2:18">
      <c r="B2027" s="12"/>
      <c r="D2027" s="47"/>
      <c r="E2027" s="47"/>
      <c r="F2027" s="47"/>
      <c r="G2027" s="47"/>
      <c r="H2027" s="47"/>
      <c r="I2027" s="47"/>
      <c r="J2027" s="47"/>
      <c r="K2027" s="47"/>
      <c r="L2027" s="47"/>
      <c r="M2027" s="47"/>
      <c r="N2027" s="47"/>
      <c r="O2027" s="47"/>
      <c r="P2027" s="47"/>
      <c r="Q2027" s="47"/>
      <c r="R2027" s="47"/>
    </row>
    <row r="2028" spans="2:18" ht="39.75">
      <c r="B2028" s="16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</row>
    <row r="2029" spans="2:18" ht="58.5">
      <c r="B2029" s="18">
        <f t="shared" ref="B2029" si="241">B2025+1</f>
        <v>507</v>
      </c>
      <c r="D2029" s="36"/>
      <c r="E2029" s="36"/>
      <c r="F2029" s="36"/>
      <c r="G2029" s="36"/>
      <c r="H2029" s="36"/>
      <c r="I2029" s="36"/>
      <c r="J2029" s="36"/>
      <c r="K2029" s="36"/>
      <c r="L2029" s="36"/>
      <c r="M2029" s="36"/>
      <c r="N2029" s="36"/>
      <c r="O2029" s="36"/>
      <c r="P2029" s="36"/>
      <c r="Q2029" s="36"/>
      <c r="R2029" s="36"/>
    </row>
    <row r="2030" spans="2:18" ht="48.75">
      <c r="B2030" s="20"/>
      <c r="D2030" s="73"/>
      <c r="E2030" s="73"/>
      <c r="F2030" s="73"/>
      <c r="G2030" s="73"/>
      <c r="H2030" s="73"/>
      <c r="I2030" s="73"/>
      <c r="J2030" s="73"/>
      <c r="K2030" s="73"/>
      <c r="L2030" s="73"/>
      <c r="M2030" s="73"/>
      <c r="N2030" s="73"/>
      <c r="O2030" s="73"/>
      <c r="P2030" s="73"/>
      <c r="Q2030" s="73"/>
      <c r="R2030" s="73"/>
    </row>
    <row r="2031" spans="2:18">
      <c r="B2031" s="12"/>
      <c r="D2031" s="47"/>
      <c r="E2031" s="47"/>
      <c r="F2031" s="47"/>
      <c r="G2031" s="47"/>
      <c r="H2031" s="47"/>
      <c r="I2031" s="47"/>
      <c r="J2031" s="47"/>
      <c r="K2031" s="47"/>
      <c r="L2031" s="47"/>
      <c r="M2031" s="47"/>
      <c r="N2031" s="47"/>
      <c r="O2031" s="47"/>
      <c r="P2031" s="47"/>
      <c r="Q2031" s="47"/>
      <c r="R2031" s="47"/>
    </row>
    <row r="2032" spans="2:18" ht="39.75">
      <c r="B2032" s="16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</row>
    <row r="2033" spans="2:18" ht="58.5">
      <c r="B2033" s="18">
        <f t="shared" ref="B2033" si="242">B2029+1</f>
        <v>508</v>
      </c>
      <c r="D2033" s="36"/>
      <c r="E2033" s="36"/>
      <c r="F2033" s="36"/>
      <c r="G2033" s="36"/>
      <c r="H2033" s="36"/>
      <c r="I2033" s="36"/>
      <c r="J2033" s="36"/>
      <c r="K2033" s="36"/>
      <c r="L2033" s="36"/>
      <c r="M2033" s="36"/>
      <c r="N2033" s="36"/>
      <c r="O2033" s="36"/>
      <c r="P2033" s="36"/>
      <c r="Q2033" s="36"/>
      <c r="R2033" s="36"/>
    </row>
    <row r="2034" spans="2:18" ht="48.75">
      <c r="B2034" s="20"/>
      <c r="D2034" s="73"/>
      <c r="E2034" s="73"/>
      <c r="F2034" s="73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73"/>
      <c r="R2034" s="73"/>
    </row>
    <row r="2035" spans="2:18">
      <c r="B2035" s="12"/>
      <c r="D2035" s="47"/>
      <c r="E2035" s="47"/>
      <c r="F2035" s="47"/>
      <c r="G2035" s="47"/>
      <c r="H2035" s="47"/>
      <c r="I2035" s="47"/>
      <c r="J2035" s="47"/>
      <c r="K2035" s="47"/>
      <c r="L2035" s="47"/>
      <c r="M2035" s="47"/>
      <c r="N2035" s="47"/>
      <c r="O2035" s="47"/>
      <c r="P2035" s="47"/>
      <c r="Q2035" s="47"/>
      <c r="R2035" s="47"/>
    </row>
    <row r="2036" spans="2:18" ht="39.75">
      <c r="B2036" s="16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</row>
    <row r="2037" spans="2:18" ht="58.5">
      <c r="B2037" s="18">
        <f t="shared" ref="B2037" si="243">B2033+1</f>
        <v>509</v>
      </c>
      <c r="D2037" s="36"/>
      <c r="E2037" s="36"/>
      <c r="F2037" s="36"/>
      <c r="G2037" s="36"/>
      <c r="H2037" s="36"/>
      <c r="I2037" s="36"/>
      <c r="J2037" s="36"/>
      <c r="K2037" s="36"/>
      <c r="L2037" s="36"/>
      <c r="M2037" s="36"/>
      <c r="N2037" s="36"/>
      <c r="O2037" s="36"/>
      <c r="P2037" s="36"/>
      <c r="Q2037" s="36"/>
      <c r="R2037" s="36"/>
    </row>
    <row r="2038" spans="2:18" ht="48.75">
      <c r="B2038" s="20"/>
      <c r="D2038" s="73"/>
      <c r="E2038" s="73"/>
      <c r="F2038" s="73"/>
      <c r="G2038" s="73"/>
      <c r="H2038" s="73"/>
      <c r="I2038" s="73"/>
      <c r="J2038" s="73"/>
      <c r="K2038" s="73"/>
      <c r="L2038" s="73"/>
      <c r="M2038" s="73"/>
      <c r="N2038" s="73"/>
      <c r="O2038" s="73"/>
      <c r="P2038" s="73"/>
      <c r="Q2038" s="73"/>
      <c r="R2038" s="73"/>
    </row>
    <row r="2039" spans="2:18">
      <c r="B2039" s="12"/>
      <c r="D2039" s="47"/>
      <c r="E2039" s="47"/>
      <c r="F2039" s="47"/>
      <c r="G2039" s="47"/>
      <c r="H2039" s="47"/>
      <c r="I2039" s="47"/>
      <c r="J2039" s="47"/>
      <c r="K2039" s="47"/>
      <c r="L2039" s="47"/>
      <c r="M2039" s="47"/>
      <c r="N2039" s="47"/>
      <c r="O2039" s="47"/>
      <c r="P2039" s="47"/>
      <c r="Q2039" s="47"/>
      <c r="R2039" s="47"/>
    </row>
    <row r="2040" spans="2:18" ht="39.75">
      <c r="B2040" s="16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</row>
    <row r="2041" spans="2:18" ht="58.5">
      <c r="B2041" s="18">
        <f t="shared" ref="B2041" si="244">B2037+1</f>
        <v>510</v>
      </c>
      <c r="D2041" s="36"/>
      <c r="E2041" s="36"/>
      <c r="F2041" s="36"/>
      <c r="G2041" s="36"/>
      <c r="H2041" s="36"/>
      <c r="I2041" s="36"/>
      <c r="J2041" s="36"/>
      <c r="K2041" s="36"/>
      <c r="L2041" s="36"/>
      <c r="M2041" s="36"/>
      <c r="N2041" s="36"/>
      <c r="O2041" s="36"/>
      <c r="P2041" s="36"/>
      <c r="Q2041" s="36"/>
      <c r="R2041" s="36"/>
    </row>
    <row r="2042" spans="2:18" ht="48.75">
      <c r="B2042" s="20"/>
      <c r="D2042" s="73"/>
      <c r="E2042" s="73"/>
      <c r="F2042" s="73"/>
      <c r="G2042" s="73"/>
      <c r="H2042" s="73"/>
      <c r="I2042" s="73"/>
      <c r="J2042" s="73"/>
      <c r="K2042" s="73"/>
      <c r="L2042" s="73"/>
      <c r="M2042" s="73"/>
      <c r="N2042" s="73"/>
      <c r="O2042" s="73"/>
      <c r="P2042" s="73"/>
      <c r="Q2042" s="73"/>
      <c r="R2042" s="73"/>
    </row>
    <row r="2043" spans="2:18">
      <c r="B2043" s="12"/>
      <c r="D2043" s="47"/>
      <c r="E2043" s="47"/>
      <c r="F2043" s="47"/>
      <c r="G2043" s="47"/>
      <c r="H2043" s="47"/>
      <c r="I2043" s="47"/>
      <c r="J2043" s="47"/>
      <c r="K2043" s="47"/>
      <c r="L2043" s="47"/>
      <c r="M2043" s="47"/>
      <c r="N2043" s="47"/>
      <c r="O2043" s="47"/>
      <c r="P2043" s="47"/>
      <c r="Q2043" s="47"/>
      <c r="R2043" s="47"/>
    </row>
    <row r="2044" spans="2:18" ht="39.75">
      <c r="B2044" s="16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</row>
    <row r="2045" spans="2:18" ht="58.5">
      <c r="B2045" s="18">
        <f t="shared" ref="B2045" si="245">B2041+1</f>
        <v>511</v>
      </c>
      <c r="D2045" s="36"/>
      <c r="E2045" s="36"/>
      <c r="F2045" s="36"/>
      <c r="G2045" s="36"/>
      <c r="H2045" s="36"/>
      <c r="I2045" s="36"/>
      <c r="J2045" s="36"/>
      <c r="K2045" s="36"/>
      <c r="L2045" s="36"/>
      <c r="M2045" s="36"/>
      <c r="N2045" s="36"/>
      <c r="O2045" s="36"/>
      <c r="P2045" s="36"/>
      <c r="Q2045" s="36"/>
      <c r="R2045" s="36"/>
    </row>
    <row r="2046" spans="2:18" ht="48.75">
      <c r="B2046" s="20"/>
      <c r="D2046" s="73"/>
      <c r="E2046" s="73"/>
      <c r="F2046" s="73"/>
      <c r="G2046" s="73"/>
      <c r="H2046" s="73"/>
      <c r="I2046" s="73"/>
      <c r="J2046" s="73"/>
      <c r="K2046" s="73"/>
      <c r="L2046" s="73"/>
      <c r="M2046" s="73"/>
      <c r="N2046" s="73"/>
      <c r="O2046" s="73"/>
      <c r="P2046" s="73"/>
      <c r="Q2046" s="73"/>
      <c r="R2046" s="73"/>
    </row>
    <row r="2047" spans="2:18">
      <c r="B2047" s="12"/>
      <c r="D2047" s="47"/>
      <c r="E2047" s="47"/>
      <c r="F2047" s="47"/>
      <c r="G2047" s="47"/>
      <c r="H2047" s="47"/>
      <c r="I2047" s="47"/>
      <c r="J2047" s="47"/>
      <c r="K2047" s="47"/>
      <c r="L2047" s="47"/>
      <c r="M2047" s="47"/>
      <c r="N2047" s="47"/>
      <c r="O2047" s="47"/>
      <c r="P2047" s="47"/>
      <c r="Q2047" s="47"/>
      <c r="R2047" s="47"/>
    </row>
    <row r="2048" spans="2:18" ht="39.75">
      <c r="B2048" s="16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</row>
    <row r="2049" spans="2:18" ht="58.5">
      <c r="B2049" s="18">
        <f t="shared" ref="B2049" si="246">B2045+1</f>
        <v>512</v>
      </c>
      <c r="D2049" s="36"/>
      <c r="E2049" s="36"/>
      <c r="F2049" s="36"/>
      <c r="G2049" s="36"/>
      <c r="H2049" s="36"/>
      <c r="I2049" s="36"/>
      <c r="J2049" s="36"/>
      <c r="K2049" s="36"/>
      <c r="L2049" s="36"/>
      <c r="M2049" s="36"/>
      <c r="N2049" s="36"/>
      <c r="O2049" s="36"/>
      <c r="P2049" s="36"/>
      <c r="Q2049" s="36"/>
      <c r="R2049" s="36"/>
    </row>
    <row r="2050" spans="2:18" ht="48.75">
      <c r="B2050" s="20"/>
      <c r="D2050" s="73"/>
      <c r="E2050" s="73"/>
      <c r="F2050" s="73"/>
      <c r="G2050" s="73"/>
      <c r="H2050" s="73"/>
      <c r="I2050" s="73"/>
      <c r="J2050" s="73"/>
      <c r="K2050" s="73"/>
      <c r="L2050" s="73"/>
      <c r="M2050" s="73"/>
      <c r="N2050" s="73"/>
      <c r="O2050" s="73"/>
      <c r="P2050" s="73"/>
      <c r="Q2050" s="73"/>
      <c r="R2050" s="73"/>
    </row>
    <row r="2051" spans="2:18">
      <c r="B2051" s="12"/>
      <c r="D2051" s="47"/>
      <c r="E2051" s="47"/>
      <c r="F2051" s="47"/>
      <c r="G2051" s="47"/>
      <c r="H2051" s="47"/>
      <c r="I2051" s="47"/>
      <c r="J2051" s="47"/>
      <c r="K2051" s="47"/>
      <c r="L2051" s="47"/>
      <c r="M2051" s="47"/>
      <c r="N2051" s="47"/>
      <c r="O2051" s="47"/>
      <c r="P2051" s="47"/>
      <c r="Q2051" s="47"/>
      <c r="R2051" s="47"/>
    </row>
    <row r="2052" spans="2:18" ht="39.75">
      <c r="B2052" s="16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</row>
    <row r="2053" spans="2:18" ht="58.5">
      <c r="B2053" s="18">
        <f t="shared" ref="B2053" si="247">B2049+1</f>
        <v>513</v>
      </c>
      <c r="D2053" s="36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  <c r="O2053" s="36"/>
      <c r="P2053" s="36"/>
      <c r="Q2053" s="36"/>
      <c r="R2053" s="36"/>
    </row>
    <row r="2054" spans="2:18" ht="48.75">
      <c r="B2054" s="20"/>
      <c r="D2054" s="73"/>
      <c r="E2054" s="73"/>
      <c r="F2054" s="73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73"/>
    </row>
    <row r="2055" spans="2:18">
      <c r="B2055" s="12"/>
      <c r="D2055" s="47"/>
      <c r="E2055" s="47"/>
      <c r="F2055" s="47"/>
      <c r="G2055" s="47"/>
      <c r="H2055" s="47"/>
      <c r="I2055" s="47"/>
      <c r="J2055" s="47"/>
      <c r="K2055" s="47"/>
      <c r="L2055" s="47"/>
      <c r="M2055" s="47"/>
      <c r="N2055" s="47"/>
      <c r="O2055" s="47"/>
      <c r="P2055" s="47"/>
      <c r="Q2055" s="47"/>
      <c r="R2055" s="47"/>
    </row>
    <row r="2056" spans="2:18" ht="39.75">
      <c r="B2056" s="16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</row>
    <row r="2057" spans="2:18" ht="58.5">
      <c r="B2057" s="18">
        <f t="shared" ref="B2057" si="248">B2053+1</f>
        <v>514</v>
      </c>
      <c r="D2057" s="36"/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  <c r="O2057" s="36"/>
      <c r="P2057" s="36"/>
      <c r="Q2057" s="36"/>
      <c r="R2057" s="36"/>
    </row>
    <row r="2058" spans="2:18" ht="48.75">
      <c r="B2058" s="20"/>
      <c r="D2058" s="73"/>
      <c r="E2058" s="73"/>
      <c r="F2058" s="73"/>
      <c r="G2058" s="73"/>
      <c r="H2058" s="73"/>
      <c r="I2058" s="73"/>
      <c r="J2058" s="73"/>
      <c r="K2058" s="73"/>
      <c r="L2058" s="73"/>
      <c r="M2058" s="73"/>
      <c r="N2058" s="73"/>
      <c r="O2058" s="73"/>
      <c r="P2058" s="73"/>
      <c r="Q2058" s="73"/>
      <c r="R2058" s="73"/>
    </row>
    <row r="2059" spans="2:18">
      <c r="B2059" s="12"/>
      <c r="D2059" s="47"/>
      <c r="E2059" s="47"/>
      <c r="F2059" s="47"/>
      <c r="G2059" s="47"/>
      <c r="H2059" s="47"/>
      <c r="I2059" s="47"/>
      <c r="J2059" s="47"/>
      <c r="K2059" s="47"/>
      <c r="L2059" s="47"/>
      <c r="M2059" s="47"/>
      <c r="N2059" s="47"/>
      <c r="O2059" s="47"/>
      <c r="P2059" s="47"/>
      <c r="Q2059" s="47"/>
      <c r="R2059" s="47"/>
    </row>
    <row r="2060" spans="2:18" ht="39.75">
      <c r="B2060" s="16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</row>
    <row r="2061" spans="2:18" ht="58.5">
      <c r="B2061" s="18">
        <f t="shared" ref="B2061" si="249">B2057+1</f>
        <v>515</v>
      </c>
      <c r="D2061" s="36"/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  <c r="O2061" s="36"/>
      <c r="P2061" s="36"/>
      <c r="Q2061" s="36"/>
      <c r="R2061" s="36"/>
    </row>
    <row r="2062" spans="2:18" ht="48.75">
      <c r="B2062" s="20"/>
      <c r="D2062" s="73"/>
      <c r="E2062" s="73"/>
      <c r="F2062" s="73"/>
      <c r="G2062" s="73"/>
      <c r="H2062" s="73"/>
      <c r="I2062" s="73"/>
      <c r="J2062" s="73"/>
      <c r="K2062" s="73"/>
      <c r="L2062" s="73"/>
      <c r="M2062" s="73"/>
      <c r="N2062" s="73"/>
      <c r="O2062" s="73"/>
      <c r="P2062" s="73"/>
      <c r="Q2062" s="73"/>
      <c r="R2062" s="73"/>
    </row>
    <row r="2063" spans="2:18">
      <c r="B2063" s="12"/>
      <c r="D2063" s="47"/>
      <c r="E2063" s="47"/>
      <c r="F2063" s="47"/>
      <c r="G2063" s="47"/>
      <c r="H2063" s="47"/>
      <c r="I2063" s="47"/>
      <c r="J2063" s="47"/>
      <c r="K2063" s="47"/>
      <c r="L2063" s="47"/>
      <c r="M2063" s="47"/>
      <c r="N2063" s="47"/>
      <c r="O2063" s="47"/>
      <c r="P2063" s="47"/>
      <c r="Q2063" s="47"/>
      <c r="R2063" s="47"/>
    </row>
    <row r="2064" spans="2:18" ht="39.75">
      <c r="B2064" s="16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</row>
    <row r="2065" spans="2:18" ht="58.5">
      <c r="B2065" s="18">
        <f t="shared" ref="B2065" si="250">B2061+1</f>
        <v>516</v>
      </c>
      <c r="D2065" s="36"/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  <c r="O2065" s="36"/>
      <c r="P2065" s="36"/>
      <c r="Q2065" s="36"/>
      <c r="R2065" s="36"/>
    </row>
    <row r="2066" spans="2:18" ht="48.75">
      <c r="B2066" s="20"/>
      <c r="D2066" s="73"/>
      <c r="E2066" s="73"/>
      <c r="F2066" s="73"/>
      <c r="G2066" s="73"/>
      <c r="H2066" s="73"/>
      <c r="I2066" s="73"/>
      <c r="J2066" s="73"/>
      <c r="K2066" s="73"/>
      <c r="L2066" s="73"/>
      <c r="M2066" s="73"/>
      <c r="N2066" s="73"/>
      <c r="O2066" s="73"/>
      <c r="P2066" s="73"/>
      <c r="Q2066" s="73"/>
      <c r="R2066" s="73"/>
    </row>
    <row r="2067" spans="2:18">
      <c r="B2067" s="12"/>
      <c r="D2067" s="47"/>
      <c r="E2067" s="47"/>
      <c r="F2067" s="47"/>
      <c r="G2067" s="47"/>
      <c r="H2067" s="47"/>
      <c r="I2067" s="47"/>
      <c r="J2067" s="47"/>
      <c r="K2067" s="47"/>
      <c r="L2067" s="47"/>
      <c r="M2067" s="47"/>
      <c r="N2067" s="47"/>
      <c r="O2067" s="47"/>
      <c r="P2067" s="47"/>
      <c r="Q2067" s="47"/>
      <c r="R2067" s="47"/>
    </row>
    <row r="2068" spans="2:18" ht="39.75">
      <c r="B2068" s="16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</row>
    <row r="2069" spans="2:18" ht="58.5">
      <c r="B2069" s="18">
        <f t="shared" ref="B2069" si="251">B2065+1</f>
        <v>517</v>
      </c>
      <c r="D2069" s="36"/>
      <c r="E2069" s="36"/>
      <c r="F2069" s="36"/>
      <c r="G2069" s="36"/>
      <c r="H2069" s="36"/>
      <c r="I2069" s="36"/>
      <c r="J2069" s="36"/>
      <c r="K2069" s="36"/>
      <c r="L2069" s="36"/>
      <c r="M2069" s="36"/>
      <c r="N2069" s="36"/>
      <c r="O2069" s="36"/>
      <c r="P2069" s="36"/>
      <c r="Q2069" s="36"/>
      <c r="R2069" s="36"/>
    </row>
    <row r="2070" spans="2:18" ht="48.75">
      <c r="B2070" s="20"/>
      <c r="D2070" s="73"/>
      <c r="E2070" s="73"/>
      <c r="F2070" s="73"/>
      <c r="G2070" s="73"/>
      <c r="H2070" s="73"/>
      <c r="I2070" s="73"/>
      <c r="J2070" s="73"/>
      <c r="K2070" s="73"/>
      <c r="L2070" s="73"/>
      <c r="M2070" s="73"/>
      <c r="N2070" s="73"/>
      <c r="O2070" s="73"/>
      <c r="P2070" s="73"/>
      <c r="Q2070" s="73"/>
      <c r="R2070" s="73"/>
    </row>
    <row r="2071" spans="2:18">
      <c r="B2071" s="12"/>
      <c r="D2071" s="47"/>
      <c r="E2071" s="47"/>
      <c r="F2071" s="47"/>
      <c r="G2071" s="47"/>
      <c r="H2071" s="47"/>
      <c r="I2071" s="47"/>
      <c r="J2071" s="47"/>
      <c r="K2071" s="47"/>
      <c r="L2071" s="47"/>
      <c r="M2071" s="47"/>
      <c r="N2071" s="47"/>
      <c r="O2071" s="47"/>
      <c r="P2071" s="47"/>
      <c r="Q2071" s="47"/>
      <c r="R2071" s="47"/>
    </row>
    <row r="2072" spans="2:18" ht="39.75">
      <c r="B2072" s="16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</row>
    <row r="2073" spans="2:18" ht="58.5">
      <c r="B2073" s="18">
        <f t="shared" ref="B2073" si="252">B2069+1</f>
        <v>518</v>
      </c>
      <c r="D2073" s="36"/>
      <c r="E2073" s="36"/>
      <c r="F2073" s="36"/>
      <c r="G2073" s="36"/>
      <c r="H2073" s="36"/>
      <c r="I2073" s="36"/>
      <c r="J2073" s="36"/>
      <c r="K2073" s="36"/>
      <c r="L2073" s="36"/>
      <c r="M2073" s="36"/>
      <c r="N2073" s="36"/>
      <c r="O2073" s="36"/>
      <c r="P2073" s="36"/>
      <c r="Q2073" s="36"/>
      <c r="R2073" s="36"/>
    </row>
    <row r="2074" spans="2:18" ht="48.75">
      <c r="B2074" s="20"/>
      <c r="D2074" s="73"/>
      <c r="E2074" s="73"/>
      <c r="F2074" s="73"/>
      <c r="G2074" s="73"/>
      <c r="H2074" s="73"/>
      <c r="I2074" s="73"/>
      <c r="J2074" s="73"/>
      <c r="K2074" s="73"/>
      <c r="L2074" s="73"/>
      <c r="M2074" s="73"/>
      <c r="N2074" s="73"/>
      <c r="O2074" s="73"/>
      <c r="P2074" s="73"/>
      <c r="Q2074" s="73"/>
      <c r="R2074" s="73"/>
    </row>
    <row r="2075" spans="2:18">
      <c r="B2075" s="12"/>
      <c r="D2075" s="47"/>
      <c r="E2075" s="47"/>
      <c r="F2075" s="47"/>
      <c r="G2075" s="47"/>
      <c r="H2075" s="47"/>
      <c r="I2075" s="47"/>
      <c r="J2075" s="47"/>
      <c r="K2075" s="47"/>
      <c r="L2075" s="47"/>
      <c r="M2075" s="47"/>
      <c r="N2075" s="47"/>
      <c r="O2075" s="47"/>
      <c r="P2075" s="47"/>
      <c r="Q2075" s="47"/>
      <c r="R2075" s="47"/>
    </row>
    <row r="2076" spans="2:18" ht="39.75">
      <c r="B2076" s="16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</row>
    <row r="2077" spans="2:18" ht="58.5">
      <c r="B2077" s="18">
        <f t="shared" ref="B2077" si="253">B2073+1</f>
        <v>519</v>
      </c>
      <c r="D2077" s="36"/>
      <c r="E2077" s="36"/>
      <c r="F2077" s="36"/>
      <c r="G2077" s="36"/>
      <c r="H2077" s="36"/>
      <c r="I2077" s="36"/>
      <c r="J2077" s="36"/>
      <c r="K2077" s="36"/>
      <c r="L2077" s="36"/>
      <c r="M2077" s="36"/>
      <c r="N2077" s="36"/>
      <c r="O2077" s="36"/>
      <c r="P2077" s="36"/>
      <c r="Q2077" s="36"/>
      <c r="R2077" s="36"/>
    </row>
    <row r="2078" spans="2:18" ht="48.75">
      <c r="B2078" s="20"/>
      <c r="D2078" s="73"/>
      <c r="E2078" s="73"/>
      <c r="F2078" s="73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73"/>
    </row>
    <row r="2079" spans="2:18">
      <c r="B2079" s="12"/>
      <c r="D2079" s="47"/>
      <c r="E2079" s="47"/>
      <c r="F2079" s="47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</row>
    <row r="2080" spans="2:18" ht="39.75">
      <c r="B2080" s="16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</row>
    <row r="2081" spans="2:18" ht="58.5">
      <c r="B2081" s="18">
        <f t="shared" ref="B2081" si="254">B2077+1</f>
        <v>520</v>
      </c>
      <c r="D2081" s="36"/>
      <c r="E2081" s="36"/>
      <c r="F2081" s="36"/>
      <c r="G2081" s="36"/>
      <c r="H2081" s="36"/>
      <c r="I2081" s="36"/>
      <c r="J2081" s="36"/>
      <c r="K2081" s="36"/>
      <c r="L2081" s="36"/>
      <c r="M2081" s="36"/>
      <c r="N2081" s="36"/>
      <c r="O2081" s="36"/>
      <c r="P2081" s="36"/>
      <c r="Q2081" s="36"/>
      <c r="R2081" s="36"/>
    </row>
    <row r="2082" spans="2:18" ht="48.75">
      <c r="B2082" s="20"/>
      <c r="D2082" s="73"/>
      <c r="E2082" s="73"/>
      <c r="F2082" s="73"/>
      <c r="G2082" s="73"/>
      <c r="H2082" s="73"/>
      <c r="I2082" s="73"/>
      <c r="J2082" s="73"/>
      <c r="K2082" s="73"/>
      <c r="L2082" s="73"/>
      <c r="M2082" s="73"/>
      <c r="N2082" s="73"/>
      <c r="O2082" s="73"/>
      <c r="P2082" s="73"/>
      <c r="Q2082" s="73"/>
      <c r="R2082" s="73"/>
    </row>
    <row r="2083" spans="2:18">
      <c r="B2083" s="12"/>
      <c r="D2083" s="47"/>
      <c r="E2083" s="47"/>
      <c r="F2083" s="47"/>
      <c r="G2083" s="47"/>
      <c r="H2083" s="47"/>
      <c r="I2083" s="47"/>
      <c r="J2083" s="47"/>
      <c r="K2083" s="47"/>
      <c r="L2083" s="47"/>
      <c r="M2083" s="47"/>
      <c r="N2083" s="47"/>
      <c r="O2083" s="47"/>
      <c r="P2083" s="47"/>
      <c r="Q2083" s="47"/>
      <c r="R2083" s="47"/>
    </row>
    <row r="2084" spans="2:18" ht="39.75">
      <c r="B2084" s="16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</row>
    <row r="2085" spans="2:18" ht="58.5">
      <c r="B2085" s="18">
        <f t="shared" ref="B2085" si="255">B2081+1</f>
        <v>521</v>
      </c>
      <c r="D2085" s="36"/>
      <c r="E2085" s="36"/>
      <c r="F2085" s="36"/>
      <c r="G2085" s="36"/>
      <c r="H2085" s="36"/>
      <c r="I2085" s="36"/>
      <c r="J2085" s="36"/>
      <c r="K2085" s="36"/>
      <c r="L2085" s="36"/>
      <c r="M2085" s="36"/>
      <c r="N2085" s="36"/>
      <c r="O2085" s="36"/>
      <c r="P2085" s="36"/>
      <c r="Q2085" s="36"/>
      <c r="R2085" s="36"/>
    </row>
    <row r="2086" spans="2:18" ht="48.75">
      <c r="B2086" s="20"/>
      <c r="D2086" s="73"/>
      <c r="E2086" s="73"/>
      <c r="F2086" s="73"/>
      <c r="G2086" s="73"/>
      <c r="H2086" s="73"/>
      <c r="I2086" s="73"/>
      <c r="J2086" s="73"/>
      <c r="K2086" s="73"/>
      <c r="L2086" s="73"/>
      <c r="M2086" s="73"/>
      <c r="N2086" s="73"/>
      <c r="O2086" s="73"/>
      <c r="P2086" s="73"/>
      <c r="Q2086" s="73"/>
      <c r="R2086" s="73"/>
    </row>
    <row r="2087" spans="2:18">
      <c r="B2087" s="12"/>
      <c r="D2087" s="47"/>
      <c r="E2087" s="47"/>
      <c r="F2087" s="47"/>
      <c r="G2087" s="47"/>
      <c r="H2087" s="47"/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</row>
    <row r="2088" spans="2:18" ht="39.75">
      <c r="B2088" s="16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</row>
    <row r="2089" spans="2:18" ht="58.5">
      <c r="B2089" s="18">
        <f t="shared" ref="B2089" si="256">B2085+1</f>
        <v>522</v>
      </c>
      <c r="D2089" s="36"/>
      <c r="E2089" s="36"/>
      <c r="F2089" s="36"/>
      <c r="G2089" s="36"/>
      <c r="H2089" s="36"/>
      <c r="I2089" s="36"/>
      <c r="J2089" s="36"/>
      <c r="K2089" s="36"/>
      <c r="L2089" s="36"/>
      <c r="M2089" s="36"/>
      <c r="N2089" s="36"/>
      <c r="O2089" s="36"/>
      <c r="P2089" s="36"/>
      <c r="Q2089" s="36"/>
      <c r="R2089" s="36"/>
    </row>
    <row r="2090" spans="2:18" ht="48.75">
      <c r="B2090" s="20"/>
      <c r="D2090" s="73"/>
      <c r="E2090" s="73"/>
      <c r="F2090" s="73"/>
      <c r="G2090" s="73"/>
      <c r="H2090" s="73"/>
      <c r="I2090" s="73"/>
      <c r="J2090" s="73"/>
      <c r="K2090" s="73"/>
      <c r="L2090" s="73"/>
      <c r="M2090" s="73"/>
      <c r="N2090" s="73"/>
      <c r="O2090" s="73"/>
      <c r="P2090" s="73"/>
      <c r="Q2090" s="73"/>
      <c r="R2090" s="73"/>
    </row>
    <row r="2091" spans="2:18">
      <c r="B2091" s="12"/>
      <c r="D2091" s="47"/>
      <c r="E2091" s="47"/>
      <c r="F2091" s="47"/>
      <c r="G2091" s="47"/>
      <c r="H2091" s="47"/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</row>
    <row r="2092" spans="2:18" ht="39.75">
      <c r="B2092" s="16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</row>
    <row r="2093" spans="2:18" ht="58.5">
      <c r="B2093" s="18">
        <f t="shared" ref="B2093" si="257">B2089+1</f>
        <v>523</v>
      </c>
      <c r="D2093" s="36"/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  <c r="O2093" s="36"/>
      <c r="P2093" s="36"/>
      <c r="Q2093" s="36"/>
      <c r="R2093" s="36"/>
    </row>
    <row r="2094" spans="2:18" ht="48.75">
      <c r="B2094" s="20"/>
      <c r="D2094" s="73"/>
      <c r="E2094" s="73"/>
      <c r="F2094" s="73"/>
      <c r="G2094" s="73"/>
      <c r="H2094" s="73"/>
      <c r="I2094" s="73"/>
      <c r="J2094" s="73"/>
      <c r="K2094" s="73"/>
      <c r="L2094" s="73"/>
      <c r="M2094" s="73"/>
      <c r="N2094" s="73"/>
      <c r="O2094" s="73"/>
      <c r="P2094" s="73"/>
      <c r="Q2094" s="73"/>
      <c r="R2094" s="73"/>
    </row>
    <row r="2095" spans="2:18">
      <c r="B2095" s="12"/>
      <c r="D2095" s="47"/>
      <c r="E2095" s="47"/>
      <c r="F2095" s="47"/>
      <c r="G2095" s="47"/>
      <c r="H2095" s="47"/>
      <c r="I2095" s="47"/>
      <c r="J2095" s="47"/>
      <c r="K2095" s="47"/>
      <c r="L2095" s="47"/>
      <c r="M2095" s="47"/>
      <c r="N2095" s="47"/>
      <c r="O2095" s="47"/>
      <c r="P2095" s="47"/>
      <c r="Q2095" s="47"/>
      <c r="R2095" s="47"/>
    </row>
    <row r="2096" spans="2:18" ht="39.75">
      <c r="B2096" s="16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</row>
    <row r="2097" spans="2:18" ht="58.5">
      <c r="B2097" s="18">
        <f t="shared" ref="B2097" si="258">B2093+1</f>
        <v>524</v>
      </c>
      <c r="D2097" s="36"/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  <c r="O2097" s="36"/>
      <c r="P2097" s="36"/>
      <c r="Q2097" s="36"/>
      <c r="R2097" s="36"/>
    </row>
    <row r="2098" spans="2:18" ht="48.75">
      <c r="B2098" s="20"/>
      <c r="D2098" s="73"/>
      <c r="E2098" s="73"/>
      <c r="F2098" s="73"/>
      <c r="G2098" s="73"/>
      <c r="H2098" s="73"/>
      <c r="I2098" s="73"/>
      <c r="J2098" s="73"/>
      <c r="K2098" s="73"/>
      <c r="L2098" s="73"/>
      <c r="M2098" s="73"/>
      <c r="N2098" s="73"/>
      <c r="O2098" s="73"/>
      <c r="P2098" s="73"/>
      <c r="Q2098" s="73"/>
      <c r="R2098" s="73"/>
    </row>
    <row r="2099" spans="2:18">
      <c r="B2099" s="12"/>
      <c r="D2099" s="47"/>
      <c r="E2099" s="47"/>
      <c r="F2099" s="47"/>
      <c r="G2099" s="47"/>
      <c r="H2099" s="47"/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</row>
    <row r="2100" spans="2:18" ht="39.75">
      <c r="B2100" s="16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</row>
    <row r="2101" spans="2:18" ht="58.5">
      <c r="B2101" s="18">
        <f t="shared" ref="B2101" si="259">B2097+1</f>
        <v>525</v>
      </c>
      <c r="D2101" s="36"/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  <c r="O2101" s="36"/>
      <c r="P2101" s="36"/>
      <c r="Q2101" s="36"/>
      <c r="R2101" s="36"/>
    </row>
    <row r="2102" spans="2:18" ht="48.75">
      <c r="B2102" s="20"/>
      <c r="D2102" s="73"/>
      <c r="E2102" s="73"/>
      <c r="F2102" s="73"/>
      <c r="G2102" s="73"/>
      <c r="H2102" s="73"/>
      <c r="I2102" s="73"/>
      <c r="J2102" s="73"/>
      <c r="K2102" s="73"/>
      <c r="L2102" s="73"/>
      <c r="M2102" s="73"/>
      <c r="N2102" s="73"/>
      <c r="O2102" s="73"/>
      <c r="P2102" s="73"/>
      <c r="Q2102" s="73"/>
      <c r="R2102" s="73"/>
    </row>
    <row r="2103" spans="2:18">
      <c r="B2103" s="12"/>
      <c r="D2103" s="47"/>
      <c r="E2103" s="47"/>
      <c r="F2103" s="47"/>
      <c r="G2103" s="47"/>
      <c r="H2103" s="47"/>
      <c r="I2103" s="47"/>
      <c r="J2103" s="47"/>
      <c r="K2103" s="47"/>
      <c r="L2103" s="47"/>
      <c r="M2103" s="47"/>
      <c r="N2103" s="47"/>
      <c r="O2103" s="47"/>
      <c r="P2103" s="47"/>
      <c r="Q2103" s="47"/>
      <c r="R2103" s="47"/>
    </row>
    <row r="2104" spans="2:18" ht="39.75">
      <c r="B2104" s="16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</row>
    <row r="2105" spans="2:18" ht="58.5">
      <c r="B2105" s="18">
        <f t="shared" ref="B2105" si="260">B2101+1</f>
        <v>526</v>
      </c>
      <c r="D2105" s="36"/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  <c r="O2105" s="36"/>
      <c r="P2105" s="36"/>
      <c r="Q2105" s="36"/>
      <c r="R2105" s="36"/>
    </row>
    <row r="2106" spans="2:18" ht="48.75">
      <c r="B2106" s="20"/>
      <c r="D2106" s="73"/>
      <c r="E2106" s="73"/>
      <c r="F2106" s="73"/>
      <c r="G2106" s="73"/>
      <c r="H2106" s="73"/>
      <c r="I2106" s="73"/>
      <c r="J2106" s="73"/>
      <c r="K2106" s="73"/>
      <c r="L2106" s="73"/>
      <c r="M2106" s="73"/>
      <c r="N2106" s="73"/>
      <c r="O2106" s="73"/>
      <c r="P2106" s="73"/>
      <c r="Q2106" s="73"/>
      <c r="R2106" s="73"/>
    </row>
    <row r="2107" spans="2:18">
      <c r="B2107" s="12"/>
      <c r="D2107" s="47"/>
      <c r="E2107" s="47"/>
      <c r="F2107" s="47"/>
      <c r="G2107" s="47"/>
      <c r="H2107" s="47"/>
      <c r="I2107" s="47"/>
      <c r="J2107" s="47"/>
      <c r="K2107" s="47"/>
      <c r="L2107" s="47"/>
      <c r="M2107" s="47"/>
      <c r="N2107" s="47"/>
      <c r="O2107" s="47"/>
      <c r="P2107" s="47"/>
      <c r="Q2107" s="47"/>
      <c r="R2107" s="47"/>
    </row>
    <row r="2108" spans="2:18" ht="39.75">
      <c r="B2108" s="16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</row>
    <row r="2109" spans="2:18" ht="58.5">
      <c r="B2109" s="18">
        <f t="shared" ref="B2109" si="261">B2105+1</f>
        <v>527</v>
      </c>
      <c r="D2109" s="36"/>
      <c r="E2109" s="36"/>
      <c r="F2109" s="36"/>
      <c r="G2109" s="36"/>
      <c r="H2109" s="36"/>
      <c r="I2109" s="36"/>
      <c r="J2109" s="36"/>
      <c r="K2109" s="36"/>
      <c r="L2109" s="36"/>
      <c r="M2109" s="36"/>
      <c r="N2109" s="36"/>
      <c r="O2109" s="36"/>
      <c r="P2109" s="36"/>
      <c r="Q2109" s="36"/>
      <c r="R2109" s="36"/>
    </row>
    <row r="2110" spans="2:18" ht="48.75">
      <c r="B2110" s="20"/>
      <c r="D2110" s="73"/>
      <c r="E2110" s="73"/>
      <c r="F2110" s="73"/>
      <c r="G2110" s="73"/>
      <c r="H2110" s="73"/>
      <c r="I2110" s="73"/>
      <c r="J2110" s="73"/>
      <c r="K2110" s="73"/>
      <c r="L2110" s="73"/>
      <c r="M2110" s="73"/>
      <c r="N2110" s="73"/>
      <c r="O2110" s="73"/>
      <c r="P2110" s="73"/>
      <c r="Q2110" s="73"/>
      <c r="R2110" s="73"/>
    </row>
    <row r="2111" spans="2:18">
      <c r="B2111" s="12"/>
      <c r="D2111" s="47"/>
      <c r="E2111" s="47"/>
      <c r="F2111" s="47"/>
      <c r="G2111" s="47"/>
      <c r="H2111" s="47"/>
      <c r="I2111" s="47"/>
      <c r="J2111" s="47"/>
      <c r="K2111" s="47"/>
      <c r="L2111" s="47"/>
      <c r="M2111" s="47"/>
      <c r="N2111" s="47"/>
      <c r="O2111" s="47"/>
      <c r="P2111" s="47"/>
      <c r="Q2111" s="47"/>
      <c r="R2111" s="47"/>
    </row>
    <row r="2112" spans="2:18" ht="39.75">
      <c r="B2112" s="16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</row>
    <row r="2113" spans="2:18" ht="58.5">
      <c r="B2113" s="18">
        <f t="shared" ref="B2113" si="262">B2109+1</f>
        <v>528</v>
      </c>
      <c r="D2113" s="36"/>
      <c r="E2113" s="36"/>
      <c r="F2113" s="36"/>
      <c r="G2113" s="36"/>
      <c r="H2113" s="36"/>
      <c r="I2113" s="36"/>
      <c r="J2113" s="36"/>
      <c r="K2113" s="36"/>
      <c r="L2113" s="36"/>
      <c r="M2113" s="36"/>
      <c r="N2113" s="36"/>
      <c r="O2113" s="36"/>
      <c r="P2113" s="36"/>
      <c r="Q2113" s="36"/>
      <c r="R2113" s="36"/>
    </row>
    <row r="2114" spans="2:18" ht="48.75">
      <c r="B2114" s="20"/>
      <c r="D2114" s="73"/>
      <c r="E2114" s="73"/>
      <c r="F2114" s="73"/>
      <c r="G2114" s="73"/>
      <c r="H2114" s="73"/>
      <c r="I2114" s="73"/>
      <c r="J2114" s="73"/>
      <c r="K2114" s="73"/>
      <c r="L2114" s="73"/>
      <c r="M2114" s="73"/>
      <c r="N2114" s="73"/>
      <c r="O2114" s="73"/>
      <c r="P2114" s="73"/>
      <c r="Q2114" s="73"/>
      <c r="R2114" s="73"/>
    </row>
    <row r="2115" spans="2:18">
      <c r="B2115" s="12"/>
      <c r="D2115" s="47"/>
      <c r="E2115" s="47"/>
      <c r="F2115" s="47"/>
      <c r="G2115" s="47"/>
      <c r="H2115" s="47"/>
      <c r="I2115" s="47"/>
      <c r="J2115" s="47"/>
      <c r="K2115" s="47"/>
      <c r="L2115" s="47"/>
      <c r="M2115" s="47"/>
      <c r="N2115" s="47"/>
      <c r="O2115" s="47"/>
      <c r="P2115" s="47"/>
      <c r="Q2115" s="47"/>
      <c r="R2115" s="47"/>
    </row>
    <row r="2116" spans="2:18" ht="39.75">
      <c r="B2116" s="16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</row>
    <row r="2117" spans="2:18" ht="58.5">
      <c r="B2117" s="18">
        <f t="shared" ref="B2117" si="263">B2113+1</f>
        <v>529</v>
      </c>
      <c r="D2117" s="36"/>
      <c r="E2117" s="36"/>
      <c r="F2117" s="36"/>
      <c r="G2117" s="36"/>
      <c r="H2117" s="36"/>
      <c r="I2117" s="36"/>
      <c r="J2117" s="36"/>
      <c r="K2117" s="36"/>
      <c r="L2117" s="36"/>
      <c r="M2117" s="36"/>
      <c r="N2117" s="36"/>
      <c r="O2117" s="36"/>
      <c r="P2117" s="36"/>
      <c r="Q2117" s="36"/>
      <c r="R2117" s="36"/>
    </row>
    <row r="2118" spans="2:18" ht="48.75">
      <c r="B2118" s="20"/>
      <c r="D2118" s="73"/>
      <c r="E2118" s="73"/>
      <c r="F2118" s="73"/>
      <c r="G2118" s="73"/>
      <c r="H2118" s="73"/>
      <c r="I2118" s="73"/>
      <c r="J2118" s="73"/>
      <c r="K2118" s="73"/>
      <c r="L2118" s="73"/>
      <c r="M2118" s="73"/>
      <c r="N2118" s="73"/>
      <c r="O2118" s="73"/>
      <c r="P2118" s="73"/>
      <c r="Q2118" s="73"/>
      <c r="R2118" s="73"/>
    </row>
    <row r="2119" spans="2:18">
      <c r="B2119" s="12"/>
      <c r="D2119" s="47"/>
      <c r="E2119" s="47"/>
      <c r="F2119" s="47"/>
      <c r="G2119" s="47"/>
      <c r="H2119" s="47"/>
      <c r="I2119" s="47"/>
      <c r="J2119" s="47"/>
      <c r="K2119" s="47"/>
      <c r="L2119" s="47"/>
      <c r="M2119" s="47"/>
      <c r="N2119" s="47"/>
      <c r="O2119" s="47"/>
      <c r="P2119" s="47"/>
      <c r="Q2119" s="47"/>
      <c r="R2119" s="47"/>
    </row>
    <row r="2120" spans="2:18" ht="39.75">
      <c r="B2120" s="16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</row>
    <row r="2121" spans="2:18" ht="58.5">
      <c r="B2121" s="18">
        <f t="shared" ref="B2121" si="264">B2117+1</f>
        <v>530</v>
      </c>
      <c r="D2121" s="36"/>
      <c r="E2121" s="36"/>
      <c r="F2121" s="36"/>
      <c r="G2121" s="36"/>
      <c r="H2121" s="36"/>
      <c r="I2121" s="36"/>
      <c r="J2121" s="36"/>
      <c r="K2121" s="36"/>
      <c r="L2121" s="36"/>
      <c r="M2121" s="36"/>
      <c r="N2121" s="36"/>
      <c r="O2121" s="36"/>
      <c r="P2121" s="36"/>
      <c r="Q2121" s="36"/>
      <c r="R2121" s="36"/>
    </row>
    <row r="2122" spans="2:18" ht="48.75">
      <c r="B2122" s="20"/>
      <c r="D2122" s="73"/>
      <c r="E2122" s="73"/>
      <c r="F2122" s="73"/>
      <c r="G2122" s="73"/>
      <c r="H2122" s="73"/>
      <c r="I2122" s="73"/>
      <c r="J2122" s="73"/>
      <c r="K2122" s="73"/>
      <c r="L2122" s="73"/>
      <c r="M2122" s="73"/>
      <c r="N2122" s="73"/>
      <c r="O2122" s="73"/>
      <c r="P2122" s="73"/>
      <c r="Q2122" s="73"/>
      <c r="R2122" s="73"/>
    </row>
    <row r="2123" spans="2:18">
      <c r="B2123" s="12"/>
      <c r="D2123" s="47"/>
      <c r="E2123" s="47"/>
      <c r="F2123" s="47"/>
      <c r="G2123" s="47"/>
      <c r="H2123" s="47"/>
      <c r="I2123" s="47"/>
      <c r="J2123" s="47"/>
      <c r="K2123" s="47"/>
      <c r="L2123" s="47"/>
      <c r="M2123" s="47"/>
      <c r="N2123" s="47"/>
      <c r="O2123" s="47"/>
      <c r="P2123" s="47"/>
      <c r="Q2123" s="47"/>
      <c r="R2123" s="47"/>
    </row>
    <row r="2124" spans="2:18" ht="39.75">
      <c r="B2124" s="16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</row>
    <row r="2125" spans="2:18" ht="58.5">
      <c r="B2125" s="18">
        <f t="shared" ref="B2125" si="265">B2121+1</f>
        <v>531</v>
      </c>
      <c r="D2125" s="36"/>
      <c r="E2125" s="36"/>
      <c r="F2125" s="36"/>
      <c r="G2125" s="36"/>
      <c r="H2125" s="36"/>
      <c r="I2125" s="36"/>
      <c r="J2125" s="36"/>
      <c r="K2125" s="36"/>
      <c r="L2125" s="36"/>
      <c r="M2125" s="36"/>
      <c r="N2125" s="36"/>
      <c r="O2125" s="36"/>
      <c r="P2125" s="36"/>
      <c r="Q2125" s="36"/>
      <c r="R2125" s="36"/>
    </row>
    <row r="2126" spans="2:18" ht="48.75">
      <c r="B2126" s="20"/>
      <c r="D2126" s="73"/>
      <c r="E2126" s="73"/>
      <c r="F2126" s="73"/>
      <c r="G2126" s="73"/>
      <c r="H2126" s="73"/>
      <c r="I2126" s="73"/>
      <c r="J2126" s="73"/>
      <c r="K2126" s="73"/>
      <c r="L2126" s="73"/>
      <c r="M2126" s="73"/>
      <c r="N2126" s="73"/>
      <c r="O2126" s="73"/>
      <c r="P2126" s="73"/>
      <c r="Q2126" s="73"/>
      <c r="R2126" s="73"/>
    </row>
    <row r="2127" spans="2:18">
      <c r="B2127" s="12"/>
      <c r="D2127" s="47"/>
      <c r="E2127" s="47"/>
      <c r="F2127" s="47"/>
      <c r="G2127" s="47"/>
      <c r="H2127" s="47"/>
      <c r="I2127" s="47"/>
      <c r="J2127" s="47"/>
      <c r="K2127" s="47"/>
      <c r="L2127" s="47"/>
      <c r="M2127" s="47"/>
      <c r="N2127" s="47"/>
      <c r="O2127" s="47"/>
      <c r="P2127" s="47"/>
      <c r="Q2127" s="47"/>
      <c r="R2127" s="47"/>
    </row>
    <row r="2128" spans="2:18" ht="39.75">
      <c r="B2128" s="16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</row>
    <row r="2129" spans="2:18" ht="58.5">
      <c r="B2129" s="18">
        <f t="shared" ref="B2129" si="266">B2125+1</f>
        <v>532</v>
      </c>
      <c r="D2129" s="36"/>
      <c r="E2129" s="36"/>
      <c r="F2129" s="36"/>
      <c r="G2129" s="36"/>
      <c r="H2129" s="36"/>
      <c r="I2129" s="36"/>
      <c r="J2129" s="36"/>
      <c r="K2129" s="36"/>
      <c r="L2129" s="36"/>
      <c r="M2129" s="36"/>
      <c r="N2129" s="36"/>
      <c r="O2129" s="36"/>
      <c r="P2129" s="36"/>
      <c r="Q2129" s="36"/>
      <c r="R2129" s="36"/>
    </row>
    <row r="2130" spans="2:18" ht="48.75">
      <c r="B2130" s="20"/>
      <c r="D2130" s="73"/>
      <c r="E2130" s="73"/>
      <c r="F2130" s="73"/>
      <c r="G2130" s="73"/>
      <c r="H2130" s="73"/>
      <c r="I2130" s="73"/>
      <c r="J2130" s="73"/>
      <c r="K2130" s="73"/>
      <c r="L2130" s="73"/>
      <c r="M2130" s="73"/>
      <c r="N2130" s="73"/>
      <c r="O2130" s="73"/>
      <c r="P2130" s="73"/>
      <c r="Q2130" s="73"/>
      <c r="R2130" s="73"/>
    </row>
    <row r="2131" spans="2:18">
      <c r="B2131" s="12"/>
      <c r="D2131" s="47"/>
      <c r="E2131" s="47"/>
      <c r="F2131" s="47"/>
      <c r="G2131" s="47"/>
      <c r="H2131" s="47"/>
      <c r="I2131" s="47"/>
      <c r="J2131" s="47"/>
      <c r="K2131" s="47"/>
      <c r="L2131" s="47"/>
      <c r="M2131" s="47"/>
      <c r="N2131" s="47"/>
      <c r="O2131" s="47"/>
      <c r="P2131" s="47"/>
      <c r="Q2131" s="47"/>
      <c r="R2131" s="47"/>
    </row>
    <row r="2132" spans="2:18" ht="39.75">
      <c r="B2132" s="16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</row>
    <row r="2133" spans="2:18" ht="58.5">
      <c r="B2133" s="18">
        <f t="shared" ref="B2133" si="267">B2129+1</f>
        <v>533</v>
      </c>
      <c r="D2133" s="36"/>
      <c r="E2133" s="36"/>
      <c r="F2133" s="36"/>
      <c r="G2133" s="36"/>
      <c r="H2133" s="36"/>
      <c r="I2133" s="36"/>
      <c r="J2133" s="36"/>
      <c r="K2133" s="36"/>
      <c r="L2133" s="36"/>
      <c r="M2133" s="36"/>
      <c r="N2133" s="36"/>
      <c r="O2133" s="36"/>
      <c r="P2133" s="36"/>
      <c r="Q2133" s="36"/>
      <c r="R2133" s="36"/>
    </row>
    <row r="2134" spans="2:18" ht="48.75">
      <c r="B2134" s="20"/>
      <c r="D2134" s="73"/>
      <c r="E2134" s="73"/>
      <c r="F2134" s="73"/>
      <c r="G2134" s="73"/>
      <c r="H2134" s="73"/>
      <c r="I2134" s="73"/>
      <c r="J2134" s="73"/>
      <c r="K2134" s="73"/>
      <c r="L2134" s="73"/>
      <c r="M2134" s="73"/>
      <c r="N2134" s="73"/>
      <c r="O2134" s="73"/>
      <c r="P2134" s="73"/>
      <c r="Q2134" s="73"/>
      <c r="R2134" s="73"/>
    </row>
    <row r="2135" spans="2:18">
      <c r="B2135" s="12"/>
      <c r="D2135" s="47"/>
      <c r="E2135" s="47"/>
      <c r="F2135" s="47"/>
      <c r="G2135" s="47"/>
      <c r="H2135" s="47"/>
      <c r="I2135" s="47"/>
      <c r="J2135" s="47"/>
      <c r="K2135" s="47"/>
      <c r="L2135" s="47"/>
      <c r="M2135" s="47"/>
      <c r="N2135" s="47"/>
      <c r="O2135" s="47"/>
      <c r="P2135" s="47"/>
      <c r="Q2135" s="47"/>
      <c r="R2135" s="47"/>
    </row>
    <row r="2136" spans="2:18" ht="39.75">
      <c r="B2136" s="16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</row>
    <row r="2137" spans="2:18" ht="58.5">
      <c r="B2137" s="18">
        <f t="shared" ref="B2137" si="268">B2133+1</f>
        <v>534</v>
      </c>
      <c r="D2137" s="36"/>
      <c r="E2137" s="36"/>
      <c r="F2137" s="36"/>
      <c r="G2137" s="36"/>
      <c r="H2137" s="36"/>
      <c r="I2137" s="36"/>
      <c r="J2137" s="36"/>
      <c r="K2137" s="36"/>
      <c r="L2137" s="36"/>
      <c r="M2137" s="36"/>
      <c r="N2137" s="36"/>
      <c r="O2137" s="36"/>
      <c r="P2137" s="36"/>
      <c r="Q2137" s="36"/>
      <c r="R2137" s="36"/>
    </row>
    <row r="2138" spans="2:18" ht="48.75">
      <c r="B2138" s="20"/>
      <c r="D2138" s="73"/>
      <c r="E2138" s="73"/>
      <c r="F2138" s="73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73"/>
      <c r="R2138" s="73"/>
    </row>
    <row r="2139" spans="2:18">
      <c r="B2139" s="12"/>
      <c r="D2139" s="47"/>
      <c r="E2139" s="47"/>
      <c r="F2139" s="47"/>
      <c r="G2139" s="47"/>
      <c r="H2139" s="47"/>
      <c r="I2139" s="47"/>
      <c r="J2139" s="47"/>
      <c r="K2139" s="47"/>
      <c r="L2139" s="47"/>
      <c r="M2139" s="47"/>
      <c r="N2139" s="47"/>
      <c r="O2139" s="47"/>
      <c r="P2139" s="47"/>
      <c r="Q2139" s="47"/>
      <c r="R2139" s="47"/>
    </row>
    <row r="2140" spans="2:18" ht="39.75">
      <c r="B2140" s="16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</row>
    <row r="2141" spans="2:18" ht="58.5">
      <c r="B2141" s="18">
        <f t="shared" ref="B2141" si="269">B2137+1</f>
        <v>535</v>
      </c>
      <c r="D2141" s="36"/>
      <c r="E2141" s="36"/>
      <c r="F2141" s="36"/>
      <c r="G2141" s="36"/>
      <c r="H2141" s="36"/>
      <c r="I2141" s="36"/>
      <c r="J2141" s="36"/>
      <c r="K2141" s="36"/>
      <c r="L2141" s="36"/>
      <c r="M2141" s="36"/>
      <c r="N2141" s="36"/>
      <c r="O2141" s="36"/>
      <c r="P2141" s="36"/>
      <c r="Q2141" s="36"/>
      <c r="R2141" s="36"/>
    </row>
    <row r="2142" spans="2:18" ht="48.75">
      <c r="B2142" s="20"/>
      <c r="D2142" s="73"/>
      <c r="E2142" s="73"/>
      <c r="F2142" s="73"/>
      <c r="G2142" s="73"/>
      <c r="H2142" s="73"/>
      <c r="I2142" s="73"/>
      <c r="J2142" s="73"/>
      <c r="K2142" s="73"/>
      <c r="L2142" s="73"/>
      <c r="M2142" s="73"/>
      <c r="N2142" s="73"/>
      <c r="O2142" s="73"/>
      <c r="P2142" s="73"/>
      <c r="Q2142" s="73"/>
      <c r="R2142" s="73"/>
    </row>
    <row r="2143" spans="2:18">
      <c r="B2143" s="12"/>
      <c r="D2143" s="47"/>
      <c r="E2143" s="47"/>
      <c r="F2143" s="47"/>
      <c r="G2143" s="47"/>
      <c r="H2143" s="47"/>
      <c r="I2143" s="47"/>
      <c r="J2143" s="47"/>
      <c r="K2143" s="47"/>
      <c r="L2143" s="47"/>
      <c r="M2143" s="47"/>
      <c r="N2143" s="47"/>
      <c r="O2143" s="47"/>
      <c r="P2143" s="47"/>
      <c r="Q2143" s="47"/>
      <c r="R2143" s="47"/>
    </row>
    <row r="2144" spans="2:18" ht="39.75">
      <c r="B2144" s="1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</row>
    <row r="2145" spans="2:18" ht="58.5">
      <c r="B2145" s="18">
        <f t="shared" ref="B2145" si="270">B2141+1</f>
        <v>536</v>
      </c>
      <c r="D2145" s="36"/>
      <c r="E2145" s="36"/>
      <c r="F2145" s="36"/>
      <c r="G2145" s="36"/>
      <c r="H2145" s="36"/>
      <c r="I2145" s="36"/>
      <c r="J2145" s="36"/>
      <c r="K2145" s="36"/>
      <c r="L2145" s="36"/>
      <c r="M2145" s="36"/>
      <c r="N2145" s="36"/>
      <c r="O2145" s="36"/>
      <c r="P2145" s="36"/>
      <c r="Q2145" s="36"/>
      <c r="R2145" s="36"/>
    </row>
    <row r="2146" spans="2:18" ht="48.75">
      <c r="B2146" s="20"/>
      <c r="D2146" s="73"/>
      <c r="E2146" s="73"/>
      <c r="F2146" s="73"/>
      <c r="G2146" s="73"/>
      <c r="H2146" s="73"/>
      <c r="I2146" s="73"/>
      <c r="J2146" s="73"/>
      <c r="K2146" s="73"/>
      <c r="L2146" s="73"/>
      <c r="M2146" s="73"/>
      <c r="N2146" s="73"/>
      <c r="O2146" s="73"/>
      <c r="P2146" s="73"/>
      <c r="Q2146" s="73"/>
      <c r="R2146" s="73"/>
    </row>
    <row r="2147" spans="2:18">
      <c r="B2147" s="12"/>
      <c r="D2147" s="47"/>
      <c r="E2147" s="47"/>
      <c r="F2147" s="47"/>
      <c r="G2147" s="47"/>
      <c r="H2147" s="47"/>
      <c r="I2147" s="47"/>
      <c r="J2147" s="47"/>
      <c r="K2147" s="47"/>
      <c r="L2147" s="47"/>
      <c r="M2147" s="47"/>
      <c r="N2147" s="47"/>
      <c r="O2147" s="47"/>
      <c r="P2147" s="47"/>
      <c r="Q2147" s="47"/>
      <c r="R2147" s="47"/>
    </row>
    <row r="2148" spans="2:18" ht="39.75">
      <c r="B2148" s="16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</row>
    <row r="2149" spans="2:18" ht="58.5">
      <c r="B2149" s="18">
        <f t="shared" ref="B2149" si="271">B2145+1</f>
        <v>537</v>
      </c>
      <c r="D2149" s="36"/>
      <c r="E2149" s="36"/>
      <c r="F2149" s="36"/>
      <c r="G2149" s="36"/>
      <c r="H2149" s="36"/>
      <c r="I2149" s="36"/>
      <c r="J2149" s="36"/>
      <c r="K2149" s="36"/>
      <c r="L2149" s="36"/>
      <c r="M2149" s="36"/>
      <c r="N2149" s="36"/>
      <c r="O2149" s="36"/>
      <c r="P2149" s="36"/>
      <c r="Q2149" s="36"/>
      <c r="R2149" s="36"/>
    </row>
    <row r="2150" spans="2:18" ht="48.75">
      <c r="B2150" s="20"/>
      <c r="D2150" s="73"/>
      <c r="E2150" s="73"/>
      <c r="F2150" s="73"/>
      <c r="G2150" s="73"/>
      <c r="H2150" s="73"/>
      <c r="I2150" s="73"/>
      <c r="J2150" s="73"/>
      <c r="K2150" s="73"/>
      <c r="L2150" s="73"/>
      <c r="M2150" s="73"/>
      <c r="N2150" s="73"/>
      <c r="O2150" s="73"/>
      <c r="P2150" s="73"/>
      <c r="Q2150" s="73"/>
      <c r="R2150" s="73"/>
    </row>
    <row r="2151" spans="2:18">
      <c r="B2151" s="12"/>
      <c r="D2151" s="47"/>
      <c r="E2151" s="47"/>
      <c r="F2151" s="47"/>
      <c r="G2151" s="47"/>
      <c r="H2151" s="47"/>
      <c r="I2151" s="47"/>
      <c r="J2151" s="47"/>
      <c r="K2151" s="47"/>
      <c r="L2151" s="47"/>
      <c r="M2151" s="47"/>
      <c r="N2151" s="47"/>
      <c r="O2151" s="47"/>
      <c r="P2151" s="47"/>
      <c r="Q2151" s="47"/>
      <c r="R2151" s="47"/>
    </row>
    <row r="2152" spans="2:18" ht="39.75">
      <c r="B2152" s="16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</row>
    <row r="2153" spans="2:18" ht="58.5">
      <c r="B2153" s="18">
        <f t="shared" ref="B2153" si="272">B2149+1</f>
        <v>538</v>
      </c>
      <c r="D2153" s="36"/>
      <c r="E2153" s="36"/>
      <c r="F2153" s="36"/>
      <c r="G2153" s="36"/>
      <c r="H2153" s="36"/>
      <c r="I2153" s="36"/>
      <c r="J2153" s="36"/>
      <c r="K2153" s="36"/>
      <c r="L2153" s="36"/>
      <c r="M2153" s="36"/>
      <c r="N2153" s="36"/>
      <c r="O2153" s="36"/>
      <c r="P2153" s="36"/>
      <c r="Q2153" s="36"/>
      <c r="R2153" s="36"/>
    </row>
    <row r="2154" spans="2:18" ht="48.75">
      <c r="B2154" s="20"/>
      <c r="D2154" s="73"/>
      <c r="E2154" s="73"/>
      <c r="F2154" s="73"/>
      <c r="G2154" s="73"/>
      <c r="H2154" s="73"/>
      <c r="I2154" s="73"/>
      <c r="J2154" s="73"/>
      <c r="K2154" s="73"/>
      <c r="L2154" s="73"/>
      <c r="M2154" s="73"/>
      <c r="N2154" s="73"/>
      <c r="O2154" s="73"/>
      <c r="P2154" s="73"/>
      <c r="Q2154" s="73"/>
      <c r="R2154" s="73"/>
    </row>
    <row r="2155" spans="2:18">
      <c r="B2155" s="12"/>
      <c r="D2155" s="47"/>
      <c r="E2155" s="47"/>
      <c r="F2155" s="47"/>
      <c r="G2155" s="47"/>
      <c r="H2155" s="47"/>
      <c r="I2155" s="47"/>
      <c r="J2155" s="47"/>
      <c r="K2155" s="47"/>
      <c r="L2155" s="47"/>
      <c r="M2155" s="47"/>
      <c r="N2155" s="47"/>
      <c r="O2155" s="47"/>
      <c r="P2155" s="47"/>
      <c r="Q2155" s="47"/>
      <c r="R2155" s="47"/>
    </row>
    <row r="2156" spans="2:18" ht="39.75">
      <c r="B2156" s="16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</row>
    <row r="2157" spans="2:18" ht="58.5">
      <c r="B2157" s="18">
        <f t="shared" ref="B2157" si="273">B2153+1</f>
        <v>539</v>
      </c>
      <c r="D2157" s="36"/>
      <c r="E2157" s="36"/>
      <c r="F2157" s="36"/>
      <c r="G2157" s="36"/>
      <c r="H2157" s="36"/>
      <c r="I2157" s="36"/>
      <c r="J2157" s="36"/>
      <c r="K2157" s="36"/>
      <c r="L2157" s="36"/>
      <c r="M2157" s="36"/>
      <c r="N2157" s="36"/>
      <c r="O2157" s="36"/>
      <c r="P2157" s="36"/>
      <c r="Q2157" s="36"/>
      <c r="R2157" s="36"/>
    </row>
    <row r="2158" spans="2:18" ht="48.75">
      <c r="B2158" s="20"/>
      <c r="D2158" s="73"/>
      <c r="E2158" s="73"/>
      <c r="F2158" s="73"/>
      <c r="G2158" s="73"/>
      <c r="H2158" s="73"/>
      <c r="I2158" s="73"/>
      <c r="J2158" s="73"/>
      <c r="K2158" s="73"/>
      <c r="L2158" s="73"/>
      <c r="M2158" s="73"/>
      <c r="N2158" s="73"/>
      <c r="O2158" s="73"/>
      <c r="P2158" s="73"/>
      <c r="Q2158" s="73"/>
      <c r="R2158" s="73"/>
    </row>
    <row r="2159" spans="2:18">
      <c r="B2159" s="12"/>
      <c r="D2159" s="47"/>
      <c r="E2159" s="47"/>
      <c r="F2159" s="47"/>
      <c r="G2159" s="47"/>
      <c r="H2159" s="47"/>
      <c r="I2159" s="47"/>
      <c r="J2159" s="47"/>
      <c r="K2159" s="47"/>
      <c r="L2159" s="47"/>
      <c r="M2159" s="47"/>
      <c r="N2159" s="47"/>
      <c r="O2159" s="47"/>
      <c r="P2159" s="47"/>
      <c r="Q2159" s="47"/>
      <c r="R2159" s="47"/>
    </row>
    <row r="2160" spans="2:18" ht="39.75">
      <c r="B2160" s="16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</row>
    <row r="2161" spans="2:18" ht="58.5">
      <c r="B2161" s="18">
        <f t="shared" ref="B2161" si="274">B2157+1</f>
        <v>540</v>
      </c>
      <c r="D2161" s="36"/>
      <c r="E2161" s="36"/>
      <c r="F2161" s="36"/>
      <c r="G2161" s="36"/>
      <c r="H2161" s="36"/>
      <c r="I2161" s="36"/>
      <c r="J2161" s="36"/>
      <c r="K2161" s="36"/>
      <c r="L2161" s="36"/>
      <c r="M2161" s="36"/>
      <c r="N2161" s="36"/>
      <c r="O2161" s="36"/>
      <c r="P2161" s="36"/>
      <c r="Q2161" s="36"/>
      <c r="R2161" s="36"/>
    </row>
    <row r="2162" spans="2:18" ht="48.75">
      <c r="B2162" s="20"/>
      <c r="D2162" s="73"/>
      <c r="E2162" s="73"/>
      <c r="F2162" s="73"/>
      <c r="G2162" s="73"/>
      <c r="H2162" s="73"/>
      <c r="I2162" s="73"/>
      <c r="J2162" s="73"/>
      <c r="K2162" s="73"/>
      <c r="L2162" s="73"/>
      <c r="M2162" s="73"/>
      <c r="N2162" s="73"/>
      <c r="O2162" s="73"/>
      <c r="P2162" s="73"/>
      <c r="Q2162" s="73"/>
      <c r="R2162" s="73"/>
    </row>
    <row r="2163" spans="2:18">
      <c r="B2163" s="12"/>
      <c r="D2163" s="47"/>
      <c r="E2163" s="47"/>
      <c r="F2163" s="47"/>
      <c r="G2163" s="47"/>
      <c r="H2163" s="47"/>
      <c r="I2163" s="47"/>
      <c r="J2163" s="47"/>
      <c r="K2163" s="47"/>
      <c r="L2163" s="47"/>
      <c r="M2163" s="47"/>
      <c r="N2163" s="47"/>
      <c r="O2163" s="47"/>
      <c r="P2163" s="47"/>
      <c r="Q2163" s="47"/>
      <c r="R2163" s="47"/>
    </row>
    <row r="2164" spans="2:18" ht="39.75">
      <c r="B2164" s="1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</row>
    <row r="2165" spans="2:18" ht="58.5">
      <c r="B2165" s="18">
        <f t="shared" ref="B2165" si="275">B2161+1</f>
        <v>541</v>
      </c>
      <c r="D2165" s="36"/>
      <c r="E2165" s="36"/>
      <c r="F2165" s="36"/>
      <c r="G2165" s="36"/>
      <c r="H2165" s="36"/>
      <c r="I2165" s="36"/>
      <c r="J2165" s="36"/>
      <c r="K2165" s="36"/>
      <c r="L2165" s="36"/>
      <c r="M2165" s="36"/>
      <c r="N2165" s="36"/>
      <c r="O2165" s="36"/>
      <c r="P2165" s="36"/>
      <c r="Q2165" s="36"/>
      <c r="R2165" s="36"/>
    </row>
    <row r="2166" spans="2:18" ht="48.75">
      <c r="B2166" s="20"/>
      <c r="D2166" s="73"/>
      <c r="E2166" s="73"/>
      <c r="F2166" s="73"/>
      <c r="G2166" s="73"/>
      <c r="H2166" s="73"/>
      <c r="I2166" s="73"/>
      <c r="J2166" s="73"/>
      <c r="K2166" s="73"/>
      <c r="L2166" s="73"/>
      <c r="M2166" s="73"/>
      <c r="N2166" s="73"/>
      <c r="O2166" s="73"/>
      <c r="P2166" s="73"/>
      <c r="Q2166" s="73"/>
      <c r="R2166" s="73"/>
    </row>
    <row r="2167" spans="2:18">
      <c r="B2167" s="12"/>
      <c r="D2167" s="47"/>
      <c r="E2167" s="47"/>
      <c r="F2167" s="47"/>
      <c r="G2167" s="47"/>
      <c r="H2167" s="47"/>
      <c r="I2167" s="47"/>
      <c r="J2167" s="47"/>
      <c r="K2167" s="47"/>
      <c r="L2167" s="47"/>
      <c r="M2167" s="47"/>
      <c r="N2167" s="47"/>
      <c r="O2167" s="47"/>
      <c r="P2167" s="47"/>
      <c r="Q2167" s="47"/>
      <c r="R2167" s="47"/>
    </row>
    <row r="2168" spans="2:18" ht="39.75">
      <c r="B2168" s="16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</row>
    <row r="2169" spans="2:18" ht="58.5">
      <c r="B2169" s="18">
        <f t="shared" ref="B2169" si="276">B2165+1</f>
        <v>542</v>
      </c>
      <c r="D2169" s="36"/>
      <c r="E2169" s="36"/>
      <c r="F2169" s="36"/>
      <c r="G2169" s="36"/>
      <c r="H2169" s="36"/>
      <c r="I2169" s="36"/>
      <c r="J2169" s="36"/>
      <c r="K2169" s="36"/>
      <c r="L2169" s="36"/>
      <c r="M2169" s="36"/>
      <c r="N2169" s="36"/>
      <c r="O2169" s="36"/>
      <c r="P2169" s="36"/>
      <c r="Q2169" s="36"/>
      <c r="R2169" s="36"/>
    </row>
    <row r="2170" spans="2:18" ht="48.75">
      <c r="B2170" s="20"/>
      <c r="D2170" s="73"/>
      <c r="E2170" s="73"/>
      <c r="F2170" s="73"/>
      <c r="G2170" s="73"/>
      <c r="H2170" s="73"/>
      <c r="I2170" s="73"/>
      <c r="J2170" s="73"/>
      <c r="K2170" s="73"/>
      <c r="L2170" s="73"/>
      <c r="M2170" s="73"/>
      <c r="N2170" s="73"/>
      <c r="O2170" s="73"/>
      <c r="P2170" s="73"/>
      <c r="Q2170" s="73"/>
      <c r="R2170" s="73"/>
    </row>
    <row r="2171" spans="2:18">
      <c r="B2171" s="12"/>
      <c r="D2171" s="47"/>
      <c r="E2171" s="47"/>
      <c r="F2171" s="47"/>
      <c r="G2171" s="47"/>
      <c r="H2171" s="47"/>
      <c r="I2171" s="47"/>
      <c r="J2171" s="47"/>
      <c r="K2171" s="47"/>
      <c r="L2171" s="47"/>
      <c r="M2171" s="47"/>
      <c r="N2171" s="47"/>
      <c r="O2171" s="47"/>
      <c r="P2171" s="47"/>
      <c r="Q2171" s="47"/>
      <c r="R2171" s="47"/>
    </row>
    <row r="2172" spans="2:18" ht="39.75">
      <c r="B2172" s="16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</row>
    <row r="2173" spans="2:18" ht="58.5">
      <c r="B2173" s="18">
        <f t="shared" ref="B2173" si="277">B2169+1</f>
        <v>543</v>
      </c>
      <c r="D2173" s="36"/>
      <c r="E2173" s="36"/>
      <c r="F2173" s="36"/>
      <c r="G2173" s="36"/>
      <c r="H2173" s="36"/>
      <c r="I2173" s="36"/>
      <c r="J2173" s="36"/>
      <c r="K2173" s="36"/>
      <c r="L2173" s="36"/>
      <c r="M2173" s="36"/>
      <c r="N2173" s="36"/>
      <c r="O2173" s="36"/>
      <c r="P2173" s="36"/>
      <c r="Q2173" s="36"/>
      <c r="R2173" s="36"/>
    </row>
    <row r="2174" spans="2:18" ht="48.75">
      <c r="B2174" s="20"/>
      <c r="D2174" s="73"/>
      <c r="E2174" s="73"/>
      <c r="F2174" s="73"/>
      <c r="G2174" s="73"/>
      <c r="H2174" s="73"/>
      <c r="I2174" s="73"/>
      <c r="J2174" s="73"/>
      <c r="K2174" s="73"/>
      <c r="L2174" s="73"/>
      <c r="M2174" s="73"/>
      <c r="N2174" s="73"/>
      <c r="O2174" s="73"/>
      <c r="P2174" s="73"/>
      <c r="Q2174" s="73"/>
      <c r="R2174" s="73"/>
    </row>
    <row r="2175" spans="2:18">
      <c r="B2175" s="12"/>
      <c r="D2175" s="47"/>
      <c r="E2175" s="47"/>
      <c r="F2175" s="47"/>
      <c r="G2175" s="47"/>
      <c r="H2175" s="47"/>
      <c r="I2175" s="47"/>
      <c r="J2175" s="47"/>
      <c r="K2175" s="47"/>
      <c r="L2175" s="47"/>
      <c r="M2175" s="47"/>
      <c r="N2175" s="47"/>
      <c r="O2175" s="47"/>
      <c r="P2175" s="47"/>
      <c r="Q2175" s="47"/>
      <c r="R2175" s="47"/>
    </row>
    <row r="2176" spans="2:18" ht="39.75">
      <c r="B2176" s="16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</row>
    <row r="2177" spans="2:18" ht="58.5">
      <c r="B2177" s="18">
        <f t="shared" ref="B2177" si="278">B2173+1</f>
        <v>544</v>
      </c>
      <c r="D2177" s="36"/>
      <c r="E2177" s="36"/>
      <c r="F2177" s="36"/>
      <c r="G2177" s="36"/>
      <c r="H2177" s="36"/>
      <c r="I2177" s="36"/>
      <c r="J2177" s="36"/>
      <c r="K2177" s="36"/>
      <c r="L2177" s="36"/>
      <c r="M2177" s="36"/>
      <c r="N2177" s="36"/>
      <c r="O2177" s="36"/>
      <c r="P2177" s="36"/>
      <c r="Q2177" s="36"/>
      <c r="R2177" s="36"/>
    </row>
    <row r="2178" spans="2:18" ht="48.75">
      <c r="B2178" s="20"/>
      <c r="D2178" s="73"/>
      <c r="E2178" s="73"/>
      <c r="F2178" s="73"/>
      <c r="G2178" s="73"/>
      <c r="H2178" s="73"/>
      <c r="I2178" s="73"/>
      <c r="J2178" s="73"/>
      <c r="K2178" s="73"/>
      <c r="L2178" s="73"/>
      <c r="M2178" s="73"/>
      <c r="N2178" s="73"/>
      <c r="O2178" s="73"/>
      <c r="P2178" s="73"/>
      <c r="Q2178" s="73"/>
      <c r="R2178" s="73"/>
    </row>
    <row r="2179" spans="2:18">
      <c r="B2179" s="12"/>
      <c r="D2179" s="47"/>
      <c r="E2179" s="47"/>
      <c r="F2179" s="47"/>
      <c r="G2179" s="47"/>
      <c r="H2179" s="47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</row>
    <row r="2180" spans="2:18" ht="39.75">
      <c r="B2180" s="16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</row>
    <row r="2181" spans="2:18" ht="58.5">
      <c r="B2181" s="18">
        <f t="shared" ref="B2181" si="279">B2177+1</f>
        <v>545</v>
      </c>
      <c r="D2181" s="36"/>
      <c r="E2181" s="36"/>
      <c r="F2181" s="36"/>
      <c r="G2181" s="36"/>
      <c r="H2181" s="36"/>
      <c r="I2181" s="36"/>
      <c r="J2181" s="36"/>
      <c r="K2181" s="36"/>
      <c r="L2181" s="36"/>
      <c r="M2181" s="36"/>
      <c r="N2181" s="36"/>
      <c r="O2181" s="36"/>
      <c r="P2181" s="36"/>
      <c r="Q2181" s="36"/>
      <c r="R2181" s="36"/>
    </row>
    <row r="2182" spans="2:18" ht="48.75">
      <c r="B2182" s="20"/>
      <c r="D2182" s="73"/>
      <c r="E2182" s="73"/>
      <c r="F2182" s="73"/>
      <c r="G2182" s="73"/>
      <c r="H2182" s="73"/>
      <c r="I2182" s="73"/>
      <c r="J2182" s="73"/>
      <c r="K2182" s="73"/>
      <c r="L2182" s="73"/>
      <c r="M2182" s="73"/>
      <c r="N2182" s="73"/>
      <c r="O2182" s="73"/>
      <c r="P2182" s="73"/>
      <c r="Q2182" s="73"/>
      <c r="R2182" s="73"/>
    </row>
    <row r="2183" spans="2:18">
      <c r="B2183" s="12"/>
      <c r="D2183" s="47"/>
      <c r="E2183" s="47"/>
      <c r="F2183" s="47"/>
      <c r="G2183" s="47"/>
      <c r="H2183" s="47"/>
      <c r="I2183" s="47"/>
      <c r="J2183" s="47"/>
      <c r="K2183" s="47"/>
      <c r="L2183" s="47"/>
      <c r="M2183" s="47"/>
      <c r="N2183" s="47"/>
      <c r="O2183" s="47"/>
      <c r="P2183" s="47"/>
      <c r="Q2183" s="47"/>
      <c r="R2183" s="47"/>
    </row>
    <row r="2184" spans="2:18" ht="39.75">
      <c r="B2184" s="16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</row>
    <row r="2185" spans="2:18" ht="58.5">
      <c r="B2185" s="18">
        <f t="shared" ref="B2185" si="280">B2181+1</f>
        <v>546</v>
      </c>
      <c r="D2185" s="36"/>
      <c r="E2185" s="36"/>
      <c r="F2185" s="36"/>
      <c r="G2185" s="36"/>
      <c r="H2185" s="36"/>
      <c r="I2185" s="36"/>
      <c r="J2185" s="36"/>
      <c r="K2185" s="36"/>
      <c r="L2185" s="36"/>
      <c r="M2185" s="36"/>
      <c r="N2185" s="36"/>
      <c r="O2185" s="36"/>
      <c r="P2185" s="36"/>
      <c r="Q2185" s="36"/>
      <c r="R2185" s="36"/>
    </row>
    <row r="2186" spans="2:18" ht="48.75">
      <c r="B2186" s="20"/>
      <c r="D2186" s="73"/>
      <c r="E2186" s="73"/>
      <c r="F2186" s="73"/>
      <c r="G2186" s="73"/>
      <c r="H2186" s="73"/>
      <c r="I2186" s="73"/>
      <c r="J2186" s="73"/>
      <c r="K2186" s="73"/>
      <c r="L2186" s="73"/>
      <c r="M2186" s="73"/>
      <c r="N2186" s="73"/>
      <c r="O2186" s="73"/>
      <c r="P2186" s="73"/>
      <c r="Q2186" s="73"/>
      <c r="R2186" s="73"/>
    </row>
    <row r="2187" spans="2:18">
      <c r="B2187" s="12"/>
      <c r="D2187" s="47"/>
      <c r="E2187" s="47"/>
      <c r="F2187" s="47"/>
      <c r="G2187" s="47"/>
      <c r="H2187" s="47"/>
      <c r="I2187" s="47"/>
      <c r="J2187" s="47"/>
      <c r="K2187" s="47"/>
      <c r="L2187" s="47"/>
      <c r="M2187" s="47"/>
      <c r="N2187" s="47"/>
      <c r="O2187" s="47"/>
      <c r="P2187" s="47"/>
      <c r="Q2187" s="47"/>
      <c r="R2187" s="47"/>
    </row>
    <row r="2188" spans="2:18" ht="39.75">
      <c r="B2188" s="16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</row>
    <row r="2189" spans="2:18" ht="58.5">
      <c r="B2189" s="18">
        <f t="shared" ref="B2189" si="281">B2185+1</f>
        <v>547</v>
      </c>
      <c r="D2189" s="36"/>
      <c r="E2189" s="36"/>
      <c r="F2189" s="36"/>
      <c r="G2189" s="36"/>
      <c r="H2189" s="36"/>
      <c r="I2189" s="36"/>
      <c r="J2189" s="36"/>
      <c r="K2189" s="36"/>
      <c r="L2189" s="36"/>
      <c r="M2189" s="36"/>
      <c r="N2189" s="36"/>
      <c r="O2189" s="36"/>
      <c r="P2189" s="36"/>
      <c r="Q2189" s="36"/>
      <c r="R2189" s="36"/>
    </row>
    <row r="2190" spans="2:18" ht="48.75">
      <c r="B2190" s="20"/>
      <c r="D2190" s="73"/>
      <c r="E2190" s="73"/>
      <c r="F2190" s="73"/>
      <c r="G2190" s="73"/>
      <c r="H2190" s="73"/>
      <c r="I2190" s="73"/>
      <c r="J2190" s="73"/>
      <c r="K2190" s="73"/>
      <c r="L2190" s="73"/>
      <c r="M2190" s="73"/>
      <c r="N2190" s="73"/>
      <c r="O2190" s="73"/>
      <c r="P2190" s="73"/>
      <c r="Q2190" s="73"/>
      <c r="R2190" s="73"/>
    </row>
    <row r="2191" spans="2:18">
      <c r="B2191" s="12"/>
      <c r="D2191" s="47"/>
      <c r="E2191" s="47"/>
      <c r="F2191" s="47"/>
      <c r="G2191" s="47"/>
      <c r="H2191" s="47"/>
      <c r="I2191" s="47"/>
      <c r="J2191" s="47"/>
      <c r="K2191" s="47"/>
      <c r="L2191" s="47"/>
      <c r="M2191" s="47"/>
      <c r="N2191" s="47"/>
      <c r="O2191" s="47"/>
      <c r="P2191" s="47"/>
      <c r="Q2191" s="47"/>
      <c r="R2191" s="47"/>
    </row>
    <row r="2192" spans="2:18" ht="39.75">
      <c r="B2192" s="16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</row>
    <row r="2193" spans="2:18" ht="58.5">
      <c r="B2193" s="18">
        <f t="shared" ref="B2193" si="282">B2189+1</f>
        <v>548</v>
      </c>
      <c r="D2193" s="36"/>
      <c r="E2193" s="36"/>
      <c r="F2193" s="36"/>
      <c r="G2193" s="36"/>
      <c r="H2193" s="36"/>
      <c r="I2193" s="36"/>
      <c r="J2193" s="36"/>
      <c r="K2193" s="36"/>
      <c r="L2193" s="36"/>
      <c r="M2193" s="36"/>
      <c r="N2193" s="36"/>
      <c r="O2193" s="36"/>
      <c r="P2193" s="36"/>
      <c r="Q2193" s="36"/>
      <c r="R2193" s="36"/>
    </row>
    <row r="2194" spans="2:18" ht="48.75">
      <c r="B2194" s="20"/>
      <c r="D2194" s="73"/>
      <c r="E2194" s="73"/>
      <c r="F2194" s="73"/>
      <c r="G2194" s="73"/>
      <c r="H2194" s="73"/>
      <c r="I2194" s="73"/>
      <c r="J2194" s="73"/>
      <c r="K2194" s="73"/>
      <c r="L2194" s="73"/>
      <c r="M2194" s="73"/>
      <c r="N2194" s="73"/>
      <c r="O2194" s="73"/>
      <c r="P2194" s="73"/>
      <c r="Q2194" s="73"/>
      <c r="R2194" s="73"/>
    </row>
    <row r="2195" spans="2:18">
      <c r="B2195" s="12"/>
      <c r="D2195" s="47"/>
      <c r="E2195" s="47"/>
      <c r="F2195" s="47"/>
      <c r="G2195" s="47"/>
      <c r="H2195" s="47"/>
      <c r="I2195" s="47"/>
      <c r="J2195" s="47"/>
      <c r="K2195" s="47"/>
      <c r="L2195" s="47"/>
      <c r="M2195" s="47"/>
      <c r="N2195" s="47"/>
      <c r="O2195" s="47"/>
      <c r="P2195" s="47"/>
      <c r="Q2195" s="47"/>
      <c r="R2195" s="47"/>
    </row>
    <row r="2196" spans="2:18" ht="39.75">
      <c r="B2196" s="16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</row>
    <row r="2197" spans="2:18" ht="58.5">
      <c r="B2197" s="18">
        <f t="shared" ref="B2197" si="283">B2193+1</f>
        <v>549</v>
      </c>
      <c r="D2197" s="36"/>
      <c r="E2197" s="36"/>
      <c r="F2197" s="36"/>
      <c r="G2197" s="36"/>
      <c r="H2197" s="36"/>
      <c r="I2197" s="36"/>
      <c r="J2197" s="36"/>
      <c r="K2197" s="36"/>
      <c r="L2197" s="36"/>
      <c r="M2197" s="36"/>
      <c r="N2197" s="36"/>
      <c r="O2197" s="36"/>
      <c r="P2197" s="36"/>
      <c r="Q2197" s="36"/>
      <c r="R2197" s="36"/>
    </row>
    <row r="2198" spans="2:18" ht="48.75">
      <c r="B2198" s="20"/>
      <c r="D2198" s="73"/>
      <c r="E2198" s="73"/>
      <c r="F2198" s="73"/>
      <c r="G2198" s="73"/>
      <c r="H2198" s="73"/>
      <c r="I2198" s="73"/>
      <c r="J2198" s="73"/>
      <c r="K2198" s="73"/>
      <c r="L2198" s="73"/>
      <c r="M2198" s="73"/>
      <c r="N2198" s="73"/>
      <c r="O2198" s="73"/>
      <c r="P2198" s="73"/>
      <c r="Q2198" s="73"/>
      <c r="R2198" s="73"/>
    </row>
    <row r="2199" spans="2:18">
      <c r="B2199" s="12"/>
      <c r="D2199" s="47"/>
      <c r="E2199" s="47"/>
      <c r="F2199" s="47"/>
      <c r="G2199" s="47"/>
      <c r="H2199" s="47"/>
      <c r="I2199" s="47"/>
      <c r="J2199" s="47"/>
      <c r="K2199" s="47"/>
      <c r="L2199" s="47"/>
      <c r="M2199" s="47"/>
      <c r="N2199" s="47"/>
      <c r="O2199" s="47"/>
      <c r="P2199" s="47"/>
      <c r="Q2199" s="47"/>
      <c r="R2199" s="47"/>
    </row>
    <row r="2200" spans="2:18" ht="39.75">
      <c r="B2200" s="16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</row>
    <row r="2201" spans="2:18" ht="58.5">
      <c r="B2201" s="18">
        <f t="shared" ref="B2201" si="284">B2197+1</f>
        <v>550</v>
      </c>
      <c r="D2201" s="36"/>
      <c r="E2201" s="36"/>
      <c r="F2201" s="36"/>
      <c r="G2201" s="36"/>
      <c r="H2201" s="36"/>
      <c r="I2201" s="36"/>
      <c r="J2201" s="36"/>
      <c r="K2201" s="36"/>
      <c r="L2201" s="36"/>
      <c r="M2201" s="36"/>
      <c r="N2201" s="36"/>
      <c r="O2201" s="36"/>
      <c r="P2201" s="36"/>
      <c r="Q2201" s="36"/>
      <c r="R2201" s="36"/>
    </row>
    <row r="2202" spans="2:18" ht="48.75">
      <c r="B2202" s="20"/>
      <c r="D2202" s="73"/>
      <c r="E2202" s="73"/>
      <c r="F2202" s="73"/>
      <c r="G2202" s="73"/>
      <c r="H2202" s="73"/>
      <c r="I2202" s="73"/>
      <c r="J2202" s="73"/>
      <c r="K2202" s="73"/>
      <c r="L2202" s="73"/>
      <c r="M2202" s="73"/>
      <c r="N2202" s="73"/>
      <c r="O2202" s="73"/>
      <c r="P2202" s="73"/>
      <c r="Q2202" s="73"/>
      <c r="R2202" s="73"/>
    </row>
    <row r="2203" spans="2:18">
      <c r="B2203" s="12"/>
      <c r="D2203" s="47"/>
      <c r="E2203" s="47"/>
      <c r="F2203" s="47"/>
      <c r="G2203" s="47"/>
      <c r="H2203" s="47"/>
      <c r="I2203" s="47"/>
      <c r="J2203" s="47"/>
      <c r="K2203" s="47"/>
      <c r="L2203" s="47"/>
      <c r="M2203" s="47"/>
      <c r="N2203" s="47"/>
      <c r="O2203" s="47"/>
      <c r="P2203" s="47"/>
      <c r="Q2203" s="47"/>
      <c r="R2203" s="47"/>
    </row>
    <row r="2204" spans="2:18" ht="39.75">
      <c r="B2204" s="16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</row>
    <row r="2205" spans="2:18" ht="58.5">
      <c r="B2205" s="18">
        <f t="shared" ref="B2205" si="285">B2201+1</f>
        <v>551</v>
      </c>
      <c r="D2205" s="36"/>
      <c r="E2205" s="36"/>
      <c r="F2205" s="36"/>
      <c r="G2205" s="36"/>
      <c r="H2205" s="36"/>
      <c r="I2205" s="36"/>
      <c r="J2205" s="36"/>
      <c r="K2205" s="36"/>
      <c r="L2205" s="36"/>
      <c r="M2205" s="36"/>
      <c r="N2205" s="36"/>
      <c r="O2205" s="36"/>
      <c r="P2205" s="36"/>
      <c r="Q2205" s="36"/>
      <c r="R2205" s="36"/>
    </row>
    <row r="2206" spans="2:18" ht="48.75">
      <c r="B2206" s="20"/>
      <c r="D2206" s="73"/>
      <c r="E2206" s="73"/>
      <c r="F2206" s="73"/>
      <c r="G2206" s="73"/>
      <c r="H2206" s="73"/>
      <c r="I2206" s="73"/>
      <c r="J2206" s="73"/>
      <c r="K2206" s="73"/>
      <c r="L2206" s="73"/>
      <c r="M2206" s="73"/>
      <c r="N2206" s="73"/>
      <c r="O2206" s="73"/>
      <c r="P2206" s="73"/>
      <c r="Q2206" s="73"/>
      <c r="R2206" s="73"/>
    </row>
    <row r="2207" spans="2:18">
      <c r="B2207" s="12"/>
      <c r="D2207" s="47"/>
      <c r="E2207" s="47"/>
      <c r="F2207" s="47"/>
      <c r="G2207" s="47"/>
      <c r="H2207" s="47"/>
      <c r="I2207" s="47"/>
      <c r="J2207" s="47"/>
      <c r="K2207" s="47"/>
      <c r="L2207" s="47"/>
      <c r="M2207" s="47"/>
      <c r="N2207" s="47"/>
      <c r="O2207" s="47"/>
      <c r="P2207" s="47"/>
      <c r="Q2207" s="47"/>
      <c r="R2207" s="47"/>
    </row>
    <row r="2208" spans="2:18" ht="39.75">
      <c r="B2208" s="16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</row>
    <row r="2209" spans="2:18" ht="58.5">
      <c r="B2209" s="18">
        <f t="shared" ref="B2209" si="286">B2205+1</f>
        <v>552</v>
      </c>
      <c r="D2209" s="36"/>
      <c r="E2209" s="36"/>
      <c r="F2209" s="36"/>
      <c r="G2209" s="36"/>
      <c r="H2209" s="36"/>
      <c r="I2209" s="36"/>
      <c r="J2209" s="36"/>
      <c r="K2209" s="36"/>
      <c r="L2209" s="36"/>
      <c r="M2209" s="36"/>
      <c r="N2209" s="36"/>
      <c r="O2209" s="36"/>
      <c r="P2209" s="36"/>
      <c r="Q2209" s="36"/>
      <c r="R2209" s="36"/>
    </row>
    <row r="2210" spans="2:18" ht="48.75">
      <c r="B2210" s="20"/>
      <c r="D2210" s="73"/>
      <c r="E2210" s="73"/>
      <c r="F2210" s="73"/>
      <c r="G2210" s="73"/>
      <c r="H2210" s="73"/>
      <c r="I2210" s="73"/>
      <c r="J2210" s="73"/>
      <c r="K2210" s="73"/>
      <c r="L2210" s="73"/>
      <c r="M2210" s="73"/>
      <c r="N2210" s="73"/>
      <c r="O2210" s="73"/>
      <c r="P2210" s="73"/>
      <c r="Q2210" s="73"/>
      <c r="R2210" s="73"/>
    </row>
    <row r="2211" spans="2:18">
      <c r="B2211" s="12"/>
      <c r="D2211" s="47"/>
      <c r="E2211" s="47"/>
      <c r="F2211" s="47"/>
      <c r="G2211" s="47"/>
      <c r="H2211" s="47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</row>
    <row r="2212" spans="2:18" ht="39.75">
      <c r="B2212" s="16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</row>
    <row r="2213" spans="2:18" ht="58.5">
      <c r="B2213" s="18">
        <f t="shared" ref="B2213" si="287">B2209+1</f>
        <v>553</v>
      </c>
      <c r="D2213" s="36"/>
      <c r="E2213" s="36"/>
      <c r="F2213" s="36"/>
      <c r="G2213" s="36"/>
      <c r="H2213" s="36"/>
      <c r="I2213" s="36"/>
      <c r="J2213" s="36"/>
      <c r="K2213" s="36"/>
      <c r="L2213" s="36"/>
      <c r="M2213" s="36"/>
      <c r="N2213" s="36"/>
      <c r="O2213" s="36"/>
      <c r="P2213" s="36"/>
      <c r="Q2213" s="36"/>
      <c r="R2213" s="36"/>
    </row>
    <row r="2214" spans="2:18" ht="48.75">
      <c r="B2214" s="20"/>
      <c r="D2214" s="73"/>
      <c r="E2214" s="73"/>
      <c r="F2214" s="73"/>
      <c r="G2214" s="73"/>
      <c r="H2214" s="73"/>
      <c r="I2214" s="73"/>
      <c r="J2214" s="73"/>
      <c r="K2214" s="73"/>
      <c r="L2214" s="73"/>
      <c r="M2214" s="73"/>
      <c r="N2214" s="73"/>
      <c r="O2214" s="73"/>
      <c r="P2214" s="73"/>
      <c r="Q2214" s="73"/>
      <c r="R2214" s="73"/>
    </row>
    <row r="2215" spans="2:18">
      <c r="B2215" s="12"/>
      <c r="D2215" s="47"/>
      <c r="E2215" s="47"/>
      <c r="F2215" s="47"/>
      <c r="G2215" s="47"/>
      <c r="H2215" s="47"/>
      <c r="I2215" s="47"/>
      <c r="J2215" s="47"/>
      <c r="K2215" s="47"/>
      <c r="L2215" s="47"/>
      <c r="M2215" s="47"/>
      <c r="N2215" s="47"/>
      <c r="O2215" s="47"/>
      <c r="P2215" s="47"/>
      <c r="Q2215" s="47"/>
      <c r="R2215" s="47"/>
    </row>
    <row r="2216" spans="2:18" ht="39.75">
      <c r="B2216" s="16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</row>
    <row r="2217" spans="2:18" ht="58.5">
      <c r="B2217" s="18">
        <f t="shared" ref="B2217" si="288">B2213+1</f>
        <v>554</v>
      </c>
      <c r="D2217" s="36"/>
      <c r="E2217" s="36"/>
      <c r="F2217" s="36"/>
      <c r="G2217" s="36"/>
      <c r="H2217" s="36"/>
      <c r="I2217" s="36"/>
      <c r="J2217" s="36"/>
      <c r="K2217" s="36"/>
      <c r="L2217" s="36"/>
      <c r="M2217" s="36"/>
      <c r="N2217" s="36"/>
      <c r="O2217" s="36"/>
      <c r="P2217" s="36"/>
      <c r="Q2217" s="36"/>
      <c r="R2217" s="36"/>
    </row>
    <row r="2218" spans="2:18" ht="48.75">
      <c r="B2218" s="20"/>
      <c r="D2218" s="73"/>
      <c r="E2218" s="73"/>
      <c r="F2218" s="73"/>
      <c r="G2218" s="73"/>
      <c r="H2218" s="73"/>
      <c r="I2218" s="73"/>
      <c r="J2218" s="73"/>
      <c r="K2218" s="73"/>
      <c r="L2218" s="73"/>
      <c r="M2218" s="73"/>
      <c r="N2218" s="73"/>
      <c r="O2218" s="73"/>
      <c r="P2218" s="73"/>
      <c r="Q2218" s="73"/>
      <c r="R2218" s="73"/>
    </row>
    <row r="2219" spans="2:18">
      <c r="B2219" s="12"/>
      <c r="D2219" s="47"/>
      <c r="E2219" s="47"/>
      <c r="F2219" s="47"/>
      <c r="G2219" s="47"/>
      <c r="H2219" s="47"/>
      <c r="I2219" s="47"/>
      <c r="J2219" s="47"/>
      <c r="K2219" s="47"/>
      <c r="L2219" s="47"/>
      <c r="M2219" s="47"/>
      <c r="N2219" s="47"/>
      <c r="O2219" s="47"/>
      <c r="P2219" s="47"/>
      <c r="Q2219" s="47"/>
      <c r="R2219" s="47"/>
    </row>
    <row r="2220" spans="2:18" ht="39.75">
      <c r="B2220" s="16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</row>
    <row r="2221" spans="2:18" ht="58.5">
      <c r="B2221" s="18">
        <f t="shared" ref="B2221" si="289">B2217+1</f>
        <v>555</v>
      </c>
      <c r="D2221" s="36"/>
      <c r="E2221" s="36"/>
      <c r="F2221" s="36"/>
      <c r="G2221" s="36"/>
      <c r="H2221" s="36"/>
      <c r="I2221" s="36"/>
      <c r="J2221" s="36"/>
      <c r="K2221" s="36"/>
      <c r="L2221" s="36"/>
      <c r="M2221" s="36"/>
      <c r="N2221" s="36"/>
      <c r="O2221" s="36"/>
      <c r="P2221" s="36"/>
      <c r="Q2221" s="36"/>
      <c r="R2221" s="36"/>
    </row>
    <row r="2222" spans="2:18" ht="48.75">
      <c r="B2222" s="20"/>
      <c r="D2222" s="73"/>
      <c r="E2222" s="73"/>
      <c r="F2222" s="73"/>
      <c r="G2222" s="73"/>
      <c r="H2222" s="73"/>
      <c r="I2222" s="73"/>
      <c r="J2222" s="73"/>
      <c r="K2222" s="73"/>
      <c r="L2222" s="73"/>
      <c r="M2222" s="73"/>
      <c r="N2222" s="73"/>
      <c r="O2222" s="73"/>
      <c r="P2222" s="73"/>
      <c r="Q2222" s="73"/>
      <c r="R2222" s="73"/>
    </row>
    <row r="2223" spans="2:18">
      <c r="B2223" s="12"/>
      <c r="D2223" s="47"/>
      <c r="E2223" s="47"/>
      <c r="F2223" s="47"/>
      <c r="G2223" s="47"/>
      <c r="H2223" s="47"/>
      <c r="I2223" s="47"/>
      <c r="J2223" s="47"/>
      <c r="K2223" s="47"/>
      <c r="L2223" s="47"/>
      <c r="M2223" s="47"/>
      <c r="N2223" s="47"/>
      <c r="O2223" s="47"/>
      <c r="P2223" s="47"/>
      <c r="Q2223" s="47"/>
      <c r="R2223" s="47"/>
    </row>
    <row r="2224" spans="2:18" ht="39.75">
      <c r="B2224" s="16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</row>
    <row r="2225" spans="2:18" ht="58.5">
      <c r="B2225" s="18">
        <f t="shared" ref="B2225" si="290">B2221+1</f>
        <v>556</v>
      </c>
      <c r="D2225" s="36"/>
      <c r="E2225" s="36"/>
      <c r="F2225" s="36"/>
      <c r="G2225" s="36"/>
      <c r="H2225" s="36"/>
      <c r="I2225" s="36"/>
      <c r="J2225" s="36"/>
      <c r="K2225" s="36"/>
      <c r="L2225" s="36"/>
      <c r="M2225" s="36"/>
      <c r="N2225" s="36"/>
      <c r="O2225" s="36"/>
      <c r="P2225" s="36"/>
      <c r="Q2225" s="36"/>
      <c r="R2225" s="36"/>
    </row>
    <row r="2226" spans="2:18" ht="48.75">
      <c r="B2226" s="20"/>
      <c r="D2226" s="73"/>
      <c r="E2226" s="73"/>
      <c r="F2226" s="73"/>
      <c r="G2226" s="73"/>
      <c r="H2226" s="73"/>
      <c r="I2226" s="73"/>
      <c r="J2226" s="73"/>
      <c r="K2226" s="73"/>
      <c r="L2226" s="73"/>
      <c r="M2226" s="73"/>
      <c r="N2226" s="73"/>
      <c r="O2226" s="73"/>
      <c r="P2226" s="73"/>
      <c r="Q2226" s="73"/>
      <c r="R2226" s="73"/>
    </row>
    <row r="2227" spans="2:18">
      <c r="B2227" s="12"/>
      <c r="D2227" s="47"/>
      <c r="E2227" s="47"/>
      <c r="F2227" s="47"/>
      <c r="G2227" s="47"/>
      <c r="H2227" s="47"/>
      <c r="I2227" s="47"/>
      <c r="J2227" s="47"/>
      <c r="K2227" s="47"/>
      <c r="L2227" s="47"/>
      <c r="M2227" s="47"/>
      <c r="N2227" s="47"/>
      <c r="O2227" s="47"/>
      <c r="P2227" s="47"/>
      <c r="Q2227" s="47"/>
      <c r="R2227" s="47"/>
    </row>
    <row r="2228" spans="2:18" ht="39.75">
      <c r="B2228" s="16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</row>
    <row r="2229" spans="2:18" ht="58.5">
      <c r="B2229" s="18">
        <f t="shared" ref="B2229" si="291">B2225+1</f>
        <v>557</v>
      </c>
      <c r="D2229" s="36"/>
      <c r="E2229" s="36"/>
      <c r="F2229" s="36"/>
      <c r="G2229" s="36"/>
      <c r="H2229" s="36"/>
      <c r="I2229" s="36"/>
      <c r="J2229" s="36"/>
      <c r="K2229" s="36"/>
      <c r="L2229" s="36"/>
      <c r="M2229" s="36"/>
      <c r="N2229" s="36"/>
      <c r="O2229" s="36"/>
      <c r="P2229" s="36"/>
      <c r="Q2229" s="36"/>
      <c r="R2229" s="36"/>
    </row>
    <row r="2230" spans="2:18" ht="48.75">
      <c r="B2230" s="20"/>
      <c r="D2230" s="73"/>
      <c r="E2230" s="73"/>
      <c r="F2230" s="73"/>
      <c r="G2230" s="73"/>
      <c r="H2230" s="73"/>
      <c r="I2230" s="73"/>
      <c r="J2230" s="73"/>
      <c r="K2230" s="73"/>
      <c r="L2230" s="73"/>
      <c r="M2230" s="73"/>
      <c r="N2230" s="73"/>
      <c r="O2230" s="73"/>
      <c r="P2230" s="73"/>
      <c r="Q2230" s="73"/>
      <c r="R2230" s="73"/>
    </row>
    <row r="2231" spans="2:18">
      <c r="B2231" s="12"/>
      <c r="D2231" s="47"/>
      <c r="E2231" s="47"/>
      <c r="F2231" s="47"/>
      <c r="G2231" s="47"/>
      <c r="H2231" s="47"/>
      <c r="I2231" s="47"/>
      <c r="J2231" s="47"/>
      <c r="K2231" s="47"/>
      <c r="L2231" s="47"/>
      <c r="M2231" s="47"/>
      <c r="N2231" s="47"/>
      <c r="O2231" s="47"/>
      <c r="P2231" s="47"/>
      <c r="Q2231" s="47"/>
      <c r="R2231" s="47"/>
    </row>
    <row r="2232" spans="2:18" ht="39.75">
      <c r="B2232" s="16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</row>
    <row r="2233" spans="2:18" ht="58.5">
      <c r="B2233" s="18">
        <f t="shared" ref="B2233" si="292">B2229+1</f>
        <v>558</v>
      </c>
      <c r="D2233" s="36"/>
      <c r="E2233" s="36"/>
      <c r="F2233" s="36"/>
      <c r="G2233" s="36"/>
      <c r="H2233" s="36"/>
      <c r="I2233" s="36"/>
      <c r="J2233" s="36"/>
      <c r="K2233" s="36"/>
      <c r="L2233" s="36"/>
      <c r="M2233" s="36"/>
      <c r="N2233" s="36"/>
      <c r="O2233" s="36"/>
      <c r="P2233" s="36"/>
      <c r="Q2233" s="36"/>
      <c r="R2233" s="36"/>
    </row>
    <row r="2234" spans="2:18" ht="48.75">
      <c r="B2234" s="20"/>
      <c r="D2234" s="73"/>
      <c r="E2234" s="73"/>
      <c r="F2234" s="73"/>
      <c r="G2234" s="73"/>
      <c r="H2234" s="73"/>
      <c r="I2234" s="73"/>
      <c r="J2234" s="73"/>
      <c r="K2234" s="73"/>
      <c r="L2234" s="73"/>
      <c r="M2234" s="73"/>
      <c r="N2234" s="73"/>
      <c r="O2234" s="73"/>
      <c r="P2234" s="73"/>
      <c r="Q2234" s="73"/>
      <c r="R2234" s="73"/>
    </row>
    <row r="2235" spans="2:18">
      <c r="B2235" s="12"/>
      <c r="D2235" s="47"/>
      <c r="E2235" s="47"/>
      <c r="F2235" s="47"/>
      <c r="G2235" s="47"/>
      <c r="H2235" s="47"/>
      <c r="I2235" s="47"/>
      <c r="J2235" s="47"/>
      <c r="K2235" s="47"/>
      <c r="L2235" s="47"/>
      <c r="M2235" s="47"/>
      <c r="N2235" s="47"/>
      <c r="O2235" s="47"/>
      <c r="P2235" s="47"/>
      <c r="Q2235" s="47"/>
      <c r="R2235" s="47"/>
    </row>
    <row r="2236" spans="2:18" ht="39.75">
      <c r="B2236" s="16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</row>
    <row r="2237" spans="2:18" ht="58.5">
      <c r="B2237" s="18">
        <f t="shared" ref="B2237" si="293">B2233+1</f>
        <v>559</v>
      </c>
      <c r="D2237" s="36"/>
      <c r="E2237" s="36"/>
      <c r="F2237" s="36"/>
      <c r="G2237" s="36"/>
      <c r="H2237" s="36"/>
      <c r="I2237" s="36"/>
      <c r="J2237" s="36"/>
      <c r="K2237" s="36"/>
      <c r="L2237" s="36"/>
      <c r="M2237" s="36"/>
      <c r="N2237" s="36"/>
      <c r="O2237" s="36"/>
      <c r="P2237" s="36"/>
      <c r="Q2237" s="36"/>
      <c r="R2237" s="36"/>
    </row>
    <row r="2238" spans="2:18" ht="48.75">
      <c r="B2238" s="20"/>
      <c r="D2238" s="73"/>
      <c r="E2238" s="73"/>
      <c r="F2238" s="73"/>
      <c r="G2238" s="73"/>
      <c r="H2238" s="73"/>
      <c r="I2238" s="73"/>
      <c r="J2238" s="73"/>
      <c r="K2238" s="73"/>
      <c r="L2238" s="73"/>
      <c r="M2238" s="73"/>
      <c r="N2238" s="73"/>
      <c r="O2238" s="73"/>
      <c r="P2238" s="73"/>
      <c r="Q2238" s="73"/>
      <c r="R2238" s="73"/>
    </row>
    <row r="2239" spans="2:18">
      <c r="B2239" s="12"/>
      <c r="D2239" s="47"/>
      <c r="E2239" s="47"/>
      <c r="F2239" s="47"/>
      <c r="G2239" s="47"/>
      <c r="H2239" s="47"/>
      <c r="I2239" s="47"/>
      <c r="J2239" s="47"/>
      <c r="K2239" s="47"/>
      <c r="L2239" s="47"/>
      <c r="M2239" s="47"/>
      <c r="N2239" s="47"/>
      <c r="O2239" s="47"/>
      <c r="P2239" s="47"/>
      <c r="Q2239" s="47"/>
      <c r="R2239" s="47"/>
    </row>
    <row r="2240" spans="2:18" ht="39.75">
      <c r="B2240" s="16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</row>
    <row r="2241" spans="2:18" ht="58.5">
      <c r="B2241" s="18">
        <f t="shared" ref="B2241" si="294">B2237+1</f>
        <v>560</v>
      </c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</row>
    <row r="2242" spans="2:18" ht="48.75">
      <c r="B2242" s="20"/>
      <c r="D2242" s="73"/>
      <c r="E2242" s="73"/>
      <c r="F2242" s="73"/>
      <c r="G2242" s="73"/>
      <c r="H2242" s="73"/>
      <c r="I2242" s="73"/>
      <c r="J2242" s="73"/>
      <c r="K2242" s="73"/>
      <c r="L2242" s="73"/>
      <c r="M2242" s="73"/>
      <c r="N2242" s="73"/>
      <c r="O2242" s="73"/>
      <c r="P2242" s="73"/>
      <c r="Q2242" s="73"/>
      <c r="R2242" s="73"/>
    </row>
    <row r="2243" spans="2:18">
      <c r="B2243" s="12"/>
      <c r="D2243" s="47"/>
      <c r="E2243" s="47"/>
      <c r="F2243" s="47"/>
      <c r="G2243" s="47"/>
      <c r="H2243" s="47"/>
      <c r="I2243" s="47"/>
      <c r="J2243" s="47"/>
      <c r="K2243" s="47"/>
      <c r="L2243" s="47"/>
      <c r="M2243" s="47"/>
      <c r="N2243" s="47"/>
      <c r="O2243" s="47"/>
      <c r="P2243" s="47"/>
      <c r="Q2243" s="47"/>
      <c r="R2243" s="47"/>
    </row>
    <row r="2244" spans="2:18" ht="39.75">
      <c r="B2244" s="16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</row>
    <row r="2245" spans="2:18" ht="58.5">
      <c r="B2245" s="18">
        <f t="shared" ref="B2245" si="295">B2241+1</f>
        <v>561</v>
      </c>
      <c r="D2245" s="36"/>
      <c r="E2245" s="36"/>
      <c r="F2245" s="36"/>
      <c r="G2245" s="36"/>
      <c r="H2245" s="36"/>
      <c r="I2245" s="36"/>
      <c r="J2245" s="36"/>
      <c r="K2245" s="36"/>
      <c r="L2245" s="36"/>
      <c r="M2245" s="36"/>
      <c r="N2245" s="36"/>
      <c r="O2245" s="36"/>
      <c r="P2245" s="36"/>
      <c r="Q2245" s="36"/>
      <c r="R2245" s="36"/>
    </row>
    <row r="2246" spans="2:18" ht="48.75">
      <c r="B2246" s="20"/>
      <c r="D2246" s="73"/>
      <c r="E2246" s="73"/>
      <c r="F2246" s="73"/>
      <c r="G2246" s="73"/>
      <c r="H2246" s="73"/>
      <c r="I2246" s="73"/>
      <c r="J2246" s="73"/>
      <c r="K2246" s="73"/>
      <c r="L2246" s="73"/>
      <c r="M2246" s="73"/>
      <c r="N2246" s="73"/>
      <c r="O2246" s="73"/>
      <c r="P2246" s="73"/>
      <c r="Q2246" s="73"/>
      <c r="R2246" s="73"/>
    </row>
    <row r="2247" spans="2:18">
      <c r="B2247" s="12"/>
      <c r="D2247" s="47"/>
      <c r="E2247" s="47"/>
      <c r="F2247" s="47"/>
      <c r="G2247" s="47"/>
      <c r="H2247" s="47"/>
      <c r="I2247" s="47"/>
      <c r="J2247" s="47"/>
      <c r="K2247" s="47"/>
      <c r="L2247" s="47"/>
      <c r="M2247" s="47"/>
      <c r="N2247" s="47"/>
      <c r="O2247" s="47"/>
      <c r="P2247" s="47"/>
      <c r="Q2247" s="47"/>
      <c r="R2247" s="47"/>
    </row>
    <row r="2248" spans="2:18" ht="39.75">
      <c r="B2248" s="16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</row>
    <row r="2249" spans="2:18" ht="58.5">
      <c r="B2249" s="18">
        <f t="shared" ref="B2249" si="296">B2245+1</f>
        <v>562</v>
      </c>
      <c r="D2249" s="36"/>
      <c r="E2249" s="36"/>
      <c r="F2249" s="36"/>
      <c r="G2249" s="36"/>
      <c r="H2249" s="36"/>
      <c r="I2249" s="36"/>
      <c r="J2249" s="36"/>
      <c r="K2249" s="36"/>
      <c r="L2249" s="36"/>
      <c r="M2249" s="36"/>
      <c r="N2249" s="36"/>
      <c r="O2249" s="36"/>
      <c r="P2249" s="36"/>
      <c r="Q2249" s="36"/>
      <c r="R2249" s="36"/>
    </row>
    <row r="2250" spans="2:18" ht="48.75">
      <c r="B2250" s="20"/>
      <c r="D2250" s="73"/>
      <c r="E2250" s="73"/>
      <c r="F2250" s="73"/>
      <c r="G2250" s="73"/>
      <c r="H2250" s="73"/>
      <c r="I2250" s="73"/>
      <c r="J2250" s="73"/>
      <c r="K2250" s="73"/>
      <c r="L2250" s="73"/>
      <c r="M2250" s="73"/>
      <c r="N2250" s="73"/>
      <c r="O2250" s="73"/>
      <c r="P2250" s="73"/>
      <c r="Q2250" s="73"/>
      <c r="R2250" s="73"/>
    </row>
    <row r="2251" spans="2:18">
      <c r="B2251" s="12"/>
      <c r="D2251" s="47"/>
      <c r="E2251" s="47"/>
      <c r="F2251" s="47"/>
      <c r="G2251" s="47"/>
      <c r="H2251" s="47"/>
      <c r="I2251" s="47"/>
      <c r="J2251" s="47"/>
      <c r="K2251" s="47"/>
      <c r="L2251" s="47"/>
      <c r="M2251" s="47"/>
      <c r="N2251" s="47"/>
      <c r="O2251" s="47"/>
      <c r="P2251" s="47"/>
      <c r="Q2251" s="47"/>
      <c r="R2251" s="47"/>
    </row>
    <row r="2252" spans="2:18" ht="39.75">
      <c r="B2252" s="16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</row>
    <row r="2253" spans="2:18" ht="58.5">
      <c r="B2253" s="18">
        <f t="shared" ref="B2253" si="297">B2249+1</f>
        <v>563</v>
      </c>
      <c r="D2253" s="36"/>
      <c r="E2253" s="36"/>
      <c r="F2253" s="36"/>
      <c r="G2253" s="36"/>
      <c r="H2253" s="36"/>
      <c r="I2253" s="36"/>
      <c r="J2253" s="36"/>
      <c r="K2253" s="36"/>
      <c r="L2253" s="36"/>
      <c r="M2253" s="36"/>
      <c r="N2253" s="36"/>
      <c r="O2253" s="36"/>
      <c r="P2253" s="36"/>
      <c r="Q2253" s="36"/>
      <c r="R2253" s="36"/>
    </row>
    <row r="2254" spans="2:18" ht="48.75">
      <c r="B2254" s="20"/>
      <c r="D2254" s="73"/>
      <c r="E2254" s="73"/>
      <c r="F2254" s="73"/>
      <c r="G2254" s="73"/>
      <c r="H2254" s="73"/>
      <c r="I2254" s="73"/>
      <c r="J2254" s="73"/>
      <c r="K2254" s="73"/>
      <c r="L2254" s="73"/>
      <c r="M2254" s="73"/>
      <c r="N2254" s="73"/>
      <c r="O2254" s="73"/>
      <c r="P2254" s="73"/>
      <c r="Q2254" s="73"/>
      <c r="R2254" s="73"/>
    </row>
    <row r="2255" spans="2:18">
      <c r="B2255" s="12"/>
      <c r="D2255" s="47"/>
      <c r="E2255" s="47"/>
      <c r="F2255" s="47"/>
      <c r="G2255" s="47"/>
      <c r="H2255" s="47"/>
      <c r="I2255" s="47"/>
      <c r="J2255" s="47"/>
      <c r="K2255" s="47"/>
      <c r="L2255" s="47"/>
      <c r="M2255" s="47"/>
      <c r="N2255" s="47"/>
      <c r="O2255" s="47"/>
      <c r="P2255" s="47"/>
      <c r="Q2255" s="47"/>
      <c r="R2255" s="47"/>
    </row>
    <row r="2256" spans="2:18" ht="39.75">
      <c r="B2256" s="16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</row>
    <row r="2257" spans="2:18" ht="58.5">
      <c r="B2257" s="18">
        <f t="shared" ref="B2257" si="298">B2253+1</f>
        <v>564</v>
      </c>
      <c r="D2257" s="36"/>
      <c r="E2257" s="36"/>
      <c r="F2257" s="36"/>
      <c r="G2257" s="36"/>
      <c r="H2257" s="36"/>
      <c r="I2257" s="36"/>
      <c r="J2257" s="36"/>
      <c r="K2257" s="36"/>
      <c r="L2257" s="36"/>
      <c r="M2257" s="36"/>
      <c r="N2257" s="36"/>
      <c r="O2257" s="36"/>
      <c r="P2257" s="36"/>
      <c r="Q2257" s="36"/>
      <c r="R2257" s="36"/>
    </row>
    <row r="2258" spans="2:18" ht="48.75">
      <c r="B2258" s="20"/>
      <c r="D2258" s="73"/>
      <c r="E2258" s="73"/>
      <c r="F2258" s="73"/>
      <c r="G2258" s="73"/>
      <c r="H2258" s="73"/>
      <c r="I2258" s="73"/>
      <c r="J2258" s="73"/>
      <c r="K2258" s="73"/>
      <c r="L2258" s="73"/>
      <c r="M2258" s="73"/>
      <c r="N2258" s="73"/>
      <c r="O2258" s="73"/>
      <c r="P2258" s="73"/>
      <c r="Q2258" s="73"/>
      <c r="R2258" s="73"/>
    </row>
    <row r="2259" spans="2:18">
      <c r="B2259" s="12"/>
      <c r="D2259" s="47"/>
      <c r="E2259" s="47"/>
      <c r="F2259" s="47"/>
      <c r="G2259" s="47"/>
      <c r="H2259" s="47"/>
      <c r="I2259" s="47"/>
      <c r="J2259" s="47"/>
      <c r="K2259" s="47"/>
      <c r="L2259" s="47"/>
      <c r="M2259" s="47"/>
      <c r="N2259" s="47"/>
      <c r="O2259" s="47"/>
      <c r="P2259" s="47"/>
      <c r="Q2259" s="47"/>
      <c r="R2259" s="47"/>
    </row>
    <row r="2260" spans="2:18" ht="39.75">
      <c r="B2260" s="16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</row>
    <row r="2261" spans="2:18" ht="58.5">
      <c r="B2261" s="18">
        <f t="shared" ref="B2261" si="299">B2257+1</f>
        <v>565</v>
      </c>
      <c r="D2261" s="36"/>
      <c r="E2261" s="36"/>
      <c r="F2261" s="36"/>
      <c r="G2261" s="36"/>
      <c r="H2261" s="36"/>
      <c r="I2261" s="36"/>
      <c r="J2261" s="36"/>
      <c r="K2261" s="36"/>
      <c r="L2261" s="36"/>
      <c r="M2261" s="36"/>
      <c r="N2261" s="36"/>
      <c r="O2261" s="36"/>
      <c r="P2261" s="36"/>
      <c r="Q2261" s="36"/>
      <c r="R2261" s="36"/>
    </row>
    <row r="2262" spans="2:18" ht="48.75">
      <c r="B2262" s="20"/>
      <c r="D2262" s="73"/>
      <c r="E2262" s="73"/>
      <c r="F2262" s="73"/>
      <c r="G2262" s="73"/>
      <c r="H2262" s="73"/>
      <c r="I2262" s="73"/>
      <c r="J2262" s="73"/>
      <c r="K2262" s="73"/>
      <c r="L2262" s="73"/>
      <c r="M2262" s="73"/>
      <c r="N2262" s="73"/>
      <c r="O2262" s="73"/>
      <c r="P2262" s="73"/>
      <c r="Q2262" s="73"/>
      <c r="R2262" s="73"/>
    </row>
    <row r="2263" spans="2:18">
      <c r="B2263" s="12"/>
      <c r="D2263" s="47"/>
      <c r="E2263" s="47"/>
      <c r="F2263" s="47"/>
      <c r="G2263" s="47"/>
      <c r="H2263" s="47"/>
      <c r="I2263" s="47"/>
      <c r="J2263" s="47"/>
      <c r="K2263" s="47"/>
      <c r="L2263" s="47"/>
      <c r="M2263" s="47"/>
      <c r="N2263" s="47"/>
      <c r="O2263" s="47"/>
      <c r="P2263" s="47"/>
      <c r="Q2263" s="47"/>
      <c r="R2263" s="47"/>
    </row>
    <row r="2264" spans="2:18" ht="39.75">
      <c r="B2264" s="16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</row>
    <row r="2265" spans="2:18" ht="58.5">
      <c r="B2265" s="18">
        <f t="shared" ref="B2265" si="300">B2261+1</f>
        <v>566</v>
      </c>
      <c r="D2265" s="36"/>
      <c r="E2265" s="36"/>
      <c r="F2265" s="36"/>
      <c r="G2265" s="36"/>
      <c r="H2265" s="36"/>
      <c r="I2265" s="36"/>
      <c r="J2265" s="36"/>
      <c r="K2265" s="36"/>
      <c r="L2265" s="36"/>
      <c r="M2265" s="36"/>
      <c r="N2265" s="36"/>
      <c r="O2265" s="36"/>
      <c r="P2265" s="36"/>
      <c r="Q2265" s="36"/>
      <c r="R2265" s="36"/>
    </row>
    <row r="2266" spans="2:18" ht="48.75">
      <c r="B2266" s="20"/>
      <c r="D2266" s="73"/>
      <c r="E2266" s="73"/>
      <c r="F2266" s="73"/>
      <c r="G2266" s="73"/>
      <c r="H2266" s="73"/>
      <c r="I2266" s="73"/>
      <c r="J2266" s="73"/>
      <c r="K2266" s="73"/>
      <c r="L2266" s="73"/>
      <c r="M2266" s="73"/>
      <c r="N2266" s="73"/>
      <c r="O2266" s="73"/>
      <c r="P2266" s="73"/>
      <c r="Q2266" s="73"/>
      <c r="R2266" s="73"/>
    </row>
    <row r="2267" spans="2:18">
      <c r="D2267" s="47"/>
      <c r="E2267" s="47"/>
      <c r="F2267" s="47"/>
      <c r="G2267" s="47"/>
      <c r="H2267" s="47"/>
      <c r="I2267" s="47"/>
      <c r="J2267" s="47"/>
      <c r="K2267" s="47"/>
      <c r="L2267" s="47"/>
      <c r="M2267" s="47"/>
      <c r="N2267" s="47"/>
      <c r="O2267" s="47"/>
      <c r="P2267" s="47"/>
      <c r="Q2267" s="47"/>
      <c r="R2267" s="47"/>
    </row>
    <row r="2268" spans="2:18" ht="39.75"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</row>
    <row r="2269" spans="2:18" ht="58.5">
      <c r="D2269" s="36"/>
      <c r="E2269" s="36"/>
      <c r="F2269" s="36"/>
      <c r="G2269" s="36"/>
      <c r="H2269" s="36"/>
      <c r="I2269" s="36"/>
      <c r="J2269" s="36"/>
      <c r="K2269" s="36"/>
      <c r="L2269" s="36"/>
      <c r="M2269" s="36"/>
      <c r="N2269" s="36"/>
      <c r="O2269" s="36"/>
      <c r="P2269" s="36"/>
      <c r="Q2269" s="36"/>
      <c r="R2269" s="36"/>
    </row>
    <row r="2270" spans="2:18" ht="48.75">
      <c r="D2270" s="73"/>
      <c r="E2270" s="73"/>
      <c r="F2270" s="73"/>
      <c r="G2270" s="73"/>
      <c r="H2270" s="73"/>
      <c r="I2270" s="73"/>
      <c r="J2270" s="73"/>
      <c r="K2270" s="73"/>
      <c r="L2270" s="73"/>
      <c r="M2270" s="73"/>
      <c r="N2270" s="73"/>
      <c r="O2270" s="73"/>
      <c r="P2270" s="73"/>
      <c r="Q2270" s="73"/>
      <c r="R2270" s="73"/>
    </row>
  </sheetData>
  <mergeCells count="1">
    <mergeCell ref="V3:V82"/>
  </mergeCells>
  <phoneticPr fontId="1" type="noConversion"/>
  <conditionalFormatting sqref="D3:R3 D7:R7 D11:R11 D15:R15 D19:R19 D23:R23 D27:R27 D31:R31 D35:R35 D39:R39 D43:R43 D47:R47 D51:R51 D55:R55 D59:R59 D63:R63 D67:R67 D71:R71 D75:R75 D79:R79 D83:R83 D87:R87 D91:R91 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 D2003:R2003 D2007:R2007 D2011:R2011 D2015:R2015 D2019:R2019 D2023:R2023 D2027:R2027 D2031:R2031 D2035:R2035 D2039:R2039 D2043:R2043 D2047:R2047 D2051:R2051 D2055:R2055 D2059:R2059 D2063:R2063 D2067:R2067 D2071:R2071 D2075:R2075 D2079:R2079 D2083:R2083 D2087:R2087 D2091:R2091 D2095:R2095 D2099:R2099 D2103:R2103 D2107:R2107 D2111:R2111 D2115:R2115 D2119:R2119 D2123:R2123 D2127:R2127 D2131:R2131 D2135:R2135 D2139:R2139 D2143:R2143 D2147:R2147 D2151:R2151 D2155:R2155 D2159:R2159 D2163:R2163 D2167:R2167 D2171:R2171 D2175:R2175 D2179:R2179 D2183:R2183 D2187:R2187 D2191:R2191 D2195:R2195 D2199:R2199 D2203:R2203 D2207:R2207 D2211:R2211 D2215:R2215 D2219:R2219 D2223:R2223 D2227:R2227 D2231:R2231 D2235:R2235 D2239:R2239 D2243:R2243 D2247:R2247 D2251:R2251 D2255:R2255 D2259:R2259 D2263:R2263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2267:R2267">
    <cfRule type="expression" dxfId="5" priority="1">
      <formula>顯示注音輸入</formula>
    </cfRule>
    <cfRule type="expression" dxfId="4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23</vt:i4>
      </vt:variant>
    </vt:vector>
  </HeadingPairs>
  <TitlesOfParts>
    <vt:vector size="32" baseType="lpstr">
      <vt:lpstr>env</vt:lpstr>
      <vt:lpstr>操作表</vt:lpstr>
      <vt:lpstr>變調標音格式</vt:lpstr>
      <vt:lpstr>漢字注音【模版】</vt:lpstr>
      <vt:lpstr>SRT漢字注音【模版】</vt:lpstr>
      <vt:lpstr>缺字表</vt:lpstr>
      <vt:lpstr>標音字庫</vt:lpstr>
      <vt:lpstr>人工標音字庫</vt:lpstr>
      <vt:lpstr>漢字注音</vt:lpstr>
      <vt:lpstr>FILE_NAME</vt:lpstr>
      <vt:lpstr>IMAGE_URL</vt:lpstr>
      <vt:lpstr>INPUT_FILE_PATH</vt:lpstr>
      <vt:lpstr>OUTPUT_PATH</vt:lpstr>
      <vt:lpstr>SRT漢字標音</vt:lpstr>
      <vt:lpstr>TITLE</vt:lpstr>
      <vt:lpstr>上邊標音</vt:lpstr>
      <vt:lpstr>文件版本</vt:lpstr>
      <vt:lpstr>右邊標音</vt:lpstr>
      <vt:lpstr>每列總字數</vt:lpstr>
      <vt:lpstr>每頁總列數</vt:lpstr>
      <vt:lpstr>使用變調標音格式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漢字注音【模版】!覩9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2026-10-27T13:57:27Z</dcterms:modified>
</cp:coreProperties>
</file>