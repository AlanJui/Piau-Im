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D5C6188A-9077-4B54-B03E-3645AB88D3BE}" xr6:coauthVersionLast="47" xr6:coauthVersionMax="47" xr10:uidLastSave="{00000000-0000-0000-0000-000000000000}"/>
  <bookViews>
    <workbookView xWindow="28680" yWindow="-120" windowWidth="38640" windowHeight="15720" activeTab="2" xr2:uid="{25A76161-EFED-4AC8-8EAA-A42737AE1909}"/>
  </bookViews>
  <sheets>
    <sheet name="env" sheetId="8" r:id="rId1"/>
    <sheet name="操作表" sheetId="190" r:id="rId2"/>
    <sheet name="漢字注音" sheetId="9" r:id="rId3"/>
    <sheet name="缺字表" sheetId="209" r:id="rId4"/>
    <sheet name="標音字庫" sheetId="208" r:id="rId5"/>
    <sheet name="人工標音字庫" sheetId="207" r:id="rId6"/>
    <sheet name="SRT漢字注音" sheetId="189" r:id="rId7"/>
    <sheet name="SRT漢字注音 (2)" sheetId="210" r:id="rId8"/>
    <sheet name="SRT漢字注音（台語注音二式）" sheetId="193" r:id="rId9"/>
    <sheet name="漢字注音（台語注音二式）" sheetId="192" r:id="rId10"/>
    <sheet name="漢字注音（台羅拼音）" sheetId="200" r:id="rId11"/>
    <sheet name="SRT漢字注音（台羅拼音）" sheetId="191" r:id="rId12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9">'漢字注音（台語注音二式）'!$A$5</definedName>
    <definedName name="覩9" localSheetId="10">'漢字注音（台羅拼音）'!$A$5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210" l="1"/>
  <c r="T12" i="210"/>
  <c r="T13" i="210"/>
  <c r="T14" i="210"/>
  <c r="T15" i="210"/>
  <c r="T16" i="210"/>
  <c r="T17" i="210"/>
  <c r="T18" i="210"/>
  <c r="T19" i="210"/>
  <c r="T10" i="210"/>
  <c r="T9" i="210"/>
  <c r="T8" i="210"/>
  <c r="T7" i="210"/>
  <c r="T6" i="210"/>
  <c r="T5" i="210"/>
  <c r="T4" i="210"/>
  <c r="F73" i="9"/>
  <c r="L65" i="9"/>
  <c r="Q61" i="9"/>
  <c r="R57" i="9"/>
  <c r="D53" i="9"/>
  <c r="O45" i="9"/>
  <c r="P41" i="9"/>
  <c r="J37" i="9"/>
  <c r="N33" i="9"/>
  <c r="N29" i="9"/>
  <c r="N25" i="9"/>
  <c r="N21" i="9"/>
  <c r="N17" i="9"/>
  <c r="M13" i="9"/>
  <c r="J9" i="9"/>
  <c r="M5" i="9"/>
  <c r="T9" i="189"/>
  <c r="T10" i="189"/>
  <c r="T8" i="191"/>
  <c r="T7" i="191"/>
  <c r="T6" i="191"/>
  <c r="T5" i="191"/>
  <c r="T4" i="191"/>
  <c r="T8" i="193"/>
  <c r="T7" i="193"/>
  <c r="T6" i="193"/>
  <c r="T5" i="193"/>
  <c r="T4" i="193"/>
  <c r="T5" i="189" l="1"/>
  <c r="T6" i="189"/>
  <c r="T7" i="189"/>
  <c r="T8" i="189"/>
  <c r="T4" i="189"/>
  <c r="U32" i="200"/>
  <c r="U31" i="200"/>
  <c r="U30" i="200"/>
  <c r="U29" i="200"/>
  <c r="Q29" i="200"/>
  <c r="U28" i="200"/>
  <c r="U27" i="200"/>
  <c r="R25" i="200"/>
  <c r="E21" i="200"/>
  <c r="F13" i="200"/>
  <c r="B9" i="200"/>
  <c r="B13" i="200" s="1"/>
  <c r="B17" i="200" s="1"/>
  <c r="B21" i="200" s="1"/>
  <c r="B25" i="200" s="1"/>
  <c r="B29" i="200" s="1"/>
  <c r="B33" i="200" s="1"/>
  <c r="B37" i="200" s="1"/>
  <c r="B41" i="200" s="1"/>
  <c r="B45" i="200" s="1"/>
  <c r="B49" i="200" s="1"/>
  <c r="B53" i="200" s="1"/>
  <c r="B57" i="200" s="1"/>
  <c r="B61" i="200" s="1"/>
  <c r="B65" i="200" s="1"/>
  <c r="B69" i="200" s="1"/>
  <c r="B73" i="200" s="1"/>
  <c r="B77" i="200" s="1"/>
  <c r="B81" i="200" s="1"/>
  <c r="B85" i="200" s="1"/>
  <c r="B89" i="200" s="1"/>
  <c r="B93" i="200" s="1"/>
  <c r="B97" i="200" s="1"/>
  <c r="B101" i="200" s="1"/>
  <c r="B105" i="200" s="1"/>
  <c r="B109" i="200" s="1"/>
  <c r="B113" i="200" s="1"/>
  <c r="B117" i="200" s="1"/>
  <c r="B121" i="200" s="1"/>
  <c r="B125" i="200" s="1"/>
  <c r="B129" i="200" s="1"/>
  <c r="B133" i="200" s="1"/>
  <c r="B137" i="200" s="1"/>
  <c r="B141" i="200" s="1"/>
  <c r="B145" i="200" s="1"/>
  <c r="B149" i="200" s="1"/>
  <c r="B153" i="200" s="1"/>
  <c r="B157" i="200" s="1"/>
  <c r="B161" i="200" s="1"/>
  <c r="B165" i="200" s="1"/>
  <c r="B169" i="200" s="1"/>
  <c r="B173" i="200" s="1"/>
  <c r="B177" i="200" s="1"/>
  <c r="B181" i="200" s="1"/>
  <c r="B185" i="200" s="1"/>
  <c r="B189" i="200" s="1"/>
  <c r="B193" i="200" s="1"/>
  <c r="B197" i="200" s="1"/>
  <c r="B201" i="200" s="1"/>
  <c r="B205" i="200" s="1"/>
  <c r="B209" i="200" s="1"/>
  <c r="B213" i="200" s="1"/>
  <c r="B217" i="200" s="1"/>
  <c r="B221" i="200" s="1"/>
  <c r="B225" i="200" s="1"/>
  <c r="B229" i="200" s="1"/>
  <c r="B233" i="200" s="1"/>
  <c r="B237" i="200" s="1"/>
  <c r="B241" i="200" s="1"/>
  <c r="B245" i="200" s="1"/>
  <c r="B249" i="200" s="1"/>
  <c r="B253" i="200" s="1"/>
  <c r="B257" i="200" s="1"/>
  <c r="B261" i="200" s="1"/>
  <c r="B265" i="200" s="1"/>
  <c r="B269" i="200" s="1"/>
  <c r="B273" i="200" s="1"/>
  <c r="B277" i="200" s="1"/>
  <c r="B281" i="200" s="1"/>
  <c r="B285" i="200" s="1"/>
  <c r="B289" i="200" s="1"/>
  <c r="B293" i="200" s="1"/>
  <c r="B297" i="200" s="1"/>
  <c r="B301" i="200" s="1"/>
  <c r="B305" i="200" s="1"/>
  <c r="B309" i="200" s="1"/>
  <c r="B313" i="200" s="1"/>
  <c r="B317" i="200" s="1"/>
  <c r="B321" i="200" s="1"/>
  <c r="B325" i="200" s="1"/>
  <c r="B329" i="200" s="1"/>
  <c r="B333" i="200" s="1"/>
  <c r="B337" i="200" s="1"/>
  <c r="B341" i="200" s="1"/>
  <c r="B345" i="200" s="1"/>
  <c r="B349" i="200" s="1"/>
  <c r="B353" i="200" s="1"/>
  <c r="B357" i="200" s="1"/>
  <c r="B361" i="200" s="1"/>
  <c r="B365" i="200" s="1"/>
  <c r="B369" i="200" s="1"/>
  <c r="B373" i="200" s="1"/>
  <c r="B377" i="200" s="1"/>
  <c r="B381" i="200" s="1"/>
  <c r="B385" i="200" s="1"/>
  <c r="B389" i="200" s="1"/>
  <c r="B393" i="200" s="1"/>
  <c r="B397" i="200" s="1"/>
  <c r="B401" i="200" s="1"/>
  <c r="B405" i="200" s="1"/>
  <c r="B409" i="200" s="1"/>
  <c r="B413" i="200" s="1"/>
  <c r="B417" i="200" s="1"/>
  <c r="B421" i="200" s="1"/>
  <c r="B425" i="200" s="1"/>
  <c r="B429" i="200" s="1"/>
  <c r="B433" i="200" s="1"/>
  <c r="B437" i="200" s="1"/>
  <c r="B441" i="200" s="1"/>
  <c r="B445" i="200" s="1"/>
  <c r="B449" i="200" s="1"/>
  <c r="B453" i="200" s="1"/>
  <c r="B457" i="200" s="1"/>
  <c r="B461" i="200" s="1"/>
  <c r="B465" i="200" s="1"/>
  <c r="B469" i="200" s="1"/>
  <c r="B473" i="200" s="1"/>
  <c r="B477" i="200" s="1"/>
  <c r="B481" i="200" s="1"/>
  <c r="B485" i="200" s="1"/>
  <c r="B489" i="200" s="1"/>
  <c r="B493" i="200" s="1"/>
  <c r="B497" i="200" s="1"/>
  <c r="B501" i="200" s="1"/>
  <c r="B505" i="200" s="1"/>
  <c r="B509" i="200" s="1"/>
  <c r="B513" i="200" s="1"/>
  <c r="B517" i="200" s="1"/>
  <c r="B521" i="200" s="1"/>
  <c r="B525" i="200" s="1"/>
  <c r="B529" i="200" s="1"/>
  <c r="B533" i="200" s="1"/>
  <c r="B537" i="200" s="1"/>
  <c r="B541" i="200" s="1"/>
  <c r="B545" i="200" s="1"/>
  <c r="B549" i="200" s="1"/>
  <c r="B553" i="200" s="1"/>
  <c r="B557" i="200" s="1"/>
  <c r="B561" i="200" s="1"/>
  <c r="B565" i="200" s="1"/>
  <c r="B569" i="200" s="1"/>
  <c r="B573" i="200" s="1"/>
  <c r="B577" i="200" s="1"/>
  <c r="B581" i="200" s="1"/>
  <c r="B585" i="200" s="1"/>
  <c r="B589" i="200" s="1"/>
  <c r="B593" i="200" s="1"/>
  <c r="B597" i="200" s="1"/>
  <c r="B601" i="200" s="1"/>
  <c r="B605" i="200" s="1"/>
  <c r="B609" i="200" s="1"/>
  <c r="B613" i="200" s="1"/>
  <c r="B617" i="200" s="1"/>
  <c r="B621" i="200" s="1"/>
  <c r="B625" i="200" s="1"/>
  <c r="B629" i="200" s="1"/>
  <c r="B633" i="200" s="1"/>
  <c r="B637" i="200" s="1"/>
  <c r="B641" i="200" s="1"/>
  <c r="B645" i="200" s="1"/>
  <c r="B649" i="200" s="1"/>
  <c r="B653" i="200" s="1"/>
  <c r="B657" i="200" s="1"/>
  <c r="B661" i="200" s="1"/>
  <c r="B665" i="200" s="1"/>
  <c r="B669" i="200" s="1"/>
  <c r="B673" i="200" s="1"/>
  <c r="B677" i="200" s="1"/>
  <c r="B681" i="200" s="1"/>
  <c r="B685" i="200" s="1"/>
  <c r="B689" i="200" s="1"/>
  <c r="B693" i="200" s="1"/>
  <c r="B697" i="200" s="1"/>
  <c r="B701" i="200" s="1"/>
  <c r="B705" i="200" s="1"/>
  <c r="B709" i="200" s="1"/>
  <c r="B713" i="200" s="1"/>
  <c r="B717" i="200" s="1"/>
  <c r="B721" i="200" s="1"/>
  <c r="B725" i="200" s="1"/>
  <c r="B729" i="200" s="1"/>
  <c r="B733" i="200" s="1"/>
  <c r="B737" i="200" s="1"/>
  <c r="B741" i="200" s="1"/>
  <c r="B745" i="200" s="1"/>
  <c r="B749" i="200" s="1"/>
  <c r="B753" i="200" s="1"/>
  <c r="B757" i="200" s="1"/>
  <c r="B761" i="200" s="1"/>
  <c r="B765" i="200" s="1"/>
  <c r="B769" i="200" s="1"/>
  <c r="B773" i="200" s="1"/>
  <c r="B777" i="200" s="1"/>
  <c r="B781" i="200" s="1"/>
  <c r="B785" i="200" s="1"/>
  <c r="B789" i="200" s="1"/>
  <c r="B793" i="200" s="1"/>
  <c r="B797" i="200" s="1"/>
  <c r="B801" i="200" s="1"/>
  <c r="B805" i="200" s="1"/>
  <c r="B809" i="200" s="1"/>
  <c r="B813" i="200" s="1"/>
  <c r="B817" i="200" s="1"/>
  <c r="B821" i="200" s="1"/>
  <c r="B825" i="200" s="1"/>
  <c r="B829" i="200" s="1"/>
  <c r="B833" i="200" s="1"/>
  <c r="B837" i="200" s="1"/>
  <c r="B841" i="200" s="1"/>
  <c r="B845" i="200" s="1"/>
  <c r="B849" i="200" s="1"/>
  <c r="B853" i="200" s="1"/>
  <c r="B857" i="200" s="1"/>
  <c r="B861" i="200" s="1"/>
  <c r="B865" i="200" s="1"/>
  <c r="B869" i="200" s="1"/>
  <c r="B873" i="200" s="1"/>
  <c r="B877" i="200" s="1"/>
  <c r="B881" i="200" s="1"/>
  <c r="B885" i="200" s="1"/>
  <c r="B889" i="200" s="1"/>
  <c r="B893" i="200" s="1"/>
  <c r="B897" i="200" s="1"/>
  <c r="B901" i="200" s="1"/>
  <c r="B905" i="200" s="1"/>
  <c r="B909" i="200" s="1"/>
  <c r="B913" i="200" s="1"/>
  <c r="B917" i="200" s="1"/>
  <c r="B921" i="200" s="1"/>
  <c r="B925" i="200" s="1"/>
  <c r="B929" i="200" s="1"/>
  <c r="B933" i="200" s="1"/>
  <c r="B937" i="200" s="1"/>
  <c r="B941" i="200" s="1"/>
  <c r="B945" i="200" s="1"/>
  <c r="B949" i="200" s="1"/>
  <c r="B953" i="200" s="1"/>
  <c r="B957" i="200" s="1"/>
  <c r="B961" i="200" s="1"/>
  <c r="B965" i="200" s="1"/>
  <c r="B969" i="200" s="1"/>
  <c r="B973" i="200" s="1"/>
  <c r="B977" i="200" s="1"/>
  <c r="B981" i="200" s="1"/>
  <c r="B985" i="200" s="1"/>
  <c r="B989" i="200" s="1"/>
  <c r="B993" i="200" s="1"/>
  <c r="B997" i="200" s="1"/>
  <c r="B1001" i="200" s="1"/>
  <c r="B1005" i="200" s="1"/>
  <c r="B1009" i="200" s="1"/>
  <c r="B1013" i="200" s="1"/>
  <c r="B1017" i="200" s="1"/>
  <c r="B1021" i="200" s="1"/>
  <c r="B1025" i="200" s="1"/>
  <c r="B1029" i="200" s="1"/>
  <c r="B1033" i="200" s="1"/>
  <c r="B1037" i="200" s="1"/>
  <c r="B1041" i="200" s="1"/>
  <c r="B1045" i="200" s="1"/>
  <c r="B1049" i="200" s="1"/>
  <c r="B1053" i="200" s="1"/>
  <c r="B1057" i="200" s="1"/>
  <c r="B1061" i="200" s="1"/>
  <c r="B1065" i="200" s="1"/>
  <c r="B1069" i="200" s="1"/>
  <c r="B1073" i="200" s="1"/>
  <c r="B1077" i="200" s="1"/>
  <c r="B1081" i="200" s="1"/>
  <c r="B1085" i="200" s="1"/>
  <c r="B1089" i="200" s="1"/>
  <c r="B1093" i="200" s="1"/>
  <c r="B1097" i="200" s="1"/>
  <c r="B1101" i="200" s="1"/>
  <c r="B1105" i="200" s="1"/>
  <c r="B1109" i="200" s="1"/>
  <c r="B1113" i="200" s="1"/>
  <c r="B1117" i="200" s="1"/>
  <c r="B1121" i="200" s="1"/>
  <c r="B1125" i="200" s="1"/>
  <c r="B1129" i="200" s="1"/>
  <c r="B1133" i="200" s="1"/>
  <c r="B1137" i="200" s="1"/>
  <c r="B1141" i="200" s="1"/>
  <c r="B1145" i="200" s="1"/>
  <c r="B1149" i="200" s="1"/>
  <c r="B1153" i="200" s="1"/>
  <c r="B1157" i="200" s="1"/>
  <c r="B1161" i="200" s="1"/>
  <c r="B1165" i="200" s="1"/>
  <c r="B1169" i="200" s="1"/>
  <c r="B1173" i="200" s="1"/>
  <c r="B1177" i="200" s="1"/>
  <c r="B1181" i="200" s="1"/>
  <c r="B1185" i="200" s="1"/>
  <c r="B1189" i="200" s="1"/>
  <c r="B1193" i="200" s="1"/>
  <c r="B1197" i="200" s="1"/>
  <c r="B1201" i="200" s="1"/>
  <c r="B1205" i="200" s="1"/>
  <c r="B1209" i="200" s="1"/>
  <c r="B1213" i="200" s="1"/>
  <c r="B1217" i="200" s="1"/>
  <c r="B1221" i="200" s="1"/>
  <c r="B1225" i="200" s="1"/>
  <c r="B1229" i="200" s="1"/>
  <c r="B1233" i="200" s="1"/>
  <c r="B1237" i="200" s="1"/>
  <c r="B1241" i="200" s="1"/>
  <c r="B1245" i="200" s="1"/>
  <c r="B1249" i="200" s="1"/>
  <c r="B1253" i="200" s="1"/>
  <c r="B1257" i="200" s="1"/>
  <c r="B1261" i="200" s="1"/>
  <c r="B1265" i="200" s="1"/>
  <c r="B1269" i="200" s="1"/>
  <c r="B1273" i="200" s="1"/>
  <c r="B1277" i="200" s="1"/>
  <c r="B1281" i="200" s="1"/>
  <c r="B1285" i="200" s="1"/>
  <c r="B1289" i="200" s="1"/>
  <c r="B1293" i="200" s="1"/>
  <c r="B1297" i="200" s="1"/>
  <c r="B1301" i="200" s="1"/>
  <c r="B1305" i="200" s="1"/>
  <c r="B1309" i="200" s="1"/>
  <c r="B1313" i="200" s="1"/>
  <c r="B1317" i="200" s="1"/>
  <c r="B1321" i="200" s="1"/>
  <c r="B1325" i="200" s="1"/>
  <c r="B1329" i="200" s="1"/>
  <c r="B1333" i="200" s="1"/>
  <c r="B1337" i="200" s="1"/>
  <c r="B1341" i="200" s="1"/>
  <c r="B1345" i="200" s="1"/>
  <c r="B1349" i="200" s="1"/>
  <c r="B1353" i="200" s="1"/>
  <c r="B1357" i="200" s="1"/>
  <c r="B1361" i="200" s="1"/>
  <c r="B1365" i="200" s="1"/>
  <c r="B1369" i="200" s="1"/>
  <c r="B1373" i="200" s="1"/>
  <c r="B1377" i="200" s="1"/>
  <c r="B1381" i="200" s="1"/>
  <c r="B1385" i="200" s="1"/>
  <c r="B1389" i="200" s="1"/>
  <c r="B1393" i="200" s="1"/>
  <c r="B1397" i="200" s="1"/>
  <c r="B1401" i="200" s="1"/>
  <c r="B1405" i="200" s="1"/>
  <c r="B1409" i="200" s="1"/>
  <c r="B1413" i="200" s="1"/>
  <c r="B1417" i="200" s="1"/>
  <c r="B1421" i="200" s="1"/>
  <c r="B1425" i="200" s="1"/>
  <c r="B1429" i="200" s="1"/>
  <c r="B1433" i="200" s="1"/>
  <c r="B1437" i="200" s="1"/>
  <c r="B1441" i="200" s="1"/>
  <c r="B1445" i="200" s="1"/>
  <c r="B1449" i="200" s="1"/>
  <c r="B1453" i="200" s="1"/>
  <c r="B1457" i="200" s="1"/>
  <c r="B1461" i="200" s="1"/>
  <c r="B1465" i="200" s="1"/>
  <c r="B1469" i="200" s="1"/>
  <c r="B1473" i="200" s="1"/>
  <c r="B1477" i="200" s="1"/>
  <c r="B1481" i="200" s="1"/>
  <c r="B1485" i="200" s="1"/>
  <c r="B1489" i="200" s="1"/>
  <c r="B1493" i="200" s="1"/>
  <c r="B1497" i="200" s="1"/>
  <c r="B1501" i="200" s="1"/>
  <c r="B1505" i="200" s="1"/>
  <c r="B1509" i="200" s="1"/>
  <c r="B1513" i="200" s="1"/>
  <c r="B1517" i="200" s="1"/>
  <c r="B1521" i="200" s="1"/>
  <c r="B1525" i="200" s="1"/>
  <c r="B1529" i="200" s="1"/>
  <c r="B1533" i="200" s="1"/>
  <c r="B1537" i="200" s="1"/>
  <c r="B1541" i="200" s="1"/>
  <c r="B1545" i="200" s="1"/>
  <c r="B1549" i="200" s="1"/>
  <c r="B1553" i="200" s="1"/>
  <c r="B1557" i="200" s="1"/>
  <c r="B1561" i="200" s="1"/>
  <c r="B1565" i="200" s="1"/>
  <c r="B1569" i="200" s="1"/>
  <c r="B1573" i="200" s="1"/>
  <c r="B1577" i="200" s="1"/>
  <c r="B1581" i="200" s="1"/>
  <c r="B1585" i="200" s="1"/>
  <c r="B1589" i="200" s="1"/>
  <c r="B1593" i="200" s="1"/>
  <c r="B1597" i="200" s="1"/>
  <c r="B1601" i="200" s="1"/>
  <c r="B1605" i="200" s="1"/>
  <c r="B1609" i="200" s="1"/>
  <c r="B1613" i="200" s="1"/>
  <c r="B1617" i="200" s="1"/>
  <c r="B1621" i="200" s="1"/>
  <c r="B1625" i="200" s="1"/>
  <c r="B1629" i="200" s="1"/>
  <c r="B1633" i="200" s="1"/>
  <c r="B1637" i="200" s="1"/>
  <c r="B1641" i="200" s="1"/>
  <c r="B1645" i="200" s="1"/>
  <c r="B1649" i="200" s="1"/>
  <c r="B1653" i="200" s="1"/>
  <c r="B1657" i="200" s="1"/>
  <c r="B1661" i="200" s="1"/>
  <c r="B1665" i="200" s="1"/>
  <c r="B1669" i="200" s="1"/>
  <c r="B1673" i="200" s="1"/>
  <c r="B1677" i="200" s="1"/>
  <c r="B1681" i="200" s="1"/>
  <c r="B1685" i="200" s="1"/>
  <c r="B1689" i="200" s="1"/>
  <c r="B1693" i="200" s="1"/>
  <c r="B1697" i="200" s="1"/>
  <c r="B1701" i="200" s="1"/>
  <c r="B1705" i="200" s="1"/>
  <c r="B1709" i="200" s="1"/>
  <c r="B1713" i="200" s="1"/>
  <c r="B1717" i="200" s="1"/>
  <c r="B1721" i="200" s="1"/>
  <c r="B1725" i="200" s="1"/>
  <c r="B1729" i="200" s="1"/>
  <c r="B1733" i="200" s="1"/>
  <c r="B1737" i="200" s="1"/>
  <c r="B1741" i="200" s="1"/>
  <c r="B1745" i="200" s="1"/>
  <c r="B1749" i="200" s="1"/>
  <c r="B1753" i="200" s="1"/>
  <c r="B1757" i="200" s="1"/>
  <c r="B1761" i="200" s="1"/>
  <c r="B1765" i="200" s="1"/>
  <c r="B1769" i="200" s="1"/>
  <c r="B1773" i="200" s="1"/>
  <c r="B1777" i="200" s="1"/>
  <c r="B1781" i="200" s="1"/>
  <c r="B1785" i="200" s="1"/>
  <c r="B1789" i="200" s="1"/>
  <c r="B1793" i="200" s="1"/>
  <c r="B1797" i="200" s="1"/>
  <c r="B1801" i="200" s="1"/>
  <c r="B1805" i="200" s="1"/>
  <c r="B1809" i="200" s="1"/>
  <c r="B1813" i="200" s="1"/>
  <c r="B1817" i="200" s="1"/>
  <c r="B1821" i="200" s="1"/>
  <c r="B1825" i="200" s="1"/>
  <c r="B1829" i="200" s="1"/>
  <c r="B1833" i="200" s="1"/>
  <c r="B1837" i="200" s="1"/>
  <c r="B1841" i="200" s="1"/>
  <c r="B1845" i="200" s="1"/>
  <c r="B1849" i="200" s="1"/>
  <c r="B1853" i="200" s="1"/>
  <c r="B1857" i="200" s="1"/>
  <c r="B1861" i="200" s="1"/>
  <c r="B1865" i="200" s="1"/>
  <c r="B1869" i="200" s="1"/>
  <c r="B1873" i="200" s="1"/>
  <c r="B1877" i="200" s="1"/>
  <c r="B1881" i="200" s="1"/>
  <c r="B1885" i="200" s="1"/>
  <c r="B1889" i="200" s="1"/>
  <c r="B1893" i="200" s="1"/>
  <c r="B1897" i="200" s="1"/>
  <c r="B1901" i="200" s="1"/>
  <c r="B1905" i="200" s="1"/>
  <c r="B1909" i="200" s="1"/>
  <c r="B1913" i="200" s="1"/>
  <c r="B1917" i="200" s="1"/>
  <c r="B1921" i="200" s="1"/>
  <c r="B1925" i="200" s="1"/>
  <c r="B1929" i="200" s="1"/>
  <c r="B1933" i="200" s="1"/>
  <c r="B1937" i="200" s="1"/>
  <c r="B1941" i="200" s="1"/>
  <c r="B1945" i="200" s="1"/>
  <c r="B1949" i="200" s="1"/>
  <c r="B1953" i="200" s="1"/>
  <c r="B1957" i="200" s="1"/>
  <c r="B1961" i="200" s="1"/>
  <c r="B1965" i="200" s="1"/>
  <c r="B1969" i="200" s="1"/>
  <c r="B1973" i="200" s="1"/>
  <c r="B1977" i="200" s="1"/>
  <c r="B1981" i="200" s="1"/>
  <c r="B1985" i="200" s="1"/>
  <c r="B1989" i="200" s="1"/>
  <c r="B1993" i="200" s="1"/>
  <c r="B1997" i="200" s="1"/>
  <c r="B2001" i="200" s="1"/>
  <c r="N5" i="200"/>
  <c r="V2" i="200"/>
  <c r="R1" i="200"/>
  <c r="Q1" i="200"/>
  <c r="P1" i="200"/>
  <c r="O1" i="200"/>
  <c r="N1" i="200"/>
  <c r="M1" i="200"/>
  <c r="L1" i="200"/>
  <c r="K1" i="200"/>
  <c r="J1" i="200"/>
  <c r="I1" i="200"/>
  <c r="H1" i="200"/>
  <c r="G1" i="200"/>
  <c r="F1" i="200"/>
  <c r="E1" i="200"/>
  <c r="D1" i="200"/>
  <c r="C1" i="200"/>
  <c r="B1" i="200"/>
  <c r="A1" i="200"/>
  <c r="B37" i="192"/>
  <c r="B41" i="192" s="1"/>
  <c r="B45" i="192" s="1"/>
  <c r="B49" i="192" s="1"/>
  <c r="B53" i="192" s="1"/>
  <c r="B57" i="192" s="1"/>
  <c r="B61" i="192" s="1"/>
  <c r="B65" i="192" s="1"/>
  <c r="B69" i="192" s="1"/>
  <c r="B73" i="192" s="1"/>
  <c r="B77" i="192" s="1"/>
  <c r="B81" i="192" s="1"/>
  <c r="B85" i="192" s="1"/>
  <c r="B89" i="192" s="1"/>
  <c r="B93" i="192" s="1"/>
  <c r="B97" i="192" s="1"/>
  <c r="B101" i="192" s="1"/>
  <c r="B105" i="192" s="1"/>
  <c r="B109" i="192" s="1"/>
  <c r="B113" i="192" s="1"/>
  <c r="B117" i="192" s="1"/>
  <c r="B121" i="192" s="1"/>
  <c r="B125" i="192" s="1"/>
  <c r="B129" i="192" s="1"/>
  <c r="B133" i="192" s="1"/>
  <c r="B137" i="192" s="1"/>
  <c r="B141" i="192" s="1"/>
  <c r="B145" i="192" s="1"/>
  <c r="B149" i="192" s="1"/>
  <c r="B153" i="192" s="1"/>
  <c r="B157" i="192" s="1"/>
  <c r="B161" i="192" s="1"/>
  <c r="B165" i="192" s="1"/>
  <c r="B169" i="192" s="1"/>
  <c r="B173" i="192" s="1"/>
  <c r="B177" i="192" s="1"/>
  <c r="B181" i="192" s="1"/>
  <c r="B185" i="192" s="1"/>
  <c r="B189" i="192" s="1"/>
  <c r="B193" i="192" s="1"/>
  <c r="B197" i="192" s="1"/>
  <c r="B201" i="192" s="1"/>
  <c r="B205" i="192" s="1"/>
  <c r="B209" i="192" s="1"/>
  <c r="B213" i="192" s="1"/>
  <c r="B217" i="192" s="1"/>
  <c r="B221" i="192" s="1"/>
  <c r="B225" i="192" s="1"/>
  <c r="B229" i="192" s="1"/>
  <c r="B233" i="192" s="1"/>
  <c r="B237" i="192" s="1"/>
  <c r="B241" i="192" s="1"/>
  <c r="B245" i="192" s="1"/>
  <c r="B249" i="192" s="1"/>
  <c r="B253" i="192" s="1"/>
  <c r="B257" i="192" s="1"/>
  <c r="B261" i="192" s="1"/>
  <c r="B265" i="192" s="1"/>
  <c r="B269" i="192" s="1"/>
  <c r="B273" i="192" s="1"/>
  <c r="B277" i="192" s="1"/>
  <c r="B281" i="192" s="1"/>
  <c r="B285" i="192" s="1"/>
  <c r="B289" i="192" s="1"/>
  <c r="B293" i="192" s="1"/>
  <c r="B297" i="192" s="1"/>
  <c r="B301" i="192" s="1"/>
  <c r="B305" i="192" s="1"/>
  <c r="B309" i="192" s="1"/>
  <c r="B313" i="192" s="1"/>
  <c r="B317" i="192" s="1"/>
  <c r="B321" i="192" s="1"/>
  <c r="B325" i="192" s="1"/>
  <c r="B329" i="192" s="1"/>
  <c r="B333" i="192" s="1"/>
  <c r="B337" i="192" s="1"/>
  <c r="B341" i="192" s="1"/>
  <c r="B345" i="192" s="1"/>
  <c r="B349" i="192" s="1"/>
  <c r="B353" i="192" s="1"/>
  <c r="B357" i="192" s="1"/>
  <c r="B361" i="192" s="1"/>
  <c r="B365" i="192" s="1"/>
  <c r="B369" i="192" s="1"/>
  <c r="B373" i="192" s="1"/>
  <c r="B377" i="192" s="1"/>
  <c r="B381" i="192" s="1"/>
  <c r="B385" i="192" s="1"/>
  <c r="B389" i="192" s="1"/>
  <c r="B393" i="192" s="1"/>
  <c r="B397" i="192" s="1"/>
  <c r="B401" i="192" s="1"/>
  <c r="B405" i="192" s="1"/>
  <c r="B409" i="192" s="1"/>
  <c r="B413" i="192" s="1"/>
  <c r="B417" i="192" s="1"/>
  <c r="B421" i="192" s="1"/>
  <c r="B425" i="192" s="1"/>
  <c r="B429" i="192" s="1"/>
  <c r="B433" i="192" s="1"/>
  <c r="B437" i="192" s="1"/>
  <c r="B441" i="192" s="1"/>
  <c r="B445" i="192" s="1"/>
  <c r="B449" i="192" s="1"/>
  <c r="B453" i="192" s="1"/>
  <c r="B457" i="192" s="1"/>
  <c r="B461" i="192" s="1"/>
  <c r="B465" i="192" s="1"/>
  <c r="B469" i="192" s="1"/>
  <c r="B473" i="192" s="1"/>
  <c r="B477" i="192" s="1"/>
  <c r="B481" i="192" s="1"/>
  <c r="B485" i="192" s="1"/>
  <c r="B489" i="192" s="1"/>
  <c r="B493" i="192" s="1"/>
  <c r="B497" i="192" s="1"/>
  <c r="B501" i="192" s="1"/>
  <c r="B505" i="192" s="1"/>
  <c r="B509" i="192" s="1"/>
  <c r="B513" i="192" s="1"/>
  <c r="B517" i="192" s="1"/>
  <c r="B521" i="192" s="1"/>
  <c r="B525" i="192" s="1"/>
  <c r="B529" i="192" s="1"/>
  <c r="B533" i="192" s="1"/>
  <c r="B537" i="192" s="1"/>
  <c r="B541" i="192" s="1"/>
  <c r="B545" i="192" s="1"/>
  <c r="B549" i="192" s="1"/>
  <c r="B553" i="192" s="1"/>
  <c r="B557" i="192" s="1"/>
  <c r="B561" i="192" s="1"/>
  <c r="B565" i="192" s="1"/>
  <c r="B569" i="192" s="1"/>
  <c r="B573" i="192" s="1"/>
  <c r="B577" i="192" s="1"/>
  <c r="B581" i="192" s="1"/>
  <c r="B585" i="192" s="1"/>
  <c r="B589" i="192" s="1"/>
  <c r="B593" i="192" s="1"/>
  <c r="B597" i="192" s="1"/>
  <c r="B601" i="192" s="1"/>
  <c r="B605" i="192" s="1"/>
  <c r="B609" i="192" s="1"/>
  <c r="B613" i="192" s="1"/>
  <c r="B617" i="192" s="1"/>
  <c r="B621" i="192" s="1"/>
  <c r="B625" i="192" s="1"/>
  <c r="B629" i="192" s="1"/>
  <c r="B633" i="192" s="1"/>
  <c r="B637" i="192" s="1"/>
  <c r="B641" i="192" s="1"/>
  <c r="B645" i="192" s="1"/>
  <c r="B649" i="192" s="1"/>
  <c r="B653" i="192" s="1"/>
  <c r="B657" i="192" s="1"/>
  <c r="B661" i="192" s="1"/>
  <c r="B665" i="192" s="1"/>
  <c r="B669" i="192" s="1"/>
  <c r="B673" i="192" s="1"/>
  <c r="B677" i="192" s="1"/>
  <c r="B681" i="192" s="1"/>
  <c r="B685" i="192" s="1"/>
  <c r="B689" i="192" s="1"/>
  <c r="B693" i="192" s="1"/>
  <c r="B697" i="192" s="1"/>
  <c r="B701" i="192" s="1"/>
  <c r="B705" i="192" s="1"/>
  <c r="B709" i="192" s="1"/>
  <c r="B713" i="192" s="1"/>
  <c r="B717" i="192" s="1"/>
  <c r="B721" i="192" s="1"/>
  <c r="B725" i="192" s="1"/>
  <c r="B729" i="192" s="1"/>
  <c r="B733" i="192" s="1"/>
  <c r="B737" i="192" s="1"/>
  <c r="B741" i="192" s="1"/>
  <c r="B745" i="192" s="1"/>
  <c r="B749" i="192" s="1"/>
  <c r="B753" i="192" s="1"/>
  <c r="B757" i="192" s="1"/>
  <c r="B761" i="192" s="1"/>
  <c r="B765" i="192" s="1"/>
  <c r="B769" i="192" s="1"/>
  <c r="B773" i="192" s="1"/>
  <c r="B777" i="192" s="1"/>
  <c r="B781" i="192" s="1"/>
  <c r="B785" i="192" s="1"/>
  <c r="B789" i="192" s="1"/>
  <c r="B793" i="192" s="1"/>
  <c r="B797" i="192" s="1"/>
  <c r="B801" i="192" s="1"/>
  <c r="B805" i="192" s="1"/>
  <c r="B809" i="192" s="1"/>
  <c r="B813" i="192" s="1"/>
  <c r="B817" i="192" s="1"/>
  <c r="B821" i="192" s="1"/>
  <c r="B825" i="192" s="1"/>
  <c r="B829" i="192" s="1"/>
  <c r="B833" i="192" s="1"/>
  <c r="B837" i="192" s="1"/>
  <c r="B841" i="192" s="1"/>
  <c r="B845" i="192" s="1"/>
  <c r="B849" i="192" s="1"/>
  <c r="B853" i="192" s="1"/>
  <c r="B857" i="192" s="1"/>
  <c r="B861" i="192" s="1"/>
  <c r="B865" i="192" s="1"/>
  <c r="B869" i="192" s="1"/>
  <c r="B873" i="192" s="1"/>
  <c r="B877" i="192" s="1"/>
  <c r="B881" i="192" s="1"/>
  <c r="B885" i="192" s="1"/>
  <c r="B889" i="192" s="1"/>
  <c r="B893" i="192" s="1"/>
  <c r="B897" i="192" s="1"/>
  <c r="B901" i="192" s="1"/>
  <c r="B905" i="192" s="1"/>
  <c r="B909" i="192" s="1"/>
  <c r="B913" i="192" s="1"/>
  <c r="B917" i="192" s="1"/>
  <c r="B921" i="192" s="1"/>
  <c r="B925" i="192" s="1"/>
  <c r="B929" i="192" s="1"/>
  <c r="B933" i="192" s="1"/>
  <c r="B937" i="192" s="1"/>
  <c r="B941" i="192" s="1"/>
  <c r="B945" i="192" s="1"/>
  <c r="B949" i="192" s="1"/>
  <c r="B953" i="192" s="1"/>
  <c r="B957" i="192" s="1"/>
  <c r="B961" i="192" s="1"/>
  <c r="B965" i="192" s="1"/>
  <c r="B969" i="192" s="1"/>
  <c r="B973" i="192" s="1"/>
  <c r="B977" i="192" s="1"/>
  <c r="B981" i="192" s="1"/>
  <c r="B985" i="192" s="1"/>
  <c r="B989" i="192" s="1"/>
  <c r="B993" i="192" s="1"/>
  <c r="B997" i="192" s="1"/>
  <c r="B1001" i="192" s="1"/>
  <c r="B1005" i="192" s="1"/>
  <c r="B1009" i="192" s="1"/>
  <c r="B1013" i="192" s="1"/>
  <c r="B1017" i="192" s="1"/>
  <c r="B1021" i="192" s="1"/>
  <c r="B1025" i="192" s="1"/>
  <c r="B1029" i="192" s="1"/>
  <c r="B1033" i="192" s="1"/>
  <c r="B1037" i="192" s="1"/>
  <c r="B1041" i="192" s="1"/>
  <c r="B1045" i="192" s="1"/>
  <c r="B1049" i="192" s="1"/>
  <c r="B1053" i="192" s="1"/>
  <c r="B1057" i="192" s="1"/>
  <c r="B1061" i="192" s="1"/>
  <c r="B1065" i="192" s="1"/>
  <c r="B1069" i="192" s="1"/>
  <c r="B1073" i="192" s="1"/>
  <c r="B1077" i="192" s="1"/>
  <c r="B1081" i="192" s="1"/>
  <c r="B1085" i="192" s="1"/>
  <c r="B1089" i="192" s="1"/>
  <c r="B1093" i="192" s="1"/>
  <c r="B1097" i="192" s="1"/>
  <c r="B1101" i="192" s="1"/>
  <c r="B1105" i="192" s="1"/>
  <c r="B1109" i="192" s="1"/>
  <c r="B1113" i="192" s="1"/>
  <c r="B1117" i="192" s="1"/>
  <c r="B1121" i="192" s="1"/>
  <c r="B1125" i="192" s="1"/>
  <c r="B1129" i="192" s="1"/>
  <c r="B1133" i="192" s="1"/>
  <c r="B1137" i="192" s="1"/>
  <c r="B1141" i="192" s="1"/>
  <c r="B1145" i="192" s="1"/>
  <c r="B1149" i="192" s="1"/>
  <c r="B1153" i="192" s="1"/>
  <c r="B1157" i="192" s="1"/>
  <c r="B1161" i="192" s="1"/>
  <c r="B1165" i="192" s="1"/>
  <c r="B1169" i="192" s="1"/>
  <c r="B1173" i="192" s="1"/>
  <c r="B1177" i="192" s="1"/>
  <c r="B1181" i="192" s="1"/>
  <c r="B1185" i="192" s="1"/>
  <c r="B1189" i="192" s="1"/>
  <c r="B1193" i="192" s="1"/>
  <c r="B1197" i="192" s="1"/>
  <c r="B1201" i="192" s="1"/>
  <c r="B1205" i="192" s="1"/>
  <c r="B1209" i="192" s="1"/>
  <c r="B1213" i="192" s="1"/>
  <c r="B1217" i="192" s="1"/>
  <c r="B1221" i="192" s="1"/>
  <c r="B1225" i="192" s="1"/>
  <c r="B1229" i="192" s="1"/>
  <c r="B1233" i="192" s="1"/>
  <c r="B1237" i="192" s="1"/>
  <c r="B1241" i="192" s="1"/>
  <c r="B1245" i="192" s="1"/>
  <c r="B1249" i="192" s="1"/>
  <c r="B1253" i="192" s="1"/>
  <c r="B1257" i="192" s="1"/>
  <c r="B1261" i="192" s="1"/>
  <c r="B1265" i="192" s="1"/>
  <c r="B1269" i="192" s="1"/>
  <c r="B1273" i="192" s="1"/>
  <c r="B1277" i="192" s="1"/>
  <c r="B1281" i="192" s="1"/>
  <c r="B1285" i="192" s="1"/>
  <c r="B1289" i="192" s="1"/>
  <c r="B1293" i="192" s="1"/>
  <c r="B1297" i="192" s="1"/>
  <c r="B1301" i="192" s="1"/>
  <c r="B1305" i="192" s="1"/>
  <c r="B1309" i="192" s="1"/>
  <c r="B1313" i="192" s="1"/>
  <c r="B1317" i="192" s="1"/>
  <c r="B1321" i="192" s="1"/>
  <c r="B1325" i="192" s="1"/>
  <c r="B1329" i="192" s="1"/>
  <c r="B1333" i="192" s="1"/>
  <c r="B1337" i="192" s="1"/>
  <c r="B1341" i="192" s="1"/>
  <c r="B1345" i="192" s="1"/>
  <c r="B1349" i="192" s="1"/>
  <c r="B1353" i="192" s="1"/>
  <c r="B1357" i="192" s="1"/>
  <c r="B1361" i="192" s="1"/>
  <c r="B1365" i="192" s="1"/>
  <c r="B1369" i="192" s="1"/>
  <c r="B1373" i="192" s="1"/>
  <c r="B1377" i="192" s="1"/>
  <c r="B1381" i="192" s="1"/>
  <c r="B1385" i="192" s="1"/>
  <c r="B1389" i="192" s="1"/>
  <c r="B1393" i="192" s="1"/>
  <c r="B1397" i="192" s="1"/>
  <c r="B1401" i="192" s="1"/>
  <c r="B1405" i="192" s="1"/>
  <c r="B1409" i="192" s="1"/>
  <c r="B1413" i="192" s="1"/>
  <c r="B1417" i="192" s="1"/>
  <c r="B1421" i="192" s="1"/>
  <c r="B1425" i="192" s="1"/>
  <c r="B1429" i="192" s="1"/>
  <c r="B1433" i="192" s="1"/>
  <c r="B1437" i="192" s="1"/>
  <c r="B1441" i="192" s="1"/>
  <c r="B1445" i="192" s="1"/>
  <c r="B1449" i="192" s="1"/>
  <c r="B1453" i="192" s="1"/>
  <c r="B1457" i="192" s="1"/>
  <c r="B1461" i="192" s="1"/>
  <c r="B1465" i="192" s="1"/>
  <c r="B1469" i="192" s="1"/>
  <c r="B1473" i="192" s="1"/>
  <c r="B1477" i="192" s="1"/>
  <c r="B1481" i="192" s="1"/>
  <c r="B1485" i="192" s="1"/>
  <c r="B1489" i="192" s="1"/>
  <c r="B1493" i="192" s="1"/>
  <c r="B1497" i="192" s="1"/>
  <c r="B1501" i="192" s="1"/>
  <c r="B1505" i="192" s="1"/>
  <c r="B1509" i="192" s="1"/>
  <c r="B1513" i="192" s="1"/>
  <c r="B1517" i="192" s="1"/>
  <c r="B1521" i="192" s="1"/>
  <c r="B1525" i="192" s="1"/>
  <c r="B1529" i="192" s="1"/>
  <c r="B1533" i="192" s="1"/>
  <c r="B1537" i="192" s="1"/>
  <c r="B1541" i="192" s="1"/>
  <c r="B1545" i="192" s="1"/>
  <c r="B1549" i="192" s="1"/>
  <c r="B1553" i="192" s="1"/>
  <c r="B1557" i="192" s="1"/>
  <c r="B1561" i="192" s="1"/>
  <c r="B1565" i="192" s="1"/>
  <c r="B1569" i="192" s="1"/>
  <c r="B1573" i="192" s="1"/>
  <c r="B1577" i="192" s="1"/>
  <c r="B1581" i="192" s="1"/>
  <c r="B1585" i="192" s="1"/>
  <c r="B1589" i="192" s="1"/>
  <c r="B1593" i="192" s="1"/>
  <c r="B1597" i="192" s="1"/>
  <c r="B1601" i="192" s="1"/>
  <c r="B1605" i="192" s="1"/>
  <c r="B1609" i="192" s="1"/>
  <c r="B1613" i="192" s="1"/>
  <c r="B1617" i="192" s="1"/>
  <c r="B1621" i="192" s="1"/>
  <c r="B1625" i="192" s="1"/>
  <c r="B1629" i="192" s="1"/>
  <c r="B1633" i="192" s="1"/>
  <c r="B1637" i="192" s="1"/>
  <c r="B1641" i="192" s="1"/>
  <c r="B1645" i="192" s="1"/>
  <c r="B1649" i="192" s="1"/>
  <c r="B1653" i="192" s="1"/>
  <c r="B1657" i="192" s="1"/>
  <c r="B1661" i="192" s="1"/>
  <c r="B1665" i="192" s="1"/>
  <c r="B1669" i="192" s="1"/>
  <c r="B1673" i="192" s="1"/>
  <c r="B1677" i="192" s="1"/>
  <c r="B1681" i="192" s="1"/>
  <c r="B1685" i="192" s="1"/>
  <c r="B1689" i="192" s="1"/>
  <c r="B1693" i="192" s="1"/>
  <c r="B1697" i="192" s="1"/>
  <c r="B1701" i="192" s="1"/>
  <c r="B1705" i="192" s="1"/>
  <c r="B1709" i="192" s="1"/>
  <c r="B1713" i="192" s="1"/>
  <c r="B1717" i="192" s="1"/>
  <c r="B1721" i="192" s="1"/>
  <c r="B1725" i="192" s="1"/>
  <c r="B1729" i="192" s="1"/>
  <c r="B1733" i="192" s="1"/>
  <c r="B1737" i="192" s="1"/>
  <c r="B1741" i="192" s="1"/>
  <c r="B1745" i="192" s="1"/>
  <c r="B1749" i="192" s="1"/>
  <c r="B1753" i="192" s="1"/>
  <c r="B1757" i="192" s="1"/>
  <c r="B1761" i="192" s="1"/>
  <c r="B1765" i="192" s="1"/>
  <c r="B1769" i="192" s="1"/>
  <c r="B1773" i="192" s="1"/>
  <c r="B1777" i="192" s="1"/>
  <c r="B1781" i="192" s="1"/>
  <c r="B1785" i="192" s="1"/>
  <c r="B1789" i="192" s="1"/>
  <c r="B1793" i="192" s="1"/>
  <c r="B1797" i="192" s="1"/>
  <c r="B1801" i="192" s="1"/>
  <c r="B1805" i="192" s="1"/>
  <c r="B1809" i="192" s="1"/>
  <c r="B1813" i="192" s="1"/>
  <c r="B1817" i="192" s="1"/>
  <c r="B1821" i="192" s="1"/>
  <c r="B1825" i="192" s="1"/>
  <c r="B1829" i="192" s="1"/>
  <c r="B1833" i="192" s="1"/>
  <c r="B1837" i="192" s="1"/>
  <c r="B1841" i="192" s="1"/>
  <c r="B1845" i="192" s="1"/>
  <c r="B1849" i="192" s="1"/>
  <c r="B1853" i="192" s="1"/>
  <c r="B1857" i="192" s="1"/>
  <c r="B1861" i="192" s="1"/>
  <c r="B1865" i="192" s="1"/>
  <c r="B1869" i="192" s="1"/>
  <c r="B1873" i="192" s="1"/>
  <c r="B1877" i="192" s="1"/>
  <c r="B1881" i="192" s="1"/>
  <c r="B1885" i="192" s="1"/>
  <c r="B1889" i="192" s="1"/>
  <c r="B1893" i="192" s="1"/>
  <c r="B1897" i="192" s="1"/>
  <c r="B1901" i="192" s="1"/>
  <c r="B1905" i="192" s="1"/>
  <c r="B1909" i="192" s="1"/>
  <c r="B1913" i="192" s="1"/>
  <c r="B1917" i="192" s="1"/>
  <c r="B1921" i="192" s="1"/>
  <c r="B1925" i="192" s="1"/>
  <c r="B1929" i="192" s="1"/>
  <c r="B1933" i="192" s="1"/>
  <c r="B1937" i="192" s="1"/>
  <c r="B1941" i="192" s="1"/>
  <c r="B1945" i="192" s="1"/>
  <c r="B1949" i="192" s="1"/>
  <c r="B1953" i="192" s="1"/>
  <c r="B1957" i="192" s="1"/>
  <c r="B1961" i="192" s="1"/>
  <c r="B1965" i="192" s="1"/>
  <c r="B1969" i="192" s="1"/>
  <c r="B1973" i="192" s="1"/>
  <c r="B1977" i="192" s="1"/>
  <c r="B1981" i="192" s="1"/>
  <c r="B1985" i="192" s="1"/>
  <c r="B1989" i="192" s="1"/>
  <c r="B1993" i="192" s="1"/>
  <c r="B1997" i="192" s="1"/>
  <c r="B2001" i="192" s="1"/>
  <c r="U32" i="192"/>
  <c r="U31" i="192"/>
  <c r="U30" i="192"/>
  <c r="U29" i="192"/>
  <c r="Q29" i="192"/>
  <c r="U28" i="192"/>
  <c r="U27" i="192"/>
  <c r="R25" i="192"/>
  <c r="E21" i="192"/>
  <c r="F13" i="192"/>
  <c r="B13" i="192"/>
  <c r="B17" i="192" s="1"/>
  <c r="B21" i="192" s="1"/>
  <c r="B25" i="192" s="1"/>
  <c r="B29" i="192" s="1"/>
  <c r="B33" i="192" s="1"/>
  <c r="B9" i="192"/>
  <c r="N5" i="192"/>
  <c r="V2" i="192"/>
  <c r="R1" i="192"/>
  <c r="Q1" i="192"/>
  <c r="P1" i="192"/>
  <c r="O1" i="192"/>
  <c r="N1" i="192"/>
  <c r="M1" i="192"/>
  <c r="L1" i="192"/>
  <c r="K1" i="192"/>
  <c r="J1" i="192"/>
  <c r="I1" i="192"/>
  <c r="H1" i="192"/>
  <c r="G1" i="192"/>
  <c r="F1" i="192"/>
  <c r="E1" i="192"/>
  <c r="D1" i="192"/>
  <c r="C1" i="192"/>
  <c r="B1" i="192"/>
  <c r="A1" i="192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</calcChain>
</file>

<file path=xl/sharedStrings.xml><?xml version="1.0" encoding="utf-8"?>
<sst xmlns="http://schemas.openxmlformats.org/spreadsheetml/2006/main" count="1525" uniqueCount="455">
  <si>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</si>
  <si>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</si>
  <si>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</si>
  <si>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</si>
  <si>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</si>
  <si>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</si>
  <si>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</si>
  <si>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</si>
  <si>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</si>
  <si>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</si>
  <si>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</si>
  <si>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</si>
  <si>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</si>
  <si>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</si>
  <si>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</si>
  <si>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</si>
  <si>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</si>
  <si>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</si>
  <si>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</si>
  <si>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</si>
  <si>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</si>
  <si>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</si>
  <si>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</si>
  <si>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</si>
  <si>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</si>
  <si>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</si>
  <si>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</si>
  <si>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</si>
  <si>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</si>
  <si>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output7</t>
    <phoneticPr fontId="1" type="noConversion"/>
  </si>
  <si>
    <t>閩拼調符</t>
  </si>
  <si>
    <t>其</t>
  </si>
  <si>
    <t>無</t>
  </si>
  <si>
    <t>之</t>
  </si>
  <si>
    <t>有</t>
  </si>
  <si>
    <t>三</t>
  </si>
  <si>
    <t>以</t>
  </si>
  <si>
    <t>為</t>
  </si>
  <si>
    <t>ziong1</t>
  </si>
  <si>
    <t>zi1</t>
  </si>
  <si>
    <t>tong1</t>
  </si>
  <si>
    <t>i2</t>
  </si>
  <si>
    <t>ui5</t>
  </si>
  <si>
    <t>sip8</t>
  </si>
  <si>
    <t>ki3</t>
  </si>
  <si>
    <t>gi5</t>
  </si>
  <si>
    <t>(5, 7)</t>
  </si>
  <si>
    <t>king1</t>
  </si>
  <si>
    <t>khi3</t>
  </si>
  <si>
    <t>ki5</t>
  </si>
  <si>
    <t>河洛話</t>
    <phoneticPr fontId="1" type="noConversion"/>
  </si>
  <si>
    <t>ging1</t>
  </si>
  <si>
    <t>室</t>
  </si>
  <si>
    <t>時</t>
  </si>
  <si>
    <t>車</t>
  </si>
  <si>
    <t>經</t>
  </si>
  <si>
    <t>漢字</t>
  </si>
  <si>
    <t>台羅拼音</t>
  </si>
  <si>
    <t>十五音</t>
  </si>
  <si>
    <t>《</t>
  </si>
  <si>
    <t>道</t>
  </si>
  <si>
    <t>德</t>
  </si>
  <si>
    <t>第</t>
  </si>
  <si>
    <t>十</t>
  </si>
  <si>
    <t>一</t>
  </si>
  <si>
    <t>章</t>
  </si>
  <si>
    <t>》</t>
  </si>
  <si>
    <t>輻</t>
  </si>
  <si>
    <t>同</t>
  </si>
  <si>
    <t>轂</t>
  </si>
  <si>
    <t>當</t>
  </si>
  <si>
    <t>用</t>
  </si>
  <si>
    <t>也</t>
  </si>
  <si>
    <t>埏</t>
  </si>
  <si>
    <t>埴</t>
  </si>
  <si>
    <t>器</t>
  </si>
  <si>
    <t>鑿</t>
  </si>
  <si>
    <t>戶</t>
  </si>
  <si>
    <t>牖</t>
  </si>
  <si>
    <t>故</t>
  </si>
  <si>
    <t>利</t>
  </si>
  <si>
    <t>to7</t>
  </si>
  <si>
    <t>dor7</t>
  </si>
  <si>
    <t>tik4</t>
  </si>
  <si>
    <t>diek4</t>
  </si>
  <si>
    <t>te7</t>
  </si>
  <si>
    <t>de7</t>
  </si>
  <si>
    <t>ship8</t>
  </si>
  <si>
    <t>it4</t>
  </si>
  <si>
    <t>jiong1</t>
  </si>
  <si>
    <t>hok4</t>
  </si>
  <si>
    <t>kok4</t>
  </si>
  <si>
    <t>gok4</t>
  </si>
  <si>
    <t>dong1</t>
  </si>
  <si>
    <t>iu2</t>
  </si>
  <si>
    <t>ku1</t>
  </si>
  <si>
    <t>gu1</t>
  </si>
  <si>
    <t>ji1</t>
  </si>
  <si>
    <t>iong7</t>
  </si>
  <si>
    <t>ia2</t>
  </si>
  <si>
    <t>ian5</t>
  </si>
  <si>
    <t>sit8</t>
  </si>
  <si>
    <t>shit8</t>
  </si>
  <si>
    <t>(17, 4)</t>
  </si>
  <si>
    <t>cak8</t>
  </si>
  <si>
    <t>hoo7</t>
  </si>
  <si>
    <t>sik4</t>
  </si>
  <si>
    <t>shiek4</t>
  </si>
  <si>
    <t>koo3</t>
  </si>
  <si>
    <t>goo3</t>
  </si>
  <si>
    <t>li7</t>
  </si>
  <si>
    <t xml:space="preserve">《道德經。第十一章》
三十輻同一轂，當其無，有車之用也。
埏埴為器，當其無，有埴器之用也。
鑿戶牖，當其無，有室之用也。
故有之以為利，無之以為用。
</t>
  </si>
  <si>
    <t>sam1</t>
  </si>
  <si>
    <t>(5, 10); (9, 5)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</si>
  <si>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</si>
  <si>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</si>
  <si>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</si>
  <si>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</si>
  <si>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</si>
  <si>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</si>
  <si>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</si>
  <si>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</si>
  <si>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</si>
  <si>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</si>
  <si>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</si>
  <si>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</si>
  <si>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</si>
  <si>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</si>
  <si>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</si>
  <si>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</si>
  <si>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</si>
  <si>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</si>
  <si>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</si>
  <si>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</si>
  <si>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《道德經。第十一章》</t>
  </si>
  <si>
    <t>Tō tik king. Tē si̍p it tsiong</t>
  </si>
  <si>
    <t>00:00:25,000</t>
  </si>
  <si>
    <t>00:00:27,000</t>
  </si>
  <si>
    <t>30</t>
  </si>
  <si>
    <t>27</t>
  </si>
  <si>
    <t>Sip hok tâng it kok, tong kî bô, íu ku tsi īong ía.</t>
  </si>
  <si>
    <t>00:00:30,000</t>
  </si>
  <si>
    <t>00:00:32,000</t>
  </si>
  <si>
    <t>35</t>
  </si>
  <si>
    <t>32</t>
  </si>
  <si>
    <t>埏埴為器，當其無，有埴器之用也。</t>
  </si>
  <si>
    <t>Îan si̍t ûi khì, tong kî bô, íu si̍t khì tsi īong ía.</t>
  </si>
  <si>
    <t>00:00:35,000</t>
  </si>
  <si>
    <t>00:00:37,000</t>
  </si>
  <si>
    <t>40</t>
  </si>
  <si>
    <t>37</t>
  </si>
  <si>
    <t>鑿戶牖，當其無，有室之用也。</t>
  </si>
  <si>
    <t>00:00:40,000</t>
  </si>
  <si>
    <t>00:00:42,000</t>
  </si>
  <si>
    <t>45</t>
  </si>
  <si>
    <t>42</t>
  </si>
  <si>
    <t>故有之以為利，無之以為用。</t>
  </si>
  <si>
    <t>Kòo íu tsi í ûi lī, bô tsi í ûi īong.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</si>
  <si>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</si>
  <si>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</si>
  <si>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</si>
  <si>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</si>
  <si>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</si>
  <si>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</si>
  <si>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</si>
  <si>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</si>
  <si>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</si>
  <si>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t>tong5</t>
    <phoneticPr fontId="1" type="noConversion"/>
  </si>
  <si>
    <t>dong5</t>
    <phoneticPr fontId="1" type="noConversion"/>
  </si>
  <si>
    <t>bu5</t>
  </si>
  <si>
    <t>bu5</t>
    <phoneticPr fontId="1" type="noConversion"/>
  </si>
  <si>
    <t>bbu5</t>
    <phoneticPr fontId="1" type="noConversion"/>
  </si>
  <si>
    <t>。</t>
    <phoneticPr fontId="1" type="noConversion"/>
  </si>
  <si>
    <t>三十輻同一轂，當其無，有車之用也。</t>
  </si>
  <si>
    <t>Tsha̍k hōo iú, tong kî bô, íu sik tsi īong ía.</t>
    <phoneticPr fontId="1" type="noConversion"/>
  </si>
  <si>
    <t>Dor7 diek4 ging1. De7 ship8 it4 jiong1</t>
  </si>
  <si>
    <t>Sam1 ship8 hok4 dong5 it4 gok4, dong1 gi5 bbu5, iu2 gu1 ji1 iong7 ia2.</t>
  </si>
  <si>
    <t>Ian5 shit8 ui5 ki3, dong1 gi5 bbu5, iu2 shit8 ki3 ji1 iong7 ia2.</t>
  </si>
  <si>
    <t>Cak8 hoo7 iu2, dong1 gi5 bbu5, iu2 shiek4 ji1 iong7 ia2.</t>
  </si>
  <si>
    <t>Goo3 iu2 ji1 i2 ui5 li7, bbu5 ji1 i2 ui5 iong7.</t>
  </si>
  <si>
    <t>to7</t>
    <phoneticPr fontId="1" type="noConversion"/>
  </si>
  <si>
    <t>tō</t>
    <phoneticPr fontId="1" type="noConversion"/>
  </si>
  <si>
    <t>tik4</t>
    <phoneticPr fontId="1" type="noConversion"/>
  </si>
  <si>
    <t>tik</t>
    <phoneticPr fontId="1" type="noConversion"/>
  </si>
  <si>
    <t>king1</t>
    <phoneticPr fontId="1" type="noConversion"/>
  </si>
  <si>
    <t>king</t>
    <phoneticPr fontId="1" type="noConversion"/>
  </si>
  <si>
    <t>te7</t>
    <phoneticPr fontId="1" type="noConversion"/>
  </si>
  <si>
    <t>tē</t>
    <phoneticPr fontId="1" type="noConversion"/>
  </si>
  <si>
    <t>sip8</t>
    <phoneticPr fontId="1" type="noConversion"/>
  </si>
  <si>
    <t>si̍p</t>
    <phoneticPr fontId="1" type="noConversion"/>
  </si>
  <si>
    <t>it4</t>
    <phoneticPr fontId="1" type="noConversion"/>
  </si>
  <si>
    <t>it</t>
    <phoneticPr fontId="1" type="noConversion"/>
  </si>
  <si>
    <t>ziong1</t>
    <phoneticPr fontId="1" type="noConversion"/>
  </si>
  <si>
    <t>tsiong</t>
    <phoneticPr fontId="1" type="noConversion"/>
  </si>
  <si>
    <t>sam1</t>
    <phoneticPr fontId="1" type="noConversion"/>
  </si>
  <si>
    <t>sam</t>
    <phoneticPr fontId="1" type="noConversion"/>
  </si>
  <si>
    <t>hok4</t>
    <phoneticPr fontId="1" type="noConversion"/>
  </si>
  <si>
    <t>hok</t>
    <phoneticPr fontId="1" type="noConversion"/>
  </si>
  <si>
    <t>tông</t>
    <phoneticPr fontId="1" type="noConversion"/>
  </si>
  <si>
    <t>kok4</t>
    <phoneticPr fontId="1" type="noConversion"/>
  </si>
  <si>
    <t>kok</t>
    <phoneticPr fontId="1" type="noConversion"/>
  </si>
  <si>
    <t>tong1</t>
    <phoneticPr fontId="1" type="noConversion"/>
  </si>
  <si>
    <t>tong</t>
    <phoneticPr fontId="1" type="noConversion"/>
  </si>
  <si>
    <t>ki5</t>
    <phoneticPr fontId="1" type="noConversion"/>
  </si>
  <si>
    <t>kî</t>
    <phoneticPr fontId="1" type="noConversion"/>
  </si>
  <si>
    <t>bû</t>
    <phoneticPr fontId="1" type="noConversion"/>
  </si>
  <si>
    <t>iu2</t>
    <phoneticPr fontId="1" type="noConversion"/>
  </si>
  <si>
    <t>íu</t>
    <phoneticPr fontId="1" type="noConversion"/>
  </si>
  <si>
    <t>ku1</t>
    <phoneticPr fontId="1" type="noConversion"/>
  </si>
  <si>
    <t>ku</t>
    <phoneticPr fontId="1" type="noConversion"/>
  </si>
  <si>
    <t>zi1</t>
    <phoneticPr fontId="1" type="noConversion"/>
  </si>
  <si>
    <t>tsi</t>
    <phoneticPr fontId="1" type="noConversion"/>
  </si>
  <si>
    <t>iong7</t>
    <phoneticPr fontId="1" type="noConversion"/>
  </si>
  <si>
    <t>īong</t>
    <phoneticPr fontId="1" type="noConversion"/>
  </si>
  <si>
    <t>ia2</t>
    <phoneticPr fontId="1" type="noConversion"/>
  </si>
  <si>
    <t>ía</t>
    <phoneticPr fontId="1" type="noConversion"/>
  </si>
  <si>
    <t>ian5</t>
    <phoneticPr fontId="1" type="noConversion"/>
  </si>
  <si>
    <t>îan</t>
    <phoneticPr fontId="1" type="noConversion"/>
  </si>
  <si>
    <t>sit8</t>
    <phoneticPr fontId="1" type="noConversion"/>
  </si>
  <si>
    <t>si̍t</t>
    <phoneticPr fontId="1" type="noConversion"/>
  </si>
  <si>
    <t>ui5</t>
    <phoneticPr fontId="1" type="noConversion"/>
  </si>
  <si>
    <t>ûi</t>
    <phoneticPr fontId="1" type="noConversion"/>
  </si>
  <si>
    <t>khi3</t>
    <phoneticPr fontId="1" type="noConversion"/>
  </si>
  <si>
    <t>khì</t>
    <phoneticPr fontId="1" type="noConversion"/>
  </si>
  <si>
    <t>cak8</t>
    <phoneticPr fontId="1" type="noConversion"/>
  </si>
  <si>
    <t>tsha̍k</t>
    <phoneticPr fontId="1" type="noConversion"/>
  </si>
  <si>
    <t>hoo7</t>
    <phoneticPr fontId="1" type="noConversion"/>
  </si>
  <si>
    <t>hōo</t>
    <phoneticPr fontId="1" type="noConversion"/>
  </si>
  <si>
    <t>sik4</t>
    <phoneticPr fontId="1" type="noConversion"/>
  </si>
  <si>
    <t>sik</t>
    <phoneticPr fontId="1" type="noConversion"/>
  </si>
  <si>
    <t>koo3</t>
    <phoneticPr fontId="1" type="noConversion"/>
  </si>
  <si>
    <t>kòo</t>
    <phoneticPr fontId="1" type="noConversion"/>
  </si>
  <si>
    <t>i2</t>
    <phoneticPr fontId="1" type="noConversion"/>
  </si>
  <si>
    <t>í</t>
    <phoneticPr fontId="1" type="noConversion"/>
  </si>
  <si>
    <t>li7</t>
    <phoneticPr fontId="1" type="noConversion"/>
  </si>
  <si>
    <t>lī</t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</si>
  <si>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</si>
  <si>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</si>
  <si>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</si>
  <si>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</si>
  <si>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</si>
  <si>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</si>
  <si>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</si>
  <si>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daodejing-11.png</t>
    <phoneticPr fontId="1" type="noConversion"/>
  </si>
  <si>
    <t xml:space="preserve"> </t>
  </si>
  <si>
    <t>論</t>
  </si>
  <si>
    <t>上</t>
  </si>
  <si>
    <t>不</t>
  </si>
  <si>
    <t>是</t>
  </si>
  <si>
    <t>下</t>
  </si>
  <si>
    <t>失</t>
  </si>
  <si>
    <t>而</t>
  </si>
  <si>
    <t>仁</t>
  </si>
  <si>
    <t>義</t>
  </si>
  <si>
    <t>禮</t>
  </si>
  <si>
    <t>莫</t>
  </si>
  <si>
    <t>應</t>
  </si>
  <si>
    <t>則</t>
  </si>
  <si>
    <t>攘</t>
  </si>
  <si>
    <t>臂</t>
  </si>
  <si>
    <t>扔</t>
  </si>
  <si>
    <t>後</t>
  </si>
  <si>
    <t>夫</t>
  </si>
  <si>
    <t>者</t>
  </si>
  <si>
    <t>忠</t>
  </si>
  <si>
    <t>信</t>
  </si>
  <si>
    <t>泊</t>
  </si>
  <si>
    <t>亂</t>
  </si>
  <si>
    <t>首</t>
  </si>
  <si>
    <t>前</t>
  </si>
  <si>
    <t>識</t>
  </si>
  <si>
    <t>華</t>
  </si>
  <si>
    <t>愚</t>
  </si>
  <si>
    <t>大</t>
  </si>
  <si>
    <t>丈</t>
  </si>
  <si>
    <t>居</t>
  </si>
  <si>
    <t>亓</t>
  </si>
  <si>
    <t>厚</t>
  </si>
  <si>
    <t>實</t>
  </si>
  <si>
    <t>去</t>
  </si>
  <si>
    <t>彼</t>
  </si>
  <si>
    <t>取</t>
  </si>
  <si>
    <t>此</t>
  </si>
  <si>
    <t>dô</t>
  </si>
  <si>
    <t>dīk</t>
  </si>
  <si>
    <t>gīng</t>
  </si>
  <si>
    <t>dê</t>
  </si>
  <si>
    <t>yīt</t>
  </si>
  <si>
    <t>ziōng</t>
  </si>
  <si>
    <t>lun7</t>
  </si>
  <si>
    <t>lûn</t>
  </si>
  <si>
    <t>(9, 8)</t>
  </si>
  <si>
    <t>siong7</t>
  </si>
  <si>
    <t>siông</t>
  </si>
  <si>
    <t>put4</t>
  </si>
  <si>
    <t>būt</t>
  </si>
  <si>
    <t>si7</t>
  </si>
  <si>
    <t>sî</t>
  </si>
  <si>
    <t>yǐ</t>
  </si>
  <si>
    <t>yǔ</t>
  </si>
  <si>
    <t>ha3</t>
  </si>
  <si>
    <t>hà</t>
  </si>
  <si>
    <t>sit4</t>
  </si>
  <si>
    <t>sīt</t>
  </si>
  <si>
    <t>bbú</t>
  </si>
  <si>
    <t>wí</t>
  </si>
  <si>
    <t>ji5</t>
  </si>
  <si>
    <t>zzí</t>
  </si>
  <si>
    <t>yǎ</t>
  </si>
  <si>
    <t>jin5</t>
  </si>
  <si>
    <t>zzín</t>
  </si>
  <si>
    <t>zī</t>
  </si>
  <si>
    <t>gi7</t>
  </si>
  <si>
    <t>ggî</t>
  </si>
  <si>
    <t>le2</t>
  </si>
  <si>
    <t>lě</t>
  </si>
  <si>
    <t>bok8</t>
  </si>
  <si>
    <t>bbók</t>
  </si>
  <si>
    <t>ing1</t>
  </si>
  <si>
    <t>yīng</t>
  </si>
  <si>
    <t>zik4</t>
  </si>
  <si>
    <t>zīk</t>
  </si>
  <si>
    <t>jiong5</t>
  </si>
  <si>
    <t>zzióng</t>
  </si>
  <si>
    <t>pi3</t>
  </si>
  <si>
    <t>bì</t>
  </si>
  <si>
    <t>jing5</t>
  </si>
  <si>
    <t>zzíng</t>
  </si>
  <si>
    <t>gòo</t>
  </si>
  <si>
    <t>hôo</t>
  </si>
  <si>
    <t>(37, 4)</t>
  </si>
  <si>
    <t>hu5</t>
  </si>
  <si>
    <t>hú</t>
  </si>
  <si>
    <t>zia2</t>
  </si>
  <si>
    <t>ziǎ</t>
  </si>
  <si>
    <t>tiong1</t>
  </si>
  <si>
    <t>diōng</t>
  </si>
  <si>
    <t>sin3</t>
  </si>
  <si>
    <t>sìn</t>
  </si>
  <si>
    <t>pok8</t>
  </si>
  <si>
    <t>bók</t>
  </si>
  <si>
    <t>luan7</t>
  </si>
  <si>
    <t>luân</t>
  </si>
  <si>
    <t>siu2</t>
  </si>
  <si>
    <t>sǐu</t>
  </si>
  <si>
    <t>zian5</t>
  </si>
  <si>
    <t>zián</t>
  </si>
  <si>
    <t>bat4</t>
  </si>
  <si>
    <t>bbāt</t>
  </si>
  <si>
    <t>hua5</t>
  </si>
  <si>
    <t>huá</t>
  </si>
  <si>
    <t>gu5</t>
  </si>
  <si>
    <t>ggú</t>
  </si>
  <si>
    <t>tai7</t>
  </si>
  <si>
    <t>dâi</t>
  </si>
  <si>
    <t>tiong7</t>
  </si>
  <si>
    <t>diông</t>
  </si>
  <si>
    <t>gū</t>
  </si>
  <si>
    <t>gí</t>
  </si>
  <si>
    <t>sít</t>
  </si>
  <si>
    <t>khu3</t>
  </si>
  <si>
    <t>kù</t>
  </si>
  <si>
    <t>hit4</t>
  </si>
  <si>
    <t>hīt</t>
  </si>
  <si>
    <t>cu2</t>
  </si>
  <si>
    <t>cǔ</t>
  </si>
  <si>
    <t>(57, 5)</t>
  </si>
  <si>
    <t>(57, 14)</t>
  </si>
  <si>
    <t>lî</t>
  </si>
  <si>
    <t>yông</t>
  </si>
  <si>
    <t>(61, 6)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</si>
  <si>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</si>
  <si>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</si>
  <si>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</si>
  <si>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</si>
  <si>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第一章論德</t>
  </si>
  <si>
    <t>Dê yīt ziōng lûn dīk</t>
  </si>
  <si>
    <t>前識者道之華也而愚之首也</t>
  </si>
  <si>
    <t>Zián bbāt ziǎ dô zī huá yǎ zzí ggú zī sǐu yǎ</t>
  </si>
  <si>
    <t xml:space="preserve">《道德經。第一章》
第一章 論德
上德不德 是以有德
下德不失德 是以無德
上德無為 而無以為也
上仁為之 而無以為也
上義為之 而有以為也
上禮為之 而莫之應也
則攘臂而扔之
故失道而後德 失德而後仁
失仁而後義 失義而後禮
夫禮者 忠信之泊也 而亂之首也
前識者 道之華也 而愚之首也
是以大丈夫居亓厚而不居亓泊
居亓實而不居亓華
故去彼取此有之以為利，無之以為用。
</t>
  </si>
  <si>
    <t>道德經。第一章</t>
    <phoneticPr fontId="1" type="noConversion"/>
  </si>
  <si>
    <t>(5, 9); (9, 4)</t>
  </si>
  <si>
    <t>(5, 11); (9, 6)</t>
  </si>
  <si>
    <t>(13, 4); (21, 4); (25, 4); (29, 4); (33, 4)</t>
  </si>
  <si>
    <t>(33, 10)</t>
  </si>
  <si>
    <t>(33, 12)</t>
  </si>
  <si>
    <t>(37, 5)</t>
  </si>
  <si>
    <t>(37, 6)</t>
  </si>
  <si>
    <t>(37, 8)</t>
  </si>
  <si>
    <t>(5, 6); (9, 9); (13, 5); (13, 7); (13, 12); (17, 5); (17, 8); (17, 13); (21, 5); (41, 9); (41, 12)</t>
  </si>
  <si>
    <t>(17, 7); (41, 5); (41, 11); (45, 4); (45, 10)</t>
  </si>
  <si>
    <t>(25, 5); (41, 15); (45, 5)</t>
  </si>
  <si>
    <t>(29, 5); (45, 8); (45, 11)</t>
  </si>
  <si>
    <t>(41, 8); (41, 14); (45, 7); (45, 13)</t>
  </si>
  <si>
    <t>(33, 5); (45, 14); (49, 5)</t>
  </si>
  <si>
    <t>(49, 8)</t>
  </si>
  <si>
    <t>(49, 9)</t>
  </si>
  <si>
    <t>(49, 15)</t>
  </si>
  <si>
    <t>(5, 5); (41, 6); (57, 8)</t>
  </si>
  <si>
    <t>(21, 13); (25, 13); (29, 13); (33, 13); (49, 12); (49, 18); (57, 11); (57, 17)</t>
  </si>
  <si>
    <t>(49, 6); (57, 6)</t>
  </si>
  <si>
    <t>(49, 17); (57, 16)</t>
  </si>
  <si>
    <t>(57, 4)</t>
  </si>
  <si>
    <t>(13, 9); (17, 10); (61, 4)</t>
  </si>
  <si>
    <t>(49, 4); (61, 8)</t>
  </si>
  <si>
    <t>(49, 11); (61, 16)</t>
  </si>
  <si>
    <t>(61, 7)</t>
  </si>
  <si>
    <t>(61, 11)</t>
  </si>
  <si>
    <t>(13, 6); (17, 6); (61, 13); (65, 8)</t>
  </si>
  <si>
    <t>(21, 9); (25, 9); (29, 9); (33, 9); (37, 7); (41, 7); (41, 13); (45, 6); (45, 12); (49, 14); (57, 13); (61, 12); (65, 7)</t>
  </si>
  <si>
    <t>(57, 10); (65, 11)</t>
  </si>
  <si>
    <t>(61, 9); (61, 14); (65, 4); (65, 9)</t>
  </si>
  <si>
    <t>(61, 10); (61, 15); (65, 5); (65, 10)</t>
  </si>
  <si>
    <t>(65, 6)</t>
  </si>
  <si>
    <t>(13, 10); (17, 11); (21, 11); (25, 11); (29, 11); (61, 5); (69, 11); (69, 17)</t>
  </si>
  <si>
    <t>(13, 11); (29, 10); (69, 9)</t>
  </si>
  <si>
    <t>(17, 12); (21, 6); (21, 10); (25, 10); (69, 15)</t>
  </si>
  <si>
    <t>(21, 7); (21, 12); (25, 6); (25, 12); (29, 6); (29, 12); (33, 6); (69, 12); (69, 18)</t>
  </si>
  <si>
    <t>(25, 7); (29, 7); (33, 7); (33, 11); (37, 9); (49, 10); (49, 16); (57, 9); (57, 15); (69, 10); (69, 16)</t>
  </si>
  <si>
    <t>(41, 4); (69, 4)</t>
  </si>
  <si>
    <t>(69, 5)</t>
  </si>
  <si>
    <t>(69, 6)</t>
  </si>
  <si>
    <t>(69, 7)</t>
  </si>
  <si>
    <t>(69, 8)</t>
  </si>
  <si>
    <t>(69, 13)</t>
  </si>
  <si>
    <t>(73, 4)</t>
  </si>
  <si>
    <t>【河洛文讀注音-閩拼調符】《道德經。第一章》.xlsx</t>
    <phoneticPr fontId="1" type="noConversion"/>
  </si>
  <si>
    <t>《道德經。第一章》</t>
  </si>
  <si>
    <t>Dô dīk gīng. Dê yīt ziōng</t>
  </si>
  <si>
    <t>上德不德是以有德</t>
  </si>
  <si>
    <t>Siông dīk būt dīk sî yǐ yǔ dīk</t>
  </si>
  <si>
    <t>下德不失德是以無德</t>
  </si>
  <si>
    <t>Hà dīk būt sīt dīk sî yǐ bbú dīk</t>
  </si>
  <si>
    <t>上德無為而無以為也</t>
  </si>
  <si>
    <t>Siông dīk bbú wí zzí bbú yǐ wí yǎ</t>
  </si>
  <si>
    <t>上仁為之而無以為也</t>
  </si>
  <si>
    <t>Siông zzín wí zī zzí bbú yǐ wí yǎ</t>
  </si>
  <si>
    <t>上義為之而有以為也</t>
  </si>
  <si>
    <t>Siông ggî wí zī zzí yǔ yǐ wí yǎ</t>
  </si>
  <si>
    <t>上禮為之而莫之應也</t>
  </si>
  <si>
    <t>Siông lě wí zī zzí bbók zī yīng yǎ</t>
  </si>
  <si>
    <t>則攘臂而扔之</t>
  </si>
  <si>
    <t>Zīk zzióng bì zzí zzíng zī</t>
  </si>
  <si>
    <t>故失道而後德失德而後仁</t>
  </si>
  <si>
    <t>Gòo sīt dô zzí hôo dīk sīt dīk zzí hôo zzín</t>
  </si>
  <si>
    <t>失仁而後義失義而後禮</t>
  </si>
  <si>
    <t>Sīt zzín zzí hôo ggî sīt ggî zzí hôo lě</t>
  </si>
  <si>
    <t>夫禮者忠信之泊也而亂之首也</t>
  </si>
  <si>
    <t>Hú lě ziǎ diōng sìn zī bók yǎ zzí luân zī sǐu yǎ</t>
  </si>
  <si>
    <t>是以大丈夫居亓厚而不居亓泊</t>
  </si>
  <si>
    <t>Sî yǐ dâi diông hú gū gí hôo zzí būt gū gí bók</t>
  </si>
  <si>
    <t>居亓實而不居亓華</t>
  </si>
  <si>
    <t>Gū gí sít zzí būt gū gí huá</t>
  </si>
  <si>
    <t>故去彼取此有之以為利，無之以為用。</t>
  </si>
  <si>
    <t>Gòo kù hīt cǔ cǔ yǔ zī yǐ wí lî, bbú zī yǐ wí yông.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</si>
</sst>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5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1"/>
      <color rgb="FFFF0000"/>
      <name val="Microsoft JhengHei"/>
      <family val="2"/>
      <charset val="136"/>
    </font>
    <font>
      <b/>
      <sz val="11"/>
      <color rgb="FFFF0000"/>
      <name val="Microsoft JhengHei"/>
      <family val="2"/>
      <charset val="136"/>
    </font>
    <font>
      <sz val="11"/>
      <color rgb="FFFF0000"/>
      <name val="Microsoft JhengHei"/>
      <family val="2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b/>
      <sz val="18"/>
      <color rgb="FFFF0000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38" fillId="4" borderId="0">
      <alignment horizontal="center" vertical="center"/>
    </xf>
    <xf numFmtId="0" fontId="44" fillId="0" borderId="0"/>
    <xf numFmtId="43" fontId="4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center" vertical="center"/>
    </xf>
    <xf numFmtId="0" fontId="39" fillId="4" borderId="0" xfId="4" applyFont="1" applyFill="1" applyAlignment="1">
      <alignment vertical="center" readingOrder="1"/>
    </xf>
    <xf numFmtId="0" fontId="40" fillId="0" borderId="0" xfId="1" applyFont="1">
      <alignment vertical="center"/>
    </xf>
    <xf numFmtId="0" fontId="54" fillId="0" borderId="0" xfId="0" applyFont="1">
      <alignment vertical="center"/>
    </xf>
    <xf numFmtId="49" fontId="52" fillId="4" borderId="6" xfId="0" applyNumberFormat="1" applyFont="1" applyFill="1" applyBorder="1" applyAlignment="1">
      <alignment horizontal="left" vertical="center" wrapText="1"/>
    </xf>
    <xf numFmtId="49" fontId="53" fillId="2" borderId="6" xfId="0" applyNumberFormat="1" applyFont="1" applyFill="1" applyBorder="1" applyAlignment="1">
      <alignment horizontal="left" vertical="center" wrapText="1"/>
    </xf>
    <xf numFmtId="49" fontId="51" fillId="2" borderId="6" xfId="0" applyNumberFormat="1" applyFont="1" applyFill="1" applyBorder="1" applyAlignment="1">
      <alignment horizontal="left" vertical="center" wrapText="1"/>
    </xf>
    <xf numFmtId="0" fontId="42" fillId="5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0" fillId="0" borderId="0" xfId="0" applyAlignment="1"/>
    <xf numFmtId="0" fontId="48" fillId="7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8" fillId="7" borderId="6" xfId="0" applyFont="1" applyFill="1" applyBorder="1" applyAlignment="1">
      <alignment horizontal="center" vertical="center" wrapText="1"/>
    </xf>
    <xf numFmtId="38" fontId="43" fillId="2" borderId="6" xfId="7" applyNumberFormat="1" applyFont="1" applyFill="1" applyBorder="1" applyAlignment="1" applyProtection="1">
      <alignment horizontal="right" vertical="center"/>
    </xf>
    <xf numFmtId="38" fontId="43" fillId="6" borderId="6" xfId="7" applyNumberFormat="1" applyFont="1" applyFill="1" applyBorder="1" applyAlignment="1" applyProtection="1">
      <alignment horizontal="right" vertical="center"/>
    </xf>
    <xf numFmtId="0" fontId="49" fillId="8" borderId="6" xfId="0" applyFont="1" applyFill="1" applyBorder="1" applyAlignment="1">
      <alignment horizontal="centerContinuous" vertical="center"/>
    </xf>
    <xf numFmtId="0" fontId="45" fillId="0" borderId="6" xfId="0" applyFont="1" applyBorder="1" applyAlignment="1">
      <alignment horizontal="center" vertical="center"/>
    </xf>
    <xf numFmtId="0" fontId="46" fillId="9" borderId="6" xfId="0" applyFont="1" applyFill="1" applyBorder="1" applyAlignment="1" applyProtection="1">
      <alignment horizontal="center" vertical="center"/>
      <protection locked="0"/>
    </xf>
    <xf numFmtId="0" fontId="43" fillId="9" borderId="6" xfId="0" applyFont="1" applyFill="1" applyBorder="1" applyAlignment="1">
      <alignment horizontal="center" vertical="center"/>
    </xf>
    <xf numFmtId="177" fontId="43" fillId="9" borderId="6" xfId="7" applyNumberFormat="1" applyFont="1" applyFill="1" applyBorder="1" applyAlignment="1" applyProtection="1">
      <alignment horizontal="right" vertical="center"/>
    </xf>
    <xf numFmtId="38" fontId="43" fillId="2" borderId="6" xfId="7" applyNumberFormat="1" applyFont="1" applyFill="1" applyBorder="1" applyAlignment="1" applyProtection="1">
      <alignment horizontal="right" vertical="center" wrapText="1"/>
    </xf>
    <xf numFmtId="38" fontId="43" fillId="10" borderId="6" xfId="7" applyNumberFormat="1" applyFont="1" applyFill="1" applyBorder="1" applyAlignment="1" applyProtection="1">
      <alignment horizontal="right" vertical="center"/>
    </xf>
    <xf numFmtId="176" fontId="43" fillId="10" borderId="6" xfId="7" applyNumberFormat="1" applyFont="1" applyFill="1" applyBorder="1" applyAlignment="1" applyProtection="1">
      <alignment horizontal="right" vertical="center"/>
    </xf>
    <xf numFmtId="0" fontId="43" fillId="10" borderId="6" xfId="0" applyFont="1" applyFill="1" applyBorder="1" applyAlignment="1">
      <alignment horizontal="center" vertical="center"/>
    </xf>
    <xf numFmtId="38" fontId="47" fillId="10" borderId="6" xfId="7" applyNumberFormat="1" applyFont="1" applyFill="1" applyBorder="1" applyAlignment="1" applyProtection="1">
      <alignment horizontal="right" vertical="center"/>
    </xf>
    <xf numFmtId="0" fontId="47" fillId="10" borderId="6" xfId="0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/>
    </xf>
    <xf numFmtId="177" fontId="47" fillId="2" borderId="6" xfId="0" applyNumberFormat="1" applyFont="1" applyFill="1" applyBorder="1" applyAlignment="1">
      <alignment horizontal="center" vertical="center"/>
    </xf>
    <xf numFmtId="0" fontId="57" fillId="0" borderId="0" xfId="0" applyFont="1">
      <alignment vertical="center"/>
    </xf>
    <xf numFmtId="0" fontId="56" fillId="0" borderId="0" xfId="3" applyFont="1" applyAlignment="1">
      <alignment horizontal="center" vertical="center"/>
    </xf>
    <xf numFmtId="49" fontId="53" fillId="10" borderId="6" xfId="0" applyNumberFormat="1" applyFont="1" applyFill="1" applyBorder="1" applyAlignment="1">
      <alignment horizontal="left" vertical="center" wrapText="1"/>
    </xf>
    <xf numFmtId="0" fontId="58" fillId="0" borderId="0" xfId="0" applyFont="1">
      <alignment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56" fillId="0" borderId="0" xfId="3" applyFont="1" applyFill="1" applyAlignment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1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C8" sqref="C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3" t="s">
        <v>426</v>
      </c>
    </row>
    <row r="6" spans="2:4">
      <c r="B6" s="4" t="s">
        <v>4</v>
      </c>
      <c r="C6" s="3" t="s">
        <v>380</v>
      </c>
    </row>
    <row r="7" spans="2:4">
      <c r="B7" s="4" t="s">
        <v>5</v>
      </c>
      <c r="C7" s="52" t="s">
        <v>243</v>
      </c>
      <c r="D7" s="44"/>
    </row>
    <row r="8" spans="2:4">
      <c r="B8" s="4" t="s">
        <v>6</v>
      </c>
      <c r="C8" s="41" t="s">
        <v>29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19</v>
      </c>
      <c r="D11" s="1">
        <f>每頁總列數*4+5</f>
        <v>81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</v>
      </c>
    </row>
    <row r="14" spans="2:4" ht="30">
      <c r="B14" s="37" t="s">
        <v>12</v>
      </c>
      <c r="C14" s="39" t="s">
        <v>50</v>
      </c>
    </row>
    <row r="15" spans="2:4" ht="30">
      <c r="B15" s="37" t="s">
        <v>13</v>
      </c>
      <c r="C15" s="39" t="s">
        <v>30</v>
      </c>
    </row>
    <row r="16" spans="2:4" ht="30">
      <c r="B16" s="37" t="s">
        <v>14</v>
      </c>
      <c r="C16" s="39" t="s">
        <v>27</v>
      </c>
    </row>
    <row r="17" spans="2:3" ht="30">
      <c r="B17" s="37" t="s">
        <v>15</v>
      </c>
      <c r="C17" s="39" t="s">
        <v>28</v>
      </c>
    </row>
    <row r="18" spans="2:3" ht="30">
      <c r="B18" s="37" t="s">
        <v>16</v>
      </c>
      <c r="C18" s="39" t="s">
        <v>57</v>
      </c>
    </row>
    <row r="19" spans="2:3" ht="30">
      <c r="B19" s="37" t="s">
        <v>17</v>
      </c>
      <c r="C19" s="39" t="s">
        <v>58</v>
      </c>
    </row>
    <row r="20" spans="2:3" ht="30">
      <c r="B20" s="37" t="s">
        <v>22</v>
      </c>
      <c r="C20" s="43">
        <v>0</v>
      </c>
    </row>
    <row r="28" spans="2:3">
      <c r="C28" s="50"/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4B8A1C7E-4BB3-4C1C-9065-B81F5BED0DF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dimension ref="B2:E11"/>
  <sheetViews>
    <sheetView workbookViewId="0">
      <selection activeCell="B9" sqref="B9"/>
    </sheetView>
  </sheetViews>
  <sheetFormatPr defaultRowHeight="29.25"/>
  <cols>
    <col min="1" max="1" width="9" style="54"/>
    <col min="2" max="2" width="63.625" style="54" customWidth="1"/>
    <col min="3" max="3" width="9" style="54"/>
    <col min="4" max="4" width="16.625" style="54" customWidth="1"/>
    <col min="5" max="5" width="29.75" style="54" customWidth="1"/>
    <col min="6" max="16384" width="9" style="54"/>
  </cols>
  <sheetData>
    <row r="2" spans="2:5">
      <c r="B2" s="54" t="s">
        <v>162</v>
      </c>
    </row>
    <row r="3" spans="2:5">
      <c r="B3" s="54" t="s">
        <v>163</v>
      </c>
    </row>
    <row r="4" spans="2:5">
      <c r="B4" s="80" t="s">
        <v>241</v>
      </c>
      <c r="D4" s="83" t="s">
        <v>239</v>
      </c>
      <c r="E4" s="83" t="s">
        <v>240</v>
      </c>
    </row>
    <row r="5" spans="2:5">
      <c r="B5" s="54" t="s">
        <v>165</v>
      </c>
      <c r="D5" s="83" t="s">
        <v>237</v>
      </c>
      <c r="E5" s="83" t="s">
        <v>238</v>
      </c>
    </row>
    <row r="6" spans="2:5">
      <c r="B6" s="54" t="s">
        <v>166</v>
      </c>
    </row>
    <row r="8" spans="2:5">
      <c r="B8" s="54" t="s">
        <v>236</v>
      </c>
    </row>
    <row r="11" spans="2:5">
      <c r="B11" s="54" t="s">
        <v>164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70" zoomScaleNormal="70" workbookViewId="0">
      <pane xSplit="3" ySplit="1" topLeftCell="D66" activePane="bottomRight" state="frozen"/>
      <selection pane="topRight" activeCell="D1" sqref="D1"/>
      <selection pane="bottomLeft" activeCell="A2" sqref="A2"/>
      <selection pane="bottomRight" activeCell="D77" sqref="D77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186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4" t="s">
        <v>379</v>
      </c>
    </row>
    <row r="4" spans="1:22" s="6" customFormat="1" ht="36" customHeight="1">
      <c r="B4" s="16"/>
      <c r="D4" s="88"/>
      <c r="E4" s="88" t="s">
        <v>81</v>
      </c>
      <c r="F4" s="88" t="s">
        <v>83</v>
      </c>
      <c r="G4" s="88" t="s">
        <v>47</v>
      </c>
      <c r="H4" s="88"/>
      <c r="I4" s="88" t="s">
        <v>85</v>
      </c>
      <c r="J4" s="88" t="s">
        <v>88</v>
      </c>
      <c r="K4" s="88" t="s">
        <v>38</v>
      </c>
      <c r="L4" s="88"/>
      <c r="M4" s="88"/>
      <c r="N4" s="46"/>
      <c r="O4" s="46"/>
      <c r="P4" s="46"/>
      <c r="Q4" s="46"/>
      <c r="R4" s="46"/>
      <c r="S4" s="17"/>
      <c r="V4" s="85"/>
    </row>
    <row r="5" spans="1:22" s="6" customFormat="1" ht="80.099999999999994" customHeight="1">
      <c r="B5" s="18">
        <v>1</v>
      </c>
      <c r="D5" s="87" t="s">
        <v>59</v>
      </c>
      <c r="E5" s="87" t="s">
        <v>60</v>
      </c>
      <c r="F5" s="87" t="s">
        <v>61</v>
      </c>
      <c r="G5" s="87" t="s">
        <v>55</v>
      </c>
      <c r="H5" s="87" t="s">
        <v>19</v>
      </c>
      <c r="I5" s="87" t="s">
        <v>62</v>
      </c>
      <c r="J5" s="87" t="s">
        <v>64</v>
      </c>
      <c r="K5" s="87" t="s">
        <v>65</v>
      </c>
      <c r="L5" s="87" t="s">
        <v>66</v>
      </c>
      <c r="M5" s="87" t="str">
        <f>CHAR(10)</f>
        <v xml:space="preserve">
</v>
      </c>
      <c r="N5" s="36"/>
      <c r="O5" s="36"/>
      <c r="P5" s="36"/>
      <c r="Q5" s="36"/>
      <c r="R5" s="36"/>
      <c r="S5" s="19"/>
      <c r="V5" s="85"/>
    </row>
    <row r="6" spans="1:22" s="23" customFormat="1" ht="36" customHeight="1">
      <c r="B6" s="20"/>
      <c r="C6" s="21"/>
      <c r="D6" s="89"/>
      <c r="E6" s="89" t="s">
        <v>283</v>
      </c>
      <c r="F6" s="89" t="s">
        <v>284</v>
      </c>
      <c r="G6" s="89" t="s">
        <v>285</v>
      </c>
      <c r="H6" s="89"/>
      <c r="I6" s="89" t="s">
        <v>286</v>
      </c>
      <c r="J6" s="89" t="s">
        <v>287</v>
      </c>
      <c r="K6" s="89" t="s">
        <v>288</v>
      </c>
      <c r="L6" s="89"/>
      <c r="M6" s="89"/>
      <c r="N6" s="81"/>
      <c r="O6" s="81"/>
      <c r="P6" s="81"/>
      <c r="Q6" s="81"/>
      <c r="R6" s="81"/>
      <c r="S6" s="22"/>
      <c r="V6" s="85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5"/>
    </row>
    <row r="8" spans="1:22" s="6" customFormat="1" ht="36" customHeight="1">
      <c r="B8" s="16"/>
      <c r="D8" s="88" t="s">
        <v>85</v>
      </c>
      <c r="E8" s="88" t="s">
        <v>88</v>
      </c>
      <c r="F8" s="88" t="s">
        <v>38</v>
      </c>
      <c r="G8" s="88"/>
      <c r="H8" s="88" t="s">
        <v>289</v>
      </c>
      <c r="I8" s="88" t="s">
        <v>83</v>
      </c>
      <c r="J8" s="88"/>
      <c r="K8" s="46"/>
      <c r="L8" s="46"/>
      <c r="M8" s="46"/>
      <c r="N8" s="46"/>
      <c r="O8" s="46"/>
      <c r="P8" s="46"/>
      <c r="Q8" s="46"/>
      <c r="R8" s="46"/>
      <c r="S8" s="17"/>
      <c r="V8" s="85"/>
    </row>
    <row r="9" spans="1:22" s="6" customFormat="1" ht="80.099999999999994" customHeight="1">
      <c r="B9" s="18">
        <f>B5+1</f>
        <v>2</v>
      </c>
      <c r="D9" s="87" t="s">
        <v>62</v>
      </c>
      <c r="E9" s="87" t="s">
        <v>64</v>
      </c>
      <c r="F9" s="87" t="s">
        <v>65</v>
      </c>
      <c r="G9" s="87" t="s">
        <v>244</v>
      </c>
      <c r="H9" s="87" t="s">
        <v>245</v>
      </c>
      <c r="I9" s="87" t="s">
        <v>61</v>
      </c>
      <c r="J9" s="87" t="str">
        <f>CHAR(10)</f>
        <v xml:space="preserve">
</v>
      </c>
      <c r="K9" s="36"/>
      <c r="L9" s="36"/>
      <c r="M9" s="36"/>
      <c r="N9" s="36"/>
      <c r="O9" s="36"/>
      <c r="P9" s="36"/>
      <c r="Q9" s="36"/>
      <c r="R9" s="36"/>
      <c r="S9" s="19"/>
      <c r="T9" s="15"/>
      <c r="V9" s="85"/>
    </row>
    <row r="10" spans="1:22" s="6" customFormat="1" ht="36" customHeight="1">
      <c r="B10" s="20"/>
      <c r="D10" s="89" t="s">
        <v>286</v>
      </c>
      <c r="E10" s="89" t="s">
        <v>287</v>
      </c>
      <c r="F10" s="89" t="s">
        <v>288</v>
      </c>
      <c r="G10" s="89"/>
      <c r="H10" s="89" t="s">
        <v>290</v>
      </c>
      <c r="I10" s="89" t="s">
        <v>284</v>
      </c>
      <c r="J10" s="89"/>
      <c r="K10" s="81"/>
      <c r="L10" s="81"/>
      <c r="M10" s="81"/>
      <c r="N10" s="81"/>
      <c r="O10" s="81"/>
      <c r="P10" s="81"/>
      <c r="Q10" s="81"/>
      <c r="R10" s="81"/>
      <c r="S10" s="28"/>
      <c r="V10" s="85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5"/>
    </row>
    <row r="12" spans="1:22" s="6" customFormat="1" ht="36" customHeight="1">
      <c r="B12" s="16"/>
      <c r="D12" s="88" t="s">
        <v>292</v>
      </c>
      <c r="E12" s="88" t="s">
        <v>83</v>
      </c>
      <c r="F12" s="88" t="s">
        <v>294</v>
      </c>
      <c r="G12" s="88" t="s">
        <v>83</v>
      </c>
      <c r="H12" s="88"/>
      <c r="I12" s="88" t="s">
        <v>296</v>
      </c>
      <c r="J12" s="88" t="s">
        <v>41</v>
      </c>
      <c r="K12" s="88" t="s">
        <v>94</v>
      </c>
      <c r="L12" s="88" t="s">
        <v>83</v>
      </c>
      <c r="M12" s="88"/>
      <c r="N12" s="88"/>
      <c r="O12" s="88"/>
      <c r="P12" s="88"/>
      <c r="Q12" s="88"/>
      <c r="R12" s="88"/>
      <c r="S12" s="17"/>
      <c r="V12" s="85"/>
    </row>
    <row r="13" spans="1:22" s="6" customFormat="1" ht="80.099999999999994" customHeight="1">
      <c r="B13" s="18">
        <f>B9+1</f>
        <v>3</v>
      </c>
      <c r="D13" s="87" t="s">
        <v>246</v>
      </c>
      <c r="E13" s="87" t="s">
        <v>61</v>
      </c>
      <c r="F13" s="87" t="s">
        <v>247</v>
      </c>
      <c r="G13" s="87" t="s">
        <v>61</v>
      </c>
      <c r="H13" s="87" t="s">
        <v>244</v>
      </c>
      <c r="I13" s="87" t="s">
        <v>248</v>
      </c>
      <c r="J13" s="87" t="s">
        <v>36</v>
      </c>
      <c r="K13" s="87" t="s">
        <v>34</v>
      </c>
      <c r="L13" s="87" t="s">
        <v>61</v>
      </c>
      <c r="M13" s="87" t="str">
        <f>CHAR(10)</f>
        <v xml:space="preserve">
</v>
      </c>
      <c r="N13" s="87"/>
      <c r="O13" s="87"/>
      <c r="P13" s="87"/>
      <c r="Q13" s="87"/>
      <c r="R13" s="87"/>
      <c r="S13" s="19"/>
      <c r="V13" s="85"/>
    </row>
    <row r="14" spans="1:22" s="6" customFormat="1" ht="36" customHeight="1">
      <c r="B14" s="20"/>
      <c r="D14" s="89" t="s">
        <v>293</v>
      </c>
      <c r="E14" s="89" t="s">
        <v>284</v>
      </c>
      <c r="F14" s="89" t="s">
        <v>295</v>
      </c>
      <c r="G14" s="89" t="s">
        <v>284</v>
      </c>
      <c r="H14" s="89"/>
      <c r="I14" s="89" t="s">
        <v>297</v>
      </c>
      <c r="J14" s="89" t="s">
        <v>298</v>
      </c>
      <c r="K14" s="89" t="s">
        <v>299</v>
      </c>
      <c r="L14" s="89" t="s">
        <v>284</v>
      </c>
      <c r="M14" s="89"/>
      <c r="N14" s="89"/>
      <c r="O14" s="89"/>
      <c r="P14" s="89"/>
      <c r="Q14" s="89"/>
      <c r="R14" s="89"/>
      <c r="S14" s="28"/>
      <c r="V14" s="85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5"/>
    </row>
    <row r="16" spans="1:22" s="6" customFormat="1" ht="36" customHeight="1">
      <c r="B16" s="16"/>
      <c r="D16" s="88" t="s">
        <v>300</v>
      </c>
      <c r="E16" s="88" t="s">
        <v>83</v>
      </c>
      <c r="F16" s="88" t="s">
        <v>294</v>
      </c>
      <c r="G16" s="88" t="s">
        <v>302</v>
      </c>
      <c r="H16" s="88" t="s">
        <v>83</v>
      </c>
      <c r="I16" s="88"/>
      <c r="J16" s="88" t="s">
        <v>296</v>
      </c>
      <c r="K16" s="88" t="s">
        <v>41</v>
      </c>
      <c r="L16" s="88" t="s">
        <v>169</v>
      </c>
      <c r="M16" s="88" t="s">
        <v>83</v>
      </c>
      <c r="N16" s="88"/>
      <c r="O16" s="46"/>
      <c r="P16" s="46"/>
      <c r="Q16" s="46"/>
      <c r="R16" s="46"/>
      <c r="S16" s="17"/>
      <c r="V16" s="85"/>
    </row>
    <row r="17" spans="2:22" s="6" customFormat="1" ht="80.099999999999994" customHeight="1">
      <c r="B17" s="18">
        <f>B13+1</f>
        <v>4</v>
      </c>
      <c r="D17" s="87" t="s">
        <v>249</v>
      </c>
      <c r="E17" s="87" t="s">
        <v>61</v>
      </c>
      <c r="F17" s="87" t="s">
        <v>247</v>
      </c>
      <c r="G17" s="87" t="s">
        <v>250</v>
      </c>
      <c r="H17" s="87" t="s">
        <v>61</v>
      </c>
      <c r="I17" s="87" t="s">
        <v>244</v>
      </c>
      <c r="J17" s="87" t="s">
        <v>248</v>
      </c>
      <c r="K17" s="87" t="s">
        <v>36</v>
      </c>
      <c r="L17" s="87" t="s">
        <v>32</v>
      </c>
      <c r="M17" s="87" t="s">
        <v>61</v>
      </c>
      <c r="N17" s="87" t="str">
        <f>CHAR(10)</f>
        <v xml:space="preserve">
</v>
      </c>
      <c r="O17" s="36"/>
      <c r="P17" s="36"/>
      <c r="Q17" s="36"/>
      <c r="R17" s="36"/>
      <c r="S17" s="19"/>
      <c r="V17" s="85"/>
    </row>
    <row r="18" spans="2:22" s="6" customFormat="1" ht="36" customHeight="1">
      <c r="B18" s="20"/>
      <c r="D18" s="89" t="s">
        <v>301</v>
      </c>
      <c r="E18" s="89" t="s">
        <v>284</v>
      </c>
      <c r="F18" s="89" t="s">
        <v>295</v>
      </c>
      <c r="G18" s="89" t="s">
        <v>303</v>
      </c>
      <c r="H18" s="89" t="s">
        <v>284</v>
      </c>
      <c r="I18" s="89"/>
      <c r="J18" s="89" t="s">
        <v>297</v>
      </c>
      <c r="K18" s="89" t="s">
        <v>298</v>
      </c>
      <c r="L18" s="89" t="s">
        <v>304</v>
      </c>
      <c r="M18" s="89" t="s">
        <v>284</v>
      </c>
      <c r="N18" s="89"/>
      <c r="O18" s="81"/>
      <c r="P18" s="81"/>
      <c r="Q18" s="81"/>
      <c r="R18" s="81"/>
      <c r="S18" s="28"/>
      <c r="V18" s="85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5"/>
    </row>
    <row r="20" spans="2:22" s="6" customFormat="1" ht="36" customHeight="1">
      <c r="B20" s="16"/>
      <c r="D20" s="88" t="s">
        <v>292</v>
      </c>
      <c r="E20" s="88" t="s">
        <v>83</v>
      </c>
      <c r="F20" s="88" t="s">
        <v>169</v>
      </c>
      <c r="G20" s="88" t="s">
        <v>42</v>
      </c>
      <c r="H20" s="88"/>
      <c r="I20" s="88" t="s">
        <v>306</v>
      </c>
      <c r="J20" s="88" t="s">
        <v>169</v>
      </c>
      <c r="K20" s="88" t="s">
        <v>41</v>
      </c>
      <c r="L20" s="88" t="s">
        <v>42</v>
      </c>
      <c r="M20" s="88" t="s">
        <v>99</v>
      </c>
      <c r="N20" s="88"/>
      <c r="O20" s="88"/>
      <c r="P20" s="88"/>
      <c r="Q20" s="88"/>
      <c r="R20" s="88"/>
      <c r="S20" s="17"/>
      <c r="V20" s="85"/>
    </row>
    <row r="21" spans="2:22" s="6" customFormat="1" ht="80.099999999999994" customHeight="1">
      <c r="B21" s="18">
        <f>B17+1</f>
        <v>5</v>
      </c>
      <c r="D21" s="87" t="s">
        <v>246</v>
      </c>
      <c r="E21" s="87" t="s">
        <v>61</v>
      </c>
      <c r="F21" s="87" t="s">
        <v>32</v>
      </c>
      <c r="G21" s="87" t="s">
        <v>37</v>
      </c>
      <c r="H21" s="87" t="s">
        <v>244</v>
      </c>
      <c r="I21" s="87" t="s">
        <v>251</v>
      </c>
      <c r="J21" s="87" t="s">
        <v>32</v>
      </c>
      <c r="K21" s="87" t="s">
        <v>36</v>
      </c>
      <c r="L21" s="87" t="s">
        <v>37</v>
      </c>
      <c r="M21" s="87" t="s">
        <v>72</v>
      </c>
      <c r="N21" s="87" t="str">
        <f>CHAR(10)</f>
        <v xml:space="preserve">
</v>
      </c>
      <c r="O21" s="87"/>
      <c r="P21" s="87"/>
      <c r="Q21" s="87"/>
      <c r="R21" s="87"/>
      <c r="S21" s="19"/>
      <c r="V21" s="85"/>
    </row>
    <row r="22" spans="2:22" s="6" customFormat="1" ht="36" customHeight="1">
      <c r="B22" s="20"/>
      <c r="D22" s="89" t="s">
        <v>293</v>
      </c>
      <c r="E22" s="89" t="s">
        <v>284</v>
      </c>
      <c r="F22" s="89" t="s">
        <v>304</v>
      </c>
      <c r="G22" s="89" t="s">
        <v>305</v>
      </c>
      <c r="H22" s="89"/>
      <c r="I22" s="89" t="s">
        <v>307</v>
      </c>
      <c r="J22" s="89" t="s">
        <v>304</v>
      </c>
      <c r="K22" s="89" t="s">
        <v>298</v>
      </c>
      <c r="L22" s="89" t="s">
        <v>305</v>
      </c>
      <c r="M22" s="89" t="s">
        <v>308</v>
      </c>
      <c r="N22" s="89"/>
      <c r="O22" s="89"/>
      <c r="P22" s="89"/>
      <c r="Q22" s="89"/>
      <c r="R22" s="89"/>
      <c r="S22" s="28"/>
      <c r="V22" s="85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5"/>
    </row>
    <row r="24" spans="2:22" s="6" customFormat="1" ht="36" customHeight="1">
      <c r="B24" s="16"/>
      <c r="D24" s="88" t="s">
        <v>292</v>
      </c>
      <c r="E24" s="88" t="s">
        <v>309</v>
      </c>
      <c r="F24" s="88" t="s">
        <v>42</v>
      </c>
      <c r="G24" s="88" t="s">
        <v>39</v>
      </c>
      <c r="H24" s="88"/>
      <c r="I24" s="88" t="s">
        <v>306</v>
      </c>
      <c r="J24" s="88" t="s">
        <v>169</v>
      </c>
      <c r="K24" s="88" t="s">
        <v>41</v>
      </c>
      <c r="L24" s="88" t="s">
        <v>42</v>
      </c>
      <c r="M24" s="88" t="s">
        <v>99</v>
      </c>
      <c r="N24" s="88"/>
      <c r="O24" s="88"/>
      <c r="P24" s="88"/>
      <c r="Q24" s="88"/>
      <c r="R24" s="88"/>
      <c r="S24" s="17"/>
      <c r="V24" s="85"/>
    </row>
    <row r="25" spans="2:22" s="6" customFormat="1" ht="80.099999999999994" customHeight="1">
      <c r="B25" s="18">
        <f>B21+1</f>
        <v>6</v>
      </c>
      <c r="D25" s="87" t="s">
        <v>246</v>
      </c>
      <c r="E25" s="87" t="s">
        <v>252</v>
      </c>
      <c r="F25" s="87" t="s">
        <v>37</v>
      </c>
      <c r="G25" s="87" t="s">
        <v>33</v>
      </c>
      <c r="H25" s="87" t="s">
        <v>244</v>
      </c>
      <c r="I25" s="87" t="s">
        <v>251</v>
      </c>
      <c r="J25" s="87" t="s">
        <v>32</v>
      </c>
      <c r="K25" s="87" t="s">
        <v>36</v>
      </c>
      <c r="L25" s="87" t="s">
        <v>37</v>
      </c>
      <c r="M25" s="87" t="s">
        <v>72</v>
      </c>
      <c r="N25" s="87" t="str">
        <f>CHAR(10)</f>
        <v xml:space="preserve">
</v>
      </c>
      <c r="O25" s="87"/>
      <c r="P25" s="87"/>
      <c r="Q25" s="87"/>
      <c r="R25" s="87"/>
      <c r="S25" s="19"/>
      <c r="V25" s="85"/>
    </row>
    <row r="26" spans="2:22" s="6" customFormat="1" ht="36" customHeight="1">
      <c r="B26" s="20"/>
      <c r="D26" s="89" t="s">
        <v>293</v>
      </c>
      <c r="E26" s="89" t="s">
        <v>310</v>
      </c>
      <c r="F26" s="89" t="s">
        <v>305</v>
      </c>
      <c r="G26" s="89" t="s">
        <v>311</v>
      </c>
      <c r="H26" s="89"/>
      <c r="I26" s="89" t="s">
        <v>307</v>
      </c>
      <c r="J26" s="89" t="s">
        <v>304</v>
      </c>
      <c r="K26" s="89" t="s">
        <v>298</v>
      </c>
      <c r="L26" s="89" t="s">
        <v>305</v>
      </c>
      <c r="M26" s="89" t="s">
        <v>308</v>
      </c>
      <c r="N26" s="89"/>
      <c r="O26" s="89"/>
      <c r="P26" s="89"/>
      <c r="Q26" s="89"/>
      <c r="R26" s="89"/>
      <c r="S26" s="28"/>
      <c r="V26" s="85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88" t="s">
        <v>292</v>
      </c>
      <c r="E28" s="88" t="s">
        <v>312</v>
      </c>
      <c r="F28" s="88" t="s">
        <v>42</v>
      </c>
      <c r="G28" s="88" t="s">
        <v>39</v>
      </c>
      <c r="H28" s="88"/>
      <c r="I28" s="88" t="s">
        <v>306</v>
      </c>
      <c r="J28" s="88" t="s">
        <v>94</v>
      </c>
      <c r="K28" s="88" t="s">
        <v>41</v>
      </c>
      <c r="L28" s="88" t="s">
        <v>42</v>
      </c>
      <c r="M28" s="88" t="s">
        <v>99</v>
      </c>
      <c r="N28" s="88"/>
      <c r="O28" s="88"/>
      <c r="P28" s="88"/>
      <c r="Q28" s="88"/>
      <c r="R28" s="88"/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87" t="s">
        <v>246</v>
      </c>
      <c r="E29" s="87" t="s">
        <v>253</v>
      </c>
      <c r="F29" s="87" t="s">
        <v>37</v>
      </c>
      <c r="G29" s="87" t="s">
        <v>33</v>
      </c>
      <c r="H29" s="87" t="s">
        <v>244</v>
      </c>
      <c r="I29" s="87" t="s">
        <v>251</v>
      </c>
      <c r="J29" s="87" t="s">
        <v>34</v>
      </c>
      <c r="K29" s="87" t="s">
        <v>36</v>
      </c>
      <c r="L29" s="87" t="s">
        <v>37</v>
      </c>
      <c r="M29" s="87" t="s">
        <v>72</v>
      </c>
      <c r="N29" s="87" t="str">
        <f>CHAR(10)</f>
        <v xml:space="preserve">
</v>
      </c>
      <c r="O29" s="87"/>
      <c r="P29" s="87"/>
      <c r="Q29" s="87"/>
      <c r="R29" s="87"/>
      <c r="S29" s="19"/>
      <c r="U29" s="32" t="str">
        <f t="shared" si="1"/>
        <v/>
      </c>
      <c r="V29" s="85"/>
    </row>
    <row r="30" spans="2:22" s="6" customFormat="1" ht="36" customHeight="1">
      <c r="B30" s="20"/>
      <c r="D30" s="89" t="s">
        <v>293</v>
      </c>
      <c r="E30" s="89" t="s">
        <v>313</v>
      </c>
      <c r="F30" s="89" t="s">
        <v>305</v>
      </c>
      <c r="G30" s="89" t="s">
        <v>311</v>
      </c>
      <c r="H30" s="89"/>
      <c r="I30" s="89" t="s">
        <v>307</v>
      </c>
      <c r="J30" s="89" t="s">
        <v>299</v>
      </c>
      <c r="K30" s="89" t="s">
        <v>298</v>
      </c>
      <c r="L30" s="89" t="s">
        <v>305</v>
      </c>
      <c r="M30" s="89" t="s">
        <v>308</v>
      </c>
      <c r="N30" s="89"/>
      <c r="O30" s="89"/>
      <c r="P30" s="89"/>
      <c r="Q30" s="89"/>
      <c r="R30" s="89"/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5"/>
    </row>
    <row r="32" spans="2:22" s="6" customFormat="1" ht="36" customHeight="1">
      <c r="B32" s="16"/>
      <c r="D32" s="88" t="s">
        <v>292</v>
      </c>
      <c r="E32" s="88" t="s">
        <v>314</v>
      </c>
      <c r="F32" s="88" t="s">
        <v>42</v>
      </c>
      <c r="G32" s="88" t="s">
        <v>39</v>
      </c>
      <c r="H32" s="88"/>
      <c r="I32" s="88" t="s">
        <v>306</v>
      </c>
      <c r="J32" s="88" t="s">
        <v>316</v>
      </c>
      <c r="K32" s="88" t="s">
        <v>39</v>
      </c>
      <c r="L32" s="88" t="s">
        <v>318</v>
      </c>
      <c r="M32" s="88" t="s">
        <v>99</v>
      </c>
      <c r="N32" s="88"/>
      <c r="O32" s="46"/>
      <c r="P32" s="46"/>
      <c r="Q32" s="46"/>
      <c r="R32" s="46"/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87" t="s">
        <v>246</v>
      </c>
      <c r="E33" s="87" t="s">
        <v>254</v>
      </c>
      <c r="F33" s="87" t="s">
        <v>37</v>
      </c>
      <c r="G33" s="87" t="s">
        <v>33</v>
      </c>
      <c r="H33" s="87" t="s">
        <v>244</v>
      </c>
      <c r="I33" s="87" t="s">
        <v>251</v>
      </c>
      <c r="J33" s="87" t="s">
        <v>255</v>
      </c>
      <c r="K33" s="87" t="s">
        <v>33</v>
      </c>
      <c r="L33" s="87" t="s">
        <v>256</v>
      </c>
      <c r="M33" s="87" t="s">
        <v>72</v>
      </c>
      <c r="N33" s="87" t="str">
        <f>CHAR(10)</f>
        <v xml:space="preserve">
</v>
      </c>
      <c r="O33" s="36"/>
      <c r="P33" s="36"/>
      <c r="Q33" s="36"/>
      <c r="R33" s="36"/>
      <c r="S33" s="19"/>
      <c r="V33" s="85"/>
    </row>
    <row r="34" spans="2:22" s="6" customFormat="1" ht="36" customHeight="1">
      <c r="B34" s="20"/>
      <c r="D34" s="89" t="s">
        <v>293</v>
      </c>
      <c r="E34" s="89" t="s">
        <v>315</v>
      </c>
      <c r="F34" s="89" t="s">
        <v>305</v>
      </c>
      <c r="G34" s="89" t="s">
        <v>311</v>
      </c>
      <c r="H34" s="89"/>
      <c r="I34" s="89" t="s">
        <v>307</v>
      </c>
      <c r="J34" s="89" t="s">
        <v>317</v>
      </c>
      <c r="K34" s="89" t="s">
        <v>311</v>
      </c>
      <c r="L34" s="89" t="s">
        <v>319</v>
      </c>
      <c r="M34" s="89" t="s">
        <v>308</v>
      </c>
      <c r="N34" s="89"/>
      <c r="O34" s="81"/>
      <c r="P34" s="81"/>
      <c r="Q34" s="81"/>
      <c r="R34" s="81"/>
      <c r="S34" s="28"/>
      <c r="V34" s="85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5"/>
    </row>
    <row r="36" spans="2:22" s="6" customFormat="1" ht="36" customHeight="1">
      <c r="B36" s="16"/>
      <c r="D36" s="88" t="s">
        <v>320</v>
      </c>
      <c r="E36" s="88" t="s">
        <v>322</v>
      </c>
      <c r="F36" s="88" t="s">
        <v>324</v>
      </c>
      <c r="G36" s="88" t="s">
        <v>306</v>
      </c>
      <c r="H36" s="88" t="s">
        <v>326</v>
      </c>
      <c r="I36" s="88" t="s">
        <v>39</v>
      </c>
      <c r="J36" s="88"/>
      <c r="K36" s="88"/>
      <c r="L36" s="88"/>
      <c r="M36" s="88"/>
      <c r="N36" s="88"/>
      <c r="O36" s="88"/>
      <c r="P36" s="88"/>
      <c r="Q36" s="88"/>
      <c r="R36" s="88"/>
      <c r="S36" s="17"/>
      <c r="V36" s="85"/>
    </row>
    <row r="37" spans="2:22" s="6" customFormat="1" ht="80.099999999999994" customHeight="1">
      <c r="B37" s="18">
        <f>B33+1</f>
        <v>9</v>
      </c>
      <c r="D37" s="87" t="s">
        <v>257</v>
      </c>
      <c r="E37" s="87" t="s">
        <v>258</v>
      </c>
      <c r="F37" s="87" t="s">
        <v>259</v>
      </c>
      <c r="G37" s="87" t="s">
        <v>251</v>
      </c>
      <c r="H37" s="87" t="s">
        <v>260</v>
      </c>
      <c r="I37" s="87" t="s">
        <v>33</v>
      </c>
      <c r="J37" s="87" t="str">
        <f>CHAR(10)</f>
        <v xml:space="preserve">
</v>
      </c>
      <c r="K37" s="87"/>
      <c r="L37" s="87"/>
      <c r="M37" s="87"/>
      <c r="N37" s="87"/>
      <c r="O37" s="87"/>
      <c r="P37" s="87"/>
      <c r="Q37" s="87"/>
      <c r="R37" s="87"/>
      <c r="S37" s="19"/>
      <c r="V37" s="85"/>
    </row>
    <row r="38" spans="2:22" s="6" customFormat="1" ht="36" customHeight="1">
      <c r="B38" s="20"/>
      <c r="D38" s="89" t="s">
        <v>321</v>
      </c>
      <c r="E38" s="89" t="s">
        <v>323</v>
      </c>
      <c r="F38" s="89" t="s">
        <v>325</v>
      </c>
      <c r="G38" s="89" t="s">
        <v>307</v>
      </c>
      <c r="H38" s="89" t="s">
        <v>327</v>
      </c>
      <c r="I38" s="89" t="s">
        <v>311</v>
      </c>
      <c r="J38" s="89"/>
      <c r="K38" s="89"/>
      <c r="L38" s="89"/>
      <c r="M38" s="89"/>
      <c r="N38" s="89"/>
      <c r="O38" s="89"/>
      <c r="P38" s="89"/>
      <c r="Q38" s="89"/>
      <c r="R38" s="89"/>
      <c r="S38" s="28"/>
      <c r="V38" s="85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5"/>
    </row>
    <row r="40" spans="2:22" s="6" customFormat="1" ht="36" customHeight="1">
      <c r="B40" s="16"/>
      <c r="D40" s="88" t="s">
        <v>108</v>
      </c>
      <c r="E40" s="88" t="s">
        <v>302</v>
      </c>
      <c r="F40" s="88" t="s">
        <v>81</v>
      </c>
      <c r="G40" s="88" t="s">
        <v>306</v>
      </c>
      <c r="H40" s="88" t="s">
        <v>105</v>
      </c>
      <c r="I40" s="88" t="s">
        <v>83</v>
      </c>
      <c r="J40" s="88"/>
      <c r="K40" s="88" t="s">
        <v>302</v>
      </c>
      <c r="L40" s="88" t="s">
        <v>83</v>
      </c>
      <c r="M40" s="88" t="s">
        <v>306</v>
      </c>
      <c r="N40" s="88" t="s">
        <v>105</v>
      </c>
      <c r="O40" s="88" t="s">
        <v>309</v>
      </c>
      <c r="P40" s="88"/>
      <c r="Q40" s="88"/>
      <c r="R40" s="88"/>
      <c r="S40" s="17"/>
      <c r="V40" s="85"/>
    </row>
    <row r="41" spans="2:22" s="6" customFormat="1" ht="80.099999999999994" customHeight="1">
      <c r="B41" s="18">
        <f>B37+1</f>
        <v>10</v>
      </c>
      <c r="D41" s="87" t="s">
        <v>79</v>
      </c>
      <c r="E41" s="87" t="s">
        <v>250</v>
      </c>
      <c r="F41" s="87" t="s">
        <v>60</v>
      </c>
      <c r="G41" s="87" t="s">
        <v>251</v>
      </c>
      <c r="H41" s="87" t="s">
        <v>261</v>
      </c>
      <c r="I41" s="87" t="s">
        <v>61</v>
      </c>
      <c r="J41" s="87" t="s">
        <v>244</v>
      </c>
      <c r="K41" s="87" t="s">
        <v>250</v>
      </c>
      <c r="L41" s="87" t="s">
        <v>61</v>
      </c>
      <c r="M41" s="87" t="s">
        <v>251</v>
      </c>
      <c r="N41" s="87" t="s">
        <v>261</v>
      </c>
      <c r="O41" s="87" t="s">
        <v>252</v>
      </c>
      <c r="P41" s="87" t="str">
        <f>CHAR(10)</f>
        <v xml:space="preserve">
</v>
      </c>
      <c r="Q41" s="87"/>
      <c r="R41" s="87"/>
      <c r="S41" s="19"/>
      <c r="V41" s="85"/>
    </row>
    <row r="42" spans="2:22" s="6" customFormat="1" ht="36" customHeight="1">
      <c r="B42" s="20"/>
      <c r="D42" s="89" t="s">
        <v>328</v>
      </c>
      <c r="E42" s="89" t="s">
        <v>303</v>
      </c>
      <c r="F42" s="89" t="s">
        <v>283</v>
      </c>
      <c r="G42" s="89" t="s">
        <v>307</v>
      </c>
      <c r="H42" s="89" t="s">
        <v>329</v>
      </c>
      <c r="I42" s="89" t="s">
        <v>284</v>
      </c>
      <c r="J42" s="89"/>
      <c r="K42" s="89" t="s">
        <v>303</v>
      </c>
      <c r="L42" s="89" t="s">
        <v>284</v>
      </c>
      <c r="M42" s="89" t="s">
        <v>307</v>
      </c>
      <c r="N42" s="89" t="s">
        <v>329</v>
      </c>
      <c r="O42" s="89" t="s">
        <v>310</v>
      </c>
      <c r="P42" s="89"/>
      <c r="Q42" s="89"/>
      <c r="R42" s="89"/>
      <c r="S42" s="28"/>
      <c r="V42" s="85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5"/>
    </row>
    <row r="44" spans="2:22" s="6" customFormat="1" ht="36" customHeight="1">
      <c r="B44" s="16"/>
      <c r="D44" s="88" t="s">
        <v>302</v>
      </c>
      <c r="E44" s="88" t="s">
        <v>309</v>
      </c>
      <c r="F44" s="88" t="s">
        <v>306</v>
      </c>
      <c r="G44" s="88" t="s">
        <v>105</v>
      </c>
      <c r="H44" s="88" t="s">
        <v>312</v>
      </c>
      <c r="I44" s="88"/>
      <c r="J44" s="88" t="s">
        <v>302</v>
      </c>
      <c r="K44" s="88" t="s">
        <v>312</v>
      </c>
      <c r="L44" s="88" t="s">
        <v>306</v>
      </c>
      <c r="M44" s="88" t="s">
        <v>105</v>
      </c>
      <c r="N44" s="88" t="s">
        <v>314</v>
      </c>
      <c r="O44" s="88"/>
      <c r="P44" s="46"/>
      <c r="Q44" s="46"/>
      <c r="R44" s="46"/>
      <c r="S44" s="17"/>
      <c r="V44" s="85"/>
    </row>
    <row r="45" spans="2:22" s="6" customFormat="1" ht="80.099999999999994" customHeight="1">
      <c r="B45" s="18">
        <f>B41+1</f>
        <v>11</v>
      </c>
      <c r="D45" s="87" t="s">
        <v>250</v>
      </c>
      <c r="E45" s="87" t="s">
        <v>252</v>
      </c>
      <c r="F45" s="87" t="s">
        <v>251</v>
      </c>
      <c r="G45" s="87" t="s">
        <v>261</v>
      </c>
      <c r="H45" s="87" t="s">
        <v>253</v>
      </c>
      <c r="I45" s="87" t="s">
        <v>244</v>
      </c>
      <c r="J45" s="87" t="s">
        <v>250</v>
      </c>
      <c r="K45" s="87" t="s">
        <v>253</v>
      </c>
      <c r="L45" s="87" t="s">
        <v>251</v>
      </c>
      <c r="M45" s="87" t="s">
        <v>261</v>
      </c>
      <c r="N45" s="87" t="s">
        <v>254</v>
      </c>
      <c r="O45" s="87" t="str">
        <f>CHAR(10)</f>
        <v xml:space="preserve">
</v>
      </c>
      <c r="P45" s="36"/>
      <c r="Q45" s="36"/>
      <c r="R45" s="36"/>
      <c r="S45" s="19"/>
      <c r="V45" s="85"/>
    </row>
    <row r="46" spans="2:22" s="6" customFormat="1" ht="36" customHeight="1">
      <c r="B46" s="20"/>
      <c r="D46" s="89" t="s">
        <v>303</v>
      </c>
      <c r="E46" s="89" t="s">
        <v>310</v>
      </c>
      <c r="F46" s="89" t="s">
        <v>307</v>
      </c>
      <c r="G46" s="89" t="s">
        <v>329</v>
      </c>
      <c r="H46" s="89" t="s">
        <v>313</v>
      </c>
      <c r="I46" s="89"/>
      <c r="J46" s="89" t="s">
        <v>303</v>
      </c>
      <c r="K46" s="89" t="s">
        <v>313</v>
      </c>
      <c r="L46" s="89" t="s">
        <v>307</v>
      </c>
      <c r="M46" s="89" t="s">
        <v>329</v>
      </c>
      <c r="N46" s="89" t="s">
        <v>315</v>
      </c>
      <c r="O46" s="89"/>
      <c r="P46" s="81"/>
      <c r="Q46" s="81"/>
      <c r="R46" s="81"/>
      <c r="S46" s="28"/>
      <c r="V46" s="85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5"/>
    </row>
    <row r="48" spans="2:22" s="6" customFormat="1" ht="36" customHeight="1">
      <c r="B48" s="16"/>
      <c r="D48" s="88" t="s">
        <v>331</v>
      </c>
      <c r="E48" s="88" t="s">
        <v>314</v>
      </c>
      <c r="F48" s="88" t="s">
        <v>333</v>
      </c>
      <c r="G48" s="88"/>
      <c r="H48" s="88" t="s">
        <v>335</v>
      </c>
      <c r="I48" s="88" t="s">
        <v>337</v>
      </c>
      <c r="J48" s="88" t="s">
        <v>39</v>
      </c>
      <c r="K48" s="88" t="s">
        <v>339</v>
      </c>
      <c r="L48" s="88" t="s">
        <v>99</v>
      </c>
      <c r="M48" s="88"/>
      <c r="N48" s="88" t="s">
        <v>306</v>
      </c>
      <c r="O48" s="88" t="s">
        <v>341</v>
      </c>
      <c r="P48" s="88" t="s">
        <v>39</v>
      </c>
      <c r="Q48" s="88" t="s">
        <v>343</v>
      </c>
      <c r="R48" s="88" t="s">
        <v>99</v>
      </c>
      <c r="S48" s="17"/>
      <c r="V48" s="85"/>
    </row>
    <row r="49" spans="2:22" s="6" customFormat="1" ht="80.099999999999994" customHeight="1">
      <c r="B49" s="18">
        <f>B45+1</f>
        <v>12</v>
      </c>
      <c r="D49" s="87" t="s">
        <v>262</v>
      </c>
      <c r="E49" s="87" t="s">
        <v>254</v>
      </c>
      <c r="F49" s="87" t="s">
        <v>263</v>
      </c>
      <c r="G49" s="87" t="s">
        <v>244</v>
      </c>
      <c r="H49" s="87" t="s">
        <v>264</v>
      </c>
      <c r="I49" s="87" t="s">
        <v>265</v>
      </c>
      <c r="J49" s="87" t="s">
        <v>33</v>
      </c>
      <c r="K49" s="87" t="s">
        <v>266</v>
      </c>
      <c r="L49" s="87" t="s">
        <v>72</v>
      </c>
      <c r="M49" s="87" t="s">
        <v>244</v>
      </c>
      <c r="N49" s="87" t="s">
        <v>251</v>
      </c>
      <c r="O49" s="87" t="s">
        <v>267</v>
      </c>
      <c r="P49" s="87" t="s">
        <v>33</v>
      </c>
      <c r="Q49" s="87" t="s">
        <v>268</v>
      </c>
      <c r="R49" s="87" t="s">
        <v>72</v>
      </c>
      <c r="S49" s="19"/>
      <c r="V49" s="85"/>
    </row>
    <row r="50" spans="2:22" s="6" customFormat="1" ht="36" customHeight="1">
      <c r="B50" s="20"/>
      <c r="D50" s="89" t="s">
        <v>332</v>
      </c>
      <c r="E50" s="89" t="s">
        <v>315</v>
      </c>
      <c r="F50" s="89" t="s">
        <v>334</v>
      </c>
      <c r="G50" s="89"/>
      <c r="H50" s="89" t="s">
        <v>336</v>
      </c>
      <c r="I50" s="89" t="s">
        <v>338</v>
      </c>
      <c r="J50" s="89" t="s">
        <v>311</v>
      </c>
      <c r="K50" s="89" t="s">
        <v>340</v>
      </c>
      <c r="L50" s="89" t="s">
        <v>308</v>
      </c>
      <c r="M50" s="89"/>
      <c r="N50" s="89" t="s">
        <v>307</v>
      </c>
      <c r="O50" s="89" t="s">
        <v>342</v>
      </c>
      <c r="P50" s="89" t="s">
        <v>311</v>
      </c>
      <c r="Q50" s="89" t="s">
        <v>344</v>
      </c>
      <c r="R50" s="89" t="s">
        <v>308</v>
      </c>
      <c r="S50" s="28"/>
      <c r="V50" s="85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5"/>
    </row>
    <row r="52" spans="2:22" s="6" customFormat="1" ht="36" customHeight="1">
      <c r="B52" s="16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17"/>
      <c r="V52" s="85"/>
    </row>
    <row r="53" spans="2:22" s="6" customFormat="1" ht="80.099999999999994" customHeight="1">
      <c r="B53" s="18">
        <f>B49+1</f>
        <v>13</v>
      </c>
      <c r="D53" s="87" t="str">
        <f>CHAR(10)</f>
        <v xml:space="preserve">
</v>
      </c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19"/>
      <c r="V53" s="85"/>
    </row>
    <row r="54" spans="2:22" s="6" customFormat="1" ht="36" customHeight="1">
      <c r="B54" s="20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8"/>
      <c r="V54" s="85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5"/>
    </row>
    <row r="56" spans="2:22" s="6" customFormat="1" ht="36" customHeight="1">
      <c r="B56" s="16"/>
      <c r="D56" s="88" t="s">
        <v>345</v>
      </c>
      <c r="E56" s="88" t="s">
        <v>347</v>
      </c>
      <c r="F56" s="88" t="s">
        <v>333</v>
      </c>
      <c r="G56" s="88"/>
      <c r="H56" s="88" t="s">
        <v>81</v>
      </c>
      <c r="I56" s="88" t="s">
        <v>39</v>
      </c>
      <c r="J56" s="88" t="s">
        <v>349</v>
      </c>
      <c r="K56" s="88" t="s">
        <v>99</v>
      </c>
      <c r="L56" s="88"/>
      <c r="M56" s="88" t="s">
        <v>306</v>
      </c>
      <c r="N56" s="88" t="s">
        <v>351</v>
      </c>
      <c r="O56" s="88" t="s">
        <v>39</v>
      </c>
      <c r="P56" s="88" t="s">
        <v>343</v>
      </c>
      <c r="Q56" s="88" t="s">
        <v>99</v>
      </c>
      <c r="R56" s="88"/>
      <c r="S56" s="17"/>
      <c r="V56" s="85"/>
    </row>
    <row r="57" spans="2:22" s="6" customFormat="1" ht="80.099999999999994" customHeight="1">
      <c r="B57" s="18">
        <f>B53+1</f>
        <v>14</v>
      </c>
      <c r="D57" s="87" t="s">
        <v>269</v>
      </c>
      <c r="E57" s="87" t="s">
        <v>270</v>
      </c>
      <c r="F57" s="87" t="s">
        <v>263</v>
      </c>
      <c r="G57" s="87" t="s">
        <v>244</v>
      </c>
      <c r="H57" s="87" t="s">
        <v>60</v>
      </c>
      <c r="I57" s="87" t="s">
        <v>33</v>
      </c>
      <c r="J57" s="87" t="s">
        <v>271</v>
      </c>
      <c r="K57" s="87" t="s">
        <v>72</v>
      </c>
      <c r="L57" s="87" t="s">
        <v>244</v>
      </c>
      <c r="M57" s="87" t="s">
        <v>251</v>
      </c>
      <c r="N57" s="87" t="s">
        <v>272</v>
      </c>
      <c r="O57" s="87" t="s">
        <v>33</v>
      </c>
      <c r="P57" s="87" t="s">
        <v>268</v>
      </c>
      <c r="Q57" s="87" t="s">
        <v>72</v>
      </c>
      <c r="R57" s="87" t="str">
        <f>CHAR(10)</f>
        <v xml:space="preserve">
</v>
      </c>
      <c r="S57" s="19"/>
      <c r="V57" s="85"/>
    </row>
    <row r="58" spans="2:22" s="6" customFormat="1" ht="36" customHeight="1">
      <c r="B58" s="20"/>
      <c r="D58" s="89" t="s">
        <v>346</v>
      </c>
      <c r="E58" s="89" t="s">
        <v>348</v>
      </c>
      <c r="F58" s="89" t="s">
        <v>334</v>
      </c>
      <c r="G58" s="89"/>
      <c r="H58" s="89" t="s">
        <v>283</v>
      </c>
      <c r="I58" s="89" t="s">
        <v>311</v>
      </c>
      <c r="J58" s="89" t="s">
        <v>350</v>
      </c>
      <c r="K58" s="89" t="s">
        <v>308</v>
      </c>
      <c r="L58" s="89"/>
      <c r="M58" s="89" t="s">
        <v>307</v>
      </c>
      <c r="N58" s="89" t="s">
        <v>352</v>
      </c>
      <c r="O58" s="89" t="s">
        <v>311</v>
      </c>
      <c r="P58" s="89" t="s">
        <v>344</v>
      </c>
      <c r="Q58" s="89" t="s">
        <v>308</v>
      </c>
      <c r="R58" s="89"/>
      <c r="S58" s="28"/>
      <c r="V58" s="85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5"/>
    </row>
    <row r="60" spans="2:22" s="6" customFormat="1" ht="36" customHeight="1">
      <c r="B60" s="16"/>
      <c r="D60" s="88" t="s">
        <v>296</v>
      </c>
      <c r="E60" s="88" t="s">
        <v>41</v>
      </c>
      <c r="F60" s="88" t="s">
        <v>353</v>
      </c>
      <c r="G60" s="88" t="s">
        <v>355</v>
      </c>
      <c r="H60" s="88" t="s">
        <v>331</v>
      </c>
      <c r="I60" s="88" t="s">
        <v>95</v>
      </c>
      <c r="J60" s="88" t="s">
        <v>49</v>
      </c>
      <c r="K60" s="88" t="s">
        <v>105</v>
      </c>
      <c r="L60" s="88" t="s">
        <v>306</v>
      </c>
      <c r="M60" s="88" t="s">
        <v>294</v>
      </c>
      <c r="N60" s="88" t="s">
        <v>95</v>
      </c>
      <c r="O60" s="88" t="s">
        <v>49</v>
      </c>
      <c r="P60" s="88" t="s">
        <v>339</v>
      </c>
      <c r="Q60" s="88"/>
      <c r="R60" s="46"/>
      <c r="S60" s="17"/>
      <c r="V60" s="85"/>
    </row>
    <row r="61" spans="2:22" s="6" customFormat="1" ht="80.099999999999994" customHeight="1">
      <c r="B61" s="18">
        <f>B57+1</f>
        <v>15</v>
      </c>
      <c r="D61" s="87" t="s">
        <v>248</v>
      </c>
      <c r="E61" s="87" t="s">
        <v>36</v>
      </c>
      <c r="F61" s="87" t="s">
        <v>273</v>
      </c>
      <c r="G61" s="87" t="s">
        <v>274</v>
      </c>
      <c r="H61" s="87" t="s">
        <v>262</v>
      </c>
      <c r="I61" s="87" t="s">
        <v>275</v>
      </c>
      <c r="J61" s="87" t="s">
        <v>276</v>
      </c>
      <c r="K61" s="87" t="s">
        <v>277</v>
      </c>
      <c r="L61" s="87" t="s">
        <v>251</v>
      </c>
      <c r="M61" s="87" t="s">
        <v>247</v>
      </c>
      <c r="N61" s="87" t="s">
        <v>275</v>
      </c>
      <c r="O61" s="87" t="s">
        <v>276</v>
      </c>
      <c r="P61" s="87" t="s">
        <v>266</v>
      </c>
      <c r="Q61" s="87" t="str">
        <f>CHAR(10)</f>
        <v xml:space="preserve">
</v>
      </c>
      <c r="R61" s="36"/>
      <c r="S61" s="19"/>
      <c r="V61" s="85"/>
    </row>
    <row r="62" spans="2:22" s="6" customFormat="1" ht="36" customHeight="1">
      <c r="B62" s="20"/>
      <c r="D62" s="89" t="s">
        <v>297</v>
      </c>
      <c r="E62" s="89" t="s">
        <v>298</v>
      </c>
      <c r="F62" s="89" t="s">
        <v>354</v>
      </c>
      <c r="G62" s="89" t="s">
        <v>356</v>
      </c>
      <c r="H62" s="89" t="s">
        <v>332</v>
      </c>
      <c r="I62" s="89" t="s">
        <v>357</v>
      </c>
      <c r="J62" s="89" t="s">
        <v>358</v>
      </c>
      <c r="K62" s="89" t="s">
        <v>329</v>
      </c>
      <c r="L62" s="89" t="s">
        <v>307</v>
      </c>
      <c r="M62" s="89" t="s">
        <v>295</v>
      </c>
      <c r="N62" s="89" t="s">
        <v>357</v>
      </c>
      <c r="O62" s="89" t="s">
        <v>358</v>
      </c>
      <c r="P62" s="89" t="s">
        <v>340</v>
      </c>
      <c r="Q62" s="89"/>
      <c r="R62" s="81"/>
      <c r="S62" s="28"/>
      <c r="V62" s="85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5"/>
    </row>
    <row r="64" spans="2:22" s="6" customFormat="1" ht="36" customHeight="1">
      <c r="B64" s="16"/>
      <c r="D64" s="88" t="s">
        <v>95</v>
      </c>
      <c r="E64" s="88" t="s">
        <v>49</v>
      </c>
      <c r="F64" s="88" t="s">
        <v>101</v>
      </c>
      <c r="G64" s="88" t="s">
        <v>306</v>
      </c>
      <c r="H64" s="88" t="s">
        <v>294</v>
      </c>
      <c r="I64" s="88" t="s">
        <v>95</v>
      </c>
      <c r="J64" s="88" t="s">
        <v>49</v>
      </c>
      <c r="K64" s="88" t="s">
        <v>349</v>
      </c>
      <c r="L64" s="88"/>
      <c r="M64" s="46"/>
      <c r="N64" s="46"/>
      <c r="O64" s="46"/>
      <c r="P64" s="46"/>
      <c r="Q64" s="46"/>
      <c r="R64" s="46"/>
      <c r="S64" s="17"/>
      <c r="V64" s="85"/>
    </row>
    <row r="65" spans="2:22" s="6" customFormat="1" ht="80.099999999999994" customHeight="1">
      <c r="B65" s="18">
        <f>B61+1</f>
        <v>16</v>
      </c>
      <c r="D65" s="87" t="s">
        <v>275</v>
      </c>
      <c r="E65" s="87" t="s">
        <v>276</v>
      </c>
      <c r="F65" s="87" t="s">
        <v>278</v>
      </c>
      <c r="G65" s="87" t="s">
        <v>251</v>
      </c>
      <c r="H65" s="87" t="s">
        <v>247</v>
      </c>
      <c r="I65" s="87" t="s">
        <v>275</v>
      </c>
      <c r="J65" s="87" t="s">
        <v>276</v>
      </c>
      <c r="K65" s="87" t="s">
        <v>271</v>
      </c>
      <c r="L65" s="87" t="str">
        <f>CHAR(10)</f>
        <v xml:space="preserve">
</v>
      </c>
      <c r="M65" s="36"/>
      <c r="N65" s="36"/>
      <c r="O65" s="36"/>
      <c r="P65" s="36"/>
      <c r="Q65" s="36"/>
      <c r="R65" s="36"/>
      <c r="S65" s="19"/>
      <c r="V65" s="85"/>
    </row>
    <row r="66" spans="2:22" s="6" customFormat="1" ht="36" customHeight="1">
      <c r="B66" s="20"/>
      <c r="D66" s="89" t="s">
        <v>357</v>
      </c>
      <c r="E66" s="89" t="s">
        <v>358</v>
      </c>
      <c r="F66" s="89" t="s">
        <v>359</v>
      </c>
      <c r="G66" s="89" t="s">
        <v>307</v>
      </c>
      <c r="H66" s="89" t="s">
        <v>295</v>
      </c>
      <c r="I66" s="89" t="s">
        <v>357</v>
      </c>
      <c r="J66" s="89" t="s">
        <v>358</v>
      </c>
      <c r="K66" s="89" t="s">
        <v>350</v>
      </c>
      <c r="L66" s="89"/>
      <c r="M66" s="81"/>
      <c r="N66" s="81"/>
      <c r="O66" s="81"/>
      <c r="P66" s="81"/>
      <c r="Q66" s="81"/>
      <c r="R66" s="81"/>
      <c r="S66" s="28"/>
      <c r="V66" s="85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5"/>
    </row>
    <row r="68" spans="2:22" s="6" customFormat="1" ht="36" customHeight="1">
      <c r="B68" s="16"/>
      <c r="D68" s="88" t="s">
        <v>108</v>
      </c>
      <c r="E68" s="88" t="s">
        <v>360</v>
      </c>
      <c r="F68" s="88" t="s">
        <v>362</v>
      </c>
      <c r="G68" s="88" t="s">
        <v>364</v>
      </c>
      <c r="H68" s="88" t="s">
        <v>364</v>
      </c>
      <c r="I68" s="88" t="s">
        <v>94</v>
      </c>
      <c r="J68" s="88" t="s">
        <v>39</v>
      </c>
      <c r="K68" s="88" t="s">
        <v>41</v>
      </c>
      <c r="L68" s="88" t="s">
        <v>42</v>
      </c>
      <c r="M68" s="88" t="s">
        <v>110</v>
      </c>
      <c r="N68" s="88"/>
      <c r="O68" s="88" t="s">
        <v>169</v>
      </c>
      <c r="P68" s="88" t="s">
        <v>39</v>
      </c>
      <c r="Q68" s="88" t="s">
        <v>41</v>
      </c>
      <c r="R68" s="88" t="s">
        <v>42</v>
      </c>
      <c r="S68" s="17"/>
      <c r="V68" s="85"/>
    </row>
    <row r="69" spans="2:22" s="6" customFormat="1" ht="80.099999999999994" customHeight="1">
      <c r="B69" s="18">
        <f>B65+1</f>
        <v>17</v>
      </c>
      <c r="D69" s="87" t="s">
        <v>79</v>
      </c>
      <c r="E69" s="87" t="s">
        <v>279</v>
      </c>
      <c r="F69" s="87" t="s">
        <v>280</v>
      </c>
      <c r="G69" s="87" t="s">
        <v>281</v>
      </c>
      <c r="H69" s="87" t="s">
        <v>282</v>
      </c>
      <c r="I69" s="87" t="s">
        <v>34</v>
      </c>
      <c r="J69" s="87" t="s">
        <v>33</v>
      </c>
      <c r="K69" s="87" t="s">
        <v>36</v>
      </c>
      <c r="L69" s="87" t="s">
        <v>37</v>
      </c>
      <c r="M69" s="87" t="s">
        <v>80</v>
      </c>
      <c r="N69" s="87" t="s">
        <v>18</v>
      </c>
      <c r="O69" s="87" t="s">
        <v>32</v>
      </c>
      <c r="P69" s="87" t="s">
        <v>33</v>
      </c>
      <c r="Q69" s="87" t="s">
        <v>36</v>
      </c>
      <c r="R69" s="87" t="s">
        <v>37</v>
      </c>
      <c r="S69" s="19"/>
      <c r="V69" s="85"/>
    </row>
    <row r="70" spans="2:22" s="6" customFormat="1" ht="36" customHeight="1">
      <c r="B70" s="20"/>
      <c r="D70" s="89" t="s">
        <v>328</v>
      </c>
      <c r="E70" s="89" t="s">
        <v>361</v>
      </c>
      <c r="F70" s="89" t="s">
        <v>363</v>
      </c>
      <c r="G70" s="89" t="s">
        <v>365</v>
      </c>
      <c r="H70" s="89" t="s">
        <v>365</v>
      </c>
      <c r="I70" s="89" t="s">
        <v>299</v>
      </c>
      <c r="J70" s="89" t="s">
        <v>311</v>
      </c>
      <c r="K70" s="89" t="s">
        <v>298</v>
      </c>
      <c r="L70" s="89" t="s">
        <v>305</v>
      </c>
      <c r="M70" s="89" t="s">
        <v>368</v>
      </c>
      <c r="N70" s="89"/>
      <c r="O70" s="89" t="s">
        <v>304</v>
      </c>
      <c r="P70" s="89" t="s">
        <v>311</v>
      </c>
      <c r="Q70" s="89" t="s">
        <v>298</v>
      </c>
      <c r="R70" s="89" t="s">
        <v>305</v>
      </c>
      <c r="S70" s="28"/>
      <c r="V70" s="85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5"/>
    </row>
    <row r="72" spans="2:22" s="6" customFormat="1" ht="36" customHeight="1">
      <c r="B72" s="16"/>
      <c r="D72" s="88" t="s">
        <v>98</v>
      </c>
      <c r="E72" s="88"/>
      <c r="F72" s="88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5"/>
    </row>
    <row r="73" spans="2:22" s="6" customFormat="1" ht="80.099999999999994" customHeight="1">
      <c r="B73" s="18">
        <f>B69+1</f>
        <v>18</v>
      </c>
      <c r="D73" s="87" t="s">
        <v>71</v>
      </c>
      <c r="E73" s="87" t="s">
        <v>19</v>
      </c>
      <c r="F73" s="87" t="str">
        <f>CHAR(10)</f>
        <v xml:space="preserve">
</v>
      </c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5"/>
    </row>
    <row r="74" spans="2:22" s="6" customFormat="1" ht="36" customHeight="1">
      <c r="B74" s="20"/>
      <c r="D74" s="89" t="s">
        <v>369</v>
      </c>
      <c r="E74" s="89"/>
      <c r="F74" s="89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28"/>
      <c r="V74" s="85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5"/>
    </row>
    <row r="76" spans="2:22" s="6" customFormat="1" ht="36" customHeight="1">
      <c r="B76" s="16"/>
      <c r="D76" s="88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87" t="s">
        <v>20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89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28"/>
      <c r="V78" s="85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5"/>
    </row>
    <row r="82" spans="2:22" s="6" customFormat="1" ht="36" customHeight="1">
      <c r="B82" s="20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28"/>
      <c r="V82" s="86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81"/>
      <c r="E1414" s="81"/>
      <c r="F1414" s="81"/>
      <c r="G1414" s="81"/>
      <c r="H1414" s="81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81"/>
      <c r="E1418" s="81"/>
      <c r="F1418" s="81"/>
      <c r="G1418" s="81"/>
      <c r="H1418" s="81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81"/>
      <c r="E1422" s="81"/>
      <c r="F1422" s="81"/>
      <c r="G1422" s="81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81"/>
      <c r="E1426" s="81"/>
      <c r="F1426" s="81"/>
      <c r="G1426" s="81"/>
      <c r="H1426" s="81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81"/>
      <c r="E1430" s="81"/>
      <c r="F1430" s="81"/>
      <c r="G1430" s="81"/>
      <c r="H1430" s="81"/>
      <c r="I1430" s="81"/>
      <c r="J1430" s="81"/>
      <c r="K1430" s="81"/>
      <c r="L1430" s="81"/>
      <c r="M1430" s="81"/>
      <c r="N1430" s="81"/>
      <c r="O1430" s="81"/>
      <c r="P1430" s="81"/>
      <c r="Q1430" s="81"/>
      <c r="R1430" s="81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81"/>
      <c r="E1434" s="81"/>
      <c r="F1434" s="81"/>
      <c r="G1434" s="81"/>
      <c r="H1434" s="81"/>
      <c r="I1434" s="81"/>
      <c r="J1434" s="81"/>
      <c r="K1434" s="81"/>
      <c r="L1434" s="81"/>
      <c r="M1434" s="81"/>
      <c r="N1434" s="81"/>
      <c r="O1434" s="81"/>
      <c r="P1434" s="81"/>
      <c r="Q1434" s="81"/>
      <c r="R1434" s="81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81"/>
      <c r="E1438" s="81"/>
      <c r="F1438" s="81"/>
      <c r="G1438" s="81"/>
      <c r="H1438" s="81"/>
      <c r="I1438" s="81"/>
      <c r="J1438" s="81"/>
      <c r="K1438" s="81"/>
      <c r="L1438" s="81"/>
      <c r="M1438" s="81"/>
      <c r="N1438" s="81"/>
      <c r="O1438" s="81"/>
      <c r="P1438" s="81"/>
      <c r="Q1438" s="81"/>
      <c r="R1438" s="81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81"/>
      <c r="E1442" s="81"/>
      <c r="F1442" s="81"/>
      <c r="G1442" s="81"/>
      <c r="H1442" s="81"/>
      <c r="I1442" s="81"/>
      <c r="J1442" s="81"/>
      <c r="K1442" s="81"/>
      <c r="L1442" s="81"/>
      <c r="M1442" s="81"/>
      <c r="N1442" s="81"/>
      <c r="O1442" s="81"/>
      <c r="P1442" s="81"/>
      <c r="Q1442" s="81"/>
      <c r="R1442" s="81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81"/>
      <c r="E1446" s="81"/>
      <c r="F1446" s="81"/>
      <c r="G1446" s="81"/>
      <c r="H1446" s="81"/>
      <c r="I1446" s="81"/>
      <c r="J1446" s="81"/>
      <c r="K1446" s="81"/>
      <c r="L1446" s="81"/>
      <c r="M1446" s="81"/>
      <c r="N1446" s="81"/>
      <c r="O1446" s="81"/>
      <c r="P1446" s="81"/>
      <c r="Q1446" s="81"/>
      <c r="R1446" s="81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81"/>
      <c r="E1450" s="81"/>
      <c r="F1450" s="81"/>
      <c r="G1450" s="81"/>
      <c r="H1450" s="81"/>
      <c r="I1450" s="81"/>
      <c r="J1450" s="81"/>
      <c r="K1450" s="81"/>
      <c r="L1450" s="81"/>
      <c r="M1450" s="81"/>
      <c r="N1450" s="81"/>
      <c r="O1450" s="81"/>
      <c r="P1450" s="81"/>
      <c r="Q1450" s="81"/>
      <c r="R1450" s="81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81"/>
      <c r="E1454" s="81"/>
      <c r="F1454" s="81"/>
      <c r="G1454" s="81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81"/>
      <c r="E1458" s="81"/>
      <c r="F1458" s="81"/>
      <c r="G1458" s="81"/>
      <c r="H1458" s="81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81"/>
      <c r="E1462" s="81"/>
      <c r="F1462" s="81"/>
      <c r="G1462" s="81"/>
      <c r="H1462" s="81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81"/>
      <c r="E1466" s="81"/>
      <c r="F1466" s="81"/>
      <c r="G1466" s="81"/>
      <c r="H1466" s="81"/>
      <c r="I1466" s="81"/>
      <c r="J1466" s="81"/>
      <c r="K1466" s="81"/>
      <c r="L1466" s="81"/>
      <c r="M1466" s="81"/>
      <c r="N1466" s="81"/>
      <c r="O1466" s="81"/>
      <c r="P1466" s="81"/>
      <c r="Q1466" s="81"/>
      <c r="R1466" s="81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81"/>
      <c r="E1470" s="81"/>
      <c r="F1470" s="81"/>
      <c r="G1470" s="81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81"/>
      <c r="E1474" s="81"/>
      <c r="F1474" s="81"/>
      <c r="G1474" s="81"/>
      <c r="H1474" s="81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81"/>
      <c r="E1478" s="81"/>
      <c r="F1478" s="81"/>
      <c r="G1478" s="81"/>
      <c r="H1478" s="81"/>
      <c r="I1478" s="81"/>
      <c r="J1478" s="81"/>
      <c r="K1478" s="81"/>
      <c r="L1478" s="81"/>
      <c r="M1478" s="81"/>
      <c r="N1478" s="81"/>
      <c r="O1478" s="81"/>
      <c r="P1478" s="81"/>
      <c r="Q1478" s="81"/>
      <c r="R1478" s="81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81"/>
      <c r="E1482" s="81"/>
      <c r="F1482" s="81"/>
      <c r="G1482" s="81"/>
      <c r="H1482" s="81"/>
      <c r="I1482" s="81"/>
      <c r="J1482" s="81"/>
      <c r="K1482" s="81"/>
      <c r="L1482" s="81"/>
      <c r="M1482" s="81"/>
      <c r="N1482" s="81"/>
      <c r="O1482" s="81"/>
      <c r="P1482" s="81"/>
      <c r="Q1482" s="81"/>
      <c r="R1482" s="81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81"/>
      <c r="E1486" s="81"/>
      <c r="F1486" s="81"/>
      <c r="G1486" s="81"/>
      <c r="H1486" s="81"/>
      <c r="I1486" s="81"/>
      <c r="J1486" s="81"/>
      <c r="K1486" s="81"/>
      <c r="L1486" s="81"/>
      <c r="M1486" s="81"/>
      <c r="N1486" s="81"/>
      <c r="O1486" s="81"/>
      <c r="P1486" s="81"/>
      <c r="Q1486" s="81"/>
      <c r="R1486" s="81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81"/>
      <c r="E1490" s="81"/>
      <c r="F1490" s="81"/>
      <c r="G1490" s="81"/>
      <c r="H1490" s="81"/>
      <c r="I1490" s="81"/>
      <c r="J1490" s="81"/>
      <c r="K1490" s="81"/>
      <c r="L1490" s="81"/>
      <c r="M1490" s="81"/>
      <c r="N1490" s="81"/>
      <c r="O1490" s="81"/>
      <c r="P1490" s="81"/>
      <c r="Q1490" s="81"/>
      <c r="R1490" s="81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81"/>
      <c r="E1494" s="81"/>
      <c r="F1494" s="81"/>
      <c r="G1494" s="81"/>
      <c r="H1494" s="81"/>
      <c r="I1494" s="81"/>
      <c r="J1494" s="81"/>
      <c r="K1494" s="81"/>
      <c r="L1494" s="81"/>
      <c r="M1494" s="81"/>
      <c r="N1494" s="81"/>
      <c r="O1494" s="81"/>
      <c r="P1494" s="81"/>
      <c r="Q1494" s="81"/>
      <c r="R1494" s="81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81"/>
      <c r="E1498" s="81"/>
      <c r="F1498" s="81"/>
      <c r="G1498" s="81"/>
      <c r="H1498" s="81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81"/>
      <c r="E1506" s="81"/>
      <c r="F1506" s="81"/>
      <c r="G1506" s="81"/>
      <c r="H1506" s="81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81"/>
      <c r="E1510" s="81"/>
      <c r="F1510" s="81"/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81"/>
      <c r="E1514" s="81"/>
      <c r="F1514" s="81"/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81"/>
      <c r="E1518" s="81"/>
      <c r="F1518" s="81"/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81"/>
      <c r="E1522" s="81"/>
      <c r="F1522" s="81"/>
      <c r="G1522" s="81"/>
      <c r="H1522" s="81"/>
      <c r="I1522" s="81"/>
      <c r="J1522" s="81"/>
      <c r="K1522" s="81"/>
      <c r="L1522" s="81"/>
      <c r="M1522" s="81"/>
      <c r="N1522" s="81"/>
      <c r="O1522" s="81"/>
      <c r="P1522" s="81"/>
      <c r="Q1522" s="81"/>
      <c r="R1522" s="81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81"/>
      <c r="E1526" s="81"/>
      <c r="F1526" s="81"/>
      <c r="G1526" s="81"/>
      <c r="H1526" s="81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81"/>
      <c r="E1530" s="81"/>
      <c r="F1530" s="81"/>
      <c r="G1530" s="81"/>
      <c r="H1530" s="81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81"/>
      <c r="E1534" s="81"/>
      <c r="F1534" s="81"/>
      <c r="G1534" s="81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1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81"/>
      <c r="E1538" s="81"/>
      <c r="F1538" s="81"/>
      <c r="G1538" s="81"/>
      <c r="H1538" s="81"/>
      <c r="I1538" s="81"/>
      <c r="J1538" s="81"/>
      <c r="K1538" s="81"/>
      <c r="L1538" s="81"/>
      <c r="M1538" s="81"/>
      <c r="N1538" s="81"/>
      <c r="O1538" s="81"/>
      <c r="P1538" s="81"/>
      <c r="Q1538" s="81"/>
      <c r="R1538" s="81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81"/>
      <c r="E1542" s="81"/>
      <c r="F1542" s="81"/>
      <c r="G1542" s="81"/>
      <c r="H1542" s="81"/>
      <c r="I1542" s="81"/>
      <c r="J1542" s="81"/>
      <c r="K1542" s="81"/>
      <c r="L1542" s="81"/>
      <c r="M1542" s="81"/>
      <c r="N1542" s="81"/>
      <c r="O1542" s="81"/>
      <c r="P1542" s="81"/>
      <c r="Q1542" s="81"/>
      <c r="R1542" s="81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81"/>
      <c r="E1546" s="81"/>
      <c r="F1546" s="81"/>
      <c r="G1546" s="81"/>
      <c r="H1546" s="81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81"/>
      <c r="E1550" s="81"/>
      <c r="F1550" s="81"/>
      <c r="G1550" s="81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81"/>
      <c r="E1554" s="81"/>
      <c r="F1554" s="81"/>
      <c r="G1554" s="81"/>
      <c r="H1554" s="81"/>
      <c r="I1554" s="81"/>
      <c r="J1554" s="81"/>
      <c r="K1554" s="81"/>
      <c r="L1554" s="81"/>
      <c r="M1554" s="81"/>
      <c r="N1554" s="81"/>
      <c r="O1554" s="81"/>
      <c r="P1554" s="81"/>
      <c r="Q1554" s="81"/>
      <c r="R1554" s="81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81"/>
      <c r="E1558" s="81"/>
      <c r="F1558" s="81"/>
      <c r="G1558" s="81"/>
      <c r="H1558" s="81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81"/>
      <c r="E1562" s="81"/>
      <c r="F1562" s="81"/>
      <c r="G1562" s="81"/>
      <c r="H1562" s="81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81"/>
      <c r="E1566" s="81"/>
      <c r="F1566" s="81"/>
      <c r="G1566" s="81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81"/>
      <c r="E1570" s="81"/>
      <c r="F1570" s="81"/>
      <c r="G1570" s="81"/>
      <c r="H1570" s="81"/>
      <c r="I1570" s="81"/>
      <c r="J1570" s="81"/>
      <c r="K1570" s="81"/>
      <c r="L1570" s="81"/>
      <c r="M1570" s="81"/>
      <c r="N1570" s="81"/>
      <c r="O1570" s="81"/>
      <c r="P1570" s="81"/>
      <c r="Q1570" s="81"/>
      <c r="R1570" s="81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81"/>
      <c r="E1574" s="81"/>
      <c r="F1574" s="81"/>
      <c r="G1574" s="81"/>
      <c r="H1574" s="81"/>
      <c r="I1574" s="81"/>
      <c r="J1574" s="81"/>
      <c r="K1574" s="81"/>
      <c r="L1574" s="81"/>
      <c r="M1574" s="81"/>
      <c r="N1574" s="81"/>
      <c r="O1574" s="81"/>
      <c r="P1574" s="81"/>
      <c r="Q1574" s="81"/>
      <c r="R1574" s="81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81"/>
      <c r="E1578" s="81"/>
      <c r="F1578" s="81"/>
      <c r="G1578" s="81"/>
      <c r="H1578" s="81"/>
      <c r="I1578" s="81"/>
      <c r="J1578" s="81"/>
      <c r="K1578" s="81"/>
      <c r="L1578" s="81"/>
      <c r="M1578" s="81"/>
      <c r="N1578" s="81"/>
      <c r="O1578" s="81"/>
      <c r="P1578" s="81"/>
      <c r="Q1578" s="81"/>
      <c r="R1578" s="81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81"/>
      <c r="E1582" s="81"/>
      <c r="F1582" s="81"/>
      <c r="G1582" s="81"/>
      <c r="H1582" s="81"/>
      <c r="I1582" s="81"/>
      <c r="J1582" s="81"/>
      <c r="K1582" s="81"/>
      <c r="L1582" s="81"/>
      <c r="M1582" s="81"/>
      <c r="N1582" s="81"/>
      <c r="O1582" s="81"/>
      <c r="P1582" s="81"/>
      <c r="Q1582" s="81"/>
      <c r="R1582" s="81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81"/>
      <c r="E1586" s="81"/>
      <c r="F1586" s="81"/>
      <c r="G1586" s="81"/>
      <c r="H1586" s="81"/>
      <c r="I1586" s="81"/>
      <c r="J1586" s="81"/>
      <c r="K1586" s="81"/>
      <c r="L1586" s="81"/>
      <c r="M1586" s="81"/>
      <c r="N1586" s="81"/>
      <c r="O1586" s="81"/>
      <c r="P1586" s="81"/>
      <c r="Q1586" s="81"/>
      <c r="R1586" s="81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81"/>
      <c r="E1590" s="81"/>
      <c r="F1590" s="81"/>
      <c r="G1590" s="81"/>
      <c r="H1590" s="81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81"/>
      <c r="E1594" s="81"/>
      <c r="F1594" s="81"/>
      <c r="G1594" s="81"/>
      <c r="H1594" s="81"/>
      <c r="I1594" s="81"/>
      <c r="J1594" s="81"/>
      <c r="K1594" s="81"/>
      <c r="L1594" s="81"/>
      <c r="M1594" s="81"/>
      <c r="N1594" s="81"/>
      <c r="O1594" s="81"/>
      <c r="P1594" s="81"/>
      <c r="Q1594" s="81"/>
      <c r="R1594" s="81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81"/>
      <c r="E1598" s="81"/>
      <c r="F1598" s="81"/>
      <c r="G1598" s="81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81"/>
      <c r="E1602" s="81"/>
      <c r="F1602" s="81"/>
      <c r="G1602" s="81"/>
      <c r="H1602" s="81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81"/>
      <c r="E1606" s="81"/>
      <c r="F1606" s="81"/>
      <c r="G1606" s="81"/>
      <c r="H1606" s="81"/>
      <c r="I1606" s="81"/>
      <c r="J1606" s="81"/>
      <c r="K1606" s="81"/>
      <c r="L1606" s="81"/>
      <c r="M1606" s="81"/>
      <c r="N1606" s="81"/>
      <c r="O1606" s="81"/>
      <c r="P1606" s="81"/>
      <c r="Q1606" s="81"/>
      <c r="R1606" s="81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81"/>
      <c r="E1610" s="81"/>
      <c r="F1610" s="81"/>
      <c r="G1610" s="81"/>
      <c r="H1610" s="81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81"/>
      <c r="E1614" s="81"/>
      <c r="F1614" s="81"/>
      <c r="G1614" s="81"/>
      <c r="H1614" s="81"/>
      <c r="I1614" s="81"/>
      <c r="J1614" s="81"/>
      <c r="K1614" s="81"/>
      <c r="L1614" s="81"/>
      <c r="M1614" s="81"/>
      <c r="N1614" s="81"/>
      <c r="O1614" s="81"/>
      <c r="P1614" s="81"/>
      <c r="Q1614" s="81"/>
      <c r="R1614" s="81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81"/>
      <c r="E1618" s="81"/>
      <c r="F1618" s="81"/>
      <c r="G1618" s="81"/>
      <c r="H1618" s="81"/>
      <c r="I1618" s="81"/>
      <c r="J1618" s="81"/>
      <c r="K1618" s="81"/>
      <c r="L1618" s="81"/>
      <c r="M1618" s="81"/>
      <c r="N1618" s="81"/>
      <c r="O1618" s="81"/>
      <c r="P1618" s="81"/>
      <c r="Q1618" s="81"/>
      <c r="R1618" s="81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81"/>
      <c r="E1622" s="81"/>
      <c r="F1622" s="81"/>
      <c r="G1622" s="81"/>
      <c r="H1622" s="81"/>
      <c r="I1622" s="81"/>
      <c r="J1622" s="81"/>
      <c r="K1622" s="81"/>
      <c r="L1622" s="81"/>
      <c r="M1622" s="81"/>
      <c r="N1622" s="81"/>
      <c r="O1622" s="81"/>
      <c r="P1622" s="81"/>
      <c r="Q1622" s="81"/>
      <c r="R1622" s="81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81"/>
      <c r="E1626" s="81"/>
      <c r="F1626" s="81"/>
      <c r="G1626" s="81"/>
      <c r="H1626" s="81"/>
      <c r="I1626" s="81"/>
      <c r="J1626" s="81"/>
      <c r="K1626" s="81"/>
      <c r="L1626" s="81"/>
      <c r="M1626" s="81"/>
      <c r="N1626" s="81"/>
      <c r="O1626" s="81"/>
      <c r="P1626" s="81"/>
      <c r="Q1626" s="81"/>
      <c r="R1626" s="81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81"/>
      <c r="E1630" s="81"/>
      <c r="F1630" s="81"/>
      <c r="G1630" s="81"/>
      <c r="H1630" s="81"/>
      <c r="I1630" s="81"/>
      <c r="J1630" s="81"/>
      <c r="K1630" s="81"/>
      <c r="L1630" s="81"/>
      <c r="M1630" s="81"/>
      <c r="N1630" s="81"/>
      <c r="O1630" s="81"/>
      <c r="P1630" s="81"/>
      <c r="Q1630" s="81"/>
      <c r="R1630" s="81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81"/>
      <c r="E1634" s="81"/>
      <c r="F1634" s="81"/>
      <c r="G1634" s="81"/>
      <c r="H1634" s="81"/>
      <c r="I1634" s="81"/>
      <c r="J1634" s="81"/>
      <c r="K1634" s="81"/>
      <c r="L1634" s="81"/>
      <c r="M1634" s="81"/>
      <c r="N1634" s="81"/>
      <c r="O1634" s="81"/>
      <c r="P1634" s="81"/>
      <c r="Q1634" s="81"/>
      <c r="R1634" s="81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81"/>
      <c r="E1638" s="81"/>
      <c r="F1638" s="81"/>
      <c r="G1638" s="81"/>
      <c r="H1638" s="81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81"/>
      <c r="E1642" s="81"/>
      <c r="F1642" s="81"/>
      <c r="G1642" s="81"/>
      <c r="H1642" s="81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81"/>
      <c r="E1646" s="81"/>
      <c r="F1646" s="81"/>
      <c r="G1646" s="81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1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81"/>
      <c r="E1650" s="81"/>
      <c r="F1650" s="81"/>
      <c r="G1650" s="81"/>
      <c r="H1650" s="81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81"/>
      <c r="E1654" s="81"/>
      <c r="F1654" s="81"/>
      <c r="G1654" s="81"/>
      <c r="H1654" s="81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81"/>
      <c r="E1658" s="81"/>
      <c r="F1658" s="81"/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81"/>
      <c r="E1662" s="81"/>
      <c r="F1662" s="81"/>
      <c r="G1662" s="81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81"/>
      <c r="E1666" s="81"/>
      <c r="F1666" s="81"/>
      <c r="G1666" s="81"/>
      <c r="H1666" s="81"/>
      <c r="I1666" s="81"/>
      <c r="J1666" s="81"/>
      <c r="K1666" s="81"/>
      <c r="L1666" s="81"/>
      <c r="M1666" s="81"/>
      <c r="N1666" s="81"/>
      <c r="O1666" s="81"/>
      <c r="P1666" s="81"/>
      <c r="Q1666" s="81"/>
      <c r="R1666" s="81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81"/>
      <c r="E1670" s="81"/>
      <c r="F1670" s="81"/>
      <c r="G1670" s="81"/>
      <c r="H1670" s="81"/>
      <c r="I1670" s="81"/>
      <c r="J1670" s="81"/>
      <c r="K1670" s="81"/>
      <c r="L1670" s="81"/>
      <c r="M1670" s="81"/>
      <c r="N1670" s="81"/>
      <c r="O1670" s="81"/>
      <c r="P1670" s="81"/>
      <c r="Q1670" s="81"/>
      <c r="R1670" s="81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81"/>
      <c r="E1674" s="81"/>
      <c r="F1674" s="81"/>
      <c r="G1674" s="81"/>
      <c r="H1674" s="81"/>
      <c r="I1674" s="81"/>
      <c r="J1674" s="81"/>
      <c r="K1674" s="81"/>
      <c r="L1674" s="81"/>
      <c r="M1674" s="81"/>
      <c r="N1674" s="81"/>
      <c r="O1674" s="81"/>
      <c r="P1674" s="81"/>
      <c r="Q1674" s="81"/>
      <c r="R1674" s="81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81"/>
      <c r="E1678" s="81"/>
      <c r="F1678" s="81"/>
      <c r="G1678" s="81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81"/>
      <c r="E1682" s="81"/>
      <c r="F1682" s="81"/>
      <c r="G1682" s="81"/>
      <c r="H1682" s="81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81"/>
      <c r="E1686" s="81"/>
      <c r="F1686" s="81"/>
      <c r="G1686" s="81"/>
      <c r="H1686" s="81"/>
      <c r="I1686" s="81"/>
      <c r="J1686" s="81"/>
      <c r="K1686" s="81"/>
      <c r="L1686" s="81"/>
      <c r="M1686" s="81"/>
      <c r="N1686" s="81"/>
      <c r="O1686" s="81"/>
      <c r="P1686" s="81"/>
      <c r="Q1686" s="81"/>
      <c r="R1686" s="81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81"/>
      <c r="E1690" s="81"/>
      <c r="F1690" s="81"/>
      <c r="G1690" s="81"/>
      <c r="H1690" s="81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81"/>
      <c r="E1694" s="81"/>
      <c r="F1694" s="81"/>
      <c r="G1694" s="81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1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81"/>
      <c r="E1698" s="81"/>
      <c r="F1698" s="81"/>
      <c r="G1698" s="81"/>
      <c r="H1698" s="81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81"/>
      <c r="E1702" s="81"/>
      <c r="F1702" s="81"/>
      <c r="G1702" s="81"/>
      <c r="H1702" s="81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81"/>
      <c r="E1706" s="81"/>
      <c r="F1706" s="81"/>
      <c r="G1706" s="81"/>
      <c r="H1706" s="81"/>
      <c r="I1706" s="81"/>
      <c r="J1706" s="81"/>
      <c r="K1706" s="81"/>
      <c r="L1706" s="81"/>
      <c r="M1706" s="81"/>
      <c r="N1706" s="81"/>
      <c r="O1706" s="81"/>
      <c r="P1706" s="81"/>
      <c r="Q1706" s="81"/>
      <c r="R1706" s="81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81"/>
      <c r="E1710" s="81"/>
      <c r="F1710" s="81"/>
      <c r="G1710" s="81"/>
      <c r="H1710" s="81"/>
      <c r="I1710" s="81"/>
      <c r="J1710" s="81"/>
      <c r="K1710" s="81"/>
      <c r="L1710" s="81"/>
      <c r="M1710" s="81"/>
      <c r="N1710" s="81"/>
      <c r="O1710" s="81"/>
      <c r="P1710" s="81"/>
      <c r="Q1710" s="81"/>
      <c r="R1710" s="81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81"/>
      <c r="E1714" s="81"/>
      <c r="F1714" s="81"/>
      <c r="G1714" s="81"/>
      <c r="H1714" s="81"/>
      <c r="I1714" s="81"/>
      <c r="J1714" s="81"/>
      <c r="K1714" s="81"/>
      <c r="L1714" s="81"/>
      <c r="M1714" s="81"/>
      <c r="N1714" s="81"/>
      <c r="O1714" s="81"/>
      <c r="P1714" s="81"/>
      <c r="Q1714" s="81"/>
      <c r="R1714" s="81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81"/>
      <c r="E1718" s="81"/>
      <c r="F1718" s="81"/>
      <c r="G1718" s="81"/>
      <c r="H1718" s="81"/>
      <c r="I1718" s="81"/>
      <c r="J1718" s="81"/>
      <c r="K1718" s="81"/>
      <c r="L1718" s="81"/>
      <c r="M1718" s="81"/>
      <c r="N1718" s="81"/>
      <c r="O1718" s="81"/>
      <c r="P1718" s="81"/>
      <c r="Q1718" s="81"/>
      <c r="R1718" s="81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81"/>
      <c r="E1722" s="81"/>
      <c r="F1722" s="81"/>
      <c r="G1722" s="81"/>
      <c r="H1722" s="81"/>
      <c r="I1722" s="81"/>
      <c r="J1722" s="81"/>
      <c r="K1722" s="81"/>
      <c r="L1722" s="81"/>
      <c r="M1722" s="81"/>
      <c r="N1722" s="81"/>
      <c r="O1722" s="81"/>
      <c r="P1722" s="81"/>
      <c r="Q1722" s="81"/>
      <c r="R1722" s="81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81"/>
      <c r="E1726" s="81"/>
      <c r="F1726" s="81"/>
      <c r="G1726" s="81"/>
      <c r="H1726" s="81"/>
      <c r="I1726" s="81"/>
      <c r="J1726" s="81"/>
      <c r="K1726" s="81"/>
      <c r="L1726" s="81"/>
      <c r="M1726" s="81"/>
      <c r="N1726" s="81"/>
      <c r="O1726" s="81"/>
      <c r="P1726" s="81"/>
      <c r="Q1726" s="81"/>
      <c r="R1726" s="81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81"/>
      <c r="E1730" s="81"/>
      <c r="F1730" s="81"/>
      <c r="G1730" s="81"/>
      <c r="H1730" s="81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81"/>
      <c r="E1734" s="81"/>
      <c r="F1734" s="81"/>
      <c r="G1734" s="81"/>
      <c r="H1734" s="81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81"/>
      <c r="E1738" s="81"/>
      <c r="F1738" s="81"/>
      <c r="G1738" s="81"/>
      <c r="H1738" s="81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81"/>
      <c r="E1742" s="81"/>
      <c r="F1742" s="81"/>
      <c r="G1742" s="81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81"/>
      <c r="E1746" s="81"/>
      <c r="F1746" s="81"/>
      <c r="G1746" s="81"/>
      <c r="H1746" s="81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81"/>
      <c r="E1750" s="81"/>
      <c r="F1750" s="81"/>
      <c r="G1750" s="81"/>
      <c r="H1750" s="81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81"/>
      <c r="E1754" s="81"/>
      <c r="F1754" s="81"/>
      <c r="G1754" s="81"/>
      <c r="H1754" s="81"/>
      <c r="I1754" s="81"/>
      <c r="J1754" s="81"/>
      <c r="K1754" s="81"/>
      <c r="L1754" s="81"/>
      <c r="M1754" s="81"/>
      <c r="N1754" s="81"/>
      <c r="O1754" s="81"/>
      <c r="P1754" s="81"/>
      <c r="Q1754" s="81"/>
      <c r="R1754" s="81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81"/>
      <c r="E1758" s="81"/>
      <c r="F1758" s="81"/>
      <c r="G1758" s="81"/>
      <c r="H1758" s="81"/>
      <c r="I1758" s="81"/>
      <c r="J1758" s="81"/>
      <c r="K1758" s="81"/>
      <c r="L1758" s="81"/>
      <c r="M1758" s="81"/>
      <c r="N1758" s="81"/>
      <c r="O1758" s="81"/>
      <c r="P1758" s="81"/>
      <c r="Q1758" s="81"/>
      <c r="R1758" s="81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81"/>
      <c r="E1762" s="81"/>
      <c r="F1762" s="81"/>
      <c r="G1762" s="81"/>
      <c r="H1762" s="81"/>
      <c r="I1762" s="81"/>
      <c r="J1762" s="81"/>
      <c r="K1762" s="81"/>
      <c r="L1762" s="81"/>
      <c r="M1762" s="81"/>
      <c r="N1762" s="81"/>
      <c r="O1762" s="81"/>
      <c r="P1762" s="81"/>
      <c r="Q1762" s="81"/>
      <c r="R1762" s="81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81"/>
      <c r="E1766" s="81"/>
      <c r="F1766" s="81"/>
      <c r="G1766" s="81"/>
      <c r="H1766" s="81"/>
      <c r="I1766" s="81"/>
      <c r="J1766" s="81"/>
      <c r="K1766" s="81"/>
      <c r="L1766" s="81"/>
      <c r="M1766" s="81"/>
      <c r="N1766" s="81"/>
      <c r="O1766" s="81"/>
      <c r="P1766" s="81"/>
      <c r="Q1766" s="81"/>
      <c r="R1766" s="81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81"/>
      <c r="E1770" s="81"/>
      <c r="F1770" s="81"/>
      <c r="G1770" s="81"/>
      <c r="H1770" s="81"/>
      <c r="I1770" s="81"/>
      <c r="J1770" s="81"/>
      <c r="K1770" s="81"/>
      <c r="L1770" s="81"/>
      <c r="M1770" s="81"/>
      <c r="N1770" s="81"/>
      <c r="O1770" s="81"/>
      <c r="P1770" s="81"/>
      <c r="Q1770" s="81"/>
      <c r="R1770" s="81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81"/>
      <c r="E1774" s="81"/>
      <c r="F1774" s="81"/>
      <c r="G1774" s="81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81"/>
      <c r="E1778" s="81"/>
      <c r="F1778" s="81"/>
      <c r="G1778" s="81"/>
      <c r="H1778" s="81"/>
      <c r="I1778" s="81"/>
      <c r="J1778" s="81"/>
      <c r="K1778" s="81"/>
      <c r="L1778" s="81"/>
      <c r="M1778" s="81"/>
      <c r="N1778" s="81"/>
      <c r="O1778" s="81"/>
      <c r="P1778" s="81"/>
      <c r="Q1778" s="81"/>
      <c r="R1778" s="81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81"/>
      <c r="E1782" s="81"/>
      <c r="F1782" s="81"/>
      <c r="G1782" s="81"/>
      <c r="H1782" s="81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81"/>
      <c r="E1786" s="81"/>
      <c r="F1786" s="81"/>
      <c r="G1786" s="81"/>
      <c r="H1786" s="81"/>
      <c r="I1786" s="81"/>
      <c r="J1786" s="81"/>
      <c r="K1786" s="81"/>
      <c r="L1786" s="81"/>
      <c r="M1786" s="81"/>
      <c r="N1786" s="81"/>
      <c r="O1786" s="81"/>
      <c r="P1786" s="81"/>
      <c r="Q1786" s="81"/>
      <c r="R1786" s="81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81"/>
      <c r="E1790" s="81"/>
      <c r="F1790" s="81"/>
      <c r="G1790" s="81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81"/>
      <c r="E1794" s="81"/>
      <c r="F1794" s="81"/>
      <c r="G1794" s="81"/>
      <c r="H1794" s="81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81"/>
      <c r="E1798" s="81"/>
      <c r="F1798" s="81"/>
      <c r="G1798" s="81"/>
      <c r="H1798" s="81"/>
      <c r="I1798" s="81"/>
      <c r="J1798" s="81"/>
      <c r="K1798" s="81"/>
      <c r="L1798" s="81"/>
      <c r="M1798" s="81"/>
      <c r="N1798" s="81"/>
      <c r="O1798" s="81"/>
      <c r="P1798" s="81"/>
      <c r="Q1798" s="81"/>
      <c r="R1798" s="81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81"/>
      <c r="E1802" s="81"/>
      <c r="F1802" s="81"/>
      <c r="G1802" s="81"/>
      <c r="H1802" s="81"/>
      <c r="I1802" s="81"/>
      <c r="J1802" s="81"/>
      <c r="K1802" s="81"/>
      <c r="L1802" s="81"/>
      <c r="M1802" s="81"/>
      <c r="N1802" s="81"/>
      <c r="O1802" s="81"/>
      <c r="P1802" s="81"/>
      <c r="Q1802" s="81"/>
      <c r="R1802" s="81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81"/>
      <c r="E1806" s="81"/>
      <c r="F1806" s="81"/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81"/>
      <c r="E1810" s="81"/>
      <c r="F1810" s="81"/>
      <c r="G1810" s="81"/>
      <c r="H1810" s="81"/>
      <c r="I1810" s="81"/>
      <c r="J1810" s="81"/>
      <c r="K1810" s="81"/>
      <c r="L1810" s="81"/>
      <c r="M1810" s="81"/>
      <c r="N1810" s="81"/>
      <c r="O1810" s="81"/>
      <c r="P1810" s="81"/>
      <c r="Q1810" s="81"/>
      <c r="R1810" s="81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81"/>
      <c r="E1814" s="81"/>
      <c r="F1814" s="81"/>
      <c r="G1814" s="81"/>
      <c r="H1814" s="81"/>
      <c r="I1814" s="81"/>
      <c r="J1814" s="81"/>
      <c r="K1814" s="81"/>
      <c r="L1814" s="81"/>
      <c r="M1814" s="81"/>
      <c r="N1814" s="81"/>
      <c r="O1814" s="81"/>
      <c r="P1814" s="81"/>
      <c r="Q1814" s="81"/>
      <c r="R1814" s="81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81"/>
      <c r="E1818" s="81"/>
      <c r="F1818" s="81"/>
      <c r="G1818" s="81"/>
      <c r="H1818" s="81"/>
      <c r="I1818" s="81"/>
      <c r="J1818" s="81"/>
      <c r="K1818" s="81"/>
      <c r="L1818" s="81"/>
      <c r="M1818" s="81"/>
      <c r="N1818" s="81"/>
      <c r="O1818" s="81"/>
      <c r="P1818" s="81"/>
      <c r="Q1818" s="81"/>
      <c r="R1818" s="81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81"/>
      <c r="E1822" s="81"/>
      <c r="F1822" s="81"/>
      <c r="G1822" s="81"/>
      <c r="H1822" s="81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81"/>
      <c r="E1826" s="81"/>
      <c r="F1826" s="81"/>
      <c r="G1826" s="81"/>
      <c r="H1826" s="81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81"/>
      <c r="E1830" s="81"/>
      <c r="F1830" s="81"/>
      <c r="G1830" s="81"/>
      <c r="H1830" s="81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81"/>
      <c r="E1834" s="81"/>
      <c r="F1834" s="81"/>
      <c r="G1834" s="81"/>
      <c r="H1834" s="81"/>
      <c r="I1834" s="81"/>
      <c r="J1834" s="81"/>
      <c r="K1834" s="81"/>
      <c r="L1834" s="81"/>
      <c r="M1834" s="81"/>
      <c r="N1834" s="81"/>
      <c r="O1834" s="81"/>
      <c r="P1834" s="81"/>
      <c r="Q1834" s="81"/>
      <c r="R1834" s="81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81"/>
      <c r="E1838" s="81"/>
      <c r="F1838" s="81"/>
      <c r="G1838" s="81"/>
      <c r="H1838" s="81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81"/>
      <c r="E1842" s="81"/>
      <c r="F1842" s="81"/>
      <c r="G1842" s="81"/>
      <c r="H1842" s="81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81"/>
      <c r="E1846" s="81"/>
      <c r="F1846" s="81"/>
      <c r="G1846" s="81"/>
      <c r="H1846" s="81"/>
      <c r="I1846" s="81"/>
      <c r="J1846" s="81"/>
      <c r="K1846" s="81"/>
      <c r="L1846" s="81"/>
      <c r="M1846" s="81"/>
      <c r="N1846" s="81"/>
      <c r="O1846" s="81"/>
      <c r="P1846" s="81"/>
      <c r="Q1846" s="81"/>
      <c r="R1846" s="81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81"/>
      <c r="E1850" s="81"/>
      <c r="F1850" s="81"/>
      <c r="G1850" s="81"/>
      <c r="H1850" s="81"/>
      <c r="I1850" s="81"/>
      <c r="J1850" s="81"/>
      <c r="K1850" s="81"/>
      <c r="L1850" s="81"/>
      <c r="M1850" s="81"/>
      <c r="N1850" s="81"/>
      <c r="O1850" s="81"/>
      <c r="P1850" s="81"/>
      <c r="Q1850" s="81"/>
      <c r="R1850" s="81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81"/>
      <c r="E1854" s="81"/>
      <c r="F1854" s="81"/>
      <c r="G1854" s="81"/>
      <c r="H1854" s="81"/>
      <c r="I1854" s="81"/>
      <c r="J1854" s="81"/>
      <c r="K1854" s="81"/>
      <c r="L1854" s="81"/>
      <c r="M1854" s="81"/>
      <c r="N1854" s="81"/>
      <c r="O1854" s="81"/>
      <c r="P1854" s="81"/>
      <c r="Q1854" s="81"/>
      <c r="R1854" s="81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81"/>
      <c r="E1858" s="81"/>
      <c r="F1858" s="81"/>
      <c r="G1858" s="81"/>
      <c r="H1858" s="81"/>
      <c r="I1858" s="81"/>
      <c r="J1858" s="81"/>
      <c r="K1858" s="81"/>
      <c r="L1858" s="81"/>
      <c r="M1858" s="81"/>
      <c r="N1858" s="81"/>
      <c r="O1858" s="81"/>
      <c r="P1858" s="81"/>
      <c r="Q1858" s="81"/>
      <c r="R1858" s="81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81"/>
      <c r="E1862" s="81"/>
      <c r="F1862" s="81"/>
      <c r="G1862" s="81"/>
      <c r="H1862" s="81"/>
      <c r="I1862" s="81"/>
      <c r="J1862" s="81"/>
      <c r="K1862" s="81"/>
      <c r="L1862" s="81"/>
      <c r="M1862" s="81"/>
      <c r="N1862" s="81"/>
      <c r="O1862" s="81"/>
      <c r="P1862" s="81"/>
      <c r="Q1862" s="81"/>
      <c r="R1862" s="81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81"/>
      <c r="E1890" s="81"/>
      <c r="F1890" s="81"/>
      <c r="G1890" s="81"/>
      <c r="H1890" s="81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81"/>
      <c r="E1894" s="81"/>
      <c r="F1894" s="81"/>
      <c r="G1894" s="81"/>
      <c r="H1894" s="81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81"/>
      <c r="E1898" s="81"/>
      <c r="F1898" s="81"/>
      <c r="G1898" s="81"/>
      <c r="H1898" s="81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81"/>
      <c r="E1902" s="81"/>
      <c r="F1902" s="81"/>
      <c r="G1902" s="81"/>
      <c r="H1902" s="81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81"/>
      <c r="E1906" s="81"/>
      <c r="F1906" s="81"/>
      <c r="G1906" s="81"/>
      <c r="H1906" s="81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81"/>
      <c r="E1910" s="81"/>
      <c r="F1910" s="81"/>
      <c r="G1910" s="81"/>
      <c r="H1910" s="81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81"/>
      <c r="E1938" s="81"/>
      <c r="F1938" s="81"/>
      <c r="G1938" s="81"/>
      <c r="H1938" s="81"/>
      <c r="I1938" s="81"/>
      <c r="J1938" s="81"/>
      <c r="K1938" s="81"/>
      <c r="L1938" s="81"/>
      <c r="M1938" s="81"/>
      <c r="N1938" s="81"/>
      <c r="O1938" s="81"/>
      <c r="P1938" s="81"/>
      <c r="Q1938" s="81"/>
      <c r="R1938" s="81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81"/>
      <c r="E1942" s="81"/>
      <c r="F1942" s="81"/>
      <c r="G1942" s="81"/>
      <c r="H1942" s="81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81"/>
      <c r="E1946" s="81"/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81"/>
      <c r="E1950" s="81"/>
      <c r="F1950" s="81"/>
      <c r="G1950" s="81"/>
      <c r="H1950" s="81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81"/>
      <c r="E1954" s="81"/>
      <c r="F1954" s="81"/>
      <c r="G1954" s="81"/>
      <c r="H1954" s="81"/>
      <c r="I1954" s="81"/>
      <c r="J1954" s="81"/>
      <c r="K1954" s="81"/>
      <c r="L1954" s="81"/>
      <c r="M1954" s="81"/>
      <c r="N1954" s="81"/>
      <c r="O1954" s="81"/>
      <c r="P1954" s="81"/>
      <c r="Q1954" s="81"/>
      <c r="R1954" s="81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81"/>
      <c r="Q1986" s="81"/>
      <c r="R1986" s="81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81"/>
      <c r="Q1990" s="81"/>
      <c r="R1990" s="81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81"/>
      <c r="Q1994" s="81"/>
      <c r="R1994" s="81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81"/>
      <c r="Q1998" s="81"/>
      <c r="R1998" s="81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9" priority="1">
      <formula>顯示注音輸入</formula>
    </cfRule>
    <cfRule type="expression" dxfId="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D880-5C56-437C-AA24-18D5C9A0DBDC}">
  <dimension ref="A1:D1"/>
  <sheetViews>
    <sheetView workbookViewId="0"/>
  </sheetViews>
  <sheetFormatPr defaultRowHeight="16.5"/>
  <sheetData>
    <row r="1" spans="1:4">
      <c r="A1" t="s">
        <v>371</v>
      </c>
      <c r="B1" t="s">
        <v>372</v>
      </c>
      <c r="C1" t="s">
        <v>373</v>
      </c>
      <c r="D1" t="s">
        <v>374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CBC9-B44D-4774-B686-7F76C2C4B81E}">
  <dimension ref="A1:D54"/>
  <sheetViews>
    <sheetView workbookViewId="0"/>
  </sheetViews>
  <sheetFormatPr defaultRowHeight="16.5"/>
  <sheetData>
    <row r="1" spans="1:4">
      <c r="A1" t="s">
        <v>371</v>
      </c>
      <c r="B1" t="s">
        <v>372</v>
      </c>
      <c r="C1" t="s">
        <v>373</v>
      </c>
      <c r="D1" t="s">
        <v>374</v>
      </c>
    </row>
    <row r="2" spans="1:4">
      <c r="A2" t="s">
        <v>60</v>
      </c>
      <c r="B2" t="s">
        <v>81</v>
      </c>
      <c r="C2" t="s">
        <v>21</v>
      </c>
      <c r="D2" t="s">
        <v>398</v>
      </c>
    </row>
    <row r="3" spans="1:4">
      <c r="A3" t="s">
        <v>61</v>
      </c>
      <c r="B3" t="s">
        <v>83</v>
      </c>
      <c r="C3" t="s">
        <v>21</v>
      </c>
      <c r="D3" t="s">
        <v>389</v>
      </c>
    </row>
    <row r="4" spans="1:4">
      <c r="A4" t="s">
        <v>55</v>
      </c>
      <c r="B4" t="s">
        <v>47</v>
      </c>
      <c r="C4" t="s">
        <v>21</v>
      </c>
      <c r="D4" t="s">
        <v>46</v>
      </c>
    </row>
    <row r="5" spans="1:4">
      <c r="A5" t="s">
        <v>62</v>
      </c>
      <c r="B5" t="s">
        <v>85</v>
      </c>
      <c r="C5" t="s">
        <v>21</v>
      </c>
      <c r="D5" t="s">
        <v>381</v>
      </c>
    </row>
    <row r="6" spans="1:4">
      <c r="A6" t="s">
        <v>64</v>
      </c>
      <c r="B6" t="s">
        <v>88</v>
      </c>
      <c r="C6" t="s">
        <v>21</v>
      </c>
      <c r="D6" t="s">
        <v>113</v>
      </c>
    </row>
    <row r="7" spans="1:4">
      <c r="A7" t="s">
        <v>65</v>
      </c>
      <c r="B7" t="s">
        <v>38</v>
      </c>
      <c r="C7" t="s">
        <v>21</v>
      </c>
      <c r="D7" t="s">
        <v>382</v>
      </c>
    </row>
    <row r="8" spans="1:4">
      <c r="A8" t="s">
        <v>245</v>
      </c>
      <c r="B8" t="s">
        <v>289</v>
      </c>
      <c r="C8" t="s">
        <v>21</v>
      </c>
      <c r="D8" t="s">
        <v>291</v>
      </c>
    </row>
    <row r="9" spans="1:4">
      <c r="A9" t="s">
        <v>246</v>
      </c>
      <c r="B9" t="s">
        <v>292</v>
      </c>
      <c r="C9" t="s">
        <v>21</v>
      </c>
      <c r="D9" t="s">
        <v>383</v>
      </c>
    </row>
    <row r="10" spans="1:4">
      <c r="A10" t="s">
        <v>247</v>
      </c>
      <c r="B10" t="s">
        <v>294</v>
      </c>
      <c r="C10" t="s">
        <v>21</v>
      </c>
      <c r="D10" t="s">
        <v>408</v>
      </c>
    </row>
    <row r="11" spans="1:4">
      <c r="A11" t="s">
        <v>248</v>
      </c>
      <c r="B11" t="s">
        <v>296</v>
      </c>
      <c r="C11" t="s">
        <v>21</v>
      </c>
      <c r="D11" t="s">
        <v>403</v>
      </c>
    </row>
    <row r="12" spans="1:4">
      <c r="A12" t="s">
        <v>36</v>
      </c>
      <c r="B12" t="s">
        <v>41</v>
      </c>
      <c r="C12" t="s">
        <v>21</v>
      </c>
      <c r="D12" t="s">
        <v>414</v>
      </c>
    </row>
    <row r="13" spans="1:4">
      <c r="A13" t="s">
        <v>34</v>
      </c>
      <c r="B13" t="s">
        <v>94</v>
      </c>
      <c r="C13" t="s">
        <v>21</v>
      </c>
      <c r="D13" t="s">
        <v>415</v>
      </c>
    </row>
    <row r="14" spans="1:4">
      <c r="A14" t="s">
        <v>249</v>
      </c>
      <c r="B14" t="s">
        <v>300</v>
      </c>
      <c r="C14" t="s">
        <v>21</v>
      </c>
      <c r="D14" t="s">
        <v>103</v>
      </c>
    </row>
    <row r="15" spans="1:4">
      <c r="A15" t="s">
        <v>250</v>
      </c>
      <c r="B15" t="s">
        <v>302</v>
      </c>
      <c r="C15" t="s">
        <v>21</v>
      </c>
      <c r="D15" t="s">
        <v>390</v>
      </c>
    </row>
    <row r="16" spans="1:4">
      <c r="A16" t="s">
        <v>32</v>
      </c>
      <c r="B16" t="s">
        <v>169</v>
      </c>
      <c r="C16" t="s">
        <v>21</v>
      </c>
      <c r="D16" t="s">
        <v>416</v>
      </c>
    </row>
    <row r="17" spans="1:4">
      <c r="A17" t="s">
        <v>37</v>
      </c>
      <c r="B17" t="s">
        <v>42</v>
      </c>
      <c r="C17" t="s">
        <v>21</v>
      </c>
      <c r="D17" t="s">
        <v>417</v>
      </c>
    </row>
    <row r="18" spans="1:4">
      <c r="A18" t="s">
        <v>251</v>
      </c>
      <c r="B18" t="s">
        <v>306</v>
      </c>
      <c r="C18" t="s">
        <v>21</v>
      </c>
      <c r="D18" t="s">
        <v>409</v>
      </c>
    </row>
    <row r="19" spans="1:4">
      <c r="A19" t="s">
        <v>72</v>
      </c>
      <c r="B19" t="s">
        <v>99</v>
      </c>
      <c r="C19" t="s">
        <v>21</v>
      </c>
      <c r="D19" t="s">
        <v>399</v>
      </c>
    </row>
    <row r="20" spans="1:4">
      <c r="A20" t="s">
        <v>252</v>
      </c>
      <c r="B20" t="s">
        <v>309</v>
      </c>
      <c r="C20" t="s">
        <v>21</v>
      </c>
      <c r="D20" t="s">
        <v>391</v>
      </c>
    </row>
    <row r="21" spans="1:4">
      <c r="A21" t="s">
        <v>33</v>
      </c>
      <c r="B21" t="s">
        <v>39</v>
      </c>
      <c r="C21" t="s">
        <v>21</v>
      </c>
      <c r="D21" t="s">
        <v>418</v>
      </c>
    </row>
    <row r="22" spans="1:4">
      <c r="A22" t="s">
        <v>253</v>
      </c>
      <c r="B22" t="s">
        <v>312</v>
      </c>
      <c r="C22" t="s">
        <v>21</v>
      </c>
      <c r="D22" t="s">
        <v>392</v>
      </c>
    </row>
    <row r="23" spans="1:4">
      <c r="A23" t="s">
        <v>254</v>
      </c>
      <c r="B23" t="s">
        <v>314</v>
      </c>
      <c r="C23" t="s">
        <v>21</v>
      </c>
      <c r="D23" t="s">
        <v>394</v>
      </c>
    </row>
    <row r="24" spans="1:4">
      <c r="A24" t="s">
        <v>255</v>
      </c>
      <c r="B24" t="s">
        <v>316</v>
      </c>
      <c r="C24" t="s">
        <v>21</v>
      </c>
      <c r="D24" t="s">
        <v>384</v>
      </c>
    </row>
    <row r="25" spans="1:4">
      <c r="A25" t="s">
        <v>256</v>
      </c>
      <c r="B25" t="s">
        <v>318</v>
      </c>
      <c r="C25" t="s">
        <v>21</v>
      </c>
      <c r="D25" t="s">
        <v>385</v>
      </c>
    </row>
    <row r="26" spans="1:4">
      <c r="A26" t="s">
        <v>257</v>
      </c>
      <c r="B26" t="s">
        <v>320</v>
      </c>
      <c r="C26" t="s">
        <v>21</v>
      </c>
      <c r="D26" t="s">
        <v>330</v>
      </c>
    </row>
    <row r="27" spans="1:4">
      <c r="A27" t="s">
        <v>258</v>
      </c>
      <c r="B27" t="s">
        <v>322</v>
      </c>
      <c r="C27" t="s">
        <v>21</v>
      </c>
      <c r="D27" t="s">
        <v>386</v>
      </c>
    </row>
    <row r="28" spans="1:4">
      <c r="A28" t="s">
        <v>259</v>
      </c>
      <c r="B28" t="s">
        <v>324</v>
      </c>
      <c r="C28" t="s">
        <v>21</v>
      </c>
      <c r="D28" t="s">
        <v>387</v>
      </c>
    </row>
    <row r="29" spans="1:4">
      <c r="A29" t="s">
        <v>260</v>
      </c>
      <c r="B29" t="s">
        <v>326</v>
      </c>
      <c r="C29" t="s">
        <v>21</v>
      </c>
      <c r="D29" t="s">
        <v>388</v>
      </c>
    </row>
    <row r="30" spans="1:4">
      <c r="A30" t="s">
        <v>79</v>
      </c>
      <c r="B30" t="s">
        <v>108</v>
      </c>
      <c r="C30" t="s">
        <v>21</v>
      </c>
      <c r="D30" t="s">
        <v>419</v>
      </c>
    </row>
    <row r="31" spans="1:4">
      <c r="A31" t="s">
        <v>261</v>
      </c>
      <c r="B31" t="s">
        <v>105</v>
      </c>
      <c r="C31" t="s">
        <v>21</v>
      </c>
      <c r="D31" t="s">
        <v>393</v>
      </c>
    </row>
    <row r="32" spans="1:4">
      <c r="A32" t="s">
        <v>262</v>
      </c>
      <c r="B32" t="s">
        <v>331</v>
      </c>
      <c r="C32" t="s">
        <v>21</v>
      </c>
      <c r="D32" t="s">
        <v>404</v>
      </c>
    </row>
    <row r="33" spans="1:4">
      <c r="A33" t="s">
        <v>263</v>
      </c>
      <c r="B33" t="s">
        <v>333</v>
      </c>
      <c r="C33" t="s">
        <v>21</v>
      </c>
      <c r="D33" t="s">
        <v>400</v>
      </c>
    </row>
    <row r="34" spans="1:4">
      <c r="A34" t="s">
        <v>264</v>
      </c>
      <c r="B34" t="s">
        <v>335</v>
      </c>
      <c r="C34" t="s">
        <v>21</v>
      </c>
      <c r="D34" t="s">
        <v>395</v>
      </c>
    </row>
    <row r="35" spans="1:4">
      <c r="A35" t="s">
        <v>265</v>
      </c>
      <c r="B35" t="s">
        <v>337</v>
      </c>
      <c r="C35" t="s">
        <v>21</v>
      </c>
      <c r="D35" t="s">
        <v>396</v>
      </c>
    </row>
    <row r="36" spans="1:4">
      <c r="A36" t="s">
        <v>266</v>
      </c>
      <c r="B36" t="s">
        <v>339</v>
      </c>
      <c r="C36" t="s">
        <v>21</v>
      </c>
      <c r="D36" t="s">
        <v>405</v>
      </c>
    </row>
    <row r="37" spans="1:4">
      <c r="A37" t="s">
        <v>267</v>
      </c>
      <c r="B37" t="s">
        <v>341</v>
      </c>
      <c r="C37" t="s">
        <v>21</v>
      </c>
      <c r="D37" t="s">
        <v>397</v>
      </c>
    </row>
    <row r="38" spans="1:4">
      <c r="A38" t="s">
        <v>268</v>
      </c>
      <c r="B38" t="s">
        <v>343</v>
      </c>
      <c r="C38" t="s">
        <v>21</v>
      </c>
      <c r="D38" t="s">
        <v>401</v>
      </c>
    </row>
    <row r="39" spans="1:4">
      <c r="A39" t="s">
        <v>269</v>
      </c>
      <c r="B39" t="s">
        <v>345</v>
      </c>
      <c r="C39" t="s">
        <v>21</v>
      </c>
      <c r="D39" t="s">
        <v>402</v>
      </c>
    </row>
    <row r="40" spans="1:4">
      <c r="A40" t="s">
        <v>270</v>
      </c>
      <c r="B40" t="s">
        <v>347</v>
      </c>
      <c r="C40" t="s">
        <v>21</v>
      </c>
      <c r="D40" t="s">
        <v>366</v>
      </c>
    </row>
    <row r="41" spans="1:4">
      <c r="A41" t="s">
        <v>271</v>
      </c>
      <c r="B41" t="s">
        <v>349</v>
      </c>
      <c r="C41" t="s">
        <v>21</v>
      </c>
      <c r="D41" t="s">
        <v>410</v>
      </c>
    </row>
    <row r="42" spans="1:4">
      <c r="A42" t="s">
        <v>272</v>
      </c>
      <c r="B42" t="s">
        <v>351</v>
      </c>
      <c r="C42" t="s">
        <v>21</v>
      </c>
      <c r="D42" t="s">
        <v>367</v>
      </c>
    </row>
    <row r="43" spans="1:4">
      <c r="A43" t="s">
        <v>273</v>
      </c>
      <c r="B43" t="s">
        <v>353</v>
      </c>
      <c r="C43" t="s">
        <v>21</v>
      </c>
      <c r="D43" t="s">
        <v>370</v>
      </c>
    </row>
    <row r="44" spans="1:4">
      <c r="A44" t="s">
        <v>274</v>
      </c>
      <c r="B44" t="s">
        <v>355</v>
      </c>
      <c r="C44" t="s">
        <v>21</v>
      </c>
      <c r="D44" t="s">
        <v>406</v>
      </c>
    </row>
    <row r="45" spans="1:4">
      <c r="A45" t="s">
        <v>275</v>
      </c>
      <c r="B45" t="s">
        <v>95</v>
      </c>
      <c r="C45" t="s">
        <v>21</v>
      </c>
      <c r="D45" t="s">
        <v>411</v>
      </c>
    </row>
    <row r="46" spans="1:4">
      <c r="A46" t="s">
        <v>276</v>
      </c>
      <c r="B46" t="s">
        <v>49</v>
      </c>
      <c r="C46" t="s">
        <v>21</v>
      </c>
      <c r="D46" t="s">
        <v>412</v>
      </c>
    </row>
    <row r="47" spans="1:4">
      <c r="A47" t="s">
        <v>277</v>
      </c>
      <c r="B47" t="s">
        <v>105</v>
      </c>
      <c r="C47" t="s">
        <v>21</v>
      </c>
      <c r="D47" t="s">
        <v>407</v>
      </c>
    </row>
    <row r="48" spans="1:4">
      <c r="A48" t="s">
        <v>278</v>
      </c>
      <c r="B48" t="s">
        <v>101</v>
      </c>
      <c r="C48" t="s">
        <v>21</v>
      </c>
      <c r="D48" t="s">
        <v>413</v>
      </c>
    </row>
    <row r="49" spans="1:4">
      <c r="A49" t="s">
        <v>279</v>
      </c>
      <c r="B49" t="s">
        <v>360</v>
      </c>
      <c r="C49" t="s">
        <v>21</v>
      </c>
      <c r="D49" t="s">
        <v>420</v>
      </c>
    </row>
    <row r="50" spans="1:4">
      <c r="A50" t="s">
        <v>280</v>
      </c>
      <c r="B50" t="s">
        <v>362</v>
      </c>
      <c r="C50" t="s">
        <v>21</v>
      </c>
      <c r="D50" t="s">
        <v>421</v>
      </c>
    </row>
    <row r="51" spans="1:4">
      <c r="A51" t="s">
        <v>281</v>
      </c>
      <c r="B51" t="s">
        <v>364</v>
      </c>
      <c r="C51" t="s">
        <v>21</v>
      </c>
      <c r="D51" t="s">
        <v>422</v>
      </c>
    </row>
    <row r="52" spans="1:4">
      <c r="A52" t="s">
        <v>282</v>
      </c>
      <c r="B52" t="s">
        <v>364</v>
      </c>
      <c r="C52" t="s">
        <v>21</v>
      </c>
      <c r="D52" t="s">
        <v>423</v>
      </c>
    </row>
    <row r="53" spans="1:4">
      <c r="A53" t="s">
        <v>80</v>
      </c>
      <c r="B53" t="s">
        <v>110</v>
      </c>
      <c r="C53" t="s">
        <v>21</v>
      </c>
      <c r="D53" t="s">
        <v>424</v>
      </c>
    </row>
    <row r="54" spans="1:4">
      <c r="A54" t="s">
        <v>71</v>
      </c>
      <c r="B54" t="s">
        <v>98</v>
      </c>
      <c r="C54" t="s">
        <v>21</v>
      </c>
      <c r="D54" t="s">
        <v>425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F73F-FAAF-4D9A-A802-6445E14853EB}">
  <dimension ref="A1:D1"/>
  <sheetViews>
    <sheetView workbookViewId="0"/>
  </sheetViews>
  <sheetFormatPr defaultRowHeight="16.5"/>
  <sheetData>
    <row r="1" spans="1:4">
      <c r="A1" t="s">
        <v>371</v>
      </c>
      <c r="B1" t="s">
        <v>372</v>
      </c>
      <c r="C1" t="s">
        <v>373</v>
      </c>
      <c r="D1" t="s">
        <v>374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B119-DEFA-4D76-A56A-E611C4980E86}">
  <dimension ref="A1:T19"/>
  <sheetViews>
    <sheetView topLeftCell="A6" workbookViewId="0">
      <selection activeCell="T8" sqref="T8:T10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114</v>
      </c>
      <c r="G1" s="67"/>
      <c r="H1" s="67"/>
      <c r="I1" s="67"/>
      <c r="J1" s="67"/>
      <c r="K1" s="67"/>
      <c r="L1" s="61"/>
      <c r="M1" s="61"/>
      <c r="N1" s="61" t="s">
        <v>115</v>
      </c>
      <c r="O1" s="61"/>
      <c r="P1" s="61"/>
    </row>
    <row r="3" spans="1:20" ht="60">
      <c r="A3" s="58" t="s">
        <v>116</v>
      </c>
      <c r="B3" s="58" t="s">
        <v>117</v>
      </c>
      <c r="C3" s="58" t="s">
        <v>118</v>
      </c>
      <c r="D3" s="63" t="s">
        <v>119</v>
      </c>
      <c r="E3" s="63" t="s">
        <v>120</v>
      </c>
      <c r="F3" s="62" t="s">
        <v>121</v>
      </c>
      <c r="G3" s="62" t="s">
        <v>122</v>
      </c>
      <c r="H3" s="62" t="s">
        <v>53</v>
      </c>
      <c r="I3" s="62" t="s">
        <v>123</v>
      </c>
      <c r="J3" s="62" t="s">
        <v>124</v>
      </c>
      <c r="K3" s="62" t="s">
        <v>125</v>
      </c>
      <c r="L3" s="64" t="s">
        <v>126</v>
      </c>
      <c r="M3" s="61" t="s">
        <v>53</v>
      </c>
      <c r="N3" s="61" t="s">
        <v>123</v>
      </c>
      <c r="O3" s="61" t="s">
        <v>124</v>
      </c>
      <c r="P3" s="61" t="s">
        <v>125</v>
      </c>
      <c r="Q3" s="78" t="s">
        <v>56</v>
      </c>
      <c r="R3" s="78" t="s">
        <v>127</v>
      </c>
      <c r="T3" s="78" t="s">
        <v>242</v>
      </c>
    </row>
    <row r="4" spans="1:20" ht="69">
      <c r="A4" s="59">
        <v>1</v>
      </c>
      <c r="B4" s="69" t="s">
        <v>128</v>
      </c>
      <c r="C4" s="71" t="s">
        <v>129</v>
      </c>
      <c r="D4" s="72">
        <v>20</v>
      </c>
      <c r="E4" s="72">
        <v>25</v>
      </c>
      <c r="F4" s="73">
        <v>0</v>
      </c>
      <c r="G4" s="74">
        <v>25000</v>
      </c>
      <c r="H4" s="75" t="s">
        <v>130</v>
      </c>
      <c r="I4" s="75" t="s">
        <v>130</v>
      </c>
      <c r="J4" s="75" t="s">
        <v>131</v>
      </c>
      <c r="K4" s="75" t="s">
        <v>132</v>
      </c>
      <c r="L4" s="66">
        <v>20000</v>
      </c>
      <c r="M4" s="66" t="s">
        <v>130</v>
      </c>
      <c r="N4" s="66" t="s">
        <v>130</v>
      </c>
      <c r="O4" s="66" t="s">
        <v>133</v>
      </c>
      <c r="P4" s="66" t="s">
        <v>132</v>
      </c>
      <c r="Q4" s="57" t="s">
        <v>427</v>
      </c>
      <c r="R4" s="56" t="s">
        <v>428</v>
      </c>
      <c r="T4" s="56" t="str">
        <f xml:space="preserve"> _xlfn.CONCAT(Q4, CHAR(10), R4)</f>
        <v>《道德經。第一章》
Dô dīk gīng. Dê yīt ziōng</v>
      </c>
    </row>
    <row r="5" spans="1:20" ht="69">
      <c r="A5" s="59">
        <v>2</v>
      </c>
      <c r="B5" s="70" t="s">
        <v>136</v>
      </c>
      <c r="C5" s="71" t="s">
        <v>137</v>
      </c>
      <c r="D5" s="65">
        <v>2</v>
      </c>
      <c r="E5" s="65">
        <v>5</v>
      </c>
      <c r="F5" s="73">
        <v>25000</v>
      </c>
      <c r="G5" s="74">
        <v>30000</v>
      </c>
      <c r="H5" s="75" t="s">
        <v>130</v>
      </c>
      <c r="I5" s="75" t="s">
        <v>130</v>
      </c>
      <c r="J5" s="75" t="s">
        <v>138</v>
      </c>
      <c r="K5" s="75" t="s">
        <v>132</v>
      </c>
      <c r="L5" s="66">
        <v>27000</v>
      </c>
      <c r="M5" s="66" t="s">
        <v>130</v>
      </c>
      <c r="N5" s="66" t="s">
        <v>130</v>
      </c>
      <c r="O5" s="66" t="s">
        <v>139</v>
      </c>
      <c r="P5" s="66" t="s">
        <v>132</v>
      </c>
      <c r="Q5" s="57" t="s">
        <v>375</v>
      </c>
      <c r="R5" s="56" t="s">
        <v>376</v>
      </c>
      <c r="T5" s="56" t="str">
        <f t="shared" ref="T5:T10" si="0" xml:space="preserve"> _xlfn.CONCAT(Q5, CHAR(10), R5)</f>
        <v>第一章論德
Dê yīt ziōng lûn dīk</v>
      </c>
    </row>
    <row r="6" spans="1:20" ht="69">
      <c r="A6" s="59">
        <v>3</v>
      </c>
      <c r="B6" s="70" t="s">
        <v>141</v>
      </c>
      <c r="C6" s="71" t="s">
        <v>142</v>
      </c>
      <c r="D6" s="65">
        <v>2</v>
      </c>
      <c r="E6" s="65">
        <v>5</v>
      </c>
      <c r="F6" s="73">
        <v>30000</v>
      </c>
      <c r="G6" s="74">
        <v>35000</v>
      </c>
      <c r="H6" s="75" t="s">
        <v>130</v>
      </c>
      <c r="I6" s="75" t="s">
        <v>130</v>
      </c>
      <c r="J6" s="75" t="s">
        <v>143</v>
      </c>
      <c r="K6" s="75" t="s">
        <v>132</v>
      </c>
      <c r="L6" s="66">
        <v>32000</v>
      </c>
      <c r="M6" s="66" t="s">
        <v>130</v>
      </c>
      <c r="N6" s="66" t="s">
        <v>130</v>
      </c>
      <c r="O6" s="66" t="s">
        <v>144</v>
      </c>
      <c r="P6" s="66" t="s">
        <v>132</v>
      </c>
      <c r="Q6" s="57" t="s">
        <v>429</v>
      </c>
      <c r="R6" s="56" t="s">
        <v>430</v>
      </c>
      <c r="T6" s="56" t="str">
        <f t="shared" si="0"/>
        <v>上德不德是以有德
Siông dīk būt dīk sî yǐ yǔ dīk</v>
      </c>
    </row>
    <row r="7" spans="1:20" ht="69">
      <c r="A7" s="59">
        <v>4</v>
      </c>
      <c r="B7" s="70" t="s">
        <v>147</v>
      </c>
      <c r="C7" s="71" t="s">
        <v>148</v>
      </c>
      <c r="D7" s="65">
        <v>2</v>
      </c>
      <c r="E7" s="65">
        <v>5</v>
      </c>
      <c r="F7" s="73">
        <v>35000</v>
      </c>
      <c r="G7" s="74">
        <v>40000</v>
      </c>
      <c r="H7" s="75" t="s">
        <v>130</v>
      </c>
      <c r="I7" s="75" t="s">
        <v>130</v>
      </c>
      <c r="J7" s="75" t="s">
        <v>149</v>
      </c>
      <c r="K7" s="75" t="s">
        <v>132</v>
      </c>
      <c r="L7" s="66">
        <v>37000</v>
      </c>
      <c r="M7" s="66" t="s">
        <v>130</v>
      </c>
      <c r="N7" s="66" t="s">
        <v>130</v>
      </c>
      <c r="O7" s="66" t="s">
        <v>150</v>
      </c>
      <c r="P7" s="66" t="s">
        <v>132</v>
      </c>
      <c r="Q7" s="57" t="s">
        <v>431</v>
      </c>
      <c r="R7" s="56" t="s">
        <v>432</v>
      </c>
      <c r="T7" s="56" t="str">
        <f t="shared" si="0"/>
        <v>下德不失德是以無德
Hà dīk būt sīt dīk sî yǐ bbú dīk</v>
      </c>
    </row>
    <row r="8" spans="1:20" ht="69">
      <c r="A8" s="59">
        <v>5</v>
      </c>
      <c r="B8" s="70" t="s">
        <v>152</v>
      </c>
      <c r="C8" s="71" t="s">
        <v>153</v>
      </c>
      <c r="D8" s="65">
        <v>2</v>
      </c>
      <c r="E8" s="65">
        <v>5</v>
      </c>
      <c r="F8" s="73">
        <v>40000</v>
      </c>
      <c r="G8" s="74">
        <v>45000</v>
      </c>
      <c r="H8" s="75" t="s">
        <v>130</v>
      </c>
      <c r="I8" s="75" t="s">
        <v>130</v>
      </c>
      <c r="J8" s="75" t="s">
        <v>154</v>
      </c>
      <c r="K8" s="75" t="s">
        <v>132</v>
      </c>
      <c r="L8" s="66">
        <v>42000</v>
      </c>
      <c r="M8" s="66" t="s">
        <v>130</v>
      </c>
      <c r="N8" s="66" t="s">
        <v>130</v>
      </c>
      <c r="O8" s="66" t="s">
        <v>155</v>
      </c>
      <c r="P8" s="66" t="s">
        <v>132</v>
      </c>
      <c r="Q8" s="57" t="s">
        <v>433</v>
      </c>
      <c r="R8" s="56" t="s">
        <v>434</v>
      </c>
      <c r="T8" s="56" t="str">
        <f t="shared" si="0"/>
        <v>上德無為而無以為也
Siông dīk bbú wí zzí bbú yǐ wí yǎ</v>
      </c>
    </row>
    <row r="9" spans="1:20" ht="69">
      <c r="A9" s="59" t="s">
        <v>158</v>
      </c>
      <c r="B9" s="70" t="s">
        <v>153</v>
      </c>
      <c r="C9" s="71" t="s">
        <v>159</v>
      </c>
      <c r="D9" s="65">
        <v>2</v>
      </c>
      <c r="E9" s="65">
        <v>5</v>
      </c>
      <c r="F9" s="73">
        <v>42000</v>
      </c>
      <c r="G9" s="74">
        <v>47000</v>
      </c>
      <c r="H9" s="75" t="s">
        <v>130</v>
      </c>
      <c r="I9" s="75" t="s">
        <v>130</v>
      </c>
      <c r="J9" s="75" t="s">
        <v>160</v>
      </c>
      <c r="K9" s="75" t="s">
        <v>132</v>
      </c>
      <c r="L9" s="66">
        <v>44000</v>
      </c>
      <c r="M9" s="66" t="s">
        <v>130</v>
      </c>
      <c r="N9" s="66" t="s">
        <v>130</v>
      </c>
      <c r="O9" s="66" t="s">
        <v>161</v>
      </c>
      <c r="P9" s="66" t="s">
        <v>132</v>
      </c>
      <c r="Q9" s="57" t="s">
        <v>435</v>
      </c>
      <c r="R9" s="56" t="s">
        <v>436</v>
      </c>
      <c r="T9" s="56" t="str">
        <f t="shared" si="0"/>
        <v>上仁為之而無以為也
Siông zzín wí zī zzí bbú yǐ wí yǎ</v>
      </c>
    </row>
    <row r="10" spans="1:20" ht="69">
      <c r="A10" s="59"/>
      <c r="B10" s="70"/>
      <c r="C10" s="71"/>
      <c r="D10" s="65"/>
      <c r="E10" s="65"/>
      <c r="F10" s="73"/>
      <c r="G10" s="74"/>
      <c r="H10" s="75"/>
      <c r="I10" s="75"/>
      <c r="J10" s="75"/>
      <c r="K10" s="75"/>
      <c r="L10" s="66"/>
      <c r="M10" s="66"/>
      <c r="N10" s="66"/>
      <c r="O10" s="66"/>
      <c r="P10" s="66"/>
      <c r="Q10" s="57" t="s">
        <v>437</v>
      </c>
      <c r="R10" s="56" t="s">
        <v>438</v>
      </c>
      <c r="T10" s="56" t="str">
        <f t="shared" si="0"/>
        <v>上義為之而有以為也
Siông ggî wí zī zzí yǔ yǐ wí yǎ</v>
      </c>
    </row>
    <row r="11" spans="1:20">
      <c r="Q11" t="s">
        <v>439</v>
      </c>
      <c r="R11" t="s">
        <v>440</v>
      </c>
    </row>
    <row r="12" spans="1:20">
      <c r="Q12" t="s">
        <v>441</v>
      </c>
      <c r="R12" t="s">
        <v>442</v>
      </c>
    </row>
    <row r="13" spans="1:20">
      <c r="Q13" t="s">
        <v>443</v>
      </c>
      <c r="R13" t="s">
        <v>444</v>
      </c>
    </row>
    <row r="14" spans="1:20">
      <c r="Q14" t="s">
        <v>445</v>
      </c>
      <c r="R14" t="s">
        <v>446</v>
      </c>
    </row>
    <row r="15" spans="1:20">
      <c r="Q15" t="s">
        <v>447</v>
      </c>
      <c r="R15" t="s">
        <v>448</v>
      </c>
    </row>
    <row r="16" spans="1:20">
      <c r="Q16" t="s">
        <v>377</v>
      </c>
      <c r="R16" t="s">
        <v>378</v>
      </c>
    </row>
    <row r="17" spans="17:18">
      <c r="Q17" t="s">
        <v>449</v>
      </c>
      <c r="R17" t="s">
        <v>450</v>
      </c>
    </row>
    <row r="18" spans="17:18">
      <c r="Q18" t="s">
        <v>451</v>
      </c>
      <c r="R18" t="s">
        <v>452</v>
      </c>
    </row>
    <row r="19" spans="17:18">
      <c r="Q19" t="s">
        <v>453</v>
      </c>
      <c r="R19" t="s">
        <v>454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74F9-7ED0-421B-BA1F-07914F06B865}">
  <dimension ref="A1:T19"/>
  <sheetViews>
    <sheetView workbookViewId="0">
      <selection activeCell="V17" sqref="V17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114</v>
      </c>
      <c r="G1" s="67"/>
      <c r="H1" s="67"/>
      <c r="I1" s="67"/>
      <c r="J1" s="67"/>
      <c r="K1" s="67"/>
      <c r="L1" s="61"/>
      <c r="M1" s="61"/>
      <c r="N1" s="61" t="s">
        <v>115</v>
      </c>
      <c r="O1" s="61"/>
      <c r="P1" s="61"/>
    </row>
    <row r="3" spans="1:20" ht="60">
      <c r="A3" s="58" t="s">
        <v>116</v>
      </c>
      <c r="B3" s="58" t="s">
        <v>117</v>
      </c>
      <c r="C3" s="58" t="s">
        <v>118</v>
      </c>
      <c r="D3" s="63" t="s">
        <v>119</v>
      </c>
      <c r="E3" s="63" t="s">
        <v>120</v>
      </c>
      <c r="F3" s="62" t="s">
        <v>121</v>
      </c>
      <c r="G3" s="62" t="s">
        <v>122</v>
      </c>
      <c r="H3" s="62" t="s">
        <v>53</v>
      </c>
      <c r="I3" s="62" t="s">
        <v>123</v>
      </c>
      <c r="J3" s="62" t="s">
        <v>124</v>
      </c>
      <c r="K3" s="62" t="s">
        <v>125</v>
      </c>
      <c r="L3" s="64" t="s">
        <v>126</v>
      </c>
      <c r="M3" s="61" t="s">
        <v>53</v>
      </c>
      <c r="N3" s="61" t="s">
        <v>123</v>
      </c>
      <c r="O3" s="61" t="s">
        <v>124</v>
      </c>
      <c r="P3" s="61" t="s">
        <v>125</v>
      </c>
      <c r="Q3" s="78" t="s">
        <v>56</v>
      </c>
      <c r="R3" s="78" t="s">
        <v>127</v>
      </c>
      <c r="T3" s="78" t="s">
        <v>242</v>
      </c>
    </row>
    <row r="4" spans="1:20" ht="69">
      <c r="A4" s="59">
        <v>1</v>
      </c>
      <c r="B4" s="69" t="s">
        <v>128</v>
      </c>
      <c r="C4" s="71" t="s">
        <v>129</v>
      </c>
      <c r="D4" s="72">
        <v>20</v>
      </c>
      <c r="E4" s="72">
        <v>25</v>
      </c>
      <c r="F4" s="73">
        <v>0</v>
      </c>
      <c r="G4" s="74">
        <v>25000</v>
      </c>
      <c r="H4" s="75" t="s">
        <v>130</v>
      </c>
      <c r="I4" s="75" t="s">
        <v>130</v>
      </c>
      <c r="J4" s="75" t="s">
        <v>131</v>
      </c>
      <c r="K4" s="75" t="s">
        <v>132</v>
      </c>
      <c r="L4" s="66">
        <v>20000</v>
      </c>
      <c r="M4" s="66" t="s">
        <v>130</v>
      </c>
      <c r="N4" s="66" t="s">
        <v>130</v>
      </c>
      <c r="O4" s="66" t="s">
        <v>133</v>
      </c>
      <c r="P4" s="66" t="s">
        <v>132</v>
      </c>
      <c r="Q4" s="57" t="s">
        <v>427</v>
      </c>
      <c r="R4" s="56" t="s">
        <v>428</v>
      </c>
      <c r="T4" s="56" t="str">
        <f xml:space="preserve"> _xlfn.CONCAT(Q4, CHAR(10), R4)</f>
        <v>《道德經。第一章》
Dô dīk gīng. Dê yīt ziōng</v>
      </c>
    </row>
    <row r="5" spans="1:20" ht="69">
      <c r="A5" s="59">
        <v>2</v>
      </c>
      <c r="B5" s="70" t="s">
        <v>136</v>
      </c>
      <c r="C5" s="71" t="s">
        <v>137</v>
      </c>
      <c r="D5" s="65">
        <v>2</v>
      </c>
      <c r="E5" s="65">
        <v>5</v>
      </c>
      <c r="F5" s="73">
        <v>25000</v>
      </c>
      <c r="G5" s="74">
        <v>30000</v>
      </c>
      <c r="H5" s="75" t="s">
        <v>130</v>
      </c>
      <c r="I5" s="75" t="s">
        <v>130</v>
      </c>
      <c r="J5" s="75" t="s">
        <v>138</v>
      </c>
      <c r="K5" s="75" t="s">
        <v>132</v>
      </c>
      <c r="L5" s="66">
        <v>27000</v>
      </c>
      <c r="M5" s="66" t="s">
        <v>130</v>
      </c>
      <c r="N5" s="66" t="s">
        <v>130</v>
      </c>
      <c r="O5" s="66" t="s">
        <v>139</v>
      </c>
      <c r="P5" s="66" t="s">
        <v>132</v>
      </c>
      <c r="Q5" s="57" t="s">
        <v>375</v>
      </c>
      <c r="R5" s="56" t="s">
        <v>376</v>
      </c>
      <c r="T5" s="56" t="str">
        <f t="shared" ref="T5:T19" si="0" xml:space="preserve"> _xlfn.CONCAT(Q5, CHAR(10), R5)</f>
        <v>第一章論德
Dê yīt ziōng lûn dīk</v>
      </c>
    </row>
    <row r="6" spans="1:20" ht="69">
      <c r="A6" s="59">
        <v>3</v>
      </c>
      <c r="B6" s="70" t="s">
        <v>141</v>
      </c>
      <c r="C6" s="71" t="s">
        <v>142</v>
      </c>
      <c r="D6" s="65">
        <v>2</v>
      </c>
      <c r="E6" s="65">
        <v>5</v>
      </c>
      <c r="F6" s="73">
        <v>30000</v>
      </c>
      <c r="G6" s="74">
        <v>35000</v>
      </c>
      <c r="H6" s="75" t="s">
        <v>130</v>
      </c>
      <c r="I6" s="75" t="s">
        <v>130</v>
      </c>
      <c r="J6" s="75" t="s">
        <v>143</v>
      </c>
      <c r="K6" s="75" t="s">
        <v>132</v>
      </c>
      <c r="L6" s="66">
        <v>32000</v>
      </c>
      <c r="M6" s="66" t="s">
        <v>130</v>
      </c>
      <c r="N6" s="66" t="s">
        <v>130</v>
      </c>
      <c r="O6" s="66" t="s">
        <v>144</v>
      </c>
      <c r="P6" s="66" t="s">
        <v>132</v>
      </c>
      <c r="Q6" s="57" t="s">
        <v>429</v>
      </c>
      <c r="R6" s="56" t="s">
        <v>430</v>
      </c>
      <c r="T6" s="56" t="str">
        <f t="shared" si="0"/>
        <v>上德不德是以有德
Siông dīk būt dīk sî yǐ yǔ dīk</v>
      </c>
    </row>
    <row r="7" spans="1:20" ht="69">
      <c r="A7" s="59">
        <v>4</v>
      </c>
      <c r="B7" s="70" t="s">
        <v>147</v>
      </c>
      <c r="C7" s="71" t="s">
        <v>148</v>
      </c>
      <c r="D7" s="65">
        <v>2</v>
      </c>
      <c r="E7" s="65">
        <v>5</v>
      </c>
      <c r="F7" s="73">
        <v>35000</v>
      </c>
      <c r="G7" s="74">
        <v>40000</v>
      </c>
      <c r="H7" s="75" t="s">
        <v>130</v>
      </c>
      <c r="I7" s="75" t="s">
        <v>130</v>
      </c>
      <c r="J7" s="75" t="s">
        <v>149</v>
      </c>
      <c r="K7" s="75" t="s">
        <v>132</v>
      </c>
      <c r="L7" s="66">
        <v>37000</v>
      </c>
      <c r="M7" s="66" t="s">
        <v>130</v>
      </c>
      <c r="N7" s="66" t="s">
        <v>130</v>
      </c>
      <c r="O7" s="66" t="s">
        <v>150</v>
      </c>
      <c r="P7" s="66" t="s">
        <v>132</v>
      </c>
      <c r="Q7" s="57" t="s">
        <v>431</v>
      </c>
      <c r="R7" s="56" t="s">
        <v>432</v>
      </c>
      <c r="T7" s="56" t="str">
        <f t="shared" si="0"/>
        <v>下德不失德是以無德
Hà dīk būt sīt dīk sî yǐ bbú dīk</v>
      </c>
    </row>
    <row r="8" spans="1:20" ht="69">
      <c r="A8" s="59">
        <v>5</v>
      </c>
      <c r="B8" s="70" t="s">
        <v>152</v>
      </c>
      <c r="C8" s="71" t="s">
        <v>153</v>
      </c>
      <c r="D8" s="65">
        <v>2</v>
      </c>
      <c r="E8" s="65">
        <v>5</v>
      </c>
      <c r="F8" s="73">
        <v>40000</v>
      </c>
      <c r="G8" s="74">
        <v>45000</v>
      </c>
      <c r="H8" s="75" t="s">
        <v>130</v>
      </c>
      <c r="I8" s="75" t="s">
        <v>130</v>
      </c>
      <c r="J8" s="75" t="s">
        <v>154</v>
      </c>
      <c r="K8" s="75" t="s">
        <v>132</v>
      </c>
      <c r="L8" s="66">
        <v>42000</v>
      </c>
      <c r="M8" s="66" t="s">
        <v>130</v>
      </c>
      <c r="N8" s="66" t="s">
        <v>130</v>
      </c>
      <c r="O8" s="66" t="s">
        <v>155</v>
      </c>
      <c r="P8" s="66" t="s">
        <v>132</v>
      </c>
      <c r="Q8" s="57" t="s">
        <v>433</v>
      </c>
      <c r="R8" s="56" t="s">
        <v>434</v>
      </c>
      <c r="T8" s="56" t="str">
        <f t="shared" si="0"/>
        <v>上德無為而無以為也
Siông dīk bbú wí zzí bbú yǐ wí yǎ</v>
      </c>
    </row>
    <row r="9" spans="1:20" ht="69">
      <c r="A9" s="59" t="s">
        <v>158</v>
      </c>
      <c r="B9" s="70" t="s">
        <v>153</v>
      </c>
      <c r="C9" s="71" t="s">
        <v>159</v>
      </c>
      <c r="D9" s="65">
        <v>2</v>
      </c>
      <c r="E9" s="65">
        <v>5</v>
      </c>
      <c r="F9" s="73">
        <v>42000</v>
      </c>
      <c r="G9" s="74">
        <v>47000</v>
      </c>
      <c r="H9" s="75" t="s">
        <v>130</v>
      </c>
      <c r="I9" s="75" t="s">
        <v>130</v>
      </c>
      <c r="J9" s="75" t="s">
        <v>160</v>
      </c>
      <c r="K9" s="75" t="s">
        <v>132</v>
      </c>
      <c r="L9" s="66">
        <v>44000</v>
      </c>
      <c r="M9" s="66" t="s">
        <v>130</v>
      </c>
      <c r="N9" s="66" t="s">
        <v>130</v>
      </c>
      <c r="O9" s="66" t="s">
        <v>161</v>
      </c>
      <c r="P9" s="66" t="s">
        <v>132</v>
      </c>
      <c r="Q9" s="57" t="s">
        <v>435</v>
      </c>
      <c r="R9" s="56" t="s">
        <v>436</v>
      </c>
      <c r="T9" s="56" t="str">
        <f t="shared" si="0"/>
        <v>上仁為之而無以為也
Siông zzín wí zī zzí bbú yǐ wí yǎ</v>
      </c>
    </row>
    <row r="10" spans="1:20" ht="69">
      <c r="A10" s="59"/>
      <c r="B10" s="70"/>
      <c r="C10" s="71"/>
      <c r="D10" s="65"/>
      <c r="E10" s="65"/>
      <c r="F10" s="73"/>
      <c r="G10" s="74"/>
      <c r="H10" s="75"/>
      <c r="I10" s="75"/>
      <c r="J10" s="75"/>
      <c r="K10" s="75"/>
      <c r="L10" s="66"/>
      <c r="M10" s="66"/>
      <c r="N10" s="66"/>
      <c r="O10" s="66"/>
      <c r="P10" s="66"/>
      <c r="Q10" s="57" t="s">
        <v>437</v>
      </c>
      <c r="R10" s="56" t="s">
        <v>438</v>
      </c>
      <c r="T10" s="56" t="str">
        <f t="shared" si="0"/>
        <v>上義為之而有以為也
Siông ggî wí zī zzí yǔ yǐ wí yǎ</v>
      </c>
    </row>
    <row r="11" spans="1:20" ht="69">
      <c r="A11" s="59"/>
      <c r="B11" s="70"/>
      <c r="C11" s="71"/>
      <c r="D11" s="65"/>
      <c r="E11" s="65"/>
      <c r="F11" s="73"/>
      <c r="G11" s="74"/>
      <c r="H11" s="75"/>
      <c r="I11" s="75"/>
      <c r="J11" s="75"/>
      <c r="K11" s="75"/>
      <c r="L11" s="66"/>
      <c r="M11" s="66"/>
      <c r="N11" s="66"/>
      <c r="O11" s="66"/>
      <c r="P11" s="66"/>
      <c r="Q11" s="57" t="s">
        <v>439</v>
      </c>
      <c r="R11" s="56" t="s">
        <v>440</v>
      </c>
      <c r="T11" s="56" t="str">
        <f t="shared" si="0"/>
        <v>上禮為之而莫之應也
Siông lě wí zī zzí bbók zī yīng yǎ</v>
      </c>
    </row>
    <row r="12" spans="1:20" ht="69">
      <c r="A12" s="59"/>
      <c r="B12" s="70"/>
      <c r="C12" s="71"/>
      <c r="D12" s="65"/>
      <c r="E12" s="65"/>
      <c r="F12" s="73"/>
      <c r="G12" s="74"/>
      <c r="H12" s="75"/>
      <c r="I12" s="75"/>
      <c r="J12" s="75"/>
      <c r="K12" s="75"/>
      <c r="L12" s="66"/>
      <c r="M12" s="66"/>
      <c r="N12" s="66"/>
      <c r="O12" s="66"/>
      <c r="P12" s="66"/>
      <c r="Q12" s="57" t="s">
        <v>441</v>
      </c>
      <c r="R12" s="56" t="s">
        <v>442</v>
      </c>
      <c r="T12" s="56" t="str">
        <f t="shared" si="0"/>
        <v>則攘臂而扔之
Zīk zzióng bì zzí zzíng zī</v>
      </c>
    </row>
    <row r="13" spans="1:20" ht="69">
      <c r="A13" s="59"/>
      <c r="B13" s="70"/>
      <c r="C13" s="71"/>
      <c r="D13" s="65"/>
      <c r="E13" s="65"/>
      <c r="F13" s="73"/>
      <c r="G13" s="74"/>
      <c r="H13" s="75"/>
      <c r="I13" s="75"/>
      <c r="J13" s="75"/>
      <c r="K13" s="75"/>
      <c r="L13" s="66"/>
      <c r="M13" s="66"/>
      <c r="N13" s="66"/>
      <c r="O13" s="66"/>
      <c r="P13" s="66"/>
      <c r="Q13" s="57" t="s">
        <v>443</v>
      </c>
      <c r="R13" s="56" t="s">
        <v>444</v>
      </c>
      <c r="T13" s="56" t="str">
        <f t="shared" si="0"/>
        <v>故失道而後德失德而後仁
Gòo sīt dô zzí hôo dīk sīt dīk zzí hôo zzín</v>
      </c>
    </row>
    <row r="14" spans="1:20" ht="69">
      <c r="A14" s="59"/>
      <c r="B14" s="70"/>
      <c r="C14" s="71"/>
      <c r="D14" s="65"/>
      <c r="E14" s="65"/>
      <c r="F14" s="73"/>
      <c r="G14" s="74"/>
      <c r="H14" s="75"/>
      <c r="I14" s="75"/>
      <c r="J14" s="75"/>
      <c r="K14" s="75"/>
      <c r="L14" s="66"/>
      <c r="M14" s="66"/>
      <c r="N14" s="66"/>
      <c r="O14" s="66"/>
      <c r="P14" s="66"/>
      <c r="Q14" s="57" t="s">
        <v>445</v>
      </c>
      <c r="R14" s="56" t="s">
        <v>446</v>
      </c>
      <c r="T14" s="56" t="str">
        <f t="shared" si="0"/>
        <v>失仁而後義失義而後禮
Sīt zzín zzí hôo ggî sīt ggî zzí hôo lě</v>
      </c>
    </row>
    <row r="15" spans="1:20" ht="69">
      <c r="A15" s="59"/>
      <c r="B15" s="70"/>
      <c r="C15" s="71"/>
      <c r="D15" s="65"/>
      <c r="E15" s="65"/>
      <c r="F15" s="73"/>
      <c r="G15" s="74"/>
      <c r="H15" s="75"/>
      <c r="I15" s="75"/>
      <c r="J15" s="75"/>
      <c r="K15" s="75"/>
      <c r="L15" s="66"/>
      <c r="M15" s="66"/>
      <c r="N15" s="66"/>
      <c r="O15" s="66"/>
      <c r="P15" s="66"/>
      <c r="Q15" s="57" t="s">
        <v>447</v>
      </c>
      <c r="R15" s="56" t="s">
        <v>448</v>
      </c>
      <c r="T15" s="56" t="str">
        <f t="shared" si="0"/>
        <v>夫禮者忠信之泊也而亂之首也
Hú lě ziǎ diōng sìn zī bók yǎ zzí luân zī sǐu yǎ</v>
      </c>
    </row>
    <row r="16" spans="1:20" ht="69">
      <c r="A16" s="59"/>
      <c r="B16" s="70"/>
      <c r="C16" s="71"/>
      <c r="D16" s="65"/>
      <c r="E16" s="65"/>
      <c r="F16" s="73"/>
      <c r="G16" s="74"/>
      <c r="H16" s="75"/>
      <c r="I16" s="75"/>
      <c r="J16" s="75"/>
      <c r="K16" s="75"/>
      <c r="L16" s="66"/>
      <c r="M16" s="66"/>
      <c r="N16" s="66"/>
      <c r="O16" s="66"/>
      <c r="P16" s="66"/>
      <c r="Q16" s="57" t="s">
        <v>377</v>
      </c>
      <c r="R16" s="56" t="s">
        <v>378</v>
      </c>
      <c r="T16" s="56" t="str">
        <f t="shared" si="0"/>
        <v>前識者道之華也而愚之首也
Zián bbāt ziǎ dô zī huá yǎ zzí ggú zī sǐu yǎ</v>
      </c>
    </row>
    <row r="17" spans="1:20" ht="69">
      <c r="A17" s="59"/>
      <c r="B17" s="70"/>
      <c r="C17" s="71"/>
      <c r="D17" s="65"/>
      <c r="E17" s="65"/>
      <c r="F17" s="73"/>
      <c r="G17" s="74"/>
      <c r="H17" s="75"/>
      <c r="I17" s="75"/>
      <c r="J17" s="75"/>
      <c r="K17" s="75"/>
      <c r="L17" s="66"/>
      <c r="M17" s="66"/>
      <c r="N17" s="66"/>
      <c r="O17" s="66"/>
      <c r="P17" s="66"/>
      <c r="Q17" s="57" t="s">
        <v>449</v>
      </c>
      <c r="R17" s="56" t="s">
        <v>450</v>
      </c>
      <c r="T17" s="56" t="str">
        <f t="shared" si="0"/>
        <v>是以大丈夫居亓厚而不居亓泊
Sî yǐ dâi diông hú gū gí hôo zzí būt gū gí bók</v>
      </c>
    </row>
    <row r="18" spans="1:20" ht="69">
      <c r="A18" s="59"/>
      <c r="B18" s="70"/>
      <c r="C18" s="71"/>
      <c r="D18" s="65"/>
      <c r="E18" s="65"/>
      <c r="F18" s="73"/>
      <c r="G18" s="74"/>
      <c r="H18" s="75"/>
      <c r="I18" s="75"/>
      <c r="J18" s="75"/>
      <c r="K18" s="75"/>
      <c r="L18" s="66"/>
      <c r="M18" s="66"/>
      <c r="N18" s="66"/>
      <c r="O18" s="66"/>
      <c r="P18" s="66"/>
      <c r="Q18" s="57" t="s">
        <v>451</v>
      </c>
      <c r="R18" s="56" t="s">
        <v>452</v>
      </c>
      <c r="T18" s="56" t="str">
        <f t="shared" si="0"/>
        <v>居亓實而不居亓華
Gū gí sít zzí būt gū gí huá</v>
      </c>
    </row>
    <row r="19" spans="1:20" ht="69">
      <c r="A19" s="59"/>
      <c r="B19" s="70"/>
      <c r="C19" s="71"/>
      <c r="D19" s="65"/>
      <c r="E19" s="65"/>
      <c r="F19" s="73"/>
      <c r="G19" s="74"/>
      <c r="H19" s="75"/>
      <c r="I19" s="75"/>
      <c r="J19" s="75"/>
      <c r="K19" s="75"/>
      <c r="L19" s="66"/>
      <c r="M19" s="66"/>
      <c r="N19" s="66"/>
      <c r="O19" s="66"/>
      <c r="P19" s="66"/>
      <c r="Q19" s="57" t="s">
        <v>453</v>
      </c>
      <c r="R19" s="56" t="s">
        <v>454</v>
      </c>
      <c r="T19" s="56" t="str">
        <f t="shared" si="0"/>
        <v>故去彼取此有之以為利，無之以為用。
Gòo kù hīt cǔ cǔ yǔ zī yǐ wí lî, bbú zī yǐ wí yông.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F075-0805-44AD-9480-D7B808C6DF70}">
  <dimension ref="A1:T9"/>
  <sheetViews>
    <sheetView topLeftCell="A3" workbookViewId="0">
      <selection activeCell="T4" sqref="T4:T8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114</v>
      </c>
      <c r="G1" s="67"/>
      <c r="H1" s="67"/>
      <c r="I1" s="67"/>
      <c r="J1" s="67"/>
      <c r="K1" s="67"/>
      <c r="L1" s="61"/>
      <c r="M1" s="61"/>
      <c r="N1" s="61" t="s">
        <v>115</v>
      </c>
      <c r="O1" s="61"/>
      <c r="P1" s="61"/>
    </row>
    <row r="3" spans="1:20" ht="60">
      <c r="A3" s="58" t="s">
        <v>116</v>
      </c>
      <c r="B3" s="58" t="s">
        <v>117</v>
      </c>
      <c r="C3" s="58" t="s">
        <v>118</v>
      </c>
      <c r="D3" s="63" t="s">
        <v>119</v>
      </c>
      <c r="E3" s="63" t="s">
        <v>120</v>
      </c>
      <c r="F3" s="62" t="s">
        <v>121</v>
      </c>
      <c r="G3" s="62" t="s">
        <v>122</v>
      </c>
      <c r="H3" s="62" t="s">
        <v>53</v>
      </c>
      <c r="I3" s="62" t="s">
        <v>123</v>
      </c>
      <c r="J3" s="62" t="s">
        <v>124</v>
      </c>
      <c r="K3" s="62" t="s">
        <v>125</v>
      </c>
      <c r="L3" s="64" t="s">
        <v>126</v>
      </c>
      <c r="M3" s="61" t="s">
        <v>53</v>
      </c>
      <c r="N3" s="61" t="s">
        <v>123</v>
      </c>
      <c r="O3" s="61" t="s">
        <v>124</v>
      </c>
      <c r="P3" s="61" t="s">
        <v>125</v>
      </c>
      <c r="Q3" s="78" t="s">
        <v>56</v>
      </c>
      <c r="R3" s="78" t="s">
        <v>127</v>
      </c>
      <c r="T3" s="78" t="s">
        <v>242</v>
      </c>
    </row>
    <row r="4" spans="1:20" ht="69">
      <c r="A4" s="59">
        <v>1</v>
      </c>
      <c r="B4" s="69" t="s">
        <v>128</v>
      </c>
      <c r="C4" s="71" t="s">
        <v>129</v>
      </c>
      <c r="D4" s="72">
        <v>20</v>
      </c>
      <c r="E4" s="72">
        <v>25</v>
      </c>
      <c r="F4" s="73">
        <v>0</v>
      </c>
      <c r="G4" s="74">
        <v>25000</v>
      </c>
      <c r="H4" s="75" t="s">
        <v>130</v>
      </c>
      <c r="I4" s="75" t="s">
        <v>130</v>
      </c>
      <c r="J4" s="75" t="s">
        <v>131</v>
      </c>
      <c r="K4" s="75" t="s">
        <v>132</v>
      </c>
      <c r="L4" s="66">
        <v>20000</v>
      </c>
      <c r="M4" s="66" t="s">
        <v>130</v>
      </c>
      <c r="N4" s="66" t="s">
        <v>130</v>
      </c>
      <c r="O4" s="66" t="s">
        <v>133</v>
      </c>
      <c r="P4" s="66" t="s">
        <v>132</v>
      </c>
      <c r="Q4" s="57" t="s">
        <v>134</v>
      </c>
      <c r="R4" s="56" t="s">
        <v>175</v>
      </c>
      <c r="T4" s="56" t="str">
        <f xml:space="preserve"> _xlfn.CONCAT(Q4, CHAR(10), R4)</f>
        <v>《道德經。第十一章》
Dor7 diek4 ging1. De7 ship8 it4 jiong1</v>
      </c>
    </row>
    <row r="5" spans="1:20" ht="103.5">
      <c r="A5" s="59">
        <v>2</v>
      </c>
      <c r="B5" s="70" t="s">
        <v>136</v>
      </c>
      <c r="C5" s="71" t="s">
        <v>137</v>
      </c>
      <c r="D5" s="65">
        <v>2</v>
      </c>
      <c r="E5" s="65">
        <v>5</v>
      </c>
      <c r="F5" s="73">
        <v>25000</v>
      </c>
      <c r="G5" s="74">
        <v>30000</v>
      </c>
      <c r="H5" s="75" t="s">
        <v>130</v>
      </c>
      <c r="I5" s="75" t="s">
        <v>130</v>
      </c>
      <c r="J5" s="75" t="s">
        <v>138</v>
      </c>
      <c r="K5" s="75" t="s">
        <v>132</v>
      </c>
      <c r="L5" s="66">
        <v>27000</v>
      </c>
      <c r="M5" s="66" t="s">
        <v>130</v>
      </c>
      <c r="N5" s="66" t="s">
        <v>130</v>
      </c>
      <c r="O5" s="66" t="s">
        <v>139</v>
      </c>
      <c r="P5" s="66" t="s">
        <v>132</v>
      </c>
      <c r="Q5" s="57" t="s">
        <v>173</v>
      </c>
      <c r="R5" s="56" t="s">
        <v>176</v>
      </c>
      <c r="T5" s="56" t="str">
        <f t="shared" ref="T5:T8" si="0" xml:space="preserve"> _xlfn.CONCAT(Q5, CHAR(10), R5)</f>
        <v>三十輻同一轂，當其無，有車之用也。
Sam1 ship8 hok4 dong5 it4 gok4, dong1 gi5 bbu5, iu2 gu1 ji1 iong7 ia2.</v>
      </c>
    </row>
    <row r="6" spans="1:20" ht="103.5">
      <c r="A6" s="59">
        <v>3</v>
      </c>
      <c r="B6" s="70" t="s">
        <v>141</v>
      </c>
      <c r="C6" s="71" t="s">
        <v>142</v>
      </c>
      <c r="D6" s="65">
        <v>2</v>
      </c>
      <c r="E6" s="65">
        <v>5</v>
      </c>
      <c r="F6" s="73">
        <v>30000</v>
      </c>
      <c r="G6" s="74">
        <v>35000</v>
      </c>
      <c r="H6" s="75" t="s">
        <v>130</v>
      </c>
      <c r="I6" s="75" t="s">
        <v>130</v>
      </c>
      <c r="J6" s="75" t="s">
        <v>143</v>
      </c>
      <c r="K6" s="75" t="s">
        <v>132</v>
      </c>
      <c r="L6" s="66">
        <v>32000</v>
      </c>
      <c r="M6" s="66" t="s">
        <v>130</v>
      </c>
      <c r="N6" s="66" t="s">
        <v>130</v>
      </c>
      <c r="O6" s="66" t="s">
        <v>144</v>
      </c>
      <c r="P6" s="66" t="s">
        <v>132</v>
      </c>
      <c r="Q6" s="57" t="s">
        <v>145</v>
      </c>
      <c r="R6" s="56" t="s">
        <v>177</v>
      </c>
      <c r="T6" s="56" t="str">
        <f t="shared" si="0"/>
        <v>埏埴為器，當其無，有埴器之用也。
Ian5 shit8 ui5 ki3, dong1 gi5 bbu5, iu2 shit8 ki3 ji1 iong7 ia2.</v>
      </c>
    </row>
    <row r="7" spans="1:20" ht="69">
      <c r="A7" s="59">
        <v>4</v>
      </c>
      <c r="B7" s="70" t="s">
        <v>147</v>
      </c>
      <c r="C7" s="71" t="s">
        <v>148</v>
      </c>
      <c r="D7" s="65">
        <v>2</v>
      </c>
      <c r="E7" s="65">
        <v>5</v>
      </c>
      <c r="F7" s="73">
        <v>35000</v>
      </c>
      <c r="G7" s="74">
        <v>40000</v>
      </c>
      <c r="H7" s="75" t="s">
        <v>130</v>
      </c>
      <c r="I7" s="75" t="s">
        <v>130</v>
      </c>
      <c r="J7" s="75" t="s">
        <v>149</v>
      </c>
      <c r="K7" s="75" t="s">
        <v>132</v>
      </c>
      <c r="L7" s="66">
        <v>37000</v>
      </c>
      <c r="M7" s="66" t="s">
        <v>130</v>
      </c>
      <c r="N7" s="66" t="s">
        <v>130</v>
      </c>
      <c r="O7" s="66" t="s">
        <v>150</v>
      </c>
      <c r="P7" s="66" t="s">
        <v>132</v>
      </c>
      <c r="Q7" s="57" t="s">
        <v>151</v>
      </c>
      <c r="R7" s="56" t="s">
        <v>178</v>
      </c>
      <c r="T7" s="56" t="str">
        <f t="shared" si="0"/>
        <v>鑿戶牖，當其無，有室之用也。
Cak8 hoo7 iu2, dong1 gi5 bbu5, iu2 shiek4 ji1 iong7 ia2.</v>
      </c>
    </row>
    <row r="8" spans="1:20" ht="69">
      <c r="A8" s="59">
        <v>5</v>
      </c>
      <c r="B8" s="70" t="s">
        <v>152</v>
      </c>
      <c r="C8" s="71" t="s">
        <v>153</v>
      </c>
      <c r="D8" s="65">
        <v>2</v>
      </c>
      <c r="E8" s="65">
        <v>5</v>
      </c>
      <c r="F8" s="73">
        <v>40000</v>
      </c>
      <c r="G8" s="74">
        <v>45000</v>
      </c>
      <c r="H8" s="75" t="s">
        <v>130</v>
      </c>
      <c r="I8" s="75" t="s">
        <v>130</v>
      </c>
      <c r="J8" s="75" t="s">
        <v>154</v>
      </c>
      <c r="K8" s="75" t="s">
        <v>132</v>
      </c>
      <c r="L8" s="66">
        <v>42000</v>
      </c>
      <c r="M8" s="66" t="s">
        <v>130</v>
      </c>
      <c r="N8" s="66" t="s">
        <v>130</v>
      </c>
      <c r="O8" s="66" t="s">
        <v>155</v>
      </c>
      <c r="P8" s="66" t="s">
        <v>132</v>
      </c>
      <c r="Q8" s="57" t="s">
        <v>156</v>
      </c>
      <c r="R8" s="56" t="s">
        <v>179</v>
      </c>
      <c r="T8" s="56" t="str">
        <f t="shared" si="0"/>
        <v>故有之以為利，無之以為用。
Goo3 iu2 ji1 i2 ui5 li7, bbu5 ji1 i2 ui5 iong7.</v>
      </c>
    </row>
    <row r="9" spans="1:20" ht="24">
      <c r="A9" s="68" t="s">
        <v>158</v>
      </c>
      <c r="B9" s="79" t="s">
        <v>153</v>
      </c>
      <c r="C9" s="71" t="s">
        <v>159</v>
      </c>
      <c r="D9" s="65">
        <v>2</v>
      </c>
      <c r="E9" s="65">
        <v>5</v>
      </c>
      <c r="F9" s="76">
        <v>42000</v>
      </c>
      <c r="G9" s="74">
        <v>47000</v>
      </c>
      <c r="H9" s="77" t="s">
        <v>130</v>
      </c>
      <c r="I9" s="77" t="s">
        <v>130</v>
      </c>
      <c r="J9" s="77" t="s">
        <v>160</v>
      </c>
      <c r="K9" s="77" t="s">
        <v>132</v>
      </c>
      <c r="L9" s="66">
        <v>44000</v>
      </c>
      <c r="M9" s="66" t="s">
        <v>130</v>
      </c>
      <c r="N9" s="66" t="s">
        <v>130</v>
      </c>
      <c r="O9" s="66" t="s">
        <v>161</v>
      </c>
      <c r="P9" s="66" t="s">
        <v>132</v>
      </c>
      <c r="Q9" s="55"/>
      <c r="R9" s="55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229F-C20E-465C-8F87-E4979D03A024}">
  <dimension ref="A1:V2002"/>
  <sheetViews>
    <sheetView showGridLines="0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3" sqref="E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4" t="s">
        <v>111</v>
      </c>
    </row>
    <row r="4" spans="1:22" s="6" customFormat="1" ht="36" customHeight="1">
      <c r="B4" s="16"/>
      <c r="D4" s="46"/>
      <c r="E4" s="46" t="s">
        <v>81</v>
      </c>
      <c r="F4" s="46" t="s">
        <v>83</v>
      </c>
      <c r="G4" s="46" t="s">
        <v>47</v>
      </c>
      <c r="H4" s="46"/>
      <c r="I4" s="46" t="s">
        <v>85</v>
      </c>
      <c r="J4" s="46" t="s">
        <v>43</v>
      </c>
      <c r="K4" s="46" t="s">
        <v>88</v>
      </c>
      <c r="L4" s="46" t="s">
        <v>38</v>
      </c>
      <c r="M4" s="46"/>
      <c r="N4" s="46"/>
      <c r="O4" s="46"/>
      <c r="P4" s="46"/>
      <c r="Q4" s="46"/>
      <c r="R4" s="46"/>
      <c r="S4" s="17"/>
      <c r="V4" s="85"/>
    </row>
    <row r="5" spans="1:22" s="6" customFormat="1" ht="80.099999999999994" customHeight="1">
      <c r="B5" s="18">
        <v>1</v>
      </c>
      <c r="D5" s="36" t="s">
        <v>59</v>
      </c>
      <c r="E5" s="36" t="s">
        <v>60</v>
      </c>
      <c r="F5" s="36" t="s">
        <v>61</v>
      </c>
      <c r="G5" s="36" t="s">
        <v>55</v>
      </c>
      <c r="H5" s="36" t="s">
        <v>19</v>
      </c>
      <c r="I5" s="36" t="s">
        <v>62</v>
      </c>
      <c r="J5" s="36" t="s">
        <v>63</v>
      </c>
      <c r="K5" s="36" t="s">
        <v>64</v>
      </c>
      <c r="L5" s="36" t="s">
        <v>65</v>
      </c>
      <c r="M5" s="36" t="s">
        <v>66</v>
      </c>
      <c r="N5" s="36" t="str">
        <f>CHAR(10)</f>
        <v xml:space="preserve">
</v>
      </c>
      <c r="O5" s="36"/>
      <c r="P5" s="36"/>
      <c r="Q5" s="36"/>
      <c r="R5" s="36"/>
      <c r="S5" s="19"/>
      <c r="V5" s="85"/>
    </row>
    <row r="6" spans="1:22" s="23" customFormat="1" ht="36" customHeight="1">
      <c r="B6" s="20"/>
      <c r="C6" s="21"/>
      <c r="D6" s="49"/>
      <c r="E6" s="49" t="s">
        <v>82</v>
      </c>
      <c r="F6" s="49" t="s">
        <v>84</v>
      </c>
      <c r="G6" s="49" t="s">
        <v>51</v>
      </c>
      <c r="H6" s="49"/>
      <c r="I6" s="49" t="s">
        <v>86</v>
      </c>
      <c r="J6" s="49" t="s">
        <v>87</v>
      </c>
      <c r="K6" s="49" t="s">
        <v>88</v>
      </c>
      <c r="L6" s="49" t="s">
        <v>89</v>
      </c>
      <c r="M6" s="49"/>
      <c r="N6" s="49"/>
      <c r="O6" s="49"/>
      <c r="P6" s="49"/>
      <c r="Q6" s="49"/>
      <c r="R6" s="49"/>
      <c r="S6" s="22"/>
      <c r="V6" s="85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5"/>
    </row>
    <row r="8" spans="1:22" s="6" customFormat="1" ht="36" customHeight="1">
      <c r="B8" s="16"/>
      <c r="D8" s="46" t="s">
        <v>112</v>
      </c>
      <c r="E8" s="46" t="s">
        <v>43</v>
      </c>
      <c r="F8" s="46" t="s">
        <v>90</v>
      </c>
      <c r="G8" s="46" t="s">
        <v>167</v>
      </c>
      <c r="H8" s="46" t="s">
        <v>88</v>
      </c>
      <c r="I8" s="46" t="s">
        <v>91</v>
      </c>
      <c r="J8" s="46"/>
      <c r="K8" s="46" t="s">
        <v>40</v>
      </c>
      <c r="L8" s="46" t="s">
        <v>49</v>
      </c>
      <c r="M8" s="46" t="s">
        <v>170</v>
      </c>
      <c r="N8" s="46"/>
      <c r="O8" s="46" t="s">
        <v>94</v>
      </c>
      <c r="P8" s="46" t="s">
        <v>95</v>
      </c>
      <c r="Q8" s="46" t="s">
        <v>39</v>
      </c>
      <c r="R8" s="46" t="s">
        <v>98</v>
      </c>
      <c r="S8" s="17"/>
      <c r="V8" s="85"/>
    </row>
    <row r="9" spans="1:22" s="6" customFormat="1" ht="80.099999999999994" customHeight="1">
      <c r="B9" s="18">
        <f>B5+1</f>
        <v>2</v>
      </c>
      <c r="D9" s="36" t="s">
        <v>35</v>
      </c>
      <c r="E9" s="36" t="s">
        <v>63</v>
      </c>
      <c r="F9" s="36" t="s">
        <v>67</v>
      </c>
      <c r="G9" s="36" t="s">
        <v>68</v>
      </c>
      <c r="H9" s="36" t="s">
        <v>64</v>
      </c>
      <c r="I9" s="36" t="s">
        <v>69</v>
      </c>
      <c r="J9" s="36" t="s">
        <v>18</v>
      </c>
      <c r="K9" s="36" t="s">
        <v>70</v>
      </c>
      <c r="L9" s="36" t="s">
        <v>31</v>
      </c>
      <c r="M9" s="36" t="s">
        <v>32</v>
      </c>
      <c r="N9" s="36" t="s">
        <v>18</v>
      </c>
      <c r="O9" s="36" t="s">
        <v>34</v>
      </c>
      <c r="P9" s="36" t="s">
        <v>54</v>
      </c>
      <c r="Q9" s="36" t="s">
        <v>33</v>
      </c>
      <c r="R9" s="36" t="s">
        <v>71</v>
      </c>
      <c r="S9" s="19"/>
      <c r="T9" s="15"/>
      <c r="V9" s="85"/>
    </row>
    <row r="10" spans="1:22" s="6" customFormat="1" ht="36" customHeight="1">
      <c r="B10" s="20"/>
      <c r="D10" s="49" t="s">
        <v>112</v>
      </c>
      <c r="E10" s="49" t="s">
        <v>87</v>
      </c>
      <c r="F10" s="49" t="s">
        <v>90</v>
      </c>
      <c r="G10" s="49" t="s">
        <v>168</v>
      </c>
      <c r="H10" s="49" t="s">
        <v>88</v>
      </c>
      <c r="I10" s="49" t="s">
        <v>92</v>
      </c>
      <c r="J10" s="49"/>
      <c r="K10" s="49" t="s">
        <v>93</v>
      </c>
      <c r="L10" s="49" t="s">
        <v>45</v>
      </c>
      <c r="M10" s="49" t="s">
        <v>171</v>
      </c>
      <c r="N10" s="49"/>
      <c r="O10" s="49" t="s">
        <v>94</v>
      </c>
      <c r="P10" s="49" t="s">
        <v>96</v>
      </c>
      <c r="Q10" s="49" t="s">
        <v>97</v>
      </c>
      <c r="R10" s="49" t="s">
        <v>98</v>
      </c>
      <c r="S10" s="28"/>
      <c r="V10" s="85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5"/>
    </row>
    <row r="12" spans="1:22" s="6" customFormat="1" ht="36" customHeight="1">
      <c r="B12" s="16"/>
      <c r="D12" s="46" t="s">
        <v>99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5"/>
    </row>
    <row r="13" spans="1:22" s="6" customFormat="1" ht="80.099999999999994" customHeight="1">
      <c r="B13" s="18">
        <f>B9+1</f>
        <v>3</v>
      </c>
      <c r="D13" s="36" t="s">
        <v>72</v>
      </c>
      <c r="E13" s="36" t="s">
        <v>19</v>
      </c>
      <c r="F13" s="36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5"/>
    </row>
    <row r="14" spans="1:22" s="6" customFormat="1" ht="36" customHeight="1">
      <c r="B14" s="20"/>
      <c r="D14" s="49" t="s">
        <v>99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28"/>
      <c r="V14" s="85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5"/>
    </row>
    <row r="16" spans="1:22" s="6" customFormat="1" ht="36" customHeight="1">
      <c r="B16" s="16"/>
      <c r="D16" s="46" t="s">
        <v>100</v>
      </c>
      <c r="E16" s="46" t="s">
        <v>101</v>
      </c>
      <c r="F16" s="46" t="s">
        <v>42</v>
      </c>
      <c r="G16" s="46" t="s">
        <v>48</v>
      </c>
      <c r="H16" s="46"/>
      <c r="I16" s="46" t="s">
        <v>40</v>
      </c>
      <c r="J16" s="46" t="s">
        <v>49</v>
      </c>
      <c r="K16" s="46" t="s">
        <v>170</v>
      </c>
      <c r="L16" s="46"/>
      <c r="M16" s="46" t="s">
        <v>94</v>
      </c>
      <c r="N16" s="46" t="s">
        <v>101</v>
      </c>
      <c r="O16" s="46" t="s">
        <v>48</v>
      </c>
      <c r="P16" s="46" t="s">
        <v>39</v>
      </c>
      <c r="Q16" s="46" t="s">
        <v>98</v>
      </c>
      <c r="R16" s="46" t="s">
        <v>99</v>
      </c>
      <c r="S16" s="17"/>
      <c r="V16" s="85"/>
    </row>
    <row r="17" spans="2:22" s="6" customFormat="1" ht="80.099999999999994" customHeight="1">
      <c r="B17" s="18">
        <f>B13+1</f>
        <v>4</v>
      </c>
      <c r="D17" s="36" t="s">
        <v>73</v>
      </c>
      <c r="E17" s="36" t="s">
        <v>74</v>
      </c>
      <c r="F17" s="36" t="s">
        <v>37</v>
      </c>
      <c r="G17" s="36" t="s">
        <v>75</v>
      </c>
      <c r="H17" s="36" t="s">
        <v>18</v>
      </c>
      <c r="I17" s="36" t="s">
        <v>70</v>
      </c>
      <c r="J17" s="36" t="s">
        <v>31</v>
      </c>
      <c r="K17" s="36" t="s">
        <v>32</v>
      </c>
      <c r="L17" s="36" t="s">
        <v>18</v>
      </c>
      <c r="M17" s="36" t="s">
        <v>34</v>
      </c>
      <c r="N17" s="36" t="s">
        <v>74</v>
      </c>
      <c r="O17" s="36" t="s">
        <v>75</v>
      </c>
      <c r="P17" s="36" t="s">
        <v>33</v>
      </c>
      <c r="Q17" s="36" t="s">
        <v>71</v>
      </c>
      <c r="R17" s="36" t="s">
        <v>72</v>
      </c>
      <c r="S17" s="19"/>
      <c r="V17" s="85"/>
    </row>
    <row r="18" spans="2:22" s="6" customFormat="1" ht="36" customHeight="1">
      <c r="B18" s="20"/>
      <c r="D18" s="49" t="s">
        <v>100</v>
      </c>
      <c r="E18" s="49" t="s">
        <v>102</v>
      </c>
      <c r="F18" s="49" t="s">
        <v>42</v>
      </c>
      <c r="G18" s="49" t="s">
        <v>44</v>
      </c>
      <c r="H18" s="49"/>
      <c r="I18" s="49" t="s">
        <v>93</v>
      </c>
      <c r="J18" s="49" t="s">
        <v>45</v>
      </c>
      <c r="K18" s="49" t="s">
        <v>171</v>
      </c>
      <c r="L18" s="49"/>
      <c r="M18" s="49" t="s">
        <v>94</v>
      </c>
      <c r="N18" s="49" t="s">
        <v>102</v>
      </c>
      <c r="O18" s="49" t="s">
        <v>44</v>
      </c>
      <c r="P18" s="49" t="s">
        <v>97</v>
      </c>
      <c r="Q18" s="49" t="s">
        <v>98</v>
      </c>
      <c r="R18" s="49" t="s">
        <v>99</v>
      </c>
      <c r="S18" s="28"/>
      <c r="V18" s="85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5"/>
    </row>
    <row r="20" spans="2:22" s="6" customFormat="1" ht="36" customHeight="1">
      <c r="B20" s="1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5"/>
    </row>
    <row r="21" spans="2:22" s="6" customFormat="1" ht="80.099999999999994" customHeight="1">
      <c r="B21" s="18">
        <f>B17+1</f>
        <v>5</v>
      </c>
      <c r="D21" s="36" t="s">
        <v>19</v>
      </c>
      <c r="E21" s="36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5"/>
    </row>
    <row r="22" spans="2:22" s="6" customFormat="1" ht="36" customHeight="1">
      <c r="B22" s="20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28"/>
      <c r="V22" s="85"/>
    </row>
    <row r="23" spans="2:22" s="32" customFormat="1" ht="60" customHeight="1">
      <c r="B23" s="12"/>
      <c r="C23" s="31"/>
      <c r="D23" s="48"/>
      <c r="E23" s="48"/>
      <c r="F23" s="48" t="s">
        <v>94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5"/>
    </row>
    <row r="24" spans="2:22" s="6" customFormat="1" ht="36" customHeight="1">
      <c r="B24" s="16"/>
      <c r="D24" s="46" t="s">
        <v>104</v>
      </c>
      <c r="E24" s="46" t="s">
        <v>105</v>
      </c>
      <c r="F24" s="46" t="s">
        <v>94</v>
      </c>
      <c r="G24" s="46"/>
      <c r="H24" s="46" t="s">
        <v>40</v>
      </c>
      <c r="I24" s="46" t="s">
        <v>49</v>
      </c>
      <c r="J24" s="46" t="s">
        <v>170</v>
      </c>
      <c r="K24" s="46"/>
      <c r="L24" s="46" t="s">
        <v>94</v>
      </c>
      <c r="M24" s="46" t="s">
        <v>106</v>
      </c>
      <c r="N24" s="46" t="s">
        <v>39</v>
      </c>
      <c r="O24" s="46" t="s">
        <v>98</v>
      </c>
      <c r="P24" s="46" t="s">
        <v>99</v>
      </c>
      <c r="Q24" s="46"/>
      <c r="R24" s="46"/>
      <c r="S24" s="17"/>
      <c r="V24" s="85"/>
    </row>
    <row r="25" spans="2:22" s="6" customFormat="1" ht="80.099999999999994" customHeight="1">
      <c r="B25" s="18">
        <f>B21+1</f>
        <v>6</v>
      </c>
      <c r="D25" s="36" t="s">
        <v>76</v>
      </c>
      <c r="E25" s="36" t="s">
        <v>77</v>
      </c>
      <c r="F25" s="36" t="s">
        <v>78</v>
      </c>
      <c r="G25" s="36" t="s">
        <v>18</v>
      </c>
      <c r="H25" s="36" t="s">
        <v>70</v>
      </c>
      <c r="I25" s="36" t="s">
        <v>31</v>
      </c>
      <c r="J25" s="36" t="s">
        <v>32</v>
      </c>
      <c r="K25" s="36" t="s">
        <v>18</v>
      </c>
      <c r="L25" s="36" t="s">
        <v>34</v>
      </c>
      <c r="M25" s="36" t="s">
        <v>52</v>
      </c>
      <c r="N25" s="36" t="s">
        <v>33</v>
      </c>
      <c r="O25" s="36" t="s">
        <v>71</v>
      </c>
      <c r="P25" s="36" t="s">
        <v>72</v>
      </c>
      <c r="Q25" s="36" t="s">
        <v>19</v>
      </c>
      <c r="R25" s="36" t="str">
        <f>CHAR(10)</f>
        <v xml:space="preserve">
</v>
      </c>
      <c r="S25" s="19"/>
      <c r="V25" s="85"/>
    </row>
    <row r="26" spans="2:22" s="6" customFormat="1" ht="36" customHeight="1">
      <c r="B26" s="20"/>
      <c r="D26" s="49" t="s">
        <v>104</v>
      </c>
      <c r="E26" s="49" t="s">
        <v>105</v>
      </c>
      <c r="F26" s="49" t="s">
        <v>94</v>
      </c>
      <c r="G26" s="49"/>
      <c r="H26" s="49" t="s">
        <v>93</v>
      </c>
      <c r="I26" s="49" t="s">
        <v>45</v>
      </c>
      <c r="J26" s="49" t="s">
        <v>171</v>
      </c>
      <c r="K26" s="49"/>
      <c r="L26" s="49" t="s">
        <v>94</v>
      </c>
      <c r="M26" s="49" t="s">
        <v>107</v>
      </c>
      <c r="N26" s="49" t="s">
        <v>97</v>
      </c>
      <c r="O26" s="49" t="s">
        <v>98</v>
      </c>
      <c r="P26" s="49" t="s">
        <v>99</v>
      </c>
      <c r="Q26" s="49"/>
      <c r="R26" s="49"/>
      <c r="S26" s="28"/>
      <c r="V26" s="85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46" t="s">
        <v>108</v>
      </c>
      <c r="E28" s="46" t="s">
        <v>94</v>
      </c>
      <c r="F28" s="46" t="s">
        <v>39</v>
      </c>
      <c r="G28" s="46" t="s">
        <v>41</v>
      </c>
      <c r="H28" s="46" t="s">
        <v>42</v>
      </c>
      <c r="I28" s="46" t="s">
        <v>110</v>
      </c>
      <c r="J28" s="46"/>
      <c r="K28" s="46" t="s">
        <v>170</v>
      </c>
      <c r="L28" s="46" t="s">
        <v>39</v>
      </c>
      <c r="M28" s="46" t="s">
        <v>41</v>
      </c>
      <c r="N28" s="46" t="s">
        <v>42</v>
      </c>
      <c r="O28" s="46" t="s">
        <v>98</v>
      </c>
      <c r="P28" s="46"/>
      <c r="Q28" s="46"/>
      <c r="R28" s="46"/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36" t="s">
        <v>79</v>
      </c>
      <c r="E29" s="36" t="s">
        <v>34</v>
      </c>
      <c r="F29" s="36" t="s">
        <v>33</v>
      </c>
      <c r="G29" s="36" t="s">
        <v>36</v>
      </c>
      <c r="H29" s="36" t="s">
        <v>37</v>
      </c>
      <c r="I29" s="36" t="s">
        <v>80</v>
      </c>
      <c r="J29" s="36" t="s">
        <v>18</v>
      </c>
      <c r="K29" s="36" t="s">
        <v>32</v>
      </c>
      <c r="L29" s="36" t="s">
        <v>33</v>
      </c>
      <c r="M29" s="36" t="s">
        <v>36</v>
      </c>
      <c r="N29" s="36" t="s">
        <v>37</v>
      </c>
      <c r="O29" s="36" t="s">
        <v>71</v>
      </c>
      <c r="P29" s="36" t="s">
        <v>172</v>
      </c>
      <c r="Q29" s="36" t="str">
        <f>CHAR(10)</f>
        <v xml:space="preserve">
</v>
      </c>
      <c r="R29" s="36"/>
      <c r="S29" s="19"/>
      <c r="U29" s="32" t="str">
        <f t="shared" si="1"/>
        <v/>
      </c>
      <c r="V29" s="85"/>
    </row>
    <row r="30" spans="2:22" s="6" customFormat="1" ht="36" customHeight="1">
      <c r="B30" s="20"/>
      <c r="D30" s="49" t="s">
        <v>109</v>
      </c>
      <c r="E30" s="49" t="s">
        <v>94</v>
      </c>
      <c r="F30" s="49" t="s">
        <v>97</v>
      </c>
      <c r="G30" s="49" t="s">
        <v>41</v>
      </c>
      <c r="H30" s="49" t="s">
        <v>42</v>
      </c>
      <c r="I30" s="49" t="s">
        <v>110</v>
      </c>
      <c r="J30" s="49"/>
      <c r="K30" s="49" t="s">
        <v>171</v>
      </c>
      <c r="L30" s="49" t="s">
        <v>97</v>
      </c>
      <c r="M30" s="49" t="s">
        <v>41</v>
      </c>
      <c r="N30" s="49" t="s">
        <v>42</v>
      </c>
      <c r="O30" s="49" t="s">
        <v>98</v>
      </c>
      <c r="P30" s="49"/>
      <c r="Q30" s="49"/>
      <c r="R30" s="49"/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5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36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5"/>
    </row>
    <row r="34" spans="2:22" s="6" customFormat="1" ht="36" customHeight="1">
      <c r="B34" s="20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28"/>
      <c r="V34" s="85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5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5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5"/>
    </row>
    <row r="38" spans="2:22" s="6" customFormat="1" ht="36" customHeight="1">
      <c r="B38" s="20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28"/>
      <c r="V38" s="85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5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5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5"/>
    </row>
    <row r="42" spans="2:22" s="6" customFormat="1" ht="36" customHeight="1">
      <c r="B42" s="20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28"/>
      <c r="V42" s="85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5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5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5"/>
    </row>
    <row r="46" spans="2:22" s="6" customFormat="1" ht="36" customHeight="1">
      <c r="B46" s="20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28"/>
      <c r="V46" s="85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5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5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5"/>
    </row>
    <row r="50" spans="2:22" s="6" customFormat="1" ht="36" customHeight="1">
      <c r="B50" s="20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28"/>
      <c r="V50" s="85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5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5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5"/>
    </row>
    <row r="54" spans="2:22" s="6" customFormat="1" ht="36" customHeight="1">
      <c r="B54" s="20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85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5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5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5"/>
    </row>
    <row r="58" spans="2:22" s="6" customFormat="1" ht="36" customHeight="1">
      <c r="B58" s="20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28"/>
      <c r="V58" s="85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5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5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5"/>
    </row>
    <row r="62" spans="2:22" s="6" customFormat="1" ht="36" customHeight="1">
      <c r="B62" s="20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28"/>
      <c r="V62" s="85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5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5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5"/>
    </row>
    <row r="66" spans="2:22" s="6" customFormat="1" ht="36" customHeight="1">
      <c r="B66" s="20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28"/>
      <c r="V66" s="85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5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5"/>
    </row>
    <row r="70" spans="2:22" s="6" customFormat="1" ht="36" customHeight="1">
      <c r="B70" s="20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28"/>
      <c r="V70" s="85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5"/>
    </row>
    <row r="74" spans="2:22" s="6" customFormat="1" ht="36" customHeight="1">
      <c r="B74" s="20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28"/>
      <c r="V74" s="85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28"/>
      <c r="V78" s="85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5"/>
    </row>
    <row r="82" spans="2:22" s="6" customFormat="1" ht="36" customHeight="1">
      <c r="B82" s="20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28"/>
      <c r="V82" s="86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51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7" priority="1">
      <formula>顯示注音輸入</formula>
    </cfRule>
    <cfRule type="expression" dxfId="6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5" priority="3">
      <formula>顯示注音輸入</formula>
    </cfRule>
    <cfRule type="expression" dxfId="4" priority="4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3" priority="5">
      <formula>顯示注音輸入</formula>
    </cfRule>
    <cfRule type="expression" dxfId="2" priority="6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A4D2-B66E-4C95-83DC-9255BE7A4517}">
  <dimension ref="A1:V2002"/>
  <sheetViews>
    <sheetView showGridLines="0" zoomScale="70" zoomScaleNormal="70" workbookViewId="0">
      <pane xSplit="3" ySplit="1" topLeftCell="D13" activePane="bottomRight" state="frozen"/>
      <selection pane="topRight" activeCell="D1" sqref="D1"/>
      <selection pane="bottomLeft" activeCell="A2" sqref="A2"/>
      <selection pane="bottomRight" activeCell="F23" sqref="F2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4" t="s">
        <v>111</v>
      </c>
    </row>
    <row r="4" spans="1:22" s="6" customFormat="1" ht="36" customHeight="1">
      <c r="B4" s="16"/>
      <c r="D4" s="46"/>
      <c r="E4" s="46" t="s">
        <v>180</v>
      </c>
      <c r="F4" s="46" t="s">
        <v>182</v>
      </c>
      <c r="G4" s="46" t="s">
        <v>184</v>
      </c>
      <c r="H4" s="46"/>
      <c r="I4" s="46" t="s">
        <v>186</v>
      </c>
      <c r="J4" s="46" t="s">
        <v>188</v>
      </c>
      <c r="K4" s="46" t="s">
        <v>190</v>
      </c>
      <c r="L4" s="46" t="s">
        <v>192</v>
      </c>
      <c r="M4" s="46"/>
      <c r="N4" s="46"/>
      <c r="O4" s="46"/>
      <c r="P4" s="46"/>
      <c r="Q4" s="46"/>
      <c r="R4" s="46"/>
      <c r="S4" s="17"/>
      <c r="V4" s="85"/>
    </row>
    <row r="5" spans="1:22" s="6" customFormat="1" ht="80.099999999999994" customHeight="1">
      <c r="B5" s="18">
        <v>1</v>
      </c>
      <c r="D5" s="36" t="s">
        <v>59</v>
      </c>
      <c r="E5" s="36" t="s">
        <v>60</v>
      </c>
      <c r="F5" s="36" t="s">
        <v>61</v>
      </c>
      <c r="G5" s="36" t="s">
        <v>55</v>
      </c>
      <c r="H5" s="36" t="s">
        <v>19</v>
      </c>
      <c r="I5" s="36" t="s">
        <v>62</v>
      </c>
      <c r="J5" s="36" t="s">
        <v>63</v>
      </c>
      <c r="K5" s="36" t="s">
        <v>64</v>
      </c>
      <c r="L5" s="36" t="s">
        <v>65</v>
      </c>
      <c r="M5" s="36" t="s">
        <v>66</v>
      </c>
      <c r="N5" s="36" t="str">
        <f>CHAR(10)</f>
        <v xml:space="preserve">
</v>
      </c>
      <c r="O5" s="36"/>
      <c r="P5" s="36"/>
      <c r="Q5" s="36"/>
      <c r="R5" s="36"/>
      <c r="S5" s="19"/>
      <c r="V5" s="85"/>
    </row>
    <row r="6" spans="1:22" s="23" customFormat="1" ht="36" customHeight="1">
      <c r="B6" s="20"/>
      <c r="C6" s="21"/>
      <c r="D6" s="81"/>
      <c r="E6" s="81" t="s">
        <v>181</v>
      </c>
      <c r="F6" s="81" t="s">
        <v>183</v>
      </c>
      <c r="G6" s="81" t="s">
        <v>185</v>
      </c>
      <c r="H6" s="81"/>
      <c r="I6" s="81" t="s">
        <v>187</v>
      </c>
      <c r="J6" s="81" t="s">
        <v>189</v>
      </c>
      <c r="K6" s="81" t="s">
        <v>191</v>
      </c>
      <c r="L6" s="81" t="s">
        <v>193</v>
      </c>
      <c r="M6" s="81"/>
      <c r="N6" s="81"/>
      <c r="O6" s="81"/>
      <c r="P6" s="81"/>
      <c r="Q6" s="81"/>
      <c r="R6" s="81"/>
      <c r="S6" s="22"/>
      <c r="V6" s="85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5"/>
    </row>
    <row r="8" spans="1:22" s="6" customFormat="1" ht="36" customHeight="1">
      <c r="B8" s="16"/>
      <c r="D8" s="46" t="s">
        <v>194</v>
      </c>
      <c r="E8" s="46" t="s">
        <v>188</v>
      </c>
      <c r="F8" s="46" t="s">
        <v>196</v>
      </c>
      <c r="G8" s="46" t="s">
        <v>167</v>
      </c>
      <c r="H8" s="46" t="s">
        <v>190</v>
      </c>
      <c r="I8" s="46" t="s">
        <v>199</v>
      </c>
      <c r="J8" s="46"/>
      <c r="K8" s="46" t="s">
        <v>201</v>
      </c>
      <c r="L8" s="46" t="s">
        <v>203</v>
      </c>
      <c r="M8" s="46" t="s">
        <v>170</v>
      </c>
      <c r="N8" s="46"/>
      <c r="O8" s="46" t="s">
        <v>206</v>
      </c>
      <c r="P8" s="46" t="s">
        <v>208</v>
      </c>
      <c r="Q8" s="46" t="s">
        <v>210</v>
      </c>
      <c r="R8" s="46" t="s">
        <v>212</v>
      </c>
      <c r="S8" s="17"/>
      <c r="V8" s="85"/>
    </row>
    <row r="9" spans="1:22" s="6" customFormat="1" ht="80.099999999999994" customHeight="1">
      <c r="B9" s="18">
        <f>B5+1</f>
        <v>2</v>
      </c>
      <c r="D9" s="36" t="s">
        <v>35</v>
      </c>
      <c r="E9" s="36" t="s">
        <v>63</v>
      </c>
      <c r="F9" s="36" t="s">
        <v>67</v>
      </c>
      <c r="G9" s="36" t="s">
        <v>68</v>
      </c>
      <c r="H9" s="36" t="s">
        <v>64</v>
      </c>
      <c r="I9" s="36" t="s">
        <v>69</v>
      </c>
      <c r="J9" s="36" t="s">
        <v>18</v>
      </c>
      <c r="K9" s="36" t="s">
        <v>70</v>
      </c>
      <c r="L9" s="36" t="s">
        <v>31</v>
      </c>
      <c r="M9" s="36" t="s">
        <v>32</v>
      </c>
      <c r="N9" s="36" t="s">
        <v>18</v>
      </c>
      <c r="O9" s="36" t="s">
        <v>34</v>
      </c>
      <c r="P9" s="36" t="s">
        <v>54</v>
      </c>
      <c r="Q9" s="36" t="s">
        <v>33</v>
      </c>
      <c r="R9" s="36" t="s">
        <v>71</v>
      </c>
      <c r="S9" s="19"/>
      <c r="T9" s="15"/>
      <c r="V9" s="85"/>
    </row>
    <row r="10" spans="1:22" s="6" customFormat="1" ht="36" customHeight="1">
      <c r="B10" s="20"/>
      <c r="D10" s="81" t="s">
        <v>195</v>
      </c>
      <c r="E10" s="81" t="s">
        <v>189</v>
      </c>
      <c r="F10" s="81" t="s">
        <v>197</v>
      </c>
      <c r="G10" s="81" t="s">
        <v>198</v>
      </c>
      <c r="H10" s="81" t="s">
        <v>191</v>
      </c>
      <c r="I10" s="81" t="s">
        <v>200</v>
      </c>
      <c r="J10" s="81"/>
      <c r="K10" s="81" t="s">
        <v>202</v>
      </c>
      <c r="L10" s="81" t="s">
        <v>204</v>
      </c>
      <c r="M10" s="81" t="s">
        <v>205</v>
      </c>
      <c r="N10" s="81"/>
      <c r="O10" s="81" t="s">
        <v>207</v>
      </c>
      <c r="P10" s="81" t="s">
        <v>209</v>
      </c>
      <c r="Q10" s="81" t="s">
        <v>211</v>
      </c>
      <c r="R10" s="81" t="s">
        <v>213</v>
      </c>
      <c r="S10" s="28"/>
      <c r="V10" s="85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5"/>
    </row>
    <row r="12" spans="1:22" s="6" customFormat="1" ht="36" customHeight="1">
      <c r="B12" s="16"/>
      <c r="D12" s="46" t="s">
        <v>214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5"/>
    </row>
    <row r="13" spans="1:22" s="6" customFormat="1" ht="80.099999999999994" customHeight="1">
      <c r="B13" s="18">
        <f>B9+1</f>
        <v>3</v>
      </c>
      <c r="D13" s="36" t="s">
        <v>72</v>
      </c>
      <c r="E13" s="36" t="s">
        <v>19</v>
      </c>
      <c r="F13" s="36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5"/>
    </row>
    <row r="14" spans="1:22" s="6" customFormat="1" ht="36" customHeight="1">
      <c r="B14" s="20"/>
      <c r="D14" s="81" t="s">
        <v>215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28"/>
      <c r="V14" s="85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5"/>
    </row>
    <row r="16" spans="1:22" s="6" customFormat="1" ht="36" customHeight="1">
      <c r="B16" s="16"/>
      <c r="D16" s="46" t="s">
        <v>216</v>
      </c>
      <c r="E16" s="46" t="s">
        <v>218</v>
      </c>
      <c r="F16" s="46" t="s">
        <v>220</v>
      </c>
      <c r="G16" s="46" t="s">
        <v>222</v>
      </c>
      <c r="H16" s="46"/>
      <c r="I16" s="46" t="s">
        <v>201</v>
      </c>
      <c r="J16" s="46" t="s">
        <v>203</v>
      </c>
      <c r="K16" s="46" t="s">
        <v>170</v>
      </c>
      <c r="L16" s="46"/>
      <c r="M16" s="46" t="s">
        <v>206</v>
      </c>
      <c r="N16" s="46" t="s">
        <v>218</v>
      </c>
      <c r="O16" s="46" t="s">
        <v>222</v>
      </c>
      <c r="P16" s="46" t="s">
        <v>210</v>
      </c>
      <c r="Q16" s="46" t="s">
        <v>212</v>
      </c>
      <c r="R16" s="46" t="s">
        <v>214</v>
      </c>
      <c r="S16" s="17"/>
      <c r="V16" s="85"/>
    </row>
    <row r="17" spans="2:22" s="6" customFormat="1" ht="80.099999999999994" customHeight="1">
      <c r="B17" s="18">
        <f>B13+1</f>
        <v>4</v>
      </c>
      <c r="D17" s="36" t="s">
        <v>73</v>
      </c>
      <c r="E17" s="36" t="s">
        <v>74</v>
      </c>
      <c r="F17" s="36" t="s">
        <v>37</v>
      </c>
      <c r="G17" s="36" t="s">
        <v>75</v>
      </c>
      <c r="H17" s="36" t="s">
        <v>18</v>
      </c>
      <c r="I17" s="36" t="s">
        <v>70</v>
      </c>
      <c r="J17" s="36" t="s">
        <v>31</v>
      </c>
      <c r="K17" s="36" t="s">
        <v>32</v>
      </c>
      <c r="L17" s="36" t="s">
        <v>18</v>
      </c>
      <c r="M17" s="36" t="s">
        <v>34</v>
      </c>
      <c r="N17" s="36" t="s">
        <v>74</v>
      </c>
      <c r="O17" s="36" t="s">
        <v>75</v>
      </c>
      <c r="P17" s="36" t="s">
        <v>33</v>
      </c>
      <c r="Q17" s="36" t="s">
        <v>71</v>
      </c>
      <c r="R17" s="36" t="s">
        <v>72</v>
      </c>
      <c r="S17" s="19"/>
      <c r="V17" s="85"/>
    </row>
    <row r="18" spans="2:22" s="6" customFormat="1" ht="36" customHeight="1">
      <c r="B18" s="20"/>
      <c r="D18" s="81" t="s">
        <v>217</v>
      </c>
      <c r="E18" s="81" t="s">
        <v>219</v>
      </c>
      <c r="F18" s="81" t="s">
        <v>221</v>
      </c>
      <c r="G18" s="81" t="s">
        <v>223</v>
      </c>
      <c r="H18" s="81"/>
      <c r="I18" s="81" t="s">
        <v>202</v>
      </c>
      <c r="J18" s="81" t="s">
        <v>204</v>
      </c>
      <c r="K18" s="81" t="s">
        <v>205</v>
      </c>
      <c r="L18" s="81"/>
      <c r="M18" s="81" t="s">
        <v>207</v>
      </c>
      <c r="N18" s="81" t="s">
        <v>219</v>
      </c>
      <c r="O18" s="81" t="s">
        <v>223</v>
      </c>
      <c r="P18" s="81" t="s">
        <v>211</v>
      </c>
      <c r="Q18" s="81" t="s">
        <v>213</v>
      </c>
      <c r="R18" s="81" t="s">
        <v>215</v>
      </c>
      <c r="S18" s="28"/>
      <c r="V18" s="85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5"/>
    </row>
    <row r="20" spans="2:22" s="6" customFormat="1" ht="36" customHeight="1">
      <c r="B20" s="1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5"/>
    </row>
    <row r="21" spans="2:22" s="6" customFormat="1" ht="80.099999999999994" customHeight="1">
      <c r="B21" s="18">
        <f>B17+1</f>
        <v>5</v>
      </c>
      <c r="D21" s="36" t="s">
        <v>19</v>
      </c>
      <c r="E21" s="36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5"/>
    </row>
    <row r="22" spans="2:22" s="6" customFormat="1" ht="36" customHeight="1">
      <c r="B22" s="2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28"/>
      <c r="V22" s="85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5"/>
    </row>
    <row r="24" spans="2:22" s="6" customFormat="1" ht="36" customHeight="1">
      <c r="B24" s="16"/>
      <c r="D24" s="46" t="s">
        <v>224</v>
      </c>
      <c r="E24" s="46" t="s">
        <v>226</v>
      </c>
      <c r="F24" s="46" t="s">
        <v>206</v>
      </c>
      <c r="G24" s="46"/>
      <c r="H24" s="46" t="s">
        <v>201</v>
      </c>
      <c r="I24" s="46" t="s">
        <v>203</v>
      </c>
      <c r="J24" s="46" t="s">
        <v>170</v>
      </c>
      <c r="K24" s="46"/>
      <c r="L24" s="46" t="s">
        <v>206</v>
      </c>
      <c r="M24" s="46" t="s">
        <v>228</v>
      </c>
      <c r="N24" s="46" t="s">
        <v>210</v>
      </c>
      <c r="O24" s="46" t="s">
        <v>212</v>
      </c>
      <c r="P24" s="46" t="s">
        <v>214</v>
      </c>
      <c r="Q24" s="46"/>
      <c r="R24" s="46"/>
      <c r="S24" s="17"/>
      <c r="V24" s="85"/>
    </row>
    <row r="25" spans="2:22" s="6" customFormat="1" ht="80.099999999999994" customHeight="1">
      <c r="B25" s="18">
        <f>B21+1</f>
        <v>6</v>
      </c>
      <c r="D25" s="36" t="s">
        <v>76</v>
      </c>
      <c r="E25" s="36" t="s">
        <v>77</v>
      </c>
      <c r="F25" s="36" t="s">
        <v>78</v>
      </c>
      <c r="G25" s="36" t="s">
        <v>18</v>
      </c>
      <c r="H25" s="36" t="s">
        <v>70</v>
      </c>
      <c r="I25" s="36" t="s">
        <v>31</v>
      </c>
      <c r="J25" s="36" t="s">
        <v>32</v>
      </c>
      <c r="K25" s="36" t="s">
        <v>18</v>
      </c>
      <c r="L25" s="36" t="s">
        <v>34</v>
      </c>
      <c r="M25" s="36" t="s">
        <v>52</v>
      </c>
      <c r="N25" s="36" t="s">
        <v>33</v>
      </c>
      <c r="O25" s="36" t="s">
        <v>71</v>
      </c>
      <c r="P25" s="36" t="s">
        <v>72</v>
      </c>
      <c r="Q25" s="36" t="s">
        <v>19</v>
      </c>
      <c r="R25" s="36" t="str">
        <f>CHAR(10)</f>
        <v xml:space="preserve">
</v>
      </c>
      <c r="S25" s="19"/>
      <c r="V25" s="85"/>
    </row>
    <row r="26" spans="2:22" s="6" customFormat="1" ht="36" customHeight="1">
      <c r="B26" s="20"/>
      <c r="D26" s="81" t="s">
        <v>225</v>
      </c>
      <c r="E26" s="81" t="s">
        <v>227</v>
      </c>
      <c r="F26" s="81" t="s">
        <v>207</v>
      </c>
      <c r="G26" s="81"/>
      <c r="H26" s="81" t="s">
        <v>202</v>
      </c>
      <c r="I26" s="81" t="s">
        <v>204</v>
      </c>
      <c r="J26" s="81" t="s">
        <v>205</v>
      </c>
      <c r="K26" s="81"/>
      <c r="L26" s="81" t="s">
        <v>207</v>
      </c>
      <c r="M26" s="81" t="s">
        <v>229</v>
      </c>
      <c r="N26" s="81" t="s">
        <v>211</v>
      </c>
      <c r="O26" s="81" t="s">
        <v>213</v>
      </c>
      <c r="P26" s="81" t="s">
        <v>215</v>
      </c>
      <c r="Q26" s="81"/>
      <c r="R26" s="81"/>
      <c r="S26" s="28"/>
      <c r="V26" s="85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46" t="s">
        <v>230</v>
      </c>
      <c r="E28" s="46" t="s">
        <v>206</v>
      </c>
      <c r="F28" s="46" t="s">
        <v>210</v>
      </c>
      <c r="G28" s="46" t="s">
        <v>232</v>
      </c>
      <c r="H28" s="46" t="s">
        <v>220</v>
      </c>
      <c r="I28" s="46" t="s">
        <v>234</v>
      </c>
      <c r="J28" s="46"/>
      <c r="K28" s="46" t="s">
        <v>170</v>
      </c>
      <c r="L28" s="46" t="s">
        <v>210</v>
      </c>
      <c r="M28" s="46" t="s">
        <v>232</v>
      </c>
      <c r="N28" s="46" t="s">
        <v>220</v>
      </c>
      <c r="O28" s="46" t="s">
        <v>212</v>
      </c>
      <c r="P28" s="46"/>
      <c r="Q28" s="46"/>
      <c r="R28" s="46"/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36" t="s">
        <v>79</v>
      </c>
      <c r="E29" s="36" t="s">
        <v>34</v>
      </c>
      <c r="F29" s="36" t="s">
        <v>33</v>
      </c>
      <c r="G29" s="36" t="s">
        <v>36</v>
      </c>
      <c r="H29" s="36" t="s">
        <v>37</v>
      </c>
      <c r="I29" s="36" t="s">
        <v>80</v>
      </c>
      <c r="J29" s="36" t="s">
        <v>18</v>
      </c>
      <c r="K29" s="36" t="s">
        <v>32</v>
      </c>
      <c r="L29" s="36" t="s">
        <v>33</v>
      </c>
      <c r="M29" s="36" t="s">
        <v>36</v>
      </c>
      <c r="N29" s="36" t="s">
        <v>37</v>
      </c>
      <c r="O29" s="36" t="s">
        <v>71</v>
      </c>
      <c r="P29" s="36" t="s">
        <v>172</v>
      </c>
      <c r="Q29" s="36" t="str">
        <f>CHAR(10)</f>
        <v xml:space="preserve">
</v>
      </c>
      <c r="R29" s="36"/>
      <c r="S29" s="19"/>
      <c r="U29" s="32" t="str">
        <f t="shared" si="1"/>
        <v/>
      </c>
      <c r="V29" s="85"/>
    </row>
    <row r="30" spans="2:22" s="6" customFormat="1" ht="36" customHeight="1">
      <c r="B30" s="20"/>
      <c r="D30" s="81" t="s">
        <v>231</v>
      </c>
      <c r="E30" s="81" t="s">
        <v>207</v>
      </c>
      <c r="F30" s="81" t="s">
        <v>211</v>
      </c>
      <c r="G30" s="81" t="s">
        <v>233</v>
      </c>
      <c r="H30" s="81" t="s">
        <v>221</v>
      </c>
      <c r="I30" s="81" t="s">
        <v>235</v>
      </c>
      <c r="J30" s="81"/>
      <c r="K30" s="81" t="s">
        <v>205</v>
      </c>
      <c r="L30" s="81" t="s">
        <v>211</v>
      </c>
      <c r="M30" s="81" t="s">
        <v>233</v>
      </c>
      <c r="N30" s="81" t="s">
        <v>221</v>
      </c>
      <c r="O30" s="81" t="s">
        <v>213</v>
      </c>
      <c r="P30" s="81"/>
      <c r="Q30" s="81"/>
      <c r="R30" s="81"/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5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36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5"/>
    </row>
    <row r="34" spans="2:22" s="6" customFormat="1" ht="36" customHeight="1">
      <c r="B34" s="20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28"/>
      <c r="V34" s="85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5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5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5"/>
    </row>
    <row r="38" spans="2:22" s="6" customFormat="1" ht="36" customHeight="1">
      <c r="B38" s="20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28"/>
      <c r="V38" s="85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5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5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5"/>
    </row>
    <row r="42" spans="2:22" s="6" customFormat="1" ht="36" customHeight="1">
      <c r="B42" s="20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28"/>
      <c r="V42" s="85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5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5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5"/>
    </row>
    <row r="46" spans="2:22" s="6" customFormat="1" ht="36" customHeight="1">
      <c r="B46" s="20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28"/>
      <c r="V46" s="85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5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5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5"/>
    </row>
    <row r="50" spans="2:22" s="6" customFormat="1" ht="36" customHeight="1">
      <c r="B50" s="20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28"/>
      <c r="V50" s="85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5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5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5"/>
    </row>
    <row r="54" spans="2:22" s="6" customFormat="1" ht="36" customHeight="1">
      <c r="B54" s="20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28"/>
      <c r="V54" s="85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5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5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5"/>
    </row>
    <row r="58" spans="2:22" s="6" customFormat="1" ht="36" customHeight="1">
      <c r="B58" s="20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28"/>
      <c r="V58" s="85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5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5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5"/>
    </row>
    <row r="62" spans="2:22" s="6" customFormat="1" ht="36" customHeight="1">
      <c r="B62" s="20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28"/>
      <c r="V62" s="85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5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5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5"/>
    </row>
    <row r="66" spans="2:22" s="6" customFormat="1" ht="36" customHeight="1">
      <c r="B66" s="20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28"/>
      <c r="V66" s="85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5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5"/>
    </row>
    <row r="70" spans="2:22" s="6" customFormat="1" ht="36" customHeight="1">
      <c r="B70" s="20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28"/>
      <c r="V70" s="85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5"/>
    </row>
    <row r="74" spans="2:22" s="6" customFormat="1" ht="36" customHeight="1">
      <c r="B74" s="20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28"/>
      <c r="V74" s="85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28"/>
      <c r="V78" s="85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5"/>
    </row>
    <row r="82" spans="2:22" s="6" customFormat="1" ht="36" customHeight="1">
      <c r="B82" s="20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28"/>
      <c r="V82" s="86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81"/>
      <c r="E1414" s="81"/>
      <c r="F1414" s="81"/>
      <c r="G1414" s="81"/>
      <c r="H1414" s="81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81"/>
      <c r="E1418" s="81"/>
      <c r="F1418" s="81"/>
      <c r="G1418" s="81"/>
      <c r="H1418" s="81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81"/>
      <c r="E1422" s="81"/>
      <c r="F1422" s="81"/>
      <c r="G1422" s="81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81"/>
      <c r="E1426" s="81"/>
      <c r="F1426" s="81"/>
      <c r="G1426" s="81"/>
      <c r="H1426" s="81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81"/>
      <c r="E1430" s="81"/>
      <c r="F1430" s="81"/>
      <c r="G1430" s="81"/>
      <c r="H1430" s="81"/>
      <c r="I1430" s="81"/>
      <c r="J1430" s="81"/>
      <c r="K1430" s="81"/>
      <c r="L1430" s="81"/>
      <c r="M1430" s="81"/>
      <c r="N1430" s="81"/>
      <c r="O1430" s="81"/>
      <c r="P1430" s="81"/>
      <c r="Q1430" s="81"/>
      <c r="R1430" s="81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81"/>
      <c r="E1434" s="81"/>
      <c r="F1434" s="81"/>
      <c r="G1434" s="81"/>
      <c r="H1434" s="81"/>
      <c r="I1434" s="81"/>
      <c r="J1434" s="81"/>
      <c r="K1434" s="81"/>
      <c r="L1434" s="81"/>
      <c r="M1434" s="81"/>
      <c r="N1434" s="81"/>
      <c r="O1434" s="81"/>
      <c r="P1434" s="81"/>
      <c r="Q1434" s="81"/>
      <c r="R1434" s="81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81"/>
      <c r="E1438" s="81"/>
      <c r="F1438" s="81"/>
      <c r="G1438" s="81"/>
      <c r="H1438" s="81"/>
      <c r="I1438" s="81"/>
      <c r="J1438" s="81"/>
      <c r="K1438" s="81"/>
      <c r="L1438" s="81"/>
      <c r="M1438" s="81"/>
      <c r="N1438" s="81"/>
      <c r="O1438" s="81"/>
      <c r="P1438" s="81"/>
      <c r="Q1438" s="81"/>
      <c r="R1438" s="81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81"/>
      <c r="E1442" s="81"/>
      <c r="F1442" s="81"/>
      <c r="G1442" s="81"/>
      <c r="H1442" s="81"/>
      <c r="I1442" s="81"/>
      <c r="J1442" s="81"/>
      <c r="K1442" s="81"/>
      <c r="L1442" s="81"/>
      <c r="M1442" s="81"/>
      <c r="N1442" s="81"/>
      <c r="O1442" s="81"/>
      <c r="P1442" s="81"/>
      <c r="Q1442" s="81"/>
      <c r="R1442" s="81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81"/>
      <c r="E1446" s="81"/>
      <c r="F1446" s="81"/>
      <c r="G1446" s="81"/>
      <c r="H1446" s="81"/>
      <c r="I1446" s="81"/>
      <c r="J1446" s="81"/>
      <c r="K1446" s="81"/>
      <c r="L1446" s="81"/>
      <c r="M1446" s="81"/>
      <c r="N1446" s="81"/>
      <c r="O1446" s="81"/>
      <c r="P1446" s="81"/>
      <c r="Q1446" s="81"/>
      <c r="R1446" s="81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81"/>
      <c r="E1450" s="81"/>
      <c r="F1450" s="81"/>
      <c r="G1450" s="81"/>
      <c r="H1450" s="81"/>
      <c r="I1450" s="81"/>
      <c r="J1450" s="81"/>
      <c r="K1450" s="81"/>
      <c r="L1450" s="81"/>
      <c r="M1450" s="81"/>
      <c r="N1450" s="81"/>
      <c r="O1450" s="81"/>
      <c r="P1450" s="81"/>
      <c r="Q1450" s="81"/>
      <c r="R1450" s="81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81"/>
      <c r="E1454" s="81"/>
      <c r="F1454" s="81"/>
      <c r="G1454" s="81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81"/>
      <c r="E1458" s="81"/>
      <c r="F1458" s="81"/>
      <c r="G1458" s="81"/>
      <c r="H1458" s="81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81"/>
      <c r="E1462" s="81"/>
      <c r="F1462" s="81"/>
      <c r="G1462" s="81"/>
      <c r="H1462" s="81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81"/>
      <c r="E1466" s="81"/>
      <c r="F1466" s="81"/>
      <c r="G1466" s="81"/>
      <c r="H1466" s="81"/>
      <c r="I1466" s="81"/>
      <c r="J1466" s="81"/>
      <c r="K1466" s="81"/>
      <c r="L1466" s="81"/>
      <c r="M1466" s="81"/>
      <c r="N1466" s="81"/>
      <c r="O1466" s="81"/>
      <c r="P1466" s="81"/>
      <c r="Q1466" s="81"/>
      <c r="R1466" s="81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81"/>
      <c r="E1470" s="81"/>
      <c r="F1470" s="81"/>
      <c r="G1470" s="81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81"/>
      <c r="E1474" s="81"/>
      <c r="F1474" s="81"/>
      <c r="G1474" s="81"/>
      <c r="H1474" s="81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81"/>
      <c r="E1478" s="81"/>
      <c r="F1478" s="81"/>
      <c r="G1478" s="81"/>
      <c r="H1478" s="81"/>
      <c r="I1478" s="81"/>
      <c r="J1478" s="81"/>
      <c r="K1478" s="81"/>
      <c r="L1478" s="81"/>
      <c r="M1478" s="81"/>
      <c r="N1478" s="81"/>
      <c r="O1478" s="81"/>
      <c r="P1478" s="81"/>
      <c r="Q1478" s="81"/>
      <c r="R1478" s="81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81"/>
      <c r="E1482" s="81"/>
      <c r="F1482" s="81"/>
      <c r="G1482" s="81"/>
      <c r="H1482" s="81"/>
      <c r="I1482" s="81"/>
      <c r="J1482" s="81"/>
      <c r="K1482" s="81"/>
      <c r="L1482" s="81"/>
      <c r="M1482" s="81"/>
      <c r="N1482" s="81"/>
      <c r="O1482" s="81"/>
      <c r="P1482" s="81"/>
      <c r="Q1482" s="81"/>
      <c r="R1482" s="81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81"/>
      <c r="E1486" s="81"/>
      <c r="F1486" s="81"/>
      <c r="G1486" s="81"/>
      <c r="H1486" s="81"/>
      <c r="I1486" s="81"/>
      <c r="J1486" s="81"/>
      <c r="K1486" s="81"/>
      <c r="L1486" s="81"/>
      <c r="M1486" s="81"/>
      <c r="N1486" s="81"/>
      <c r="O1486" s="81"/>
      <c r="P1486" s="81"/>
      <c r="Q1486" s="81"/>
      <c r="R1486" s="81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81"/>
      <c r="E1490" s="81"/>
      <c r="F1490" s="81"/>
      <c r="G1490" s="81"/>
      <c r="H1490" s="81"/>
      <c r="I1490" s="81"/>
      <c r="J1490" s="81"/>
      <c r="K1490" s="81"/>
      <c r="L1490" s="81"/>
      <c r="M1490" s="81"/>
      <c r="N1490" s="81"/>
      <c r="O1490" s="81"/>
      <c r="P1490" s="81"/>
      <c r="Q1490" s="81"/>
      <c r="R1490" s="81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81"/>
      <c r="E1494" s="81"/>
      <c r="F1494" s="81"/>
      <c r="G1494" s="81"/>
      <c r="H1494" s="81"/>
      <c r="I1494" s="81"/>
      <c r="J1494" s="81"/>
      <c r="K1494" s="81"/>
      <c r="L1494" s="81"/>
      <c r="M1494" s="81"/>
      <c r="N1494" s="81"/>
      <c r="O1494" s="81"/>
      <c r="P1494" s="81"/>
      <c r="Q1494" s="81"/>
      <c r="R1494" s="81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81"/>
      <c r="E1498" s="81"/>
      <c r="F1498" s="81"/>
      <c r="G1498" s="81"/>
      <c r="H1498" s="81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81"/>
      <c r="E1506" s="81"/>
      <c r="F1506" s="81"/>
      <c r="G1506" s="81"/>
      <c r="H1506" s="81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81"/>
      <c r="E1510" s="81"/>
      <c r="F1510" s="81"/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81"/>
      <c r="E1514" s="81"/>
      <c r="F1514" s="81"/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81"/>
      <c r="E1518" s="81"/>
      <c r="F1518" s="81"/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81"/>
      <c r="E1522" s="81"/>
      <c r="F1522" s="81"/>
      <c r="G1522" s="81"/>
      <c r="H1522" s="81"/>
      <c r="I1522" s="81"/>
      <c r="J1522" s="81"/>
      <c r="K1522" s="81"/>
      <c r="L1522" s="81"/>
      <c r="M1522" s="81"/>
      <c r="N1522" s="81"/>
      <c r="O1522" s="81"/>
      <c r="P1522" s="81"/>
      <c r="Q1522" s="81"/>
      <c r="R1522" s="81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81"/>
      <c r="E1526" s="81"/>
      <c r="F1526" s="81"/>
      <c r="G1526" s="81"/>
      <c r="H1526" s="81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81"/>
      <c r="E1530" s="81"/>
      <c r="F1530" s="81"/>
      <c r="G1530" s="81"/>
      <c r="H1530" s="81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81"/>
      <c r="E1534" s="81"/>
      <c r="F1534" s="81"/>
      <c r="G1534" s="81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1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81"/>
      <c r="E1538" s="81"/>
      <c r="F1538" s="81"/>
      <c r="G1538" s="81"/>
      <c r="H1538" s="81"/>
      <c r="I1538" s="81"/>
      <c r="J1538" s="81"/>
      <c r="K1538" s="81"/>
      <c r="L1538" s="81"/>
      <c r="M1538" s="81"/>
      <c r="N1538" s="81"/>
      <c r="O1538" s="81"/>
      <c r="P1538" s="81"/>
      <c r="Q1538" s="81"/>
      <c r="R1538" s="81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81"/>
      <c r="E1542" s="81"/>
      <c r="F1542" s="81"/>
      <c r="G1542" s="81"/>
      <c r="H1542" s="81"/>
      <c r="I1542" s="81"/>
      <c r="J1542" s="81"/>
      <c r="K1542" s="81"/>
      <c r="L1542" s="81"/>
      <c r="M1542" s="81"/>
      <c r="N1542" s="81"/>
      <c r="O1542" s="81"/>
      <c r="P1542" s="81"/>
      <c r="Q1542" s="81"/>
      <c r="R1542" s="81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81"/>
      <c r="E1546" s="81"/>
      <c r="F1546" s="81"/>
      <c r="G1546" s="81"/>
      <c r="H1546" s="81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81"/>
      <c r="E1550" s="81"/>
      <c r="F1550" s="81"/>
      <c r="G1550" s="81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81"/>
      <c r="E1554" s="81"/>
      <c r="F1554" s="81"/>
      <c r="G1554" s="81"/>
      <c r="H1554" s="81"/>
      <c r="I1554" s="81"/>
      <c r="J1554" s="81"/>
      <c r="K1554" s="81"/>
      <c r="L1554" s="81"/>
      <c r="M1554" s="81"/>
      <c r="N1554" s="81"/>
      <c r="O1554" s="81"/>
      <c r="P1554" s="81"/>
      <c r="Q1554" s="81"/>
      <c r="R1554" s="81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81"/>
      <c r="E1558" s="81"/>
      <c r="F1558" s="81"/>
      <c r="G1558" s="81"/>
      <c r="H1558" s="81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81"/>
      <c r="E1562" s="81"/>
      <c r="F1562" s="81"/>
      <c r="G1562" s="81"/>
      <c r="H1562" s="81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81"/>
      <c r="E1566" s="81"/>
      <c r="F1566" s="81"/>
      <c r="G1566" s="81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81"/>
      <c r="E1570" s="81"/>
      <c r="F1570" s="81"/>
      <c r="G1570" s="81"/>
      <c r="H1570" s="81"/>
      <c r="I1570" s="81"/>
      <c r="J1570" s="81"/>
      <c r="K1570" s="81"/>
      <c r="L1570" s="81"/>
      <c r="M1570" s="81"/>
      <c r="N1570" s="81"/>
      <c r="O1570" s="81"/>
      <c r="P1570" s="81"/>
      <c r="Q1570" s="81"/>
      <c r="R1570" s="81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81"/>
      <c r="E1574" s="81"/>
      <c r="F1574" s="81"/>
      <c r="G1574" s="81"/>
      <c r="H1574" s="81"/>
      <c r="I1574" s="81"/>
      <c r="J1574" s="81"/>
      <c r="K1574" s="81"/>
      <c r="L1574" s="81"/>
      <c r="M1574" s="81"/>
      <c r="N1574" s="81"/>
      <c r="O1574" s="81"/>
      <c r="P1574" s="81"/>
      <c r="Q1574" s="81"/>
      <c r="R1574" s="81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81"/>
      <c r="E1578" s="81"/>
      <c r="F1578" s="81"/>
      <c r="G1578" s="81"/>
      <c r="H1578" s="81"/>
      <c r="I1578" s="81"/>
      <c r="J1578" s="81"/>
      <c r="K1578" s="81"/>
      <c r="L1578" s="81"/>
      <c r="M1578" s="81"/>
      <c r="N1578" s="81"/>
      <c r="O1578" s="81"/>
      <c r="P1578" s="81"/>
      <c r="Q1578" s="81"/>
      <c r="R1578" s="81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81"/>
      <c r="E1582" s="81"/>
      <c r="F1582" s="81"/>
      <c r="G1582" s="81"/>
      <c r="H1582" s="81"/>
      <c r="I1582" s="81"/>
      <c r="J1582" s="81"/>
      <c r="K1582" s="81"/>
      <c r="L1582" s="81"/>
      <c r="M1582" s="81"/>
      <c r="N1582" s="81"/>
      <c r="O1582" s="81"/>
      <c r="P1582" s="81"/>
      <c r="Q1582" s="81"/>
      <c r="R1582" s="81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81"/>
      <c r="E1586" s="81"/>
      <c r="F1586" s="81"/>
      <c r="G1586" s="81"/>
      <c r="H1586" s="81"/>
      <c r="I1586" s="81"/>
      <c r="J1586" s="81"/>
      <c r="K1586" s="81"/>
      <c r="L1586" s="81"/>
      <c r="M1586" s="81"/>
      <c r="N1586" s="81"/>
      <c r="O1586" s="81"/>
      <c r="P1586" s="81"/>
      <c r="Q1586" s="81"/>
      <c r="R1586" s="81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81"/>
      <c r="E1590" s="81"/>
      <c r="F1590" s="81"/>
      <c r="G1590" s="81"/>
      <c r="H1590" s="81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81"/>
      <c r="E1594" s="81"/>
      <c r="F1594" s="81"/>
      <c r="G1594" s="81"/>
      <c r="H1594" s="81"/>
      <c r="I1594" s="81"/>
      <c r="J1594" s="81"/>
      <c r="K1594" s="81"/>
      <c r="L1594" s="81"/>
      <c r="M1594" s="81"/>
      <c r="N1594" s="81"/>
      <c r="O1594" s="81"/>
      <c r="P1594" s="81"/>
      <c r="Q1594" s="81"/>
      <c r="R1594" s="81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81"/>
      <c r="E1598" s="81"/>
      <c r="F1598" s="81"/>
      <c r="G1598" s="81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81"/>
      <c r="E1602" s="81"/>
      <c r="F1602" s="81"/>
      <c r="G1602" s="81"/>
      <c r="H1602" s="81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81"/>
      <c r="E1606" s="81"/>
      <c r="F1606" s="81"/>
      <c r="G1606" s="81"/>
      <c r="H1606" s="81"/>
      <c r="I1606" s="81"/>
      <c r="J1606" s="81"/>
      <c r="K1606" s="81"/>
      <c r="L1606" s="81"/>
      <c r="M1606" s="81"/>
      <c r="N1606" s="81"/>
      <c r="O1606" s="81"/>
      <c r="P1606" s="81"/>
      <c r="Q1606" s="81"/>
      <c r="R1606" s="81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81"/>
      <c r="E1610" s="81"/>
      <c r="F1610" s="81"/>
      <c r="G1610" s="81"/>
      <c r="H1610" s="81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81"/>
      <c r="E1614" s="81"/>
      <c r="F1614" s="81"/>
      <c r="G1614" s="81"/>
      <c r="H1614" s="81"/>
      <c r="I1614" s="81"/>
      <c r="J1614" s="81"/>
      <c r="K1614" s="81"/>
      <c r="L1614" s="81"/>
      <c r="M1614" s="81"/>
      <c r="N1614" s="81"/>
      <c r="O1614" s="81"/>
      <c r="P1614" s="81"/>
      <c r="Q1614" s="81"/>
      <c r="R1614" s="81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81"/>
      <c r="E1618" s="81"/>
      <c r="F1618" s="81"/>
      <c r="G1618" s="81"/>
      <c r="H1618" s="81"/>
      <c r="I1618" s="81"/>
      <c r="J1618" s="81"/>
      <c r="K1618" s="81"/>
      <c r="L1618" s="81"/>
      <c r="M1618" s="81"/>
      <c r="N1618" s="81"/>
      <c r="O1618" s="81"/>
      <c r="P1618" s="81"/>
      <c r="Q1618" s="81"/>
      <c r="R1618" s="81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81"/>
      <c r="E1622" s="81"/>
      <c r="F1622" s="81"/>
      <c r="G1622" s="81"/>
      <c r="H1622" s="81"/>
      <c r="I1622" s="81"/>
      <c r="J1622" s="81"/>
      <c r="K1622" s="81"/>
      <c r="L1622" s="81"/>
      <c r="M1622" s="81"/>
      <c r="N1622" s="81"/>
      <c r="O1622" s="81"/>
      <c r="P1622" s="81"/>
      <c r="Q1622" s="81"/>
      <c r="R1622" s="81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81"/>
      <c r="E1626" s="81"/>
      <c r="F1626" s="81"/>
      <c r="G1626" s="81"/>
      <c r="H1626" s="81"/>
      <c r="I1626" s="81"/>
      <c r="J1626" s="81"/>
      <c r="K1626" s="81"/>
      <c r="L1626" s="81"/>
      <c r="M1626" s="81"/>
      <c r="N1626" s="81"/>
      <c r="O1626" s="81"/>
      <c r="P1626" s="81"/>
      <c r="Q1626" s="81"/>
      <c r="R1626" s="81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81"/>
      <c r="E1630" s="81"/>
      <c r="F1630" s="81"/>
      <c r="G1630" s="81"/>
      <c r="H1630" s="81"/>
      <c r="I1630" s="81"/>
      <c r="J1630" s="81"/>
      <c r="K1630" s="81"/>
      <c r="L1630" s="81"/>
      <c r="M1630" s="81"/>
      <c r="N1630" s="81"/>
      <c r="O1630" s="81"/>
      <c r="P1630" s="81"/>
      <c r="Q1630" s="81"/>
      <c r="R1630" s="81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81"/>
      <c r="E1634" s="81"/>
      <c r="F1634" s="81"/>
      <c r="G1634" s="81"/>
      <c r="H1634" s="81"/>
      <c r="I1634" s="81"/>
      <c r="J1634" s="81"/>
      <c r="K1634" s="81"/>
      <c r="L1634" s="81"/>
      <c r="M1634" s="81"/>
      <c r="N1634" s="81"/>
      <c r="O1634" s="81"/>
      <c r="P1634" s="81"/>
      <c r="Q1634" s="81"/>
      <c r="R1634" s="81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81"/>
      <c r="E1638" s="81"/>
      <c r="F1638" s="81"/>
      <c r="G1638" s="81"/>
      <c r="H1638" s="81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81"/>
      <c r="E1642" s="81"/>
      <c r="F1642" s="81"/>
      <c r="G1642" s="81"/>
      <c r="H1642" s="81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81"/>
      <c r="E1646" s="81"/>
      <c r="F1646" s="81"/>
      <c r="G1646" s="81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1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81"/>
      <c r="E1650" s="81"/>
      <c r="F1650" s="81"/>
      <c r="G1650" s="81"/>
      <c r="H1650" s="81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81"/>
      <c r="E1654" s="81"/>
      <c r="F1654" s="81"/>
      <c r="G1654" s="81"/>
      <c r="H1654" s="81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81"/>
      <c r="E1658" s="81"/>
      <c r="F1658" s="81"/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81"/>
      <c r="E1662" s="81"/>
      <c r="F1662" s="81"/>
      <c r="G1662" s="81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81"/>
      <c r="E1666" s="81"/>
      <c r="F1666" s="81"/>
      <c r="G1666" s="81"/>
      <c r="H1666" s="81"/>
      <c r="I1666" s="81"/>
      <c r="J1666" s="81"/>
      <c r="K1666" s="81"/>
      <c r="L1666" s="81"/>
      <c r="M1666" s="81"/>
      <c r="N1666" s="81"/>
      <c r="O1666" s="81"/>
      <c r="P1666" s="81"/>
      <c r="Q1666" s="81"/>
      <c r="R1666" s="81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81"/>
      <c r="E1670" s="81"/>
      <c r="F1670" s="81"/>
      <c r="G1670" s="81"/>
      <c r="H1670" s="81"/>
      <c r="I1670" s="81"/>
      <c r="J1670" s="81"/>
      <c r="K1670" s="81"/>
      <c r="L1670" s="81"/>
      <c r="M1670" s="81"/>
      <c r="N1670" s="81"/>
      <c r="O1670" s="81"/>
      <c r="P1670" s="81"/>
      <c r="Q1670" s="81"/>
      <c r="R1670" s="81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81"/>
      <c r="E1674" s="81"/>
      <c r="F1674" s="81"/>
      <c r="G1674" s="81"/>
      <c r="H1674" s="81"/>
      <c r="I1674" s="81"/>
      <c r="J1674" s="81"/>
      <c r="K1674" s="81"/>
      <c r="L1674" s="81"/>
      <c r="M1674" s="81"/>
      <c r="N1674" s="81"/>
      <c r="O1674" s="81"/>
      <c r="P1674" s="81"/>
      <c r="Q1674" s="81"/>
      <c r="R1674" s="81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81"/>
      <c r="E1678" s="81"/>
      <c r="F1678" s="81"/>
      <c r="G1678" s="81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81"/>
      <c r="E1682" s="81"/>
      <c r="F1682" s="81"/>
      <c r="G1682" s="81"/>
      <c r="H1682" s="81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81"/>
      <c r="E1686" s="81"/>
      <c r="F1686" s="81"/>
      <c r="G1686" s="81"/>
      <c r="H1686" s="81"/>
      <c r="I1686" s="81"/>
      <c r="J1686" s="81"/>
      <c r="K1686" s="81"/>
      <c r="L1686" s="81"/>
      <c r="M1686" s="81"/>
      <c r="N1686" s="81"/>
      <c r="O1686" s="81"/>
      <c r="P1686" s="81"/>
      <c r="Q1686" s="81"/>
      <c r="R1686" s="81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81"/>
      <c r="E1690" s="81"/>
      <c r="F1690" s="81"/>
      <c r="G1690" s="81"/>
      <c r="H1690" s="81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81"/>
      <c r="E1694" s="81"/>
      <c r="F1694" s="81"/>
      <c r="G1694" s="81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1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81"/>
      <c r="E1698" s="81"/>
      <c r="F1698" s="81"/>
      <c r="G1698" s="81"/>
      <c r="H1698" s="81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81"/>
      <c r="E1702" s="81"/>
      <c r="F1702" s="81"/>
      <c r="G1702" s="81"/>
      <c r="H1702" s="81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81"/>
      <c r="E1706" s="81"/>
      <c r="F1706" s="81"/>
      <c r="G1706" s="81"/>
      <c r="H1706" s="81"/>
      <c r="I1706" s="81"/>
      <c r="J1706" s="81"/>
      <c r="K1706" s="81"/>
      <c r="L1706" s="81"/>
      <c r="M1706" s="81"/>
      <c r="N1706" s="81"/>
      <c r="O1706" s="81"/>
      <c r="P1706" s="81"/>
      <c r="Q1706" s="81"/>
      <c r="R1706" s="81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81"/>
      <c r="E1710" s="81"/>
      <c r="F1710" s="81"/>
      <c r="G1710" s="81"/>
      <c r="H1710" s="81"/>
      <c r="I1710" s="81"/>
      <c r="J1710" s="81"/>
      <c r="K1710" s="81"/>
      <c r="L1710" s="81"/>
      <c r="M1710" s="81"/>
      <c r="N1710" s="81"/>
      <c r="O1710" s="81"/>
      <c r="P1710" s="81"/>
      <c r="Q1710" s="81"/>
      <c r="R1710" s="81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81"/>
      <c r="E1714" s="81"/>
      <c r="F1714" s="81"/>
      <c r="G1714" s="81"/>
      <c r="H1714" s="81"/>
      <c r="I1714" s="81"/>
      <c r="J1714" s="81"/>
      <c r="K1714" s="81"/>
      <c r="L1714" s="81"/>
      <c r="M1714" s="81"/>
      <c r="N1714" s="81"/>
      <c r="O1714" s="81"/>
      <c r="P1714" s="81"/>
      <c r="Q1714" s="81"/>
      <c r="R1714" s="81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81"/>
      <c r="E1718" s="81"/>
      <c r="F1718" s="81"/>
      <c r="G1718" s="81"/>
      <c r="H1718" s="81"/>
      <c r="I1718" s="81"/>
      <c r="J1718" s="81"/>
      <c r="K1718" s="81"/>
      <c r="L1718" s="81"/>
      <c r="M1718" s="81"/>
      <c r="N1718" s="81"/>
      <c r="O1718" s="81"/>
      <c r="P1718" s="81"/>
      <c r="Q1718" s="81"/>
      <c r="R1718" s="81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81"/>
      <c r="E1722" s="81"/>
      <c r="F1722" s="81"/>
      <c r="G1722" s="81"/>
      <c r="H1722" s="81"/>
      <c r="I1722" s="81"/>
      <c r="J1722" s="81"/>
      <c r="K1722" s="81"/>
      <c r="L1722" s="81"/>
      <c r="M1722" s="81"/>
      <c r="N1722" s="81"/>
      <c r="O1722" s="81"/>
      <c r="P1722" s="81"/>
      <c r="Q1722" s="81"/>
      <c r="R1722" s="81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81"/>
      <c r="E1726" s="81"/>
      <c r="F1726" s="81"/>
      <c r="G1726" s="81"/>
      <c r="H1726" s="81"/>
      <c r="I1726" s="81"/>
      <c r="J1726" s="81"/>
      <c r="K1726" s="81"/>
      <c r="L1726" s="81"/>
      <c r="M1726" s="81"/>
      <c r="N1726" s="81"/>
      <c r="O1726" s="81"/>
      <c r="P1726" s="81"/>
      <c r="Q1726" s="81"/>
      <c r="R1726" s="81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81"/>
      <c r="E1730" s="81"/>
      <c r="F1730" s="81"/>
      <c r="G1730" s="81"/>
      <c r="H1730" s="81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81"/>
      <c r="E1734" s="81"/>
      <c r="F1734" s="81"/>
      <c r="G1734" s="81"/>
      <c r="H1734" s="81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81"/>
      <c r="E1738" s="81"/>
      <c r="F1738" s="81"/>
      <c r="G1738" s="81"/>
      <c r="H1738" s="81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81"/>
      <c r="E1742" s="81"/>
      <c r="F1742" s="81"/>
      <c r="G1742" s="81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81"/>
      <c r="E1746" s="81"/>
      <c r="F1746" s="81"/>
      <c r="G1746" s="81"/>
      <c r="H1746" s="81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81"/>
      <c r="E1750" s="81"/>
      <c r="F1750" s="81"/>
      <c r="G1750" s="81"/>
      <c r="H1750" s="81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81"/>
      <c r="E1754" s="81"/>
      <c r="F1754" s="81"/>
      <c r="G1754" s="81"/>
      <c r="H1754" s="81"/>
      <c r="I1754" s="81"/>
      <c r="J1754" s="81"/>
      <c r="K1754" s="81"/>
      <c r="L1754" s="81"/>
      <c r="M1754" s="81"/>
      <c r="N1754" s="81"/>
      <c r="O1754" s="81"/>
      <c r="P1754" s="81"/>
      <c r="Q1754" s="81"/>
      <c r="R1754" s="81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81"/>
      <c r="E1758" s="81"/>
      <c r="F1758" s="81"/>
      <c r="G1758" s="81"/>
      <c r="H1758" s="81"/>
      <c r="I1758" s="81"/>
      <c r="J1758" s="81"/>
      <c r="K1758" s="81"/>
      <c r="L1758" s="81"/>
      <c r="M1758" s="81"/>
      <c r="N1758" s="81"/>
      <c r="O1758" s="81"/>
      <c r="P1758" s="81"/>
      <c r="Q1758" s="81"/>
      <c r="R1758" s="81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81"/>
      <c r="E1762" s="81"/>
      <c r="F1762" s="81"/>
      <c r="G1762" s="81"/>
      <c r="H1762" s="81"/>
      <c r="I1762" s="81"/>
      <c r="J1762" s="81"/>
      <c r="K1762" s="81"/>
      <c r="L1762" s="81"/>
      <c r="M1762" s="81"/>
      <c r="N1762" s="81"/>
      <c r="O1762" s="81"/>
      <c r="P1762" s="81"/>
      <c r="Q1762" s="81"/>
      <c r="R1762" s="81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81"/>
      <c r="E1766" s="81"/>
      <c r="F1766" s="81"/>
      <c r="G1766" s="81"/>
      <c r="H1766" s="81"/>
      <c r="I1766" s="81"/>
      <c r="J1766" s="81"/>
      <c r="K1766" s="81"/>
      <c r="L1766" s="81"/>
      <c r="M1766" s="81"/>
      <c r="N1766" s="81"/>
      <c r="O1766" s="81"/>
      <c r="P1766" s="81"/>
      <c r="Q1766" s="81"/>
      <c r="R1766" s="81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81"/>
      <c r="E1770" s="81"/>
      <c r="F1770" s="81"/>
      <c r="G1770" s="81"/>
      <c r="H1770" s="81"/>
      <c r="I1770" s="81"/>
      <c r="J1770" s="81"/>
      <c r="K1770" s="81"/>
      <c r="L1770" s="81"/>
      <c r="M1770" s="81"/>
      <c r="N1770" s="81"/>
      <c r="O1770" s="81"/>
      <c r="P1770" s="81"/>
      <c r="Q1770" s="81"/>
      <c r="R1770" s="81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81"/>
      <c r="E1774" s="81"/>
      <c r="F1774" s="81"/>
      <c r="G1774" s="81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81"/>
      <c r="E1778" s="81"/>
      <c r="F1778" s="81"/>
      <c r="G1778" s="81"/>
      <c r="H1778" s="81"/>
      <c r="I1778" s="81"/>
      <c r="J1778" s="81"/>
      <c r="K1778" s="81"/>
      <c r="L1778" s="81"/>
      <c r="M1778" s="81"/>
      <c r="N1778" s="81"/>
      <c r="O1778" s="81"/>
      <c r="P1778" s="81"/>
      <c r="Q1778" s="81"/>
      <c r="R1778" s="81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81"/>
      <c r="E1782" s="81"/>
      <c r="F1782" s="81"/>
      <c r="G1782" s="81"/>
      <c r="H1782" s="81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81"/>
      <c r="E1786" s="81"/>
      <c r="F1786" s="81"/>
      <c r="G1786" s="81"/>
      <c r="H1786" s="81"/>
      <c r="I1786" s="81"/>
      <c r="J1786" s="81"/>
      <c r="K1786" s="81"/>
      <c r="L1786" s="81"/>
      <c r="M1786" s="81"/>
      <c r="N1786" s="81"/>
      <c r="O1786" s="81"/>
      <c r="P1786" s="81"/>
      <c r="Q1786" s="81"/>
      <c r="R1786" s="81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81"/>
      <c r="E1790" s="81"/>
      <c r="F1790" s="81"/>
      <c r="G1790" s="81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81"/>
      <c r="E1794" s="81"/>
      <c r="F1794" s="81"/>
      <c r="G1794" s="81"/>
      <c r="H1794" s="81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81"/>
      <c r="E1798" s="81"/>
      <c r="F1798" s="81"/>
      <c r="G1798" s="81"/>
      <c r="H1798" s="81"/>
      <c r="I1798" s="81"/>
      <c r="J1798" s="81"/>
      <c r="K1798" s="81"/>
      <c r="L1798" s="81"/>
      <c r="M1798" s="81"/>
      <c r="N1798" s="81"/>
      <c r="O1798" s="81"/>
      <c r="P1798" s="81"/>
      <c r="Q1798" s="81"/>
      <c r="R1798" s="81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81"/>
      <c r="E1802" s="81"/>
      <c r="F1802" s="81"/>
      <c r="G1802" s="81"/>
      <c r="H1802" s="81"/>
      <c r="I1802" s="81"/>
      <c r="J1802" s="81"/>
      <c r="K1802" s="81"/>
      <c r="L1802" s="81"/>
      <c r="M1802" s="81"/>
      <c r="N1802" s="81"/>
      <c r="O1802" s="81"/>
      <c r="P1802" s="81"/>
      <c r="Q1802" s="81"/>
      <c r="R1802" s="81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81"/>
      <c r="E1806" s="81"/>
      <c r="F1806" s="81"/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81"/>
      <c r="E1810" s="81"/>
      <c r="F1810" s="81"/>
      <c r="G1810" s="81"/>
      <c r="H1810" s="81"/>
      <c r="I1810" s="81"/>
      <c r="J1810" s="81"/>
      <c r="K1810" s="81"/>
      <c r="L1810" s="81"/>
      <c r="M1810" s="81"/>
      <c r="N1810" s="81"/>
      <c r="O1810" s="81"/>
      <c r="P1810" s="81"/>
      <c r="Q1810" s="81"/>
      <c r="R1810" s="81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81"/>
      <c r="E1814" s="81"/>
      <c r="F1814" s="81"/>
      <c r="G1814" s="81"/>
      <c r="H1814" s="81"/>
      <c r="I1814" s="81"/>
      <c r="J1814" s="81"/>
      <c r="K1814" s="81"/>
      <c r="L1814" s="81"/>
      <c r="M1814" s="81"/>
      <c r="N1814" s="81"/>
      <c r="O1814" s="81"/>
      <c r="P1814" s="81"/>
      <c r="Q1814" s="81"/>
      <c r="R1814" s="81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81"/>
      <c r="E1818" s="81"/>
      <c r="F1818" s="81"/>
      <c r="G1818" s="81"/>
      <c r="H1818" s="81"/>
      <c r="I1818" s="81"/>
      <c r="J1818" s="81"/>
      <c r="K1818" s="81"/>
      <c r="L1818" s="81"/>
      <c r="M1818" s="81"/>
      <c r="N1818" s="81"/>
      <c r="O1818" s="81"/>
      <c r="P1818" s="81"/>
      <c r="Q1818" s="81"/>
      <c r="R1818" s="81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81"/>
      <c r="E1822" s="81"/>
      <c r="F1822" s="81"/>
      <c r="G1822" s="81"/>
      <c r="H1822" s="81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81"/>
      <c r="E1826" s="81"/>
      <c r="F1826" s="81"/>
      <c r="G1826" s="81"/>
      <c r="H1826" s="81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81"/>
      <c r="E1830" s="81"/>
      <c r="F1830" s="81"/>
      <c r="G1830" s="81"/>
      <c r="H1830" s="81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81"/>
      <c r="E1834" s="81"/>
      <c r="F1834" s="81"/>
      <c r="G1834" s="81"/>
      <c r="H1834" s="81"/>
      <c r="I1834" s="81"/>
      <c r="J1834" s="81"/>
      <c r="K1834" s="81"/>
      <c r="L1834" s="81"/>
      <c r="M1834" s="81"/>
      <c r="N1834" s="81"/>
      <c r="O1834" s="81"/>
      <c r="P1834" s="81"/>
      <c r="Q1834" s="81"/>
      <c r="R1834" s="81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81"/>
      <c r="E1838" s="81"/>
      <c r="F1838" s="81"/>
      <c r="G1838" s="81"/>
      <c r="H1838" s="81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81"/>
      <c r="E1842" s="81"/>
      <c r="F1842" s="81"/>
      <c r="G1842" s="81"/>
      <c r="H1842" s="81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81"/>
      <c r="E1846" s="81"/>
      <c r="F1846" s="81"/>
      <c r="G1846" s="81"/>
      <c r="H1846" s="81"/>
      <c r="I1846" s="81"/>
      <c r="J1846" s="81"/>
      <c r="K1846" s="81"/>
      <c r="L1846" s="81"/>
      <c r="M1846" s="81"/>
      <c r="N1846" s="81"/>
      <c r="O1846" s="81"/>
      <c r="P1846" s="81"/>
      <c r="Q1846" s="81"/>
      <c r="R1846" s="81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81"/>
      <c r="E1850" s="81"/>
      <c r="F1850" s="81"/>
      <c r="G1850" s="81"/>
      <c r="H1850" s="81"/>
      <c r="I1850" s="81"/>
      <c r="J1850" s="81"/>
      <c r="K1850" s="81"/>
      <c r="L1850" s="81"/>
      <c r="M1850" s="81"/>
      <c r="N1850" s="81"/>
      <c r="O1850" s="81"/>
      <c r="P1850" s="81"/>
      <c r="Q1850" s="81"/>
      <c r="R1850" s="81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81"/>
      <c r="E1854" s="81"/>
      <c r="F1854" s="81"/>
      <c r="G1854" s="81"/>
      <c r="H1854" s="81"/>
      <c r="I1854" s="81"/>
      <c r="J1854" s="81"/>
      <c r="K1854" s="81"/>
      <c r="L1854" s="81"/>
      <c r="M1854" s="81"/>
      <c r="N1854" s="81"/>
      <c r="O1854" s="81"/>
      <c r="P1854" s="81"/>
      <c r="Q1854" s="81"/>
      <c r="R1854" s="81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81"/>
      <c r="E1858" s="81"/>
      <c r="F1858" s="81"/>
      <c r="G1858" s="81"/>
      <c r="H1858" s="81"/>
      <c r="I1858" s="81"/>
      <c r="J1858" s="81"/>
      <c r="K1858" s="81"/>
      <c r="L1858" s="81"/>
      <c r="M1858" s="81"/>
      <c r="N1858" s="81"/>
      <c r="O1858" s="81"/>
      <c r="P1858" s="81"/>
      <c r="Q1858" s="81"/>
      <c r="R1858" s="81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81"/>
      <c r="E1862" s="81"/>
      <c r="F1862" s="81"/>
      <c r="G1862" s="81"/>
      <c r="H1862" s="81"/>
      <c r="I1862" s="81"/>
      <c r="J1862" s="81"/>
      <c r="K1862" s="81"/>
      <c r="L1862" s="81"/>
      <c r="M1862" s="81"/>
      <c r="N1862" s="81"/>
      <c r="O1862" s="81"/>
      <c r="P1862" s="81"/>
      <c r="Q1862" s="81"/>
      <c r="R1862" s="81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81"/>
      <c r="E1890" s="81"/>
      <c r="F1890" s="81"/>
      <c r="G1890" s="81"/>
      <c r="H1890" s="81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81"/>
      <c r="E1894" s="81"/>
      <c r="F1894" s="81"/>
      <c r="G1894" s="81"/>
      <c r="H1894" s="81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81"/>
      <c r="E1898" s="81"/>
      <c r="F1898" s="81"/>
      <c r="G1898" s="81"/>
      <c r="H1898" s="81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81"/>
      <c r="E1902" s="81"/>
      <c r="F1902" s="81"/>
      <c r="G1902" s="81"/>
      <c r="H1902" s="81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81"/>
      <c r="E1906" s="81"/>
      <c r="F1906" s="81"/>
      <c r="G1906" s="81"/>
      <c r="H1906" s="81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81"/>
      <c r="E1910" s="81"/>
      <c r="F1910" s="81"/>
      <c r="G1910" s="81"/>
      <c r="H1910" s="81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81"/>
      <c r="E1938" s="81"/>
      <c r="F1938" s="81"/>
      <c r="G1938" s="81"/>
      <c r="H1938" s="81"/>
      <c r="I1938" s="81"/>
      <c r="J1938" s="81"/>
      <c r="K1938" s="81"/>
      <c r="L1938" s="81"/>
      <c r="M1938" s="81"/>
      <c r="N1938" s="81"/>
      <c r="O1938" s="81"/>
      <c r="P1938" s="81"/>
      <c r="Q1938" s="81"/>
      <c r="R1938" s="81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81"/>
      <c r="E1942" s="81"/>
      <c r="F1942" s="81"/>
      <c r="G1942" s="81"/>
      <c r="H1942" s="81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81"/>
      <c r="E1946" s="81"/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81"/>
      <c r="E1950" s="81"/>
      <c r="F1950" s="81"/>
      <c r="G1950" s="81"/>
      <c r="H1950" s="81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81"/>
      <c r="E1954" s="81"/>
      <c r="F1954" s="81"/>
      <c r="G1954" s="81"/>
      <c r="H1954" s="81"/>
      <c r="I1954" s="81"/>
      <c r="J1954" s="81"/>
      <c r="K1954" s="81"/>
      <c r="L1954" s="81"/>
      <c r="M1954" s="81"/>
      <c r="N1954" s="81"/>
      <c r="O1954" s="81"/>
      <c r="P1954" s="81"/>
      <c r="Q1954" s="81"/>
      <c r="R1954" s="81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81"/>
      <c r="Q1986" s="81"/>
      <c r="R1986" s="81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81"/>
      <c r="Q1990" s="81"/>
      <c r="R1990" s="81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81"/>
      <c r="Q1994" s="81"/>
      <c r="R1994" s="81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81"/>
      <c r="Q1998" s="81"/>
      <c r="R1998" s="81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9C83-244B-450E-989F-5E05F3CCE6DE}">
  <dimension ref="A1:T9"/>
  <sheetViews>
    <sheetView workbookViewId="0">
      <selection activeCell="S1" sqref="S1:T1048576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114</v>
      </c>
      <c r="G1" s="67"/>
      <c r="H1" s="67"/>
      <c r="I1" s="67"/>
      <c r="J1" s="67"/>
      <c r="K1" s="67"/>
      <c r="L1" s="61"/>
      <c r="M1" s="61"/>
      <c r="N1" s="61" t="s">
        <v>115</v>
      </c>
      <c r="O1" s="61"/>
      <c r="P1" s="61"/>
    </row>
    <row r="3" spans="1:20" ht="60">
      <c r="A3" s="58" t="s">
        <v>116</v>
      </c>
      <c r="B3" s="58" t="s">
        <v>117</v>
      </c>
      <c r="C3" s="58" t="s">
        <v>118</v>
      </c>
      <c r="D3" s="63" t="s">
        <v>119</v>
      </c>
      <c r="E3" s="63" t="s">
        <v>120</v>
      </c>
      <c r="F3" s="62" t="s">
        <v>121</v>
      </c>
      <c r="G3" s="62" t="s">
        <v>122</v>
      </c>
      <c r="H3" s="62" t="s">
        <v>53</v>
      </c>
      <c r="I3" s="62" t="s">
        <v>123</v>
      </c>
      <c r="J3" s="62" t="s">
        <v>124</v>
      </c>
      <c r="K3" s="62" t="s">
        <v>125</v>
      </c>
      <c r="L3" s="64" t="s">
        <v>126</v>
      </c>
      <c r="M3" s="61" t="s">
        <v>53</v>
      </c>
      <c r="N3" s="61" t="s">
        <v>123</v>
      </c>
      <c r="O3" s="61" t="s">
        <v>124</v>
      </c>
      <c r="P3" s="61" t="s">
        <v>125</v>
      </c>
      <c r="Q3" s="78" t="s">
        <v>56</v>
      </c>
      <c r="R3" s="78" t="s">
        <v>127</v>
      </c>
      <c r="T3" s="78" t="s">
        <v>242</v>
      </c>
    </row>
    <row r="4" spans="1:20" ht="69">
      <c r="A4" s="59">
        <v>1</v>
      </c>
      <c r="B4" s="69" t="s">
        <v>128</v>
      </c>
      <c r="C4" s="71" t="s">
        <v>129</v>
      </c>
      <c r="D4" s="72">
        <v>20</v>
      </c>
      <c r="E4" s="72">
        <v>25</v>
      </c>
      <c r="F4" s="73">
        <v>0</v>
      </c>
      <c r="G4" s="74">
        <v>25000</v>
      </c>
      <c r="H4" s="75" t="s">
        <v>130</v>
      </c>
      <c r="I4" s="75" t="s">
        <v>130</v>
      </c>
      <c r="J4" s="75" t="s">
        <v>131</v>
      </c>
      <c r="K4" s="75" t="s">
        <v>132</v>
      </c>
      <c r="L4" s="66">
        <v>20000</v>
      </c>
      <c r="M4" s="66" t="s">
        <v>130</v>
      </c>
      <c r="N4" s="66" t="s">
        <v>130</v>
      </c>
      <c r="O4" s="66" t="s">
        <v>133</v>
      </c>
      <c r="P4" s="66" t="s">
        <v>132</v>
      </c>
      <c r="Q4" s="57" t="s">
        <v>134</v>
      </c>
      <c r="R4" s="82" t="s">
        <v>135</v>
      </c>
      <c r="T4" s="56" t="str">
        <f xml:space="preserve"> _xlfn.CONCAT(Q4, CHAR(10), R4)</f>
        <v>《道德經。第十一章》
Tō tik king. Tē si̍p it tsiong</v>
      </c>
    </row>
    <row r="5" spans="1:20" ht="103.5">
      <c r="A5" s="59">
        <v>2</v>
      </c>
      <c r="B5" s="70" t="s">
        <v>136</v>
      </c>
      <c r="C5" s="71" t="s">
        <v>137</v>
      </c>
      <c r="D5" s="65">
        <v>2</v>
      </c>
      <c r="E5" s="65">
        <v>5</v>
      </c>
      <c r="F5" s="73">
        <v>25000</v>
      </c>
      <c r="G5" s="74">
        <v>30000</v>
      </c>
      <c r="H5" s="75" t="s">
        <v>130</v>
      </c>
      <c r="I5" s="75" t="s">
        <v>130</v>
      </c>
      <c r="J5" s="75" t="s">
        <v>138</v>
      </c>
      <c r="K5" s="75" t="s">
        <v>132</v>
      </c>
      <c r="L5" s="66">
        <v>27000</v>
      </c>
      <c r="M5" s="66" t="s">
        <v>130</v>
      </c>
      <c r="N5" s="66" t="s">
        <v>130</v>
      </c>
      <c r="O5" s="66" t="s">
        <v>139</v>
      </c>
      <c r="P5" s="66" t="s">
        <v>132</v>
      </c>
      <c r="Q5" s="57" t="s">
        <v>173</v>
      </c>
      <c r="R5" s="82" t="s">
        <v>140</v>
      </c>
      <c r="T5" s="56" t="str">
        <f t="shared" ref="T5:T8" si="0" xml:space="preserve"> _xlfn.CONCAT(Q5, CHAR(10), R5)</f>
        <v>三十輻同一轂，當其無，有車之用也。
Sip hok tâng it kok, tong kî bô, íu ku tsi īong ía.</v>
      </c>
    </row>
    <row r="6" spans="1:20" ht="103.5">
      <c r="A6" s="59">
        <v>3</v>
      </c>
      <c r="B6" s="70" t="s">
        <v>141</v>
      </c>
      <c r="C6" s="71" t="s">
        <v>142</v>
      </c>
      <c r="D6" s="65">
        <v>2</v>
      </c>
      <c r="E6" s="65">
        <v>5</v>
      </c>
      <c r="F6" s="73">
        <v>30000</v>
      </c>
      <c r="G6" s="74">
        <v>35000</v>
      </c>
      <c r="H6" s="75" t="s">
        <v>130</v>
      </c>
      <c r="I6" s="75" t="s">
        <v>130</v>
      </c>
      <c r="J6" s="75" t="s">
        <v>143</v>
      </c>
      <c r="K6" s="75" t="s">
        <v>132</v>
      </c>
      <c r="L6" s="66">
        <v>32000</v>
      </c>
      <c r="M6" s="66" t="s">
        <v>130</v>
      </c>
      <c r="N6" s="66" t="s">
        <v>130</v>
      </c>
      <c r="O6" s="66" t="s">
        <v>144</v>
      </c>
      <c r="P6" s="66" t="s">
        <v>132</v>
      </c>
      <c r="Q6" s="57" t="s">
        <v>145</v>
      </c>
      <c r="R6" s="82" t="s">
        <v>146</v>
      </c>
      <c r="T6" s="56" t="str">
        <f t="shared" si="0"/>
        <v>埏埴為器，當其無，有埴器之用也。
Îan si̍t ûi khì, tong kî bô, íu si̍t khì tsi īong ía.</v>
      </c>
    </row>
    <row r="7" spans="1:20" ht="103.5">
      <c r="A7" s="59">
        <v>4</v>
      </c>
      <c r="B7" s="70" t="s">
        <v>147</v>
      </c>
      <c r="C7" s="71" t="s">
        <v>148</v>
      </c>
      <c r="D7" s="65">
        <v>2</v>
      </c>
      <c r="E7" s="65">
        <v>5</v>
      </c>
      <c r="F7" s="73">
        <v>35000</v>
      </c>
      <c r="G7" s="74">
        <v>40000</v>
      </c>
      <c r="H7" s="75" t="s">
        <v>130</v>
      </c>
      <c r="I7" s="75" t="s">
        <v>130</v>
      </c>
      <c r="J7" s="75" t="s">
        <v>149</v>
      </c>
      <c r="K7" s="75" t="s">
        <v>132</v>
      </c>
      <c r="L7" s="66">
        <v>37000</v>
      </c>
      <c r="M7" s="66" t="s">
        <v>130</v>
      </c>
      <c r="N7" s="66" t="s">
        <v>130</v>
      </c>
      <c r="O7" s="66" t="s">
        <v>150</v>
      </c>
      <c r="P7" s="66" t="s">
        <v>132</v>
      </c>
      <c r="Q7" s="57" t="s">
        <v>151</v>
      </c>
      <c r="R7" s="82" t="s">
        <v>174</v>
      </c>
      <c r="T7" s="56" t="str">
        <f t="shared" si="0"/>
        <v>鑿戶牖，當其無，有室之用也。
Tsha̍k hōo iú, tong kî bô, íu sik tsi īong ía.</v>
      </c>
    </row>
    <row r="8" spans="1:20" ht="69">
      <c r="A8" s="59">
        <v>5</v>
      </c>
      <c r="B8" s="70" t="s">
        <v>152</v>
      </c>
      <c r="C8" s="71" t="s">
        <v>153</v>
      </c>
      <c r="D8" s="65">
        <v>2</v>
      </c>
      <c r="E8" s="65">
        <v>5</v>
      </c>
      <c r="F8" s="73">
        <v>40000</v>
      </c>
      <c r="G8" s="74">
        <v>45000</v>
      </c>
      <c r="H8" s="75" t="s">
        <v>130</v>
      </c>
      <c r="I8" s="75" t="s">
        <v>130</v>
      </c>
      <c r="J8" s="75" t="s">
        <v>154</v>
      </c>
      <c r="K8" s="75" t="s">
        <v>132</v>
      </c>
      <c r="L8" s="66">
        <v>42000</v>
      </c>
      <c r="M8" s="66" t="s">
        <v>130</v>
      </c>
      <c r="N8" s="66" t="s">
        <v>130</v>
      </c>
      <c r="O8" s="66" t="s">
        <v>155</v>
      </c>
      <c r="P8" s="66" t="s">
        <v>132</v>
      </c>
      <c r="Q8" s="57" t="s">
        <v>156</v>
      </c>
      <c r="R8" s="82" t="s">
        <v>157</v>
      </c>
      <c r="T8" s="56" t="str">
        <f t="shared" si="0"/>
        <v>故有之以為利，無之以為用。
Kòo íu tsi í ûi lī, bô tsi í ûi īong.</v>
      </c>
    </row>
    <row r="9" spans="1:20" ht="24">
      <c r="A9" s="68" t="s">
        <v>158</v>
      </c>
      <c r="B9" s="79" t="s">
        <v>153</v>
      </c>
      <c r="C9" s="71" t="s">
        <v>159</v>
      </c>
      <c r="D9" s="65">
        <v>2</v>
      </c>
      <c r="E9" s="65">
        <v>5</v>
      </c>
      <c r="F9" s="76">
        <v>42000</v>
      </c>
      <c r="G9" s="74">
        <v>47000</v>
      </c>
      <c r="H9" s="77" t="s">
        <v>130</v>
      </c>
      <c r="I9" s="77" t="s">
        <v>130</v>
      </c>
      <c r="J9" s="77" t="s">
        <v>160</v>
      </c>
      <c r="K9" s="77" t="s">
        <v>132</v>
      </c>
      <c r="L9" s="66">
        <v>44000</v>
      </c>
      <c r="M9" s="66" t="s">
        <v>130</v>
      </c>
      <c r="N9" s="66" t="s">
        <v>130</v>
      </c>
      <c r="O9" s="66" t="s">
        <v>161</v>
      </c>
      <c r="P9" s="66" t="s">
        <v>132</v>
      </c>
      <c r="Q9" s="55"/>
      <c r="R9" s="5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22</vt:i4>
      </vt:variant>
    </vt:vector>
  </HeadingPairs>
  <TitlesOfParts>
    <vt:vector size="34" baseType="lpstr">
      <vt:lpstr>env</vt:lpstr>
      <vt:lpstr>操作表</vt:lpstr>
      <vt:lpstr>漢字注音</vt:lpstr>
      <vt:lpstr>缺字表</vt:lpstr>
      <vt:lpstr>標音字庫</vt:lpstr>
      <vt:lpstr>人工標音字庫</vt:lpstr>
      <vt:lpstr>SRT漢字注音</vt:lpstr>
      <vt:lpstr>SRT漢字注音 (2)</vt:lpstr>
      <vt:lpstr>SRT漢字注音（台語注音二式）</vt:lpstr>
      <vt:lpstr>漢字注音（台語注音二式）</vt:lpstr>
      <vt:lpstr>漢字注音（台羅拼音）</vt:lpstr>
      <vt:lpstr>SRT漢字注音（台羅拼音）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'漢字注音（台語注音二式）'!覩9</vt:lpstr>
      <vt:lpstr>'漢字注音（台羅拼音）'!覩9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2026-09-14T08:27:25Z</dcterms:modified>
</cp:coreProperties>
</file>