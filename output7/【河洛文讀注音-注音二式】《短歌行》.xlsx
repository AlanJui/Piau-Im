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47415DA1-72AB-4829-A072-7396A94F87AC}" xr6:coauthVersionLast="47" xr6:coauthVersionMax="47" xr10:uidLastSave="{00000000-0000-0000-0000-000000000000}"/>
  <bookViews>
    <workbookView xWindow="51450" yWindow="1965" windowWidth="15015" windowHeight="13170" activeTab="3" xr2:uid="{25A76161-EFED-4AC8-8EAA-A42737AE1909}"/>
  </bookViews>
  <sheets>
    <sheet name="env" sheetId="8" r:id="rId1"/>
    <sheet name="標音字庫" sheetId="129" r:id="rId2"/>
    <sheet name="缺字表" sheetId="128" r:id="rId3"/>
    <sheet name="漢字注音" sheetId="9" r:id="rId4"/>
    <sheet name="缺字表 (範例)" sheetId="110" r:id="rId5"/>
    <sheet name="標音字庫 (範例)" sheetId="121" r:id="rId6"/>
    <sheet name="漢字注音 (範例)" sheetId="120" r:id="rId7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9" l="1"/>
  <c r="I61" i="9"/>
  <c r="I53" i="9"/>
  <c r="I45" i="9"/>
  <c r="I37" i="9"/>
  <c r="I29" i="9"/>
  <c r="I21" i="9"/>
  <c r="I13" i="9"/>
  <c r="I5" i="9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C11" i="8"/>
  <c r="D11" i="8" s="1"/>
  <c r="A1" i="9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<sst xmlns="http://schemas.openxmlformats.org/spreadsheetml/2006/main" count="3038" uniqueCount="1443">
  <si>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</si>
  <si>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</si>
  <si>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</si>
  <si>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</si>
  <si>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</si>
  <si>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</si>
  <si>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</si>
  <si>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</si>
  <si>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</si>
  <si>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</si>
  <si>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</si>
  <si>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</si>
  <si>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</si>
  <si>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</si>
  <si>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</si>
  <si>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</si>
  <si>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</si>
  <si>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</si>
  <si>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</si>
  <si>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</si>
  <si>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</si>
  <si>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</si>
  <si>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</si>
  <si>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</si>
  <si>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</si>
  <si>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</si>
  <si>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</si>
  <si>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</si>
  <si>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</si>
  <si>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</si>
  <si>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</si>
  <si>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</si>
  <si>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</si>
  <si>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</si>
  <si>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</si>
  <si>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</si>
  <si>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</si>
  <si>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</si>
  <si>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</si>
  <si>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</si>
  <si>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</si>
  <si>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</si>
  <si>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</si>
  <si>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</si>
  <si>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</si>
  <si>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</si>
  <si>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</si>
  <si>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</si>
  <si>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</si>
  <si>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</si>
  <si>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</si>
  <si>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</si>
  <si>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</si>
  <si>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</si>
  <si>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</si>
  <si>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</si>
  <si>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</si>
  <si>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</si>
  <si>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</si>
  <si>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</si>
  <si>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</si>
  <si>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</si>
  <si>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</si>
  <si>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</si>
  <si>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</si>
  <si>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</si>
  <si>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</si>
  <si>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</si>
  <si>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</si>
  <si>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</si>
  <si>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</si>
  <si>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</si>
  <si>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</si>
  <si>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</si>
  <si>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</si>
  <si>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</si>
  <si>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</si>
  <si>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</si>
  <si>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</si>
  <si>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</si>
  <si>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</si>
  <si>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</si>
  <si>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</si>
  <si>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</si>
  <si>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</si>
  <si>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</si>
  <si>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</si>
  <si>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</si>
  <si>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</si>
  <si>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</si>
  <si>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</si>
  <si>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</si>
  <si>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</si>
  <si>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</si>
  <si>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</si>
  <si>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</si>
  <si>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</si>
  <si>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</si>
  <si>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</si>
  <si>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</si>
  <si>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</si>
  <si>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</si>
  <si>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</si>
  <si>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</si>
  <si>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</si>
  <si>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</si>
  <si>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</si>
  <si>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</si>
  <si>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</si>
  <si>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</si>
  <si>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</si>
  <si>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</si>
  <si>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</si>
  <si>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</si>
  <si>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</si>
  <si>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</si>
  <si>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</si>
  <si>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</si>
  <si>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</si>
  <si>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</si>
  <si>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</si>
  <si>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</si>
  <si>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</si>
  <si>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</si>
  <si>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</si>
  <si>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</si>
  <si>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</si>
  <si>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</si>
  <si>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</si>
  <si>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</si>
  <si>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</si>
  <si>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</si>
  <si>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</si>
  <si>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</si>
  <si>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</si>
  <si>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</si>
  <si>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</si>
  <si>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</si>
  <si>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</si>
  <si>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</si>
  <si>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</si>
  <si>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</si>
  <si>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</si>
  <si>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</si>
  <si>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</si>
  <si>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</si>
  <si>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</si>
  <si>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</si>
  <si>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</si>
  <si>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</si>
  <si>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</si>
  <si>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</si>
  <si>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</si>
  <si>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</si>
  <si>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</si>
  <si>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</si>
  <si>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</si>
  <si>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</si>
  <si>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</si>
  <si>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</si>
  <si>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</si>
  <si>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</si>
  <si>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</si>
  <si>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</si>
  <si>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</si>
  <si>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</si>
  <si>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</si>
  <si>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</si>
  <si>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</si>
  <si>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</si>
  <si>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</si>
  <si>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</si>
  <si>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</si>
  <si>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</si>
  <si>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</si>
  <si>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</si>
  <si>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</si>
  <si>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</si>
  <si>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</si>
  <si>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</si>
  <si>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</si>
  <si>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</si>
  <si>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</si>
  <si>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</si>
  <si>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</si>
  <si>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</si>
  <si>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</si>
  <si>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</si>
  <si>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</si>
  <si>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</si>
  <si>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</si>
  <si>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</si>
  <si>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</si>
  <si>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</si>
  <si>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</si>
  <si>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</si>
  <si>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</si>
  <si>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</si>
  <si>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</si>
  <si>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</si>
  <si>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</si>
  <si>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</si>
  <si>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</si>
  <si>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</si>
  <si>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</si>
  <si>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</si>
  <si>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</si>
  <si>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</si>
  <si>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</si>
  <si>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</si>
  <si>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</si>
  <si>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</si>
  <si>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</si>
  <si>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</si>
  <si>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</si>
  <si>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</si>
  <si>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</si>
  <si>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</si>
  <si>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</si>
  <si>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</si>
  <si>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</si>
  <si>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</si>
  <si>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</si>
  <si>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</si>
  <si>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</si>
  <si>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</si>
  <si>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</si>
  <si>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</si>
  <si>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</si>
  <si>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</si>
  <si>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</si>
  <si>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</si>
  <si>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</si>
  <si>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</si>
  <si>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</si>
  <si>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</si>
  <si>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</si>
  <si>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</si>
  <si>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</si>
  <si>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</si>
  <si>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</si>
  <si>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</si>
  <si>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</si>
  <si>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</si>
  <si>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</si>
  <si>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</si>
  <si>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</si>
  <si>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</si>
  <si>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</si>
  <si>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</si>
  <si>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</si>
  <si>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</si>
  <si>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</si>
  <si>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</si>
  <si>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</si>
  <si>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</si>
  <si>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</si>
  <si>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</si>
  <si>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</si>
  <si>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</si>
  <si>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</si>
  <si>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</si>
  <si>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</si>
  <si>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</si>
  <si>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</si>
  <si>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</si>
  <si>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</si>
  <si>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</si>
  <si>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</si>
  <si>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</si>
  <si>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</si>
  <si>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</si>
  <si>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</si>
  <si>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</si>
  <si>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</si>
  <si>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</si>
  <si>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</si>
  <si>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</si>
  <si>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</si>
  <si>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</si>
  <si>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</si>
  <si>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</si>
  <si>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</si>
  <si>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</si>
  <si>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</si>
  <si>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</si>
  <si>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</si>
  <si>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</si>
  <si>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</si>
  <si>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</si>
  <si>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</si>
  <si>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</si>
  <si>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</si>
  <si>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</si>
  <si>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</si>
  <si>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</si>
  <si>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</si>
  <si>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</si>
  <si>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</si>
  <si>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</si>
  <si>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</si>
  <si>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</si>
  <si>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</si>
  <si>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</si>
  <si>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</si>
  <si>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</si>
  <si>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</si>
  <si>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</si>
  <si>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</si>
  <si>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</si>
  <si>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</si>
  <si>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</si>
  <si>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</si>
  <si>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</si>
  <si>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</si>
  <si>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</si>
  <si>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</si>
  <si>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</si>
  <si>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</si>
  <si>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</si>
  <si>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</si>
  <si>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</si>
  <si>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</si>
  <si>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</si>
  <si>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</si>
  <si>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</si>
  <si>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</si>
  <si>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</si>
  <si>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</si>
  <si>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</si>
  <si>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</si>
  <si>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</si>
  <si>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</si>
  <si>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</si>
  <si>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</si>
  <si>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</si>
  <si>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</si>
  <si>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</si>
  <si>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</si>
  <si>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</si>
  <si>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</si>
  <si>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</si>
  <si>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</si>
  <si>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</si>
  <si>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</si>
  <si>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</si>
  <si>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</si>
  <si>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</si>
  <si>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</si>
  <si>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</si>
  <si>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</si>
  <si>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</si>
  <si>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</si>
  <si>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</si>
  <si>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</si>
  <si>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</si>
  <si>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</si>
  <si>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</si>
  <si>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</si>
  <si>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</si>
  <si>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</si>
  <si>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</si>
  <si>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</si>
  <si>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</si>
  <si>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</si>
  <si>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</si>
  <si>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</si>
  <si>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</si>
  <si>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</si>
  <si>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</si>
  <si>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</si>
  <si>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</si>
  <si>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</si>
  <si>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</si>
  <si>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</si>
  <si>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</si>
  <si>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</si>
  <si>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</si>
  <si>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</si>
  <si>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</si>
  <si>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</si>
  <si>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</si>
  <si>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</si>
  <si>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</si>
  <si>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</si>
  <si>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</si>
  <si>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</si>
  <si>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</si>
  <si>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</si>
  <si>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</si>
  <si>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</si>
  <si>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</si>
  <si>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</si>
  <si>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</si>
  <si>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</si>
  <si>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</si>
  <si>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</si>
  <si>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</si>
  <si>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</si>
  <si>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</si>
  <si>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</si>
  <si>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</si>
  <si>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</si>
  <si>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</si>
  <si>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</si>
  <si>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</si>
  <si>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</si>
  <si>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</si>
  <si>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</si>
  <si>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</si>
  <si>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</si>
  <si>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</si>
  <si>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</si>
  <si>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</si>
  <si>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</si>
  <si>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</si>
  <si>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</si>
  <si>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</si>
  <si>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</si>
  <si>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</si>
  <si>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</si>
  <si>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</si>
  <si>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</si>
  <si>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</si>
  <si>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</si>
  <si>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</si>
  <si>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</si>
  <si>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</si>
  <si>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</si>
  <si>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</si>
  <si>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</si>
  <si>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</si>
  <si>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</si>
  <si>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</si>
  <si>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</si>
  <si>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</si>
  <si>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</si>
  <si>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</si>
  <si>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</si>
  <si>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</si>
  <si>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</si>
  <si>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</si>
  <si>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</si>
  <si>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</si>
  <si>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</si>
  <si>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</si>
  <si>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</si>
  <si>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</si>
  <si>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</si>
  <si>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</si>
  <si>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</si>
  <si>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</si>
  <si>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</si>
  <si>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</si>
  <si>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</si>
  <si>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</si>
  <si>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</si>
  <si>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</si>
  <si>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</si>
  <si>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</si>
  <si>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</si>
  <si>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</si>
  <si>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</si>
  <si>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</si>
  <si>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</si>
  <si>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</si>
  <si>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</si>
  <si>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</si>
  <si>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</si>
  <si>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</si>
  <si>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</si>
  <si>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</si>
  <si>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</si>
  <si>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</si>
  <si>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</si>
  <si>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</si>
  <si>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</si>
  <si>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</si>
  <si>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</si>
  <si>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</si>
  <si>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</si>
  <si>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</si>
  <si>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</si>
  <si>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</si>
  <si>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</si>
  <si>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</si>
  <si>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</si>
  <si>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</si>
  <si>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</si>
  <si>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</si>
  <si>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</si>
  <si>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</si>
  <si>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</si>
  <si>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</si>
  <si>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</si>
  <si>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</si>
  <si>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</si>
  <si>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</si>
  <si>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</si>
  <si>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</si>
  <si>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</si>
  <si>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</si>
  <si>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</si>
  <si>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</si>
  <si>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</si>
  <si>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</si>
  <si>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</si>
  <si>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</si>
  <si>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</si>
  <si>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</si>
  <si>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</si>
  <si>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</si>
  <si>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</si>
  <si>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</si>
  <si>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</si>
  <si>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</si>
  <si>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</si>
  <si>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</si>
  <si>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</si>
  <si>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</si>
  <si>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</si>
  <si>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</si>
  <si>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</si>
  <si>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</si>
  <si>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</si>
  <si>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</si>
  <si>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</si>
  <si>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</si>
  <si>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</si>
  <si>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</si>
  <si>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</si>
  <si>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</si>
  <si>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</si>
  <si>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</si>
  <si>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</si>
  <si>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</si>
  <si>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</si>
  <si>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</si>
  <si>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</si>
  <si>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</si>
  <si>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</si>
  <si>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</si>
  <si>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</si>
  <si>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</si>
  <si>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</si>
  <si>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</si>
  <si>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</si>
  <si>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</si>
  <si>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</si>
  <si>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</si>
  <si>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</si>
  <si>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</si>
  <si>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</si>
  <si>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</si>
  <si>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</si>
  <si>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</si>
  <si>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</si>
  <si>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</si>
  <si>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</si>
  <si>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</si>
  <si>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</si>
  <si>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</si>
  <si>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</si>
  <si>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</si>
  <si>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</si>
  <si>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</si>
  <si>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</si>
  <si>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</si>
  <si>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</si>
  <si>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</si>
  <si>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</si>
  <si>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</si>
  <si>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</si>
  <si>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</si>
  <si>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</si>
  <si>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</si>
  <si>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</si>
  <si>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</si>
  <si>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</si>
  <si>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</si>
  <si>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</si>
  <si>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</si>
  <si>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</si>
  <si>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</si>
  <si>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</si>
  <si>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</si>
  <si>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</si>
  <si>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</si>
  <si>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</si>
  <si>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</si>
  <si>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</si>
  <si>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</si>
  <si>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</si>
  <si>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</si>
  <si>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</si>
  <si>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</si>
  <si>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</si>
  <si>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</si>
  <si>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</si>
  <si>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</si>
  <si>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</si>
  <si>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</si>
  <si>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</si>
  <si>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</si>
  <si>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</si>
  <si>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</si>
  <si>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</si>
  <si>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</si>
  <si>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</si>
  <si>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</si>
  <si>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</si>
  <si>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</si>
  <si>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</si>
  <si>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</si>
  <si>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</si>
  <si>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</si>
  <si>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</si>
  <si>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</si>
  <si>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</si>
  <si>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</si>
  <si>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</si>
  <si>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</si>
  <si>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</si>
  <si>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</si>
  <si>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</si>
  <si>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</si>
  <si>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</si>
  <si>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</si>
  <si>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</si>
  <si>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</si>
  <si>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</si>
  <si>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</si>
  <si>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</si>
  <si>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</si>
  <si>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</si>
  <si>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</si>
  <si>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</si>
  <si>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</si>
  <si>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</si>
  <si>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</si>
  <si>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</si>
  <si>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</si>
  <si>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</si>
  <si>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</si>
  <si>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</si>
  <si>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</si>
  <si>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</si>
  <si>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</si>
  <si>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</si>
  <si>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</si>
  <si>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</si>
  <si>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</si>
  <si>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</si>
  <si>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</si>
  <si>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</si>
  <si>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</si>
  <si>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</si>
  <si>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</si>
  <si>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</si>
  <si>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</si>
  <si>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</si>
  <si>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</si>
  <si>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</si>
  <si>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</si>
  <si>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</si>
  <si>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</si>
  <si>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</si>
  <si>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</si>
  <si>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</si>
  <si>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</si>
  <si>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</si>
  <si>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</si>
  <si>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</si>
  <si>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</si>
  <si>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</si>
  <si>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</si>
  <si>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</si>
  <si>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</si>
  <si>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</si>
  <si>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</si>
  <si>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</si>
  <si>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</si>
  <si>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</si>
  <si>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</si>
  <si>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</si>
  <si>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</si>
  <si>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</si>
  <si>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</si>
  <si>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</si>
  <si>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</si>
  <si>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</si>
  <si>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</si>
  <si>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</si>
  <si>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</si>
  <si>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</si>
  <si>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</si>
  <si>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</si>
  <si>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</si>
  <si>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</si>
  <si>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</si>
  <si>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</si>
  <si>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</si>
  <si>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</si>
  <si>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</si>
  <si>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</si>
  <si>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</si>
  <si>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</si>
  <si>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</si>
  <si>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</si>
  <si>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</si>
  <si>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</si>
  <si>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</si>
  <si>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</si>
  <si>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</si>
  <si>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</si>
  <si>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</si>
  <si>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</si>
  <si>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</si>
  <si>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</si>
  <si>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</si>
  <si>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</si>
  <si>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</si>
  <si>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</si>
  <si>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</si>
  <si>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</si>
  <si>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</si>
  <si>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</si>
  <si>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</si>
  <si>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</si>
  <si>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</si>
  <si>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</si>
  <si>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</si>
  <si>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</si>
  <si>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</si>
  <si>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</si>
  <si>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</si>
  <si>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</si>
  <si>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</si>
  <si>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</si>
  <si>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</si>
  <si>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</si>
  <si>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</si>
  <si>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</si>
  <si>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</si>
  <si>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</si>
  <si>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</si>
  <si>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</si>
  <si>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</si>
  <si>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</si>
  <si>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</si>
  <si>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</si>
  <si>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</si>
  <si>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</si>
  <si>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</si>
  <si>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</si>
  <si>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</si>
  <si>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</si>
  <si>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</si>
  <si>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</si>
  <si>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</si>
  <si>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</si>
  <si>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</si>
  <si>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</si>
  <si>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</si>
  <si>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</si>
  <si>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</si>
  <si>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</si>
  <si>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</si>
  <si>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</si>
  <si>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</si>
  <si>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</si>
  <si>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</si>
  <si>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</si>
  <si>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</si>
  <si>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</si>
  <si>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</si>
  <si>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</si>
  <si>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</si>
  <si>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</si>
  <si>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</si>
  <si>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</si>
  <si>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</si>
  <si>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</si>
  <si>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</si>
  <si>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</si>
  <si>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</si>
  <si>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</si>
  <si>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</si>
  <si>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</si>
  <si>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</si>
  <si>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</si>
  <si>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</si>
  <si>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</si>
  <si>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</si>
  <si>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</si>
  <si>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</si>
  <si>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</si>
  <si>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</si>
  <si>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</si>
  <si>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</si>
  <si>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</si>
  <si>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</si>
  <si>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</si>
  <si>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</si>
  <si>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</si>
  <si>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</si>
  <si>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</si>
  <si>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</si>
  <si>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</si>
  <si>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</si>
  <si>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</si>
  <si>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</si>
  <si>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</si>
  <si>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</si>
  <si>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</si>
  <si>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</si>
  <si>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</si>
  <si>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</si>
  <si>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</si>
  <si>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</si>
  <si>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</si>
  <si>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</si>
  <si>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</si>
  <si>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</si>
  <si>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</si>
  <si>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</si>
  <si>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</si>
  <si>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</si>
  <si>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</si>
  <si>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</si>
  <si>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</si>
  <si>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</si>
  <si>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</si>
  <si>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</si>
  <si>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</si>
  <si>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</si>
  <si>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</si>
  <si>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</si>
  <si>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</si>
  <si>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</si>
  <si>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</si>
  <si>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</si>
  <si>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</si>
  <si>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</si>
  <si>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</si>
  <si>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</si>
  <si>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</si>
  <si>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</si>
  <si>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</si>
  <si>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</si>
  <si>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</si>
  <si>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</si>
  <si>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</si>
  <si>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</si>
  <si>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</si>
  <si>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</si>
  <si>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</si>
  <si>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</si>
  <si>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</si>
  <si>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</si>
  <si>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</si>
  <si>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</si>
  <si>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</si>
  <si>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</si>
  <si>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</si>
  <si>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</si>
  <si>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</si>
  <si>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</si>
  <si>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</si>
  <si>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</si>
  <si>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</si>
  <si>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</si>
  <si>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</si>
  <si>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</si>
  <si>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</si>
  <si>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</si>
  <si>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</si>
  <si>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</si>
  <si>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</si>
  <si>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</si>
  <si>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</si>
  <si>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</si>
  <si>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</si>
  <si>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</si>
  <si>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</si>
  <si>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</si>
  <si>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</si>
  <si>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</si>
  <si>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</si>
  <si>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</si>
  <si>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</si>
  <si>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</si>
  <si>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</si>
  <si>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</si>
  <si>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</si>
  <si>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</si>
  <si>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</si>
  <si>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</si>
  <si>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</si>
  <si>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</si>
  <si>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</si>
  <si>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</si>
  <si>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</si>
  <si>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</si>
  <si>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</si>
  <si>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</si>
  <si>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</si>
  <si>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</si>
  <si>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</si>
  <si>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</si>
  <si>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</si>
  <si>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</si>
  <si>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</si>
  <si>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</si>
  <si>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</si>
  <si>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</si>
  <si>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</si>
  <si>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</si>
  <si>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</si>
  <si>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</si>
  <si>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</si>
  <si>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</si>
  <si>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</si>
  <si>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</si>
  <si>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</si>
  <si>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</si>
  <si>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</si>
  <si>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</si>
  <si>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</si>
  <si>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</si>
  <si>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</si>
  <si>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</si>
  <si>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</si>
  <si>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</si>
  <si>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</si>
  <si>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</si>
  <si>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</si>
  <si>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</si>
  <si>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</si>
  <si>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</si>
  <si>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</si>
  <si>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</si>
  <si>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</si>
  <si>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</si>
  <si>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</si>
  <si>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</si>
  <si>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</si>
  <si>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</si>
  <si>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</si>
  <si>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</si>
  <si>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</si>
  <si>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</si>
  <si>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</si>
  <si>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</si>
  <si>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</si>
  <si>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</si>
  <si>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</si>
  <si>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</si>
  <si>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</si>
  <si>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</si>
  <si>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</si>
  <si>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</si>
  <si>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</si>
  <si>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</si>
  <si>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</si>
  <si>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</si>
  <si>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</si>
  <si>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</si>
  <si>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</si>
  <si>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</si>
  <si>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</si>
  <si>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</si>
  <si>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</si>
  <si>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</si>
  <si>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</si>
  <si>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</si>
  <si>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</si>
  <si>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</si>
  <si>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</si>
  <si>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</si>
  <si>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</si>
  <si>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</si>
  <si>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</si>
  <si>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</si>
  <si>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</si>
  <si>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</si>
  <si>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</si>
  <si>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</si>
  <si>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</si>
  <si>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</si>
  <si>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</si>
  <si>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</si>
  <si>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</si>
  <si>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</si>
  <si>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</si>
  <si>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</si>
  <si>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</si>
  <si>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</si>
  <si>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</si>
  <si>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</si>
  <si>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</si>
  <si>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</si>
  <si>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</si>
  <si>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</si>
  <si>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</si>
  <si>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</si>
  <si>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</si>
  <si>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</si>
  <si>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</si>
  <si>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</si>
  <si>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</si>
  <si>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</si>
  <si>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</si>
  <si>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</si>
  <si>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</si>
  <si>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</si>
  <si>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</si>
  <si>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</si>
  <si>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</si>
  <si>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</si>
  <si>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</si>
  <si>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</si>
  <si>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</si>
  <si>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</si>
  <si>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</si>
  <si>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</si>
  <si>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</si>
  <si>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</si>
  <si>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</si>
  <si>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</si>
  <si>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</si>
  <si>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</si>
  <si>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</si>
  <si>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</si>
  <si>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</si>
  <si>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</si>
  <si>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</si>
  <si>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</si>
  <si>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</si>
  <si>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</si>
  <si>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</si>
  <si>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</si>
  <si>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</si>
  <si>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</si>
  <si>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</si>
  <si>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</si>
  <si>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</si>
  <si>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</si>
  <si>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</si>
  <si>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</si>
  <si>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</si>
  <si>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</si>
  <si>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</si>
  <si>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</si>
  <si>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</si>
  <si>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</si>
  <si>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</si>
  <si>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</si>
  <si>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</si>
  <si>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</si>
  <si>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</si>
  <si>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</si>
  <si>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</si>
  <si>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</si>
  <si>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</si>
  <si>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</si>
  <si>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</si>
  <si>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</si>
  <si>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</si>
  <si>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</si>
  <si>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</si>
  <si>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</si>
  <si>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</si>
  <si>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</si>
  <si>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</si>
  <si>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</si>
  <si>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</si>
  <si>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</si>
  <si>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</si>
  <si>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</si>
  <si>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</si>
  <si>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</si>
  <si>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</si>
  <si>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</si>
  <si>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</si>
  <si>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</si>
  <si>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</si>
  <si>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</si>
  <si>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</si>
  <si>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</si>
  <si>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</si>
  <si>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</si>
  <si>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</si>
  <si>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</si>
  <si>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</si>
  <si>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</si>
  <si>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</si>
  <si>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</si>
  <si>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</si>
  <si>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</si>
  <si>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</si>
  <si>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</si>
  <si>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</si>
  <si>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</si>
  <si>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</si>
  <si>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</si>
  <si>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</si>
  <si>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</si>
  <si>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</si>
  <si>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</si>
  <si>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</si>
  <si>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</si>
  <si>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</si>
  <si>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</si>
  <si>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</si>
  <si>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</si>
  <si>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</si>
  <si>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</si>
  <si>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</si>
  <si>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</si>
  <si>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</si>
  <si>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</si>
  <si>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</si>
  <si>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</si>
  <si>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</si>
  <si>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</si>
  <si>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</si>
  <si>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</si>
  <si>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</si>
  <si>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</si>
  <si>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</si>
  <si>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</si>
  <si>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</si>
  <si>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</si>
  <si>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</si>
  <si>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</si>
  <si>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</si>
  <si>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</si>
  <si>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</si>
  <si>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</si>
  <si>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</si>
  <si>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</si>
  <si>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</si>
  <si>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</si>
  <si>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</si>
  <si>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</si>
  <si>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</si>
  <si>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</si>
  <si>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</si>
  <si>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</si>
  <si>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</si>
  <si>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</si>
  <si>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</si>
  <si>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</si>
  <si>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</si>
  <si>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</si>
  <si>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</si>
  <si>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</si>
  <si>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</si>
  <si>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</si>
  <si>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</si>
  <si>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</si>
  <si>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</si>
  <si>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</si>
  <si>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方音符號</t>
  </si>
  <si>
    <t>output7</t>
    <phoneticPr fontId="1" type="noConversion"/>
  </si>
  <si>
    <t>注音二式</t>
  </si>
  <si>
    <t>《</t>
  </si>
  <si>
    <t>短</t>
  </si>
  <si>
    <t>》</t>
  </si>
  <si>
    <t>對</t>
  </si>
  <si>
    <t>當</t>
  </si>
  <si>
    <t>生</t>
  </si>
  <si>
    <t>幾</t>
  </si>
  <si>
    <t>譬</t>
  </si>
  <si>
    <t>如</t>
  </si>
  <si>
    <t>露</t>
  </si>
  <si>
    <t>苦</t>
  </si>
  <si>
    <t>慨</t>
  </si>
  <si>
    <t>慷</t>
  </si>
  <si>
    <t>思</t>
  </si>
  <si>
    <t>難</t>
  </si>
  <si>
    <t>解</t>
  </si>
  <si>
    <t>唯</t>
  </si>
  <si>
    <t>杜</t>
  </si>
  <si>
    <t>康</t>
  </si>
  <si>
    <t>衿</t>
  </si>
  <si>
    <t>悠</t>
  </si>
  <si>
    <t>我</t>
  </si>
  <si>
    <t>但</t>
  </si>
  <si>
    <t>爲</t>
  </si>
  <si>
    <t>故</t>
  </si>
  <si>
    <t>吟</t>
  </si>
  <si>
    <t>呦</t>
  </si>
  <si>
    <t>鹿</t>
  </si>
  <si>
    <t>鳴</t>
  </si>
  <si>
    <t>食</t>
  </si>
  <si>
    <t>野</t>
  </si>
  <si>
    <t>苹</t>
  </si>
  <si>
    <t>嘉</t>
  </si>
  <si>
    <t>賓</t>
  </si>
  <si>
    <t>鼓</t>
  </si>
  <si>
    <t>瑟</t>
  </si>
  <si>
    <t>吹</t>
  </si>
  <si>
    <t>笙</t>
  </si>
  <si>
    <t>可</t>
  </si>
  <si>
    <t>掇</t>
  </si>
  <si>
    <t>從</t>
  </si>
  <si>
    <t>中</t>
  </si>
  <si>
    <t>來</t>
  </si>
  <si>
    <t>斷</t>
  </si>
  <si>
    <t>絕</t>
  </si>
  <si>
    <t>陌</t>
  </si>
  <si>
    <t>度</t>
  </si>
  <si>
    <t>阡</t>
  </si>
  <si>
    <t>枉</t>
  </si>
  <si>
    <t>用</t>
  </si>
  <si>
    <t>相</t>
  </si>
  <si>
    <t>存</t>
  </si>
  <si>
    <t>契</t>
  </si>
  <si>
    <t>闊</t>
  </si>
  <si>
    <t>談</t>
  </si>
  <si>
    <t>宴</t>
  </si>
  <si>
    <t>念</t>
  </si>
  <si>
    <t>恩</t>
  </si>
  <si>
    <t>稀</t>
  </si>
  <si>
    <t>烏</t>
  </si>
  <si>
    <t>鵲</t>
  </si>
  <si>
    <t>飛</t>
  </si>
  <si>
    <t>繞</t>
  </si>
  <si>
    <t>樹</t>
  </si>
  <si>
    <t>三</t>
  </si>
  <si>
    <t>匝</t>
  </si>
  <si>
    <t>枝</t>
  </si>
  <si>
    <t>依</t>
  </si>
  <si>
    <t>厭</t>
  </si>
  <si>
    <t>海</t>
  </si>
  <si>
    <t>深</t>
  </si>
  <si>
    <t>周</t>
  </si>
  <si>
    <t>公</t>
  </si>
  <si>
    <t>吐</t>
  </si>
  <si>
    <t>哺</t>
  </si>
  <si>
    <t xml:space="preserve">《短歌行》
對酒當歌，人生幾何！譬如朝露，去日苦多。
慨當以慷，憂思難忘。何以解憂？唯有杜康。
青青子衿，悠悠我心。但爲君故，沉吟至今。
呦呦鹿鳴，食野之苹。我有嘉賓，鼓瑟吹笙。
明明如月，何時可掇？憂從中來，不可斷絕。
越陌度阡，枉用相存。契闊談宴，心念舊恩。
月明星稀，烏鵲南飛。繞樹三匝，何枝可依？
山不厭高，海不厭深。周公吐哺，天下歸心。
</t>
    <phoneticPr fontId="1" type="noConversion"/>
  </si>
  <si>
    <t>tuan2</t>
  </si>
  <si>
    <t>(5, 6); (9, 7)</t>
  </si>
  <si>
    <t>(5, 7)</t>
  </si>
  <si>
    <t>tui3</t>
  </si>
  <si>
    <t>(9, 5)</t>
  </si>
  <si>
    <t>tong1</t>
  </si>
  <si>
    <t>(9, 6); (17, 5)</t>
  </si>
  <si>
    <t>(9, 9)</t>
  </si>
  <si>
    <t>(9, 10)</t>
  </si>
  <si>
    <t>(9, 11)</t>
  </si>
  <si>
    <t>(9, 12); (17, 14); (41, 9); (61, 4)</t>
  </si>
  <si>
    <t>phi3</t>
  </si>
  <si>
    <t>ju5</t>
  </si>
  <si>
    <t>(9, 15); (41, 6)</t>
  </si>
  <si>
    <t>loo7</t>
  </si>
  <si>
    <t>(9, 17)</t>
  </si>
  <si>
    <t>khoo2</t>
  </si>
  <si>
    <t>(13, 6)</t>
  </si>
  <si>
    <t>(13, 7)</t>
  </si>
  <si>
    <t>khai3</t>
  </si>
  <si>
    <t>(17, 4)</t>
  </si>
  <si>
    <t>(17, 6); (17, 15)</t>
  </si>
  <si>
    <t>khong2</t>
  </si>
  <si>
    <t>(17, 7)</t>
  </si>
  <si>
    <t>(17, 9); (17, 17); (41, 14)</t>
  </si>
  <si>
    <t>(17, 10)</t>
  </si>
  <si>
    <t>(17, 12)</t>
  </si>
  <si>
    <t>kai2</t>
  </si>
  <si>
    <t>(21, 4)</t>
  </si>
  <si>
    <t>(21, 5); (33, 15)</t>
  </si>
  <si>
    <t>too7</t>
  </si>
  <si>
    <t>(21, 6)</t>
  </si>
  <si>
    <t>(21, 7)</t>
  </si>
  <si>
    <t>cing1</t>
  </si>
  <si>
    <t>(25, 4); (25, 5)</t>
  </si>
  <si>
    <t>(25, 6)</t>
  </si>
  <si>
    <t>(25, 7)</t>
  </si>
  <si>
    <t>(25, 9); (25, 10)</t>
  </si>
  <si>
    <t>ngoo2</t>
  </si>
  <si>
    <t>(25, 11); (33, 14)</t>
  </si>
  <si>
    <t>(25, 12); (53, 4); (69, 7)</t>
  </si>
  <si>
    <t>tan7</t>
  </si>
  <si>
    <t>(25, 14)</t>
  </si>
  <si>
    <t>ui7</t>
  </si>
  <si>
    <t>(25, 15)</t>
  </si>
  <si>
    <t>(25, 16)</t>
  </si>
  <si>
    <t>koo3</t>
  </si>
  <si>
    <t>(25, 17)</t>
  </si>
  <si>
    <t>tim5</t>
  </si>
  <si>
    <t>(29, 4)</t>
  </si>
  <si>
    <t>gim5</t>
  </si>
  <si>
    <t>(29, 5)</t>
  </si>
  <si>
    <t>(29, 6)</t>
  </si>
  <si>
    <t>(29, 7)</t>
  </si>
  <si>
    <t>(33, 4); (33, 5)</t>
  </si>
  <si>
    <t>lok8</t>
  </si>
  <si>
    <t>(33, 6)</t>
  </si>
  <si>
    <t>sit8</t>
  </si>
  <si>
    <t>(33, 9)</t>
  </si>
  <si>
    <t>ia2</t>
  </si>
  <si>
    <t>(33, 10)</t>
  </si>
  <si>
    <t>(33, 11)</t>
  </si>
  <si>
    <t>phing5</t>
  </si>
  <si>
    <t>(33, 12)</t>
  </si>
  <si>
    <t>ka1</t>
  </si>
  <si>
    <t>pin1</t>
  </si>
  <si>
    <t>(33, 17)</t>
  </si>
  <si>
    <t>sik4</t>
  </si>
  <si>
    <t>(37, 5)</t>
  </si>
  <si>
    <t>(41, 4); (41, 5); (57, 5)</t>
  </si>
  <si>
    <t>guat8</t>
  </si>
  <si>
    <t>(41, 7); (57, 4)</t>
  </si>
  <si>
    <t>(41, 10)</t>
  </si>
  <si>
    <t>kho2</t>
  </si>
  <si>
    <t>(41, 11); (45, 5); (61, 6)</t>
  </si>
  <si>
    <t>tuat4</t>
  </si>
  <si>
    <t>(41, 12)</t>
  </si>
  <si>
    <t>ziong5</t>
  </si>
  <si>
    <t>(41, 16)</t>
  </si>
  <si>
    <t>lai5</t>
  </si>
  <si>
    <t>(41, 17)</t>
  </si>
  <si>
    <t>(45, 4); (65, 5); (65, 10)</t>
  </si>
  <si>
    <t>tuan3</t>
  </si>
  <si>
    <t>(45, 6)</t>
  </si>
  <si>
    <t>zuat8</t>
  </si>
  <si>
    <t>(49, 4)</t>
  </si>
  <si>
    <t>bik8</t>
  </si>
  <si>
    <t>(49, 7)</t>
  </si>
  <si>
    <t>ong2</t>
  </si>
  <si>
    <t>(49, 9)</t>
  </si>
  <si>
    <t>iong7</t>
  </si>
  <si>
    <t>siong1</t>
  </si>
  <si>
    <t>(49, 11)</t>
  </si>
  <si>
    <t>zun5</t>
  </si>
  <si>
    <t>(49, 12)</t>
  </si>
  <si>
    <t>khe3</t>
  </si>
  <si>
    <t>(49, 14)</t>
  </si>
  <si>
    <t>khuah4</t>
  </si>
  <si>
    <t>tam5</t>
  </si>
  <si>
    <t>(49, 16)</t>
  </si>
  <si>
    <t>ian3</t>
  </si>
  <si>
    <t>(49, 17)</t>
  </si>
  <si>
    <t>liam7</t>
  </si>
  <si>
    <t>(53, 5)</t>
  </si>
  <si>
    <t>kiu7</t>
  </si>
  <si>
    <t>(53, 6)</t>
  </si>
  <si>
    <t>un1</t>
  </si>
  <si>
    <t>(53, 7)</t>
  </si>
  <si>
    <t>(57, 6)</t>
  </si>
  <si>
    <t>hi1</t>
  </si>
  <si>
    <t>(57, 7)</t>
  </si>
  <si>
    <t>oo1</t>
  </si>
  <si>
    <t>(57, 9)</t>
  </si>
  <si>
    <t>ciok4</t>
  </si>
  <si>
    <t>(57, 10)</t>
  </si>
  <si>
    <t>(57, 11)</t>
  </si>
  <si>
    <t>(57, 12)</t>
  </si>
  <si>
    <t>jiau2</t>
  </si>
  <si>
    <t>(57, 14)</t>
  </si>
  <si>
    <t>su7</t>
  </si>
  <si>
    <t>(57, 15)</t>
  </si>
  <si>
    <t>sam1</t>
  </si>
  <si>
    <t>(57, 16)</t>
  </si>
  <si>
    <t>zat4</t>
  </si>
  <si>
    <t>(57, 17)</t>
  </si>
  <si>
    <t>(61, 5)</t>
  </si>
  <si>
    <t>iam3</t>
  </si>
  <si>
    <t>(65, 6); (65, 11)</t>
  </si>
  <si>
    <t>hai2</t>
  </si>
  <si>
    <t>(65, 9)</t>
  </si>
  <si>
    <t>cim1</t>
  </si>
  <si>
    <t>ziu1</t>
  </si>
  <si>
    <t>(65, 15)</t>
  </si>
  <si>
    <t>thoo2</t>
  </si>
  <si>
    <t>(65, 16)</t>
  </si>
  <si>
    <t>poo7</t>
  </si>
  <si>
    <t>(69, 5)</t>
  </si>
  <si>
    <t>duan2</t>
  </si>
  <si>
    <t>gor1</t>
  </si>
  <si>
    <t>dui3</t>
  </si>
  <si>
    <t>jiu2</t>
  </si>
  <si>
    <t>dong1</t>
  </si>
  <si>
    <t>jjin5</t>
  </si>
  <si>
    <t>shing1</t>
  </si>
  <si>
    <t>gi2</t>
  </si>
  <si>
    <t>hor5</t>
  </si>
  <si>
    <t>pi3</t>
  </si>
  <si>
    <t>zzu5</t>
  </si>
  <si>
    <t>diau1</t>
  </si>
  <si>
    <t>ku2</t>
  </si>
  <si>
    <t>jjit8</t>
  </si>
  <si>
    <t>dor1</t>
  </si>
  <si>
    <t>kai3</t>
  </si>
  <si>
    <t>kong2</t>
  </si>
  <si>
    <t>bbong7</t>
  </si>
  <si>
    <t>gai2</t>
  </si>
  <si>
    <t>doo7</t>
  </si>
  <si>
    <t>ching1</t>
  </si>
  <si>
    <t>gim1</t>
  </si>
  <si>
    <t>shim1</t>
  </si>
  <si>
    <t>dan7</t>
  </si>
  <si>
    <t>gun1</t>
  </si>
  <si>
    <t>goo3</t>
  </si>
  <si>
    <t>dim5</t>
  </si>
  <si>
    <t>ggim5</t>
  </si>
  <si>
    <t>ji3</t>
  </si>
  <si>
    <t>look8</t>
  </si>
  <si>
    <t>bbing5</t>
  </si>
  <si>
    <t>shit8</t>
  </si>
  <si>
    <t>ji1</t>
  </si>
  <si>
    <t>ping5</t>
  </si>
  <si>
    <t>ga1</t>
  </si>
  <si>
    <t>bin1</t>
  </si>
  <si>
    <t>goo2</t>
  </si>
  <si>
    <t>shiek4</t>
  </si>
  <si>
    <t>gguat8</t>
  </si>
  <si>
    <t>shi5</t>
  </si>
  <si>
    <t>kor2</t>
  </si>
  <si>
    <t>duat4</t>
  </si>
  <si>
    <t>jiong5</t>
  </si>
  <si>
    <t>diong7</t>
  </si>
  <si>
    <t>but4</t>
  </si>
  <si>
    <t>duan3</t>
  </si>
  <si>
    <t>bbiek8</t>
  </si>
  <si>
    <t>chian1</t>
  </si>
  <si>
    <t>shiong1</t>
  </si>
  <si>
    <t>ke3</t>
  </si>
  <si>
    <t>kuah4</t>
  </si>
  <si>
    <t>dam5</t>
  </si>
  <si>
    <t>giu7</t>
  </si>
  <si>
    <t>chiook4</t>
  </si>
  <si>
    <t>jjiau2</t>
  </si>
  <si>
    <t>gi1</t>
  </si>
  <si>
    <t>chim1</t>
  </si>
  <si>
    <t>jiu1</t>
  </si>
  <si>
    <t>gong1</t>
  </si>
  <si>
    <t>too2</t>
  </si>
  <si>
    <t>tian1</t>
  </si>
  <si>
    <t>gui1</t>
  </si>
  <si>
    <t>短歌行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</si>
</sst>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1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zoomScale="80" zoomScaleNormal="80" workbookViewId="0">
      <selection activeCell="C15" sqref="C15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/>
    </row>
    <row r="6" spans="2:4">
      <c r="B6" s="4" t="s">
        <v>4</v>
      </c>
      <c r="C6" s="3" t="s">
        <v>1442</v>
      </c>
    </row>
    <row r="7" spans="2:4">
      <c r="B7" s="4" t="s">
        <v>5</v>
      </c>
      <c r="C7" s="53"/>
      <c r="D7" s="47"/>
    </row>
    <row r="8" spans="2:4">
      <c r="B8" s="4" t="s">
        <v>6</v>
      </c>
      <c r="C8" s="44" t="s">
        <v>1165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f xml:space="preserve"> (ROW(漢字注音!D1410) - 2) /4</f>
        <v>352</v>
      </c>
      <c r="D11" s="1">
        <f>每頁總列數*4+5</f>
        <v>1413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1160</v>
      </c>
    </row>
    <row r="14" spans="2:4" ht="30">
      <c r="B14" s="40" t="s">
        <v>12</v>
      </c>
      <c r="C14" s="42" t="s">
        <v>1161</v>
      </c>
    </row>
    <row r="15" spans="2:4" ht="30">
      <c r="B15" s="40" t="s">
        <v>13</v>
      </c>
      <c r="C15" s="42" t="s">
        <v>1166</v>
      </c>
    </row>
    <row r="16" spans="2:4" ht="30">
      <c r="B16" s="40" t="s">
        <v>14</v>
      </c>
      <c r="C16" s="42" t="s">
        <v>1162</v>
      </c>
    </row>
    <row r="17" spans="2:3" ht="30">
      <c r="B17" s="40" t="s">
        <v>15</v>
      </c>
      <c r="C17" s="42" t="s">
        <v>1163</v>
      </c>
    </row>
    <row r="18" spans="2:3" ht="30">
      <c r="B18" s="40" t="s">
        <v>16</v>
      </c>
      <c r="C18" s="42" t="s">
        <v>1166</v>
      </c>
    </row>
    <row r="19" spans="2:3" ht="30">
      <c r="B19" s="40" t="s">
        <v>17</v>
      </c>
      <c r="C19" s="42" t="s">
        <v>1164</v>
      </c>
    </row>
    <row r="20" spans="2:3" ht="30">
      <c r="B20" s="40" t="s">
        <v>1156</v>
      </c>
      <c r="C20" s="46">
        <v>0</v>
      </c>
    </row>
  </sheetData>
  <phoneticPr fontId="1" type="noConversion"/>
  <dataValidations count="6">
    <dataValidation type="list" allowBlank="1" showInputMessage="1" showErrorMessage="1" sqref="C17" xr:uid="{181EC47F-BD50-496D-9FB6-B68AC17D2C52}">
      <formula1>"預設,上,右,上及右"</formula1>
    </dataValidation>
    <dataValidation type="list" allowBlank="1" showInputMessage="1" showErrorMessage="1" sqref="C16" xr:uid="{1F35AB50-12AD-4F19-AAD4-E002BAE33D83}">
      <formula1>"無預設, SNI, TPS, POJ, TL, BP, TLPA_Plus, DBL"</formula1>
    </dataValidation>
    <dataValidation type="list" allowBlank="1" showInputMessage="1" showErrorMessage="1" sqref="C14" xr:uid="{CC5BE891-DC6E-4CE0-849C-D2F4C535EA60}">
      <formula1>"河洛話, 廣韻"</formula1>
    </dataValidation>
    <dataValidation type="list" allowBlank="1" showInputMessage="1" showErrorMessage="1" sqref="C13" xr:uid="{671644A1-6EE8-4193-9CDC-8429DBBCBB7B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5 C18:C19" xr:uid="{9036E4CE-0D75-4AA4-9326-6306F3475A3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E069-BBBD-4FBE-9362-0C0F6F251580}">
  <dimension ref="A1:D108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1168</v>
      </c>
      <c r="B2" t="s">
        <v>1243</v>
      </c>
      <c r="C2" t="s">
        <v>499</v>
      </c>
      <c r="D2" t="s">
        <v>919</v>
      </c>
    </row>
    <row r="3" spans="1:4">
      <c r="A3" t="s">
        <v>248</v>
      </c>
      <c r="B3" t="s">
        <v>50</v>
      </c>
      <c r="C3" t="s">
        <v>499</v>
      </c>
      <c r="D3" t="s">
        <v>1244</v>
      </c>
    </row>
    <row r="4" spans="1:4">
      <c r="A4" t="s">
        <v>185</v>
      </c>
      <c r="B4" t="s">
        <v>400</v>
      </c>
      <c r="C4" t="s">
        <v>499</v>
      </c>
      <c r="D4" t="s">
        <v>1245</v>
      </c>
    </row>
    <row r="5" spans="1:4">
      <c r="A5" t="s">
        <v>1170</v>
      </c>
      <c r="B5" t="s">
        <v>1246</v>
      </c>
      <c r="C5" t="s">
        <v>499</v>
      </c>
      <c r="D5" t="s">
        <v>931</v>
      </c>
    </row>
    <row r="6" spans="1:4">
      <c r="A6" t="s">
        <v>262</v>
      </c>
      <c r="B6" t="s">
        <v>460</v>
      </c>
      <c r="C6" t="s">
        <v>499</v>
      </c>
      <c r="D6" t="s">
        <v>1247</v>
      </c>
    </row>
    <row r="7" spans="1:4">
      <c r="A7" t="s">
        <v>1171</v>
      </c>
      <c r="B7" t="s">
        <v>1248</v>
      </c>
      <c r="C7" t="s">
        <v>499</v>
      </c>
      <c r="D7" t="s">
        <v>1249</v>
      </c>
    </row>
    <row r="8" spans="1:4">
      <c r="A8" t="s">
        <v>37</v>
      </c>
      <c r="B8" t="s">
        <v>63</v>
      </c>
      <c r="C8" t="s">
        <v>499</v>
      </c>
      <c r="D8" t="s">
        <v>1250</v>
      </c>
    </row>
    <row r="9" spans="1:4">
      <c r="A9" t="s">
        <v>1172</v>
      </c>
      <c r="B9" t="s">
        <v>62</v>
      </c>
      <c r="C9" t="s">
        <v>499</v>
      </c>
      <c r="D9" t="s">
        <v>1251</v>
      </c>
    </row>
    <row r="10" spans="1:4">
      <c r="A10" t="s">
        <v>1173</v>
      </c>
      <c r="B10" t="s">
        <v>470</v>
      </c>
      <c r="C10" t="s">
        <v>499</v>
      </c>
      <c r="D10" t="s">
        <v>1252</v>
      </c>
    </row>
    <row r="11" spans="1:4">
      <c r="A11" t="s">
        <v>252</v>
      </c>
      <c r="B11" t="s">
        <v>40</v>
      </c>
      <c r="C11" t="s">
        <v>499</v>
      </c>
      <c r="D11" t="s">
        <v>1253</v>
      </c>
    </row>
    <row r="12" spans="1:4">
      <c r="A12" t="s">
        <v>1174</v>
      </c>
      <c r="B12" t="s">
        <v>1254</v>
      </c>
      <c r="C12" t="s">
        <v>499</v>
      </c>
      <c r="D12" t="s">
        <v>938</v>
      </c>
    </row>
    <row r="13" spans="1:4">
      <c r="A13" t="s">
        <v>1175</v>
      </c>
      <c r="B13" t="s">
        <v>1255</v>
      </c>
      <c r="C13" t="s">
        <v>499</v>
      </c>
      <c r="D13" t="s">
        <v>1256</v>
      </c>
    </row>
    <row r="14" spans="1:4">
      <c r="A14" t="s">
        <v>128</v>
      </c>
      <c r="B14" t="s">
        <v>356</v>
      </c>
      <c r="C14" t="s">
        <v>499</v>
      </c>
      <c r="D14" t="s">
        <v>940</v>
      </c>
    </row>
    <row r="15" spans="1:4">
      <c r="A15" t="s">
        <v>1176</v>
      </c>
      <c r="B15" t="s">
        <v>1257</v>
      </c>
      <c r="C15" t="s">
        <v>499</v>
      </c>
      <c r="D15" t="s">
        <v>1258</v>
      </c>
    </row>
    <row r="16" spans="1:4">
      <c r="A16" t="s">
        <v>199</v>
      </c>
      <c r="B16" t="s">
        <v>412</v>
      </c>
      <c r="C16" t="s">
        <v>499</v>
      </c>
      <c r="D16" t="s">
        <v>942</v>
      </c>
    </row>
    <row r="17" spans="1:4">
      <c r="A17" t="s">
        <v>20</v>
      </c>
      <c r="B17" t="s">
        <v>395</v>
      </c>
      <c r="C17" t="s">
        <v>499</v>
      </c>
      <c r="D17" t="s">
        <v>943</v>
      </c>
    </row>
    <row r="18" spans="1:4">
      <c r="A18" t="s">
        <v>1177</v>
      </c>
      <c r="B18" t="s">
        <v>1259</v>
      </c>
      <c r="C18" t="s">
        <v>499</v>
      </c>
      <c r="D18" t="s">
        <v>1260</v>
      </c>
    </row>
    <row r="19" spans="1:4">
      <c r="A19" t="s">
        <v>153</v>
      </c>
      <c r="B19" t="s">
        <v>376</v>
      </c>
      <c r="C19" t="s">
        <v>499</v>
      </c>
      <c r="D19" t="s">
        <v>1261</v>
      </c>
    </row>
    <row r="20" spans="1:4">
      <c r="A20" t="s">
        <v>1178</v>
      </c>
      <c r="B20" t="s">
        <v>1262</v>
      </c>
      <c r="C20" t="s">
        <v>499</v>
      </c>
      <c r="D20" t="s">
        <v>1263</v>
      </c>
    </row>
    <row r="21" spans="1:4">
      <c r="A21" t="s">
        <v>106</v>
      </c>
      <c r="B21" t="s">
        <v>336</v>
      </c>
      <c r="C21" t="s">
        <v>499</v>
      </c>
      <c r="D21" t="s">
        <v>1264</v>
      </c>
    </row>
    <row r="22" spans="1:4">
      <c r="A22" t="s">
        <v>1179</v>
      </c>
      <c r="B22" t="s">
        <v>1265</v>
      </c>
      <c r="C22" t="s">
        <v>499</v>
      </c>
      <c r="D22" t="s">
        <v>1266</v>
      </c>
    </row>
    <row r="23" spans="1:4">
      <c r="A23" t="s">
        <v>203</v>
      </c>
      <c r="B23" t="s">
        <v>416</v>
      </c>
      <c r="C23" t="s">
        <v>499</v>
      </c>
      <c r="D23" t="s">
        <v>1267</v>
      </c>
    </row>
    <row r="24" spans="1:4">
      <c r="A24" t="s">
        <v>1180</v>
      </c>
      <c r="B24" t="s">
        <v>56</v>
      </c>
      <c r="C24" t="s">
        <v>499</v>
      </c>
      <c r="D24" t="s">
        <v>1268</v>
      </c>
    </row>
    <row r="25" spans="1:4">
      <c r="A25" t="s">
        <v>1181</v>
      </c>
      <c r="B25" t="s">
        <v>425</v>
      </c>
      <c r="C25" t="s">
        <v>499</v>
      </c>
      <c r="D25" t="s">
        <v>959</v>
      </c>
    </row>
    <row r="26" spans="1:4">
      <c r="A26" t="s">
        <v>260</v>
      </c>
      <c r="B26" t="s">
        <v>458</v>
      </c>
      <c r="C26" t="s">
        <v>499</v>
      </c>
      <c r="D26" t="s">
        <v>1269</v>
      </c>
    </row>
    <row r="27" spans="1:4">
      <c r="A27" t="s">
        <v>1182</v>
      </c>
      <c r="B27" t="s">
        <v>1270</v>
      </c>
      <c r="C27" t="s">
        <v>499</v>
      </c>
      <c r="D27" t="s">
        <v>964</v>
      </c>
    </row>
    <row r="28" spans="1:4">
      <c r="A28" t="s">
        <v>1183</v>
      </c>
      <c r="B28" t="s">
        <v>52</v>
      </c>
      <c r="C28" t="s">
        <v>499</v>
      </c>
      <c r="D28" t="s">
        <v>1271</v>
      </c>
    </row>
    <row r="29" spans="1:4">
      <c r="A29" t="s">
        <v>19</v>
      </c>
      <c r="B29" t="s">
        <v>411</v>
      </c>
      <c r="C29" t="s">
        <v>499</v>
      </c>
      <c r="D29" t="s">
        <v>1272</v>
      </c>
    </row>
    <row r="30" spans="1:4">
      <c r="A30" t="s">
        <v>1184</v>
      </c>
      <c r="B30" t="s">
        <v>1273</v>
      </c>
      <c r="C30" t="s">
        <v>499</v>
      </c>
      <c r="D30" t="s">
        <v>1274</v>
      </c>
    </row>
    <row r="31" spans="1:4">
      <c r="A31" t="s">
        <v>1185</v>
      </c>
      <c r="B31" t="s">
        <v>394</v>
      </c>
      <c r="C31" t="s">
        <v>499</v>
      </c>
      <c r="D31" t="s">
        <v>1275</v>
      </c>
    </row>
    <row r="32" spans="1:4">
      <c r="A32" t="s">
        <v>235</v>
      </c>
      <c r="B32" t="s">
        <v>1276</v>
      </c>
      <c r="C32" t="s">
        <v>499</v>
      </c>
      <c r="D32" t="s">
        <v>1277</v>
      </c>
    </row>
    <row r="33" spans="1:4">
      <c r="A33" t="s">
        <v>32</v>
      </c>
      <c r="B33" t="s">
        <v>305</v>
      </c>
      <c r="C33" t="s">
        <v>499</v>
      </c>
      <c r="D33" t="s">
        <v>1278</v>
      </c>
    </row>
    <row r="34" spans="1:4">
      <c r="A34" t="s">
        <v>1186</v>
      </c>
      <c r="B34" t="s">
        <v>330</v>
      </c>
      <c r="C34" t="s">
        <v>499</v>
      </c>
      <c r="D34" t="s">
        <v>1279</v>
      </c>
    </row>
    <row r="35" spans="1:4">
      <c r="A35" t="s">
        <v>1187</v>
      </c>
      <c r="B35" t="s">
        <v>416</v>
      </c>
      <c r="C35" t="s">
        <v>499</v>
      </c>
      <c r="D35" t="s">
        <v>1280</v>
      </c>
    </row>
    <row r="36" spans="1:4">
      <c r="A36" t="s">
        <v>1188</v>
      </c>
      <c r="B36" t="s">
        <v>1281</v>
      </c>
      <c r="C36" t="s">
        <v>499</v>
      </c>
      <c r="D36" t="s">
        <v>1282</v>
      </c>
    </row>
    <row r="37" spans="1:4">
      <c r="A37" t="s">
        <v>253</v>
      </c>
      <c r="B37" t="s">
        <v>452</v>
      </c>
      <c r="C37" t="s">
        <v>499</v>
      </c>
      <c r="D37" t="s">
        <v>1283</v>
      </c>
    </row>
    <row r="38" spans="1:4">
      <c r="A38" t="s">
        <v>1189</v>
      </c>
      <c r="B38" t="s">
        <v>1284</v>
      </c>
      <c r="C38" t="s">
        <v>499</v>
      </c>
      <c r="D38" t="s">
        <v>1285</v>
      </c>
    </row>
    <row r="39" spans="1:4">
      <c r="A39" t="s">
        <v>1190</v>
      </c>
      <c r="B39" t="s">
        <v>1286</v>
      </c>
      <c r="C39" t="s">
        <v>499</v>
      </c>
      <c r="D39" t="s">
        <v>1287</v>
      </c>
    </row>
    <row r="40" spans="1:4">
      <c r="A40" t="s">
        <v>281</v>
      </c>
      <c r="B40" t="s">
        <v>473</v>
      </c>
      <c r="C40" t="s">
        <v>499</v>
      </c>
      <c r="D40" t="s">
        <v>1288</v>
      </c>
    </row>
    <row r="41" spans="1:4">
      <c r="A41" t="s">
        <v>1191</v>
      </c>
      <c r="B41" t="s">
        <v>1289</v>
      </c>
      <c r="C41" t="s">
        <v>499</v>
      </c>
      <c r="D41" t="s">
        <v>1290</v>
      </c>
    </row>
    <row r="42" spans="1:4">
      <c r="A42" t="s">
        <v>245</v>
      </c>
      <c r="B42" t="s">
        <v>1291</v>
      </c>
      <c r="C42" t="s">
        <v>499</v>
      </c>
      <c r="D42" t="s">
        <v>1292</v>
      </c>
    </row>
    <row r="43" spans="1:4">
      <c r="A43" t="s">
        <v>1192</v>
      </c>
      <c r="B43" t="s">
        <v>1293</v>
      </c>
      <c r="C43" t="s">
        <v>499</v>
      </c>
      <c r="D43" t="s">
        <v>1294</v>
      </c>
    </row>
    <row r="44" spans="1:4">
      <c r="A44" t="s">
        <v>24</v>
      </c>
      <c r="B44" t="s">
        <v>49</v>
      </c>
      <c r="C44" t="s">
        <v>499</v>
      </c>
      <c r="D44" t="s">
        <v>1295</v>
      </c>
    </row>
    <row r="45" spans="1:4">
      <c r="A45" t="s">
        <v>99</v>
      </c>
      <c r="B45" t="s">
        <v>330</v>
      </c>
      <c r="C45" t="s">
        <v>499</v>
      </c>
      <c r="D45" t="s">
        <v>1296</v>
      </c>
    </row>
    <row r="46" spans="1:4">
      <c r="A46" t="s">
        <v>1193</v>
      </c>
      <c r="B46" t="s">
        <v>416</v>
      </c>
      <c r="C46" t="s">
        <v>499</v>
      </c>
      <c r="D46" t="s">
        <v>1297</v>
      </c>
    </row>
    <row r="47" spans="1:4">
      <c r="A47" t="s">
        <v>1194</v>
      </c>
      <c r="B47" t="s">
        <v>1298</v>
      </c>
      <c r="C47" t="s">
        <v>499</v>
      </c>
      <c r="D47" t="s">
        <v>1299</v>
      </c>
    </row>
    <row r="48" spans="1:4">
      <c r="A48" t="s">
        <v>1195</v>
      </c>
      <c r="B48" t="s">
        <v>312</v>
      </c>
      <c r="C48" t="s">
        <v>499</v>
      </c>
      <c r="D48" t="s">
        <v>977</v>
      </c>
    </row>
    <row r="49" spans="1:4">
      <c r="A49" t="s">
        <v>1196</v>
      </c>
      <c r="B49" t="s">
        <v>1300</v>
      </c>
      <c r="C49" t="s">
        <v>499</v>
      </c>
      <c r="D49" t="s">
        <v>1301</v>
      </c>
    </row>
    <row r="50" spans="1:4">
      <c r="A50" t="s">
        <v>1197</v>
      </c>
      <c r="B50" t="s">
        <v>1302</v>
      </c>
      <c r="C50" t="s">
        <v>499</v>
      </c>
      <c r="D50" t="s">
        <v>1303</v>
      </c>
    </row>
    <row r="51" spans="1:4">
      <c r="A51" t="s">
        <v>108</v>
      </c>
      <c r="B51" t="s">
        <v>338</v>
      </c>
      <c r="C51" t="s">
        <v>499</v>
      </c>
      <c r="D51" t="s">
        <v>1304</v>
      </c>
    </row>
    <row r="52" spans="1:4">
      <c r="A52" t="s">
        <v>1198</v>
      </c>
      <c r="B52" t="s">
        <v>1305</v>
      </c>
      <c r="C52" t="s">
        <v>499</v>
      </c>
      <c r="D52" t="s">
        <v>1306</v>
      </c>
    </row>
    <row r="53" spans="1:4">
      <c r="A53" t="s">
        <v>1199</v>
      </c>
      <c r="B53" t="s">
        <v>1307</v>
      </c>
      <c r="C53" t="s">
        <v>499</v>
      </c>
      <c r="D53" t="s">
        <v>982</v>
      </c>
    </row>
    <row r="54" spans="1:4">
      <c r="A54" t="s">
        <v>1200</v>
      </c>
      <c r="B54" t="s">
        <v>1308</v>
      </c>
      <c r="C54" t="s">
        <v>499</v>
      </c>
      <c r="D54" t="s">
        <v>1309</v>
      </c>
    </row>
    <row r="55" spans="1:4">
      <c r="A55" t="s">
        <v>1201</v>
      </c>
      <c r="B55" t="s">
        <v>467</v>
      </c>
      <c r="C55" t="s">
        <v>499</v>
      </c>
      <c r="D55" t="s">
        <v>985</v>
      </c>
    </row>
    <row r="56" spans="1:4">
      <c r="A56" t="s">
        <v>1202</v>
      </c>
      <c r="B56" t="s">
        <v>1310</v>
      </c>
      <c r="C56" t="s">
        <v>499</v>
      </c>
      <c r="D56" t="s">
        <v>1311</v>
      </c>
    </row>
    <row r="57" spans="1:4">
      <c r="A57" t="s">
        <v>1203</v>
      </c>
      <c r="B57" t="s">
        <v>403</v>
      </c>
      <c r="C57" t="s">
        <v>499</v>
      </c>
      <c r="D57" t="s">
        <v>986</v>
      </c>
    </row>
    <row r="58" spans="1:4">
      <c r="A58" t="s">
        <v>1204</v>
      </c>
      <c r="B58" t="s">
        <v>62</v>
      </c>
      <c r="C58" t="s">
        <v>499</v>
      </c>
      <c r="D58" t="s">
        <v>501</v>
      </c>
    </row>
    <row r="59" spans="1:4">
      <c r="A59" t="s">
        <v>35</v>
      </c>
      <c r="B59" t="s">
        <v>312</v>
      </c>
      <c r="C59" t="s">
        <v>499</v>
      </c>
      <c r="D59" t="s">
        <v>1312</v>
      </c>
    </row>
    <row r="60" spans="1:4">
      <c r="A60" t="s">
        <v>167</v>
      </c>
      <c r="B60" t="s">
        <v>1313</v>
      </c>
      <c r="C60" t="s">
        <v>499</v>
      </c>
      <c r="D60" t="s">
        <v>1314</v>
      </c>
    </row>
    <row r="61" spans="1:4">
      <c r="A61" t="s">
        <v>285</v>
      </c>
      <c r="B61" t="s">
        <v>477</v>
      </c>
      <c r="C61" t="s">
        <v>499</v>
      </c>
      <c r="D61" t="s">
        <v>1315</v>
      </c>
    </row>
    <row r="62" spans="1:4">
      <c r="A62" t="s">
        <v>1205</v>
      </c>
      <c r="B62" t="s">
        <v>1316</v>
      </c>
      <c r="C62" t="s">
        <v>499</v>
      </c>
      <c r="D62" t="s">
        <v>1317</v>
      </c>
    </row>
    <row r="63" spans="1:4">
      <c r="A63" t="s">
        <v>1206</v>
      </c>
      <c r="B63" t="s">
        <v>1318</v>
      </c>
      <c r="C63" t="s">
        <v>499</v>
      </c>
      <c r="D63" t="s">
        <v>1319</v>
      </c>
    </row>
    <row r="64" spans="1:4">
      <c r="A64" t="s">
        <v>1207</v>
      </c>
      <c r="B64" t="s">
        <v>1320</v>
      </c>
      <c r="C64" t="s">
        <v>499</v>
      </c>
      <c r="D64" t="s">
        <v>999</v>
      </c>
    </row>
    <row r="65" spans="1:4">
      <c r="A65" t="s">
        <v>1208</v>
      </c>
      <c r="B65" t="s">
        <v>319</v>
      </c>
      <c r="C65" t="s">
        <v>499</v>
      </c>
      <c r="D65" t="s">
        <v>1321</v>
      </c>
    </row>
    <row r="66" spans="1:4">
      <c r="A66" t="s">
        <v>1209</v>
      </c>
      <c r="B66" t="s">
        <v>1322</v>
      </c>
      <c r="C66" t="s">
        <v>499</v>
      </c>
      <c r="D66" t="s">
        <v>1323</v>
      </c>
    </row>
    <row r="67" spans="1:4">
      <c r="A67" t="s">
        <v>168</v>
      </c>
      <c r="B67" t="s">
        <v>387</v>
      </c>
      <c r="C67" t="s">
        <v>499</v>
      </c>
      <c r="D67" t="s">
        <v>1324</v>
      </c>
    </row>
    <row r="68" spans="1:4">
      <c r="A68" t="s">
        <v>1210</v>
      </c>
      <c r="B68" t="s">
        <v>1325</v>
      </c>
      <c r="C68" t="s">
        <v>499</v>
      </c>
      <c r="D68" t="s">
        <v>1326</v>
      </c>
    </row>
    <row r="69" spans="1:4">
      <c r="A69" t="s">
        <v>1211</v>
      </c>
      <c r="B69" t="s">
        <v>1327</v>
      </c>
      <c r="C69" t="s">
        <v>499</v>
      </c>
      <c r="D69" t="s">
        <v>1003</v>
      </c>
    </row>
    <row r="70" spans="1:4">
      <c r="A70" t="s">
        <v>79</v>
      </c>
      <c r="B70" t="s">
        <v>311</v>
      </c>
      <c r="C70" t="s">
        <v>499</v>
      </c>
      <c r="D70" t="s">
        <v>1328</v>
      </c>
    </row>
    <row r="71" spans="1:4">
      <c r="A71" t="s">
        <v>1212</v>
      </c>
      <c r="B71" t="s">
        <v>1329</v>
      </c>
      <c r="C71" t="s">
        <v>499</v>
      </c>
      <c r="D71" t="s">
        <v>1012</v>
      </c>
    </row>
    <row r="72" spans="1:4">
      <c r="A72" t="s">
        <v>1213</v>
      </c>
      <c r="B72" t="s">
        <v>1273</v>
      </c>
      <c r="C72" t="s">
        <v>499</v>
      </c>
      <c r="D72" t="s">
        <v>1013</v>
      </c>
    </row>
    <row r="73" spans="1:4">
      <c r="A73" t="s">
        <v>1214</v>
      </c>
      <c r="B73" t="s">
        <v>361</v>
      </c>
      <c r="C73" t="s">
        <v>499</v>
      </c>
      <c r="D73" t="s">
        <v>1330</v>
      </c>
    </row>
    <row r="74" spans="1:4">
      <c r="A74" t="s">
        <v>1215</v>
      </c>
      <c r="B74" t="s">
        <v>1331</v>
      </c>
      <c r="C74" t="s">
        <v>499</v>
      </c>
      <c r="D74" t="s">
        <v>1332</v>
      </c>
    </row>
    <row r="75" spans="1:4">
      <c r="A75" t="s">
        <v>1216</v>
      </c>
      <c r="B75" t="s">
        <v>1333</v>
      </c>
      <c r="C75" t="s">
        <v>499</v>
      </c>
      <c r="D75" t="s">
        <v>1014</v>
      </c>
    </row>
    <row r="76" spans="1:4">
      <c r="A76" t="s">
        <v>1217</v>
      </c>
      <c r="B76" t="s">
        <v>1334</v>
      </c>
      <c r="C76" t="s">
        <v>499</v>
      </c>
      <c r="D76" t="s">
        <v>1335</v>
      </c>
    </row>
    <row r="77" spans="1:4">
      <c r="A77" t="s">
        <v>1218</v>
      </c>
      <c r="B77" t="s">
        <v>1336</v>
      </c>
      <c r="C77" t="s">
        <v>499</v>
      </c>
      <c r="D77" t="s">
        <v>1337</v>
      </c>
    </row>
    <row r="78" spans="1:4">
      <c r="A78" t="s">
        <v>1219</v>
      </c>
      <c r="B78" t="s">
        <v>1338</v>
      </c>
      <c r="C78" t="s">
        <v>499</v>
      </c>
      <c r="D78" t="s">
        <v>1339</v>
      </c>
    </row>
    <row r="79" spans="1:4">
      <c r="A79" t="s">
        <v>1220</v>
      </c>
      <c r="B79" t="s">
        <v>1340</v>
      </c>
      <c r="C79" t="s">
        <v>499</v>
      </c>
      <c r="D79" t="s">
        <v>1017</v>
      </c>
    </row>
    <row r="80" spans="1:4">
      <c r="A80" t="s">
        <v>1221</v>
      </c>
      <c r="B80" t="s">
        <v>1341</v>
      </c>
      <c r="C80" t="s">
        <v>499</v>
      </c>
      <c r="D80" t="s">
        <v>1342</v>
      </c>
    </row>
    <row r="81" spans="1:4">
      <c r="A81" t="s">
        <v>1222</v>
      </c>
      <c r="B81" t="s">
        <v>1343</v>
      </c>
      <c r="C81" t="s">
        <v>499</v>
      </c>
      <c r="D81" t="s">
        <v>1344</v>
      </c>
    </row>
    <row r="82" spans="1:4">
      <c r="A82" t="s">
        <v>1223</v>
      </c>
      <c r="B82" t="s">
        <v>1345</v>
      </c>
      <c r="C82" t="s">
        <v>499</v>
      </c>
      <c r="D82" t="s">
        <v>1346</v>
      </c>
    </row>
    <row r="83" spans="1:4">
      <c r="A83" t="s">
        <v>94</v>
      </c>
      <c r="B83" t="s">
        <v>1347</v>
      </c>
      <c r="C83" t="s">
        <v>499</v>
      </c>
      <c r="D83" t="s">
        <v>1348</v>
      </c>
    </row>
    <row r="84" spans="1:4">
      <c r="A84" t="s">
        <v>1224</v>
      </c>
      <c r="B84" t="s">
        <v>1349</v>
      </c>
      <c r="C84" t="s">
        <v>499</v>
      </c>
      <c r="D84" t="s">
        <v>1350</v>
      </c>
    </row>
    <row r="85" spans="1:4">
      <c r="A85" t="s">
        <v>177</v>
      </c>
      <c r="B85" t="s">
        <v>62</v>
      </c>
      <c r="C85" t="s">
        <v>499</v>
      </c>
      <c r="D85" t="s">
        <v>1351</v>
      </c>
    </row>
    <row r="86" spans="1:4">
      <c r="A86" t="s">
        <v>1225</v>
      </c>
      <c r="B86" t="s">
        <v>1352</v>
      </c>
      <c r="C86" t="s">
        <v>499</v>
      </c>
      <c r="D86" t="s">
        <v>1353</v>
      </c>
    </row>
    <row r="87" spans="1:4">
      <c r="A87" t="s">
        <v>1226</v>
      </c>
      <c r="B87" t="s">
        <v>1354</v>
      </c>
      <c r="C87" t="s">
        <v>499</v>
      </c>
      <c r="D87" t="s">
        <v>1355</v>
      </c>
    </row>
    <row r="88" spans="1:4">
      <c r="A88" t="s">
        <v>1227</v>
      </c>
      <c r="B88" t="s">
        <v>1356</v>
      </c>
      <c r="C88" t="s">
        <v>499</v>
      </c>
      <c r="D88" t="s">
        <v>1357</v>
      </c>
    </row>
    <row r="89" spans="1:4">
      <c r="A89" t="s">
        <v>147</v>
      </c>
      <c r="B89" t="s">
        <v>371</v>
      </c>
      <c r="C89" t="s">
        <v>499</v>
      </c>
      <c r="D89" t="s">
        <v>1358</v>
      </c>
    </row>
    <row r="90" spans="1:4">
      <c r="A90" t="s">
        <v>1228</v>
      </c>
      <c r="B90" t="s">
        <v>384</v>
      </c>
      <c r="C90" t="s">
        <v>499</v>
      </c>
      <c r="D90" t="s">
        <v>1359</v>
      </c>
    </row>
    <row r="91" spans="1:4">
      <c r="A91" t="s">
        <v>1229</v>
      </c>
      <c r="B91" t="s">
        <v>1360</v>
      </c>
      <c r="C91" t="s">
        <v>499</v>
      </c>
      <c r="D91" t="s">
        <v>1361</v>
      </c>
    </row>
    <row r="92" spans="1:4">
      <c r="A92" t="s">
        <v>1230</v>
      </c>
      <c r="B92" t="s">
        <v>1362</v>
      </c>
      <c r="C92" t="s">
        <v>499</v>
      </c>
      <c r="D92" t="s">
        <v>1363</v>
      </c>
    </row>
    <row r="93" spans="1:4">
      <c r="A93" t="s">
        <v>1231</v>
      </c>
      <c r="B93" t="s">
        <v>1364</v>
      </c>
      <c r="C93" t="s">
        <v>499</v>
      </c>
      <c r="D93" t="s">
        <v>1365</v>
      </c>
    </row>
    <row r="94" spans="1:4">
      <c r="A94" t="s">
        <v>1232</v>
      </c>
      <c r="B94" t="s">
        <v>1366</v>
      </c>
      <c r="C94" t="s">
        <v>499</v>
      </c>
      <c r="D94" t="s">
        <v>1367</v>
      </c>
    </row>
    <row r="95" spans="1:4">
      <c r="A95" t="s">
        <v>1233</v>
      </c>
      <c r="B95" t="s">
        <v>418</v>
      </c>
      <c r="C95" t="s">
        <v>499</v>
      </c>
      <c r="D95" t="s">
        <v>1368</v>
      </c>
    </row>
    <row r="96" spans="1:4">
      <c r="A96" t="s">
        <v>1234</v>
      </c>
      <c r="B96" t="s">
        <v>496</v>
      </c>
      <c r="C96" t="s">
        <v>499</v>
      </c>
      <c r="D96" t="s">
        <v>1021</v>
      </c>
    </row>
    <row r="97" spans="1:4">
      <c r="A97" t="s">
        <v>119</v>
      </c>
      <c r="B97" t="s">
        <v>348</v>
      </c>
      <c r="C97" t="s">
        <v>499</v>
      </c>
      <c r="D97" t="s">
        <v>1029</v>
      </c>
    </row>
    <row r="98" spans="1:4">
      <c r="A98" t="s">
        <v>1235</v>
      </c>
      <c r="B98" t="s">
        <v>1369</v>
      </c>
      <c r="C98" t="s">
        <v>499</v>
      </c>
      <c r="D98" t="s">
        <v>1370</v>
      </c>
    </row>
    <row r="99" spans="1:4">
      <c r="A99" t="s">
        <v>25</v>
      </c>
      <c r="B99" t="s">
        <v>50</v>
      </c>
      <c r="C99" t="s">
        <v>499</v>
      </c>
      <c r="D99" t="s">
        <v>1031</v>
      </c>
    </row>
    <row r="100" spans="1:4">
      <c r="A100" t="s">
        <v>1236</v>
      </c>
      <c r="B100" t="s">
        <v>1371</v>
      </c>
      <c r="C100" t="s">
        <v>499</v>
      </c>
      <c r="D100" t="s">
        <v>1372</v>
      </c>
    </row>
    <row r="101" spans="1:4">
      <c r="A101" t="s">
        <v>1237</v>
      </c>
      <c r="B101" t="s">
        <v>1373</v>
      </c>
      <c r="C101" t="s">
        <v>499</v>
      </c>
      <c r="D101" t="s">
        <v>1035</v>
      </c>
    </row>
    <row r="102" spans="1:4">
      <c r="A102" t="s">
        <v>1238</v>
      </c>
      <c r="B102" t="s">
        <v>1374</v>
      </c>
      <c r="C102" t="s">
        <v>499</v>
      </c>
      <c r="D102" t="s">
        <v>1037</v>
      </c>
    </row>
    <row r="103" spans="1:4">
      <c r="A103" t="s">
        <v>1239</v>
      </c>
      <c r="B103" t="s">
        <v>429</v>
      </c>
      <c r="C103" t="s">
        <v>499</v>
      </c>
      <c r="D103" t="s">
        <v>1375</v>
      </c>
    </row>
    <row r="104" spans="1:4">
      <c r="A104" t="s">
        <v>1240</v>
      </c>
      <c r="B104" t="s">
        <v>1376</v>
      </c>
      <c r="C104" t="s">
        <v>499</v>
      </c>
      <c r="D104" t="s">
        <v>1377</v>
      </c>
    </row>
    <row r="105" spans="1:4">
      <c r="A105" t="s">
        <v>1241</v>
      </c>
      <c r="B105" t="s">
        <v>1378</v>
      </c>
      <c r="C105" t="s">
        <v>499</v>
      </c>
      <c r="D105" t="s">
        <v>1038</v>
      </c>
    </row>
    <row r="106" spans="1:4">
      <c r="A106" t="s">
        <v>218</v>
      </c>
      <c r="B106" t="s">
        <v>428</v>
      </c>
      <c r="C106" t="s">
        <v>499</v>
      </c>
      <c r="D106" t="s">
        <v>1040</v>
      </c>
    </row>
    <row r="107" spans="1:4">
      <c r="A107" t="s">
        <v>217</v>
      </c>
      <c r="B107" t="s">
        <v>427</v>
      </c>
      <c r="C107" t="s">
        <v>499</v>
      </c>
      <c r="D107" t="s">
        <v>1379</v>
      </c>
    </row>
    <row r="108" spans="1:4">
      <c r="A108" t="s">
        <v>299</v>
      </c>
      <c r="B108" t="s">
        <v>483</v>
      </c>
      <c r="C108" t="s">
        <v>499</v>
      </c>
      <c r="D108" t="s">
        <v>1041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30E5-0D5B-4F84-A5C3-3CDD51CC27A2}">
  <dimension ref="A1:D1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50" zoomScaleNormal="50" workbookViewId="0">
      <pane xSplit="3" ySplit="1" topLeftCell="D62" activePane="bottomRight" state="frozen"/>
      <selection pane="topRight" activeCell="D1" sqref="D1"/>
      <selection pane="bottomLeft" activeCell="A2" sqref="A2"/>
      <selection pane="bottomRight" activeCell="G68" sqref="G68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C1" si="0" xml:space="preserve"> COLUMN()</f>
        <v>2</v>
      </c>
      <c r="C1" s="38">
        <f t="shared" si="0"/>
        <v>3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174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1242</v>
      </c>
    </row>
    <row r="4" spans="1:22" s="6" customFormat="1" ht="36" customHeight="1">
      <c r="B4" s="17"/>
      <c r="D4" s="50"/>
      <c r="E4" s="50" t="s">
        <v>1243</v>
      </c>
      <c r="F4" s="50" t="s">
        <v>50</v>
      </c>
      <c r="G4" s="50" t="s">
        <v>400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18"/>
      <c r="V4" s="55"/>
    </row>
    <row r="5" spans="1:22" s="6" customFormat="1" ht="80.099999999999994" customHeight="1">
      <c r="B5" s="19">
        <v>1</v>
      </c>
      <c r="D5" s="39" t="s">
        <v>1167</v>
      </c>
      <c r="E5" s="39" t="s">
        <v>1168</v>
      </c>
      <c r="F5" s="39" t="s">
        <v>248</v>
      </c>
      <c r="G5" s="39" t="s">
        <v>185</v>
      </c>
      <c r="H5" s="39" t="s">
        <v>1169</v>
      </c>
      <c r="I5" s="39" t="str">
        <f>CHAR(10)</f>
        <v xml:space="preserve">
</v>
      </c>
      <c r="J5" s="39"/>
      <c r="K5" s="39"/>
      <c r="L5" s="39"/>
      <c r="M5" s="39"/>
      <c r="N5" s="39"/>
      <c r="O5" s="39"/>
      <c r="P5" s="39"/>
      <c r="Q5" s="39"/>
      <c r="R5" s="39"/>
      <c r="S5" s="20"/>
      <c r="V5" s="55"/>
    </row>
    <row r="6" spans="1:22" s="24" customFormat="1" ht="36" customHeight="1">
      <c r="B6" s="21"/>
      <c r="C6" s="22"/>
      <c r="D6" s="51"/>
      <c r="E6" s="51" t="s">
        <v>1380</v>
      </c>
      <c r="F6" s="51" t="s">
        <v>1381</v>
      </c>
      <c r="G6" s="51" t="s">
        <v>400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55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5"/>
    </row>
    <row r="8" spans="1:22" s="6" customFormat="1" ht="36" customHeight="1">
      <c r="B8" s="17"/>
      <c r="D8" s="50" t="s">
        <v>1246</v>
      </c>
      <c r="E8" s="50" t="s">
        <v>460</v>
      </c>
      <c r="F8" s="50" t="s">
        <v>1248</v>
      </c>
      <c r="G8" s="50" t="s">
        <v>50</v>
      </c>
      <c r="H8" s="50"/>
      <c r="I8" s="50" t="s">
        <v>63</v>
      </c>
      <c r="J8" s="50" t="s">
        <v>62</v>
      </c>
      <c r="K8" s="50" t="s">
        <v>470</v>
      </c>
      <c r="L8" s="50" t="s">
        <v>40</v>
      </c>
      <c r="M8" s="50"/>
      <c r="N8" s="50" t="s">
        <v>1254</v>
      </c>
      <c r="O8" s="50" t="s">
        <v>1255</v>
      </c>
      <c r="P8" s="50" t="s">
        <v>356</v>
      </c>
      <c r="Q8" s="50" t="s">
        <v>1257</v>
      </c>
      <c r="R8" s="50"/>
      <c r="S8" s="18"/>
      <c r="V8" s="55"/>
    </row>
    <row r="9" spans="1:22" s="6" customFormat="1" ht="80.099999999999994" customHeight="1">
      <c r="B9" s="19">
        <f>B5+1</f>
        <v>2</v>
      </c>
      <c r="D9" s="39" t="s">
        <v>1170</v>
      </c>
      <c r="E9" s="39" t="s">
        <v>262</v>
      </c>
      <c r="F9" s="39" t="s">
        <v>1171</v>
      </c>
      <c r="G9" s="39" t="s">
        <v>248</v>
      </c>
      <c r="H9" s="39" t="s">
        <v>23</v>
      </c>
      <c r="I9" s="39" t="s">
        <v>37</v>
      </c>
      <c r="J9" s="39" t="s">
        <v>1172</v>
      </c>
      <c r="K9" s="39" t="s">
        <v>1173</v>
      </c>
      <c r="L9" s="39" t="s">
        <v>252</v>
      </c>
      <c r="M9" s="39" t="s">
        <v>267</v>
      </c>
      <c r="N9" s="39" t="s">
        <v>1174</v>
      </c>
      <c r="O9" s="39" t="s">
        <v>1175</v>
      </c>
      <c r="P9" s="39" t="s">
        <v>128</v>
      </c>
      <c r="Q9" s="39" t="s">
        <v>1176</v>
      </c>
      <c r="R9" s="39" t="s">
        <v>23</v>
      </c>
      <c r="S9" s="20"/>
      <c r="T9" s="16"/>
      <c r="V9" s="55"/>
    </row>
    <row r="10" spans="1:22" s="6" customFormat="1" ht="36" customHeight="1">
      <c r="B10" s="21"/>
      <c r="D10" s="51" t="s">
        <v>1382</v>
      </c>
      <c r="E10" s="51" t="s">
        <v>1383</v>
      </c>
      <c r="F10" s="51" t="s">
        <v>1384</v>
      </c>
      <c r="G10" s="51" t="s">
        <v>1381</v>
      </c>
      <c r="H10" s="51"/>
      <c r="I10" s="51" t="s">
        <v>1385</v>
      </c>
      <c r="J10" s="51" t="s">
        <v>1386</v>
      </c>
      <c r="K10" s="51" t="s">
        <v>1387</v>
      </c>
      <c r="L10" s="51" t="s">
        <v>1388</v>
      </c>
      <c r="M10" s="51"/>
      <c r="N10" s="51" t="s">
        <v>1389</v>
      </c>
      <c r="O10" s="51" t="s">
        <v>1390</v>
      </c>
      <c r="P10" s="51" t="s">
        <v>1391</v>
      </c>
      <c r="Q10" s="51" t="s">
        <v>1257</v>
      </c>
      <c r="R10" s="51"/>
      <c r="S10" s="29"/>
      <c r="V10" s="55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5"/>
    </row>
    <row r="12" spans="1:22" s="6" customFormat="1" ht="36" customHeight="1">
      <c r="B12" s="17"/>
      <c r="D12" s="50" t="s">
        <v>412</v>
      </c>
      <c r="E12" s="50" t="s">
        <v>395</v>
      </c>
      <c r="F12" s="50" t="s">
        <v>1259</v>
      </c>
      <c r="G12" s="50" t="s">
        <v>376</v>
      </c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18"/>
      <c r="V12" s="55"/>
    </row>
    <row r="13" spans="1:22" s="6" customFormat="1" ht="80.099999999999994" customHeight="1">
      <c r="B13" s="19">
        <f>B9+1</f>
        <v>3</v>
      </c>
      <c r="D13" s="39" t="s">
        <v>199</v>
      </c>
      <c r="E13" s="39" t="s">
        <v>20</v>
      </c>
      <c r="F13" s="39" t="s">
        <v>1177</v>
      </c>
      <c r="G13" s="39" t="s">
        <v>153</v>
      </c>
      <c r="H13" s="39" t="s">
        <v>30</v>
      </c>
      <c r="I13" s="39" t="str">
        <f>CHAR(10)</f>
        <v xml:space="preserve">
</v>
      </c>
      <c r="J13" s="39"/>
      <c r="K13" s="39"/>
      <c r="L13" s="39"/>
      <c r="M13" s="39"/>
      <c r="N13" s="39"/>
      <c r="O13" s="39"/>
      <c r="P13" s="39"/>
      <c r="Q13" s="39"/>
      <c r="R13" s="39"/>
      <c r="S13" s="20"/>
      <c r="V13" s="55"/>
    </row>
    <row r="14" spans="1:22" s="6" customFormat="1" ht="36" customHeight="1">
      <c r="B14" s="21"/>
      <c r="D14" s="51" t="s">
        <v>1392</v>
      </c>
      <c r="E14" s="51" t="s">
        <v>1393</v>
      </c>
      <c r="F14" s="51" t="s">
        <v>467</v>
      </c>
      <c r="G14" s="51" t="s">
        <v>1394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29"/>
      <c r="V14" s="55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5"/>
    </row>
    <row r="16" spans="1:22" s="6" customFormat="1" ht="36" customHeight="1">
      <c r="B16" s="17"/>
      <c r="D16" s="50" t="s">
        <v>1262</v>
      </c>
      <c r="E16" s="50" t="s">
        <v>1248</v>
      </c>
      <c r="F16" s="50" t="s">
        <v>336</v>
      </c>
      <c r="G16" s="50" t="s">
        <v>1265</v>
      </c>
      <c r="H16" s="50"/>
      <c r="I16" s="50" t="s">
        <v>416</v>
      </c>
      <c r="J16" s="50" t="s">
        <v>56</v>
      </c>
      <c r="K16" s="50" t="s">
        <v>425</v>
      </c>
      <c r="L16" s="50" t="s">
        <v>458</v>
      </c>
      <c r="M16" s="50"/>
      <c r="N16" s="50" t="s">
        <v>40</v>
      </c>
      <c r="O16" s="50" t="s">
        <v>336</v>
      </c>
      <c r="P16" s="50" t="s">
        <v>1270</v>
      </c>
      <c r="Q16" s="50" t="s">
        <v>416</v>
      </c>
      <c r="R16" s="50"/>
      <c r="S16" s="18"/>
      <c r="V16" s="55"/>
    </row>
    <row r="17" spans="2:22" s="6" customFormat="1" ht="80.099999999999994" customHeight="1">
      <c r="B17" s="19">
        <f>B13+1</f>
        <v>4</v>
      </c>
      <c r="D17" s="39" t="s">
        <v>1178</v>
      </c>
      <c r="E17" s="39" t="s">
        <v>1171</v>
      </c>
      <c r="F17" s="39" t="s">
        <v>106</v>
      </c>
      <c r="G17" s="39" t="s">
        <v>1179</v>
      </c>
      <c r="H17" s="39" t="s">
        <v>23</v>
      </c>
      <c r="I17" s="39" t="s">
        <v>203</v>
      </c>
      <c r="J17" s="39" t="s">
        <v>1180</v>
      </c>
      <c r="K17" s="39" t="s">
        <v>1181</v>
      </c>
      <c r="L17" s="39" t="s">
        <v>260</v>
      </c>
      <c r="M17" s="39" t="s">
        <v>30</v>
      </c>
      <c r="N17" s="39" t="s">
        <v>252</v>
      </c>
      <c r="O17" s="39" t="s">
        <v>106</v>
      </c>
      <c r="P17" s="39" t="s">
        <v>1182</v>
      </c>
      <c r="Q17" s="39" t="s">
        <v>203</v>
      </c>
      <c r="R17" s="39" t="s">
        <v>161</v>
      </c>
      <c r="S17" s="20"/>
      <c r="V17" s="55"/>
    </row>
    <row r="18" spans="2:22" s="6" customFormat="1" ht="36" customHeight="1">
      <c r="B18" s="21"/>
      <c r="D18" s="51" t="s">
        <v>1395</v>
      </c>
      <c r="E18" s="51" t="s">
        <v>1384</v>
      </c>
      <c r="F18" s="51" t="s">
        <v>336</v>
      </c>
      <c r="G18" s="51" t="s">
        <v>1396</v>
      </c>
      <c r="H18" s="51"/>
      <c r="I18" s="51" t="s">
        <v>416</v>
      </c>
      <c r="J18" s="51" t="s">
        <v>56</v>
      </c>
      <c r="K18" s="51" t="s">
        <v>425</v>
      </c>
      <c r="L18" s="51" t="s">
        <v>1397</v>
      </c>
      <c r="M18" s="51"/>
      <c r="N18" s="51" t="s">
        <v>1388</v>
      </c>
      <c r="O18" s="51" t="s">
        <v>336</v>
      </c>
      <c r="P18" s="51" t="s">
        <v>1398</v>
      </c>
      <c r="Q18" s="51" t="s">
        <v>416</v>
      </c>
      <c r="R18" s="51"/>
      <c r="S18" s="29"/>
      <c r="V18" s="55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5"/>
    </row>
    <row r="20" spans="2:22" s="6" customFormat="1" ht="36" customHeight="1">
      <c r="B20" s="17"/>
      <c r="D20" s="50" t="s">
        <v>52</v>
      </c>
      <c r="E20" s="50" t="s">
        <v>411</v>
      </c>
      <c r="F20" s="50" t="s">
        <v>1273</v>
      </c>
      <c r="G20" s="50" t="s">
        <v>394</v>
      </c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55"/>
    </row>
    <row r="21" spans="2:22" s="6" customFormat="1" ht="80.099999999999994" customHeight="1">
      <c r="B21" s="19">
        <f>B17+1</f>
        <v>5</v>
      </c>
      <c r="D21" s="39" t="s">
        <v>1183</v>
      </c>
      <c r="E21" s="39" t="s">
        <v>19</v>
      </c>
      <c r="F21" s="39" t="s">
        <v>1184</v>
      </c>
      <c r="G21" s="39" t="s">
        <v>1185</v>
      </c>
      <c r="H21" s="39" t="s">
        <v>30</v>
      </c>
      <c r="I21" s="39" t="str">
        <f>CHAR(10)</f>
        <v xml:space="preserve">
</v>
      </c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55"/>
    </row>
    <row r="22" spans="2:22" s="6" customFormat="1" ht="36" customHeight="1">
      <c r="B22" s="21"/>
      <c r="D22" s="51" t="s">
        <v>52</v>
      </c>
      <c r="E22" s="51" t="s">
        <v>411</v>
      </c>
      <c r="F22" s="51" t="s">
        <v>1399</v>
      </c>
      <c r="G22" s="51" t="s">
        <v>429</v>
      </c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55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55"/>
    </row>
    <row r="24" spans="2:22" s="6" customFormat="1" ht="36" customHeight="1">
      <c r="B24" s="17"/>
      <c r="D24" s="50" t="s">
        <v>1276</v>
      </c>
      <c r="E24" s="50" t="s">
        <v>1276</v>
      </c>
      <c r="F24" s="50" t="s">
        <v>305</v>
      </c>
      <c r="G24" s="50" t="s">
        <v>330</v>
      </c>
      <c r="H24" s="50"/>
      <c r="I24" s="50" t="s">
        <v>416</v>
      </c>
      <c r="J24" s="50" t="s">
        <v>416</v>
      </c>
      <c r="K24" s="50" t="s">
        <v>1281</v>
      </c>
      <c r="L24" s="50" t="s">
        <v>452</v>
      </c>
      <c r="M24" s="50"/>
      <c r="N24" s="50" t="s">
        <v>1284</v>
      </c>
      <c r="O24" s="50" t="s">
        <v>1286</v>
      </c>
      <c r="P24" s="50" t="s">
        <v>473</v>
      </c>
      <c r="Q24" s="50" t="s">
        <v>1289</v>
      </c>
      <c r="R24" s="50"/>
      <c r="S24" s="18"/>
      <c r="V24" s="55"/>
    </row>
    <row r="25" spans="2:22" s="6" customFormat="1" ht="80.099999999999994" customHeight="1">
      <c r="B25" s="19">
        <f>B21+1</f>
        <v>6</v>
      </c>
      <c r="D25" s="39" t="s">
        <v>235</v>
      </c>
      <c r="E25" s="39" t="s">
        <v>235</v>
      </c>
      <c r="F25" s="39" t="s">
        <v>32</v>
      </c>
      <c r="G25" s="39" t="s">
        <v>1186</v>
      </c>
      <c r="H25" s="39" t="s">
        <v>23</v>
      </c>
      <c r="I25" s="39" t="s">
        <v>1187</v>
      </c>
      <c r="J25" s="39" t="s">
        <v>1187</v>
      </c>
      <c r="K25" s="39" t="s">
        <v>1188</v>
      </c>
      <c r="L25" s="39" t="s">
        <v>253</v>
      </c>
      <c r="M25" s="39" t="s">
        <v>30</v>
      </c>
      <c r="N25" s="39" t="s">
        <v>1189</v>
      </c>
      <c r="O25" s="39" t="s">
        <v>1190</v>
      </c>
      <c r="P25" s="39" t="s">
        <v>281</v>
      </c>
      <c r="Q25" s="39" t="s">
        <v>1191</v>
      </c>
      <c r="R25" s="39" t="s">
        <v>23</v>
      </c>
      <c r="S25" s="20"/>
      <c r="V25" s="55"/>
    </row>
    <row r="26" spans="2:22" s="6" customFormat="1" ht="36" customHeight="1">
      <c r="B26" s="21"/>
      <c r="D26" s="51" t="s">
        <v>1400</v>
      </c>
      <c r="E26" s="51" t="s">
        <v>1400</v>
      </c>
      <c r="F26" s="51" t="s">
        <v>305</v>
      </c>
      <c r="G26" s="51" t="s">
        <v>1401</v>
      </c>
      <c r="H26" s="51"/>
      <c r="I26" s="51" t="s">
        <v>416</v>
      </c>
      <c r="J26" s="51" t="s">
        <v>416</v>
      </c>
      <c r="K26" s="51" t="s">
        <v>1281</v>
      </c>
      <c r="L26" s="51" t="s">
        <v>1402</v>
      </c>
      <c r="M26" s="51"/>
      <c r="N26" s="51" t="s">
        <v>1403</v>
      </c>
      <c r="O26" s="51" t="s">
        <v>1286</v>
      </c>
      <c r="P26" s="51" t="s">
        <v>1404</v>
      </c>
      <c r="Q26" s="51" t="s">
        <v>1405</v>
      </c>
      <c r="R26" s="51"/>
      <c r="S26" s="29"/>
      <c r="V26" s="55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55"/>
    </row>
    <row r="28" spans="2:22" s="6" customFormat="1" ht="36" customHeight="1">
      <c r="B28" s="17"/>
      <c r="D28" s="50" t="s">
        <v>1291</v>
      </c>
      <c r="E28" s="50" t="s">
        <v>1293</v>
      </c>
      <c r="F28" s="50" t="s">
        <v>49</v>
      </c>
      <c r="G28" s="50" t="s">
        <v>330</v>
      </c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55"/>
    </row>
    <row r="29" spans="2:22" s="6" customFormat="1" ht="80.099999999999994" customHeight="1">
      <c r="B29" s="19">
        <f>B25+1</f>
        <v>7</v>
      </c>
      <c r="D29" s="39" t="s">
        <v>245</v>
      </c>
      <c r="E29" s="39" t="s">
        <v>1192</v>
      </c>
      <c r="F29" s="39" t="s">
        <v>24</v>
      </c>
      <c r="G29" s="39" t="s">
        <v>99</v>
      </c>
      <c r="H29" s="39" t="s">
        <v>30</v>
      </c>
      <c r="I29" s="39" t="str">
        <f>CHAR(10)</f>
        <v xml:space="preserve">
</v>
      </c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55"/>
    </row>
    <row r="30" spans="2:22" s="6" customFormat="1" ht="36" customHeight="1">
      <c r="B30" s="21"/>
      <c r="D30" s="51" t="s">
        <v>1406</v>
      </c>
      <c r="E30" s="51" t="s">
        <v>1407</v>
      </c>
      <c r="F30" s="51" t="s">
        <v>1408</v>
      </c>
      <c r="G30" s="51" t="s">
        <v>1401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55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V31" s="55"/>
    </row>
    <row r="32" spans="2:22" s="6" customFormat="1" ht="36" customHeight="1">
      <c r="B32" s="17"/>
      <c r="D32" s="50" t="s">
        <v>416</v>
      </c>
      <c r="E32" s="50" t="s">
        <v>416</v>
      </c>
      <c r="F32" s="50" t="s">
        <v>1298</v>
      </c>
      <c r="G32" s="50" t="s">
        <v>312</v>
      </c>
      <c r="H32" s="50"/>
      <c r="I32" s="50" t="s">
        <v>1300</v>
      </c>
      <c r="J32" s="50" t="s">
        <v>1302</v>
      </c>
      <c r="K32" s="50" t="s">
        <v>338</v>
      </c>
      <c r="L32" s="50" t="s">
        <v>1305</v>
      </c>
      <c r="M32" s="50"/>
      <c r="N32" s="50" t="s">
        <v>1281</v>
      </c>
      <c r="O32" s="50" t="s">
        <v>411</v>
      </c>
      <c r="P32" s="50" t="s">
        <v>1307</v>
      </c>
      <c r="Q32" s="50" t="s">
        <v>1308</v>
      </c>
      <c r="R32" s="50"/>
      <c r="S32" s="18"/>
      <c r="U32" s="33"/>
      <c r="V32" s="55"/>
    </row>
    <row r="33" spans="2:22" s="6" customFormat="1" ht="80.099999999999994" customHeight="1">
      <c r="B33" s="19">
        <f>B29+1</f>
        <v>8</v>
      </c>
      <c r="D33" s="39" t="s">
        <v>1193</v>
      </c>
      <c r="E33" s="39" t="s">
        <v>1193</v>
      </c>
      <c r="F33" s="39" t="s">
        <v>1194</v>
      </c>
      <c r="G33" s="39" t="s">
        <v>1195</v>
      </c>
      <c r="H33" s="39" t="s">
        <v>23</v>
      </c>
      <c r="I33" s="39" t="s">
        <v>1196</v>
      </c>
      <c r="J33" s="39" t="s">
        <v>1197</v>
      </c>
      <c r="K33" s="39" t="s">
        <v>108</v>
      </c>
      <c r="L33" s="39" t="s">
        <v>1198</v>
      </c>
      <c r="M33" s="39" t="s">
        <v>30</v>
      </c>
      <c r="N33" s="39" t="s">
        <v>1188</v>
      </c>
      <c r="O33" s="39" t="s">
        <v>19</v>
      </c>
      <c r="P33" s="39" t="s">
        <v>1199</v>
      </c>
      <c r="Q33" s="39" t="s">
        <v>1200</v>
      </c>
      <c r="R33" s="39" t="s">
        <v>23</v>
      </c>
      <c r="S33" s="20"/>
      <c r="V33" s="55"/>
    </row>
    <row r="34" spans="2:22" s="6" customFormat="1" ht="36" customHeight="1">
      <c r="B34" s="21"/>
      <c r="D34" s="51" t="s">
        <v>416</v>
      </c>
      <c r="E34" s="51" t="s">
        <v>416</v>
      </c>
      <c r="F34" s="51" t="s">
        <v>1409</v>
      </c>
      <c r="G34" s="51" t="s">
        <v>1410</v>
      </c>
      <c r="H34" s="51"/>
      <c r="I34" s="51" t="s">
        <v>1411</v>
      </c>
      <c r="J34" s="51" t="s">
        <v>1302</v>
      </c>
      <c r="K34" s="51" t="s">
        <v>1412</v>
      </c>
      <c r="L34" s="51" t="s">
        <v>1413</v>
      </c>
      <c r="M34" s="51"/>
      <c r="N34" s="51" t="s">
        <v>1281</v>
      </c>
      <c r="O34" s="51" t="s">
        <v>411</v>
      </c>
      <c r="P34" s="51" t="s">
        <v>1414</v>
      </c>
      <c r="Q34" s="51" t="s">
        <v>1415</v>
      </c>
      <c r="R34" s="51"/>
      <c r="S34" s="29"/>
      <c r="V34" s="55"/>
    </row>
    <row r="35" spans="2:22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5"/>
    </row>
    <row r="36" spans="2:22" s="6" customFormat="1" ht="36" customHeight="1">
      <c r="B36" s="17"/>
      <c r="D36" s="50" t="s">
        <v>467</v>
      </c>
      <c r="E36" s="50" t="s">
        <v>1310</v>
      </c>
      <c r="F36" s="50" t="s">
        <v>403</v>
      </c>
      <c r="G36" s="50" t="s">
        <v>62</v>
      </c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55"/>
    </row>
    <row r="37" spans="2:22" s="6" customFormat="1" ht="80.099999999999994" customHeight="1">
      <c r="B37" s="19">
        <f>B33+1</f>
        <v>9</v>
      </c>
      <c r="D37" s="39" t="s">
        <v>1201</v>
      </c>
      <c r="E37" s="39" t="s">
        <v>1202</v>
      </c>
      <c r="F37" s="39" t="s">
        <v>1203</v>
      </c>
      <c r="G37" s="39" t="s">
        <v>1204</v>
      </c>
      <c r="H37" s="39" t="s">
        <v>30</v>
      </c>
      <c r="I37" s="39" t="str">
        <f>CHAR(10)</f>
        <v xml:space="preserve">
</v>
      </c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55"/>
    </row>
    <row r="38" spans="2:22" s="6" customFormat="1" ht="36" customHeight="1">
      <c r="B38" s="21"/>
      <c r="D38" s="51" t="s">
        <v>1416</v>
      </c>
      <c r="E38" s="51" t="s">
        <v>1417</v>
      </c>
      <c r="F38" s="51" t="s">
        <v>403</v>
      </c>
      <c r="G38" s="51" t="s">
        <v>1386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55"/>
    </row>
    <row r="39" spans="2:22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55"/>
    </row>
    <row r="40" spans="2:22" s="6" customFormat="1" ht="36" customHeight="1">
      <c r="B40" s="17"/>
      <c r="D40" s="50" t="s">
        <v>312</v>
      </c>
      <c r="E40" s="50" t="s">
        <v>312</v>
      </c>
      <c r="F40" s="50" t="s">
        <v>1255</v>
      </c>
      <c r="G40" s="50" t="s">
        <v>1313</v>
      </c>
      <c r="H40" s="50"/>
      <c r="I40" s="50" t="s">
        <v>40</v>
      </c>
      <c r="J40" s="50" t="s">
        <v>477</v>
      </c>
      <c r="K40" s="50" t="s">
        <v>1316</v>
      </c>
      <c r="L40" s="50" t="s">
        <v>1318</v>
      </c>
      <c r="M40" s="50"/>
      <c r="N40" s="50" t="s">
        <v>416</v>
      </c>
      <c r="O40" s="50" t="s">
        <v>1320</v>
      </c>
      <c r="P40" s="50" t="s">
        <v>319</v>
      </c>
      <c r="Q40" s="50" t="s">
        <v>1322</v>
      </c>
      <c r="R40" s="50"/>
      <c r="S40" s="18"/>
      <c r="V40" s="55"/>
    </row>
    <row r="41" spans="2:22" s="6" customFormat="1" ht="80.099999999999994" customHeight="1">
      <c r="B41" s="19">
        <f>B37+1</f>
        <v>10</v>
      </c>
      <c r="D41" s="39" t="s">
        <v>35</v>
      </c>
      <c r="E41" s="39" t="s">
        <v>35</v>
      </c>
      <c r="F41" s="39" t="s">
        <v>1175</v>
      </c>
      <c r="G41" s="39" t="s">
        <v>167</v>
      </c>
      <c r="H41" s="39" t="s">
        <v>23</v>
      </c>
      <c r="I41" s="39" t="s">
        <v>252</v>
      </c>
      <c r="J41" s="39" t="s">
        <v>285</v>
      </c>
      <c r="K41" s="39" t="s">
        <v>1205</v>
      </c>
      <c r="L41" s="39" t="s">
        <v>1206</v>
      </c>
      <c r="M41" s="39" t="s">
        <v>161</v>
      </c>
      <c r="N41" s="39" t="s">
        <v>203</v>
      </c>
      <c r="O41" s="39" t="s">
        <v>1207</v>
      </c>
      <c r="P41" s="39" t="s">
        <v>1208</v>
      </c>
      <c r="Q41" s="39" t="s">
        <v>1209</v>
      </c>
      <c r="R41" s="39" t="s">
        <v>23</v>
      </c>
      <c r="S41" s="20"/>
      <c r="V41" s="55"/>
    </row>
    <row r="42" spans="2:22" s="6" customFormat="1" ht="36" customHeight="1">
      <c r="B42" s="21"/>
      <c r="D42" s="51" t="s">
        <v>1410</v>
      </c>
      <c r="E42" s="51" t="s">
        <v>1410</v>
      </c>
      <c r="F42" s="51" t="s">
        <v>1390</v>
      </c>
      <c r="G42" s="51" t="s">
        <v>1418</v>
      </c>
      <c r="H42" s="51"/>
      <c r="I42" s="51" t="s">
        <v>1388</v>
      </c>
      <c r="J42" s="51" t="s">
        <v>1419</v>
      </c>
      <c r="K42" s="51" t="s">
        <v>1420</v>
      </c>
      <c r="L42" s="51" t="s">
        <v>1421</v>
      </c>
      <c r="M42" s="51"/>
      <c r="N42" s="51" t="s">
        <v>416</v>
      </c>
      <c r="O42" s="51" t="s">
        <v>1422</v>
      </c>
      <c r="P42" s="51" t="s">
        <v>1423</v>
      </c>
      <c r="Q42" s="51" t="s">
        <v>1322</v>
      </c>
      <c r="R42" s="51"/>
      <c r="S42" s="29"/>
      <c r="V42" s="55"/>
    </row>
    <row r="43" spans="2:22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55"/>
    </row>
    <row r="44" spans="2:22" s="6" customFormat="1" ht="36" customHeight="1">
      <c r="B44" s="17"/>
      <c r="D44" s="50" t="s">
        <v>387</v>
      </c>
      <c r="E44" s="50" t="s">
        <v>1316</v>
      </c>
      <c r="F44" s="50" t="s">
        <v>1325</v>
      </c>
      <c r="G44" s="50" t="s">
        <v>1327</v>
      </c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18"/>
      <c r="V44" s="55"/>
    </row>
    <row r="45" spans="2:22" s="6" customFormat="1" ht="80.099999999999994" customHeight="1">
      <c r="B45" s="19">
        <f>B41+1</f>
        <v>11</v>
      </c>
      <c r="D45" s="39" t="s">
        <v>168</v>
      </c>
      <c r="E45" s="39" t="s">
        <v>1205</v>
      </c>
      <c r="F45" s="39" t="s">
        <v>1210</v>
      </c>
      <c r="G45" s="39" t="s">
        <v>1211</v>
      </c>
      <c r="H45" s="39" t="s">
        <v>30</v>
      </c>
      <c r="I45" s="39" t="str">
        <f>CHAR(10)</f>
        <v xml:space="preserve">
</v>
      </c>
      <c r="J45" s="39"/>
      <c r="K45" s="39"/>
      <c r="L45" s="39"/>
      <c r="M45" s="39"/>
      <c r="N45" s="39"/>
      <c r="O45" s="39"/>
      <c r="P45" s="39"/>
      <c r="Q45" s="39"/>
      <c r="R45" s="39"/>
      <c r="S45" s="20"/>
      <c r="V45" s="55"/>
    </row>
    <row r="46" spans="2:22" s="6" customFormat="1" ht="36" customHeight="1">
      <c r="B46" s="21"/>
      <c r="D46" s="51" t="s">
        <v>1424</v>
      </c>
      <c r="E46" s="51" t="s">
        <v>1420</v>
      </c>
      <c r="F46" s="51" t="s">
        <v>1425</v>
      </c>
      <c r="G46" s="51" t="s">
        <v>1327</v>
      </c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29"/>
      <c r="V46" s="55"/>
    </row>
    <row r="47" spans="2:22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5"/>
    </row>
    <row r="48" spans="2:22" s="6" customFormat="1" ht="36" customHeight="1">
      <c r="B48" s="17"/>
      <c r="D48" s="50" t="s">
        <v>311</v>
      </c>
      <c r="E48" s="50" t="s">
        <v>1329</v>
      </c>
      <c r="F48" s="50" t="s">
        <v>1273</v>
      </c>
      <c r="G48" s="50" t="s">
        <v>361</v>
      </c>
      <c r="H48" s="50"/>
      <c r="I48" s="50" t="s">
        <v>1331</v>
      </c>
      <c r="J48" s="50" t="s">
        <v>1333</v>
      </c>
      <c r="K48" s="50" t="s">
        <v>1334</v>
      </c>
      <c r="L48" s="50" t="s">
        <v>1336</v>
      </c>
      <c r="M48" s="50"/>
      <c r="N48" s="50" t="s">
        <v>1338</v>
      </c>
      <c r="O48" s="50" t="s">
        <v>1340</v>
      </c>
      <c r="P48" s="50" t="s">
        <v>1341</v>
      </c>
      <c r="Q48" s="50" t="s">
        <v>1343</v>
      </c>
      <c r="R48" s="50"/>
      <c r="S48" s="18"/>
      <c r="V48" s="55"/>
    </row>
    <row r="49" spans="2:22" s="6" customFormat="1" ht="80.099999999999994" customHeight="1">
      <c r="B49" s="19">
        <f>B45+1</f>
        <v>12</v>
      </c>
      <c r="D49" s="39" t="s">
        <v>79</v>
      </c>
      <c r="E49" s="39" t="s">
        <v>1212</v>
      </c>
      <c r="F49" s="39" t="s">
        <v>1213</v>
      </c>
      <c r="G49" s="39" t="s">
        <v>1214</v>
      </c>
      <c r="H49" s="39" t="s">
        <v>23</v>
      </c>
      <c r="I49" s="39" t="s">
        <v>1215</v>
      </c>
      <c r="J49" s="39" t="s">
        <v>1216</v>
      </c>
      <c r="K49" s="39" t="s">
        <v>1217</v>
      </c>
      <c r="L49" s="39" t="s">
        <v>1218</v>
      </c>
      <c r="M49" s="39" t="s">
        <v>30</v>
      </c>
      <c r="N49" s="39" t="s">
        <v>1219</v>
      </c>
      <c r="O49" s="39" t="s">
        <v>1220</v>
      </c>
      <c r="P49" s="39" t="s">
        <v>1221</v>
      </c>
      <c r="Q49" s="39" t="s">
        <v>1222</v>
      </c>
      <c r="R49" s="39" t="s">
        <v>23</v>
      </c>
      <c r="S49" s="20"/>
      <c r="V49" s="55"/>
    </row>
    <row r="50" spans="2:22" s="6" customFormat="1" ht="36" customHeight="1">
      <c r="B50" s="21"/>
      <c r="D50" s="51" t="s">
        <v>311</v>
      </c>
      <c r="E50" s="51" t="s">
        <v>1426</v>
      </c>
      <c r="F50" s="51" t="s">
        <v>1399</v>
      </c>
      <c r="G50" s="51" t="s">
        <v>1427</v>
      </c>
      <c r="H50" s="51"/>
      <c r="I50" s="51" t="s">
        <v>1331</v>
      </c>
      <c r="J50" s="51" t="s">
        <v>1333</v>
      </c>
      <c r="K50" s="51" t="s">
        <v>1428</v>
      </c>
      <c r="L50" s="51" t="s">
        <v>1336</v>
      </c>
      <c r="M50" s="51"/>
      <c r="N50" s="51" t="s">
        <v>1429</v>
      </c>
      <c r="O50" s="51" t="s">
        <v>1430</v>
      </c>
      <c r="P50" s="51" t="s">
        <v>1431</v>
      </c>
      <c r="Q50" s="51" t="s">
        <v>1343</v>
      </c>
      <c r="R50" s="51"/>
      <c r="S50" s="29"/>
      <c r="V50" s="55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5"/>
    </row>
    <row r="52" spans="2:22" s="6" customFormat="1" ht="36" customHeight="1">
      <c r="B52" s="17"/>
      <c r="D52" s="50" t="s">
        <v>452</v>
      </c>
      <c r="E52" s="50" t="s">
        <v>1345</v>
      </c>
      <c r="F52" s="50" t="s">
        <v>1347</v>
      </c>
      <c r="G52" s="50" t="s">
        <v>1349</v>
      </c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55"/>
    </row>
    <row r="53" spans="2:22" s="6" customFormat="1" ht="80.099999999999994" customHeight="1">
      <c r="B53" s="19">
        <f>B49+1</f>
        <v>13</v>
      </c>
      <c r="D53" s="39" t="s">
        <v>253</v>
      </c>
      <c r="E53" s="39" t="s">
        <v>1223</v>
      </c>
      <c r="F53" s="39" t="s">
        <v>94</v>
      </c>
      <c r="G53" s="39" t="s">
        <v>1224</v>
      </c>
      <c r="H53" s="39" t="s">
        <v>30</v>
      </c>
      <c r="I53" s="39" t="str">
        <f>CHAR(10)</f>
        <v xml:space="preserve">
</v>
      </c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55"/>
    </row>
    <row r="54" spans="2:22" s="6" customFormat="1" ht="36" customHeight="1">
      <c r="B54" s="21"/>
      <c r="D54" s="51" t="s">
        <v>1402</v>
      </c>
      <c r="E54" s="51" t="s">
        <v>1345</v>
      </c>
      <c r="F54" s="51" t="s">
        <v>1432</v>
      </c>
      <c r="G54" s="51" t="s">
        <v>1349</v>
      </c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55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5"/>
    </row>
    <row r="56" spans="2:22" s="6" customFormat="1" ht="36" customHeight="1">
      <c r="B56" s="17"/>
      <c r="D56" s="50" t="s">
        <v>1313</v>
      </c>
      <c r="E56" s="50" t="s">
        <v>312</v>
      </c>
      <c r="F56" s="50" t="s">
        <v>62</v>
      </c>
      <c r="G56" s="50" t="s">
        <v>1352</v>
      </c>
      <c r="H56" s="50"/>
      <c r="I56" s="50" t="s">
        <v>1354</v>
      </c>
      <c r="J56" s="50" t="s">
        <v>1356</v>
      </c>
      <c r="K56" s="50" t="s">
        <v>371</v>
      </c>
      <c r="L56" s="50" t="s">
        <v>384</v>
      </c>
      <c r="M56" s="50"/>
      <c r="N56" s="50" t="s">
        <v>1360</v>
      </c>
      <c r="O56" s="50" t="s">
        <v>1362</v>
      </c>
      <c r="P56" s="50" t="s">
        <v>1364</v>
      </c>
      <c r="Q56" s="50" t="s">
        <v>1366</v>
      </c>
      <c r="R56" s="50"/>
      <c r="S56" s="18"/>
      <c r="V56" s="55"/>
    </row>
    <row r="57" spans="2:22" s="6" customFormat="1" ht="80.099999999999994" customHeight="1">
      <c r="B57" s="19">
        <f>B53+1</f>
        <v>14</v>
      </c>
      <c r="D57" s="39" t="s">
        <v>167</v>
      </c>
      <c r="E57" s="39" t="s">
        <v>35</v>
      </c>
      <c r="F57" s="39" t="s">
        <v>177</v>
      </c>
      <c r="G57" s="39" t="s">
        <v>1225</v>
      </c>
      <c r="H57" s="39" t="s">
        <v>23</v>
      </c>
      <c r="I57" s="39" t="s">
        <v>1226</v>
      </c>
      <c r="J57" s="39" t="s">
        <v>1227</v>
      </c>
      <c r="K57" s="39" t="s">
        <v>147</v>
      </c>
      <c r="L57" s="39" t="s">
        <v>1228</v>
      </c>
      <c r="M57" s="39" t="s">
        <v>30</v>
      </c>
      <c r="N57" s="39" t="s">
        <v>1229</v>
      </c>
      <c r="O57" s="39" t="s">
        <v>1230</v>
      </c>
      <c r="P57" s="39" t="s">
        <v>1231</v>
      </c>
      <c r="Q57" s="39" t="s">
        <v>1232</v>
      </c>
      <c r="R57" s="39" t="s">
        <v>23</v>
      </c>
      <c r="S57" s="20"/>
      <c r="V57" s="55"/>
    </row>
    <row r="58" spans="2:22" s="6" customFormat="1" ht="36" customHeight="1">
      <c r="B58" s="21"/>
      <c r="D58" s="51" t="s">
        <v>1418</v>
      </c>
      <c r="E58" s="51" t="s">
        <v>1410</v>
      </c>
      <c r="F58" s="51" t="s">
        <v>1386</v>
      </c>
      <c r="G58" s="51" t="s">
        <v>1352</v>
      </c>
      <c r="H58" s="51"/>
      <c r="I58" s="51" t="s">
        <v>1354</v>
      </c>
      <c r="J58" s="51" t="s">
        <v>1433</v>
      </c>
      <c r="K58" s="51" t="s">
        <v>371</v>
      </c>
      <c r="L58" s="51" t="s">
        <v>384</v>
      </c>
      <c r="M58" s="51"/>
      <c r="N58" s="51" t="s">
        <v>1434</v>
      </c>
      <c r="O58" s="51" t="s">
        <v>1362</v>
      </c>
      <c r="P58" s="51" t="s">
        <v>1364</v>
      </c>
      <c r="Q58" s="51" t="s">
        <v>1366</v>
      </c>
      <c r="R58" s="51"/>
      <c r="S58" s="29"/>
      <c r="V58" s="55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5"/>
    </row>
    <row r="60" spans="2:22" s="6" customFormat="1" ht="36" customHeight="1">
      <c r="B60" s="17"/>
      <c r="D60" s="50" t="s">
        <v>40</v>
      </c>
      <c r="E60" s="50" t="s">
        <v>418</v>
      </c>
      <c r="F60" s="50" t="s">
        <v>1316</v>
      </c>
      <c r="G60" s="50" t="s">
        <v>496</v>
      </c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55"/>
    </row>
    <row r="61" spans="2:22" s="6" customFormat="1" ht="80.099999999999994" customHeight="1">
      <c r="B61" s="19">
        <f>B57+1</f>
        <v>15</v>
      </c>
      <c r="D61" s="39" t="s">
        <v>252</v>
      </c>
      <c r="E61" s="39" t="s">
        <v>1233</v>
      </c>
      <c r="F61" s="39" t="s">
        <v>1205</v>
      </c>
      <c r="G61" s="39" t="s">
        <v>1234</v>
      </c>
      <c r="H61" s="39" t="s">
        <v>161</v>
      </c>
      <c r="I61" s="39" t="str">
        <f>CHAR(10)</f>
        <v xml:space="preserve">
</v>
      </c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5"/>
    </row>
    <row r="62" spans="2:22" s="6" customFormat="1" ht="36" customHeight="1">
      <c r="B62" s="21"/>
      <c r="D62" s="51" t="s">
        <v>1388</v>
      </c>
      <c r="E62" s="51" t="s">
        <v>1435</v>
      </c>
      <c r="F62" s="51" t="s">
        <v>1420</v>
      </c>
      <c r="G62" s="51" t="s">
        <v>496</v>
      </c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55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5"/>
    </row>
    <row r="64" spans="2:22" s="6" customFormat="1" ht="36" customHeight="1">
      <c r="B64" s="17"/>
      <c r="D64" s="50" t="s">
        <v>348</v>
      </c>
      <c r="E64" s="50" t="s">
        <v>387</v>
      </c>
      <c r="F64" s="50" t="s">
        <v>1369</v>
      </c>
      <c r="G64" s="50" t="s">
        <v>50</v>
      </c>
      <c r="H64" s="50"/>
      <c r="I64" s="50" t="s">
        <v>1371</v>
      </c>
      <c r="J64" s="50" t="s">
        <v>387</v>
      </c>
      <c r="K64" s="50" t="s">
        <v>1369</v>
      </c>
      <c r="L64" s="50" t="s">
        <v>1373</v>
      </c>
      <c r="M64" s="50"/>
      <c r="N64" s="50" t="s">
        <v>1374</v>
      </c>
      <c r="O64" s="50" t="s">
        <v>429</v>
      </c>
      <c r="P64" s="50" t="s">
        <v>1376</v>
      </c>
      <c r="Q64" s="50" t="s">
        <v>1378</v>
      </c>
      <c r="R64" s="50"/>
      <c r="S64" s="18"/>
      <c r="V64" s="55"/>
    </row>
    <row r="65" spans="2:22" s="6" customFormat="1" ht="80.099999999999994" customHeight="1">
      <c r="B65" s="19">
        <f>B61+1</f>
        <v>16</v>
      </c>
      <c r="D65" s="39" t="s">
        <v>119</v>
      </c>
      <c r="E65" s="39" t="s">
        <v>168</v>
      </c>
      <c r="F65" s="39" t="s">
        <v>1235</v>
      </c>
      <c r="G65" s="39" t="s">
        <v>25</v>
      </c>
      <c r="H65" s="39" t="s">
        <v>23</v>
      </c>
      <c r="I65" s="39" t="s">
        <v>1236</v>
      </c>
      <c r="J65" s="39" t="s">
        <v>168</v>
      </c>
      <c r="K65" s="39" t="s">
        <v>1235</v>
      </c>
      <c r="L65" s="39" t="s">
        <v>1237</v>
      </c>
      <c r="M65" s="39" t="s">
        <v>30</v>
      </c>
      <c r="N65" s="39" t="s">
        <v>1238</v>
      </c>
      <c r="O65" s="39" t="s">
        <v>1239</v>
      </c>
      <c r="P65" s="39" t="s">
        <v>1240</v>
      </c>
      <c r="Q65" s="39" t="s">
        <v>1241</v>
      </c>
      <c r="R65" s="39" t="s">
        <v>23</v>
      </c>
      <c r="S65" s="20"/>
      <c r="V65" s="55"/>
    </row>
    <row r="66" spans="2:22" s="6" customFormat="1" ht="36" customHeight="1">
      <c r="B66" s="21"/>
      <c r="D66" s="51" t="s">
        <v>348</v>
      </c>
      <c r="E66" s="51" t="s">
        <v>1424</v>
      </c>
      <c r="F66" s="51" t="s">
        <v>1369</v>
      </c>
      <c r="G66" s="51" t="s">
        <v>1381</v>
      </c>
      <c r="H66" s="51"/>
      <c r="I66" s="51" t="s">
        <v>1371</v>
      </c>
      <c r="J66" s="51" t="s">
        <v>1424</v>
      </c>
      <c r="K66" s="51" t="s">
        <v>1369</v>
      </c>
      <c r="L66" s="51" t="s">
        <v>1436</v>
      </c>
      <c r="M66" s="51"/>
      <c r="N66" s="51" t="s">
        <v>1437</v>
      </c>
      <c r="O66" s="51" t="s">
        <v>1438</v>
      </c>
      <c r="P66" s="51" t="s">
        <v>1439</v>
      </c>
      <c r="Q66" s="51" t="s">
        <v>405</v>
      </c>
      <c r="R66" s="51"/>
      <c r="S66" s="29"/>
      <c r="V66" s="55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5"/>
    </row>
    <row r="68" spans="2:22" s="6" customFormat="1" ht="36" customHeight="1">
      <c r="B68" s="17"/>
      <c r="D68" s="50" t="s">
        <v>428</v>
      </c>
      <c r="E68" s="50" t="s">
        <v>427</v>
      </c>
      <c r="F68" s="50" t="s">
        <v>483</v>
      </c>
      <c r="G68" s="50" t="s">
        <v>452</v>
      </c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55"/>
    </row>
    <row r="69" spans="2:22" s="6" customFormat="1" ht="80.099999999999994" customHeight="1">
      <c r="B69" s="19">
        <f>B65+1</f>
        <v>17</v>
      </c>
      <c r="D69" s="39" t="s">
        <v>218</v>
      </c>
      <c r="E69" s="39" t="s">
        <v>217</v>
      </c>
      <c r="F69" s="39" t="s">
        <v>299</v>
      </c>
      <c r="G69" s="39" t="s">
        <v>253</v>
      </c>
      <c r="H69" s="39" t="s">
        <v>30</v>
      </c>
      <c r="I69" s="39" t="str">
        <f>CHAR(10)</f>
        <v xml:space="preserve">
</v>
      </c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5"/>
    </row>
    <row r="70" spans="2:22" s="6" customFormat="1" ht="36" customHeight="1">
      <c r="B70" s="21"/>
      <c r="D70" s="51" t="s">
        <v>1440</v>
      </c>
      <c r="E70" s="51" t="s">
        <v>427</v>
      </c>
      <c r="F70" s="51" t="s">
        <v>1441</v>
      </c>
      <c r="G70" s="51" t="s">
        <v>1402</v>
      </c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55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5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55"/>
    </row>
    <row r="73" spans="2:22" s="6" customFormat="1" ht="80.099999999999994" customHeight="1">
      <c r="B73" s="19">
        <f>B69+1</f>
        <v>18</v>
      </c>
      <c r="D73" s="39" t="s">
        <v>38</v>
      </c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5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55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5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55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5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55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5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55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5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56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mergeCells count="1">
    <mergeCell ref="V3:V82"/>
  </mergeCells>
  <phoneticPr fontId="1" type="noConversion"/>
  <conditionalFormatting sqref="D3:R3">
    <cfRule type="expression" dxfId="117" priority="99">
      <formula>顯示注音輸入</formula>
    </cfRule>
    <cfRule type="expression" dxfId="116" priority="100">
      <formula>"'= TRUE(顯示注音輸入)"</formula>
    </cfRule>
  </conditionalFormatting>
  <conditionalFormatting sqref="D7:R7">
    <cfRule type="expression" dxfId="115" priority="60">
      <formula>"'= TRUE(顯示注音輸入)"</formula>
    </cfRule>
    <cfRule type="expression" dxfId="114" priority="59">
      <formula>顯示注音輸入</formula>
    </cfRule>
  </conditionalFormatting>
  <conditionalFormatting sqref="D11:R11">
    <cfRule type="expression" dxfId="113" priority="58">
      <formula>"'= TRUE(顯示注音輸入)"</formula>
    </cfRule>
    <cfRule type="expression" dxfId="112" priority="57">
      <formula>顯示注音輸入</formula>
    </cfRule>
  </conditionalFormatting>
  <conditionalFormatting sqref="D15:R15">
    <cfRule type="expression" dxfId="111" priority="56">
      <formula>"'= TRUE(顯示注音輸入)"</formula>
    </cfRule>
    <cfRule type="expression" dxfId="110" priority="55">
      <formula>顯示注音輸入</formula>
    </cfRule>
  </conditionalFormatting>
  <conditionalFormatting sqref="D19:R19">
    <cfRule type="expression" dxfId="109" priority="54">
      <formula>"'= TRUE(顯示注音輸入)"</formula>
    </cfRule>
    <cfRule type="expression" dxfId="108" priority="53">
      <formula>顯示注音輸入</formula>
    </cfRule>
  </conditionalFormatting>
  <conditionalFormatting sqref="D23:R23">
    <cfRule type="expression" dxfId="107" priority="52">
      <formula>"'= TRUE(顯示注音輸入)"</formula>
    </cfRule>
    <cfRule type="expression" dxfId="106" priority="51">
      <formula>顯示注音輸入</formula>
    </cfRule>
  </conditionalFormatting>
  <conditionalFormatting sqref="D27:R27">
    <cfRule type="expression" dxfId="105" priority="50">
      <formula>"'= TRUE(顯示注音輸入)"</formula>
    </cfRule>
    <cfRule type="expression" dxfId="104" priority="49">
      <formula>顯示注音輸入</formula>
    </cfRule>
  </conditionalFormatting>
  <conditionalFormatting sqref="D31:R31">
    <cfRule type="expression" dxfId="103" priority="48">
      <formula>"'= TRUE(顯示注音輸入)"</formula>
    </cfRule>
    <cfRule type="expression" dxfId="102" priority="47">
      <formula>顯示注音輸入</formula>
    </cfRule>
  </conditionalFormatting>
  <conditionalFormatting sqref="D35:R35">
    <cfRule type="expression" dxfId="101" priority="45">
      <formula>顯示注音輸入</formula>
    </cfRule>
    <cfRule type="expression" dxfId="100" priority="46">
      <formula>"'= TRUE(顯示注音輸入)"</formula>
    </cfRule>
  </conditionalFormatting>
  <conditionalFormatting sqref="D39:R39">
    <cfRule type="expression" dxfId="99" priority="44">
      <formula>"'= TRUE(顯示注音輸入)"</formula>
    </cfRule>
    <cfRule type="expression" dxfId="98" priority="43">
      <formula>顯示注音輸入</formula>
    </cfRule>
  </conditionalFormatting>
  <conditionalFormatting sqref="D43:R43">
    <cfRule type="expression" dxfId="97" priority="42">
      <formula>"'= TRUE(顯示注音輸入)"</formula>
    </cfRule>
    <cfRule type="expression" dxfId="96" priority="41">
      <formula>顯示注音輸入</formula>
    </cfRule>
  </conditionalFormatting>
  <conditionalFormatting sqref="D47:R47">
    <cfRule type="expression" dxfId="95" priority="39">
      <formula>顯示注音輸入</formula>
    </cfRule>
    <cfRule type="expression" dxfId="94" priority="40">
      <formula>"'= TRUE(顯示注音輸入)"</formula>
    </cfRule>
  </conditionalFormatting>
  <conditionalFormatting sqref="D51:R51">
    <cfRule type="expression" dxfId="93" priority="38">
      <formula>"'= TRUE(顯示注音輸入)"</formula>
    </cfRule>
    <cfRule type="expression" dxfId="92" priority="37">
      <formula>顯示注音輸入</formula>
    </cfRule>
  </conditionalFormatting>
  <conditionalFormatting sqref="D55:R55">
    <cfRule type="expression" dxfId="91" priority="36">
      <formula>"'= TRUE(顯示注音輸入)"</formula>
    </cfRule>
    <cfRule type="expression" dxfId="90" priority="35">
      <formula>顯示注音輸入</formula>
    </cfRule>
  </conditionalFormatting>
  <conditionalFormatting sqref="D59:R59">
    <cfRule type="expression" dxfId="89" priority="33">
      <formula>顯示注音輸入</formula>
    </cfRule>
    <cfRule type="expression" dxfId="88" priority="34">
      <formula>"'= TRUE(顯示注音輸入)"</formula>
    </cfRule>
  </conditionalFormatting>
  <conditionalFormatting sqref="D63:R63">
    <cfRule type="expression" dxfId="87" priority="32">
      <formula>"'= TRUE(顯示注音輸入)"</formula>
    </cfRule>
    <cfRule type="expression" dxfId="86" priority="31">
      <formula>顯示注音輸入</formula>
    </cfRule>
  </conditionalFormatting>
  <conditionalFormatting sqref="D67:R67">
    <cfRule type="expression" dxfId="85" priority="30">
      <formula>"'= TRUE(顯示注音輸入)"</formula>
    </cfRule>
    <cfRule type="expression" dxfId="84" priority="29">
      <formula>顯示注音輸入</formula>
    </cfRule>
  </conditionalFormatting>
  <conditionalFormatting sqref="D71:R71">
    <cfRule type="expression" dxfId="83" priority="27">
      <formula>顯示注音輸入</formula>
    </cfRule>
    <cfRule type="expression" dxfId="82" priority="28">
      <formula>"'= TRUE(顯示注音輸入)"</formula>
    </cfRule>
  </conditionalFormatting>
  <conditionalFormatting sqref="D75:R75">
    <cfRule type="expression" dxfId="81" priority="26">
      <formula>"'= TRUE(顯示注音輸入)"</formula>
    </cfRule>
    <cfRule type="expression" dxfId="80" priority="25">
      <formula>顯示注音輸入</formula>
    </cfRule>
  </conditionalFormatting>
  <conditionalFormatting sqref="D79:R79">
    <cfRule type="expression" dxfId="79" priority="24">
      <formula>"'= TRUE(顯示注音輸入)"</formula>
    </cfRule>
    <cfRule type="expression" dxfId="78" priority="23">
      <formula>顯示注音輸入</formula>
    </cfRule>
  </conditionalFormatting>
  <conditionalFormatting sqref="D83:R83">
    <cfRule type="expression" dxfId="77" priority="21">
      <formula>顯示注音輸入</formula>
    </cfRule>
    <cfRule type="expression" dxfId="76" priority="22">
      <formula>"'= TRUE(顯示注音輸入)"</formula>
    </cfRule>
  </conditionalFormatting>
  <conditionalFormatting sqref="D87:R87">
    <cfRule type="expression" dxfId="75" priority="20">
      <formula>"'= TRUE(顯示注音輸入)"</formula>
    </cfRule>
    <cfRule type="expression" dxfId="74" priority="19">
      <formula>顯示注音輸入</formula>
    </cfRule>
  </conditionalFormatting>
  <conditionalFormatting sqref="D91:R91">
    <cfRule type="expression" dxfId="73" priority="18">
      <formula>"'= TRUE(顯示注音輸入)"</formula>
    </cfRule>
    <cfRule type="expression" dxfId="72" priority="17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1" priority="2">
      <formula>"'= TRUE(顯示注音輸入)"</formula>
    </cfRule>
    <cfRule type="expression" dxfId="70" priority="1">
      <formula>顯示注音輸入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57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57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57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7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57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57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57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7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57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57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57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7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57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57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57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7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57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57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58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mergeCells count="1">
    <mergeCell ref="V3:V22"/>
  </mergeCells>
  <phoneticPr fontId="1" type="noConversion"/>
  <conditionalFormatting sqref="D3:R3">
    <cfRule type="expression" dxfId="69" priority="60">
      <formula>"'= TRUE(顯示注音輸入)"</formula>
    </cfRule>
    <cfRule type="expression" dxfId="68" priority="59">
      <formula>顯示注音輸入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4">
      <formula>"'= TRUE(顯示注音輸入)"</formula>
    </cfRule>
    <cfRule type="expression" dxfId="62" priority="53">
      <formula>顯示注音輸入</formula>
    </cfRule>
  </conditionalFormatting>
  <conditionalFormatting sqref="D19:R19">
    <cfRule type="expression" dxfId="61" priority="52">
      <formula>"'= TRUE(顯示注音輸入)"</formula>
    </cfRule>
    <cfRule type="expression" dxfId="60" priority="51">
      <formula>顯示注音輸入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8">
      <formula>"'= TRUE(顯示注音輸入)"</formula>
    </cfRule>
    <cfRule type="expression" dxfId="56" priority="47">
      <formula>顯示注音輸入</formula>
    </cfRule>
  </conditionalFormatting>
  <conditionalFormatting sqref="D31:R31">
    <cfRule type="expression" dxfId="55" priority="46">
      <formula>"'= TRUE(顯示注音輸入)"</formula>
    </cfRule>
    <cfRule type="expression" dxfId="54" priority="45">
      <formula>顯示注音輸入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2">
      <formula>"'= TRUE(顯示注音輸入)"</formula>
    </cfRule>
    <cfRule type="expression" dxfId="50" priority="41">
      <formula>顯示注音輸入</formula>
    </cfRule>
  </conditionalFormatting>
  <conditionalFormatting sqref="D43:R43">
    <cfRule type="expression" dxfId="49" priority="40">
      <formula>"'= TRUE(顯示注音輸入)"</formula>
    </cfRule>
    <cfRule type="expression" dxfId="48" priority="39">
      <formula>顯示注音輸入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4">
      <formula>"'= TRUE(顯示注音輸入)"</formula>
    </cfRule>
    <cfRule type="expression" dxfId="42" priority="33">
      <formula>顯示注音輸入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30">
      <formula>"'= TRUE(顯示注音輸入)"</formula>
    </cfRule>
    <cfRule type="expression" dxfId="38" priority="29">
      <formula>顯示注音輸入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4">
      <formula>"'= TRUE(顯示注音輸入)"</formula>
    </cfRule>
    <cfRule type="expression" dxfId="32" priority="23">
      <formula>顯示注音輸入</formula>
    </cfRule>
  </conditionalFormatting>
  <conditionalFormatting sqref="D79:R79">
    <cfRule type="expression" dxfId="31" priority="22">
      <formula>"'= TRUE(顯示注音輸入)"</formula>
    </cfRule>
    <cfRule type="expression" dxfId="30" priority="21">
      <formula>顯示注音輸入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6">
      <formula>"'= TRUE(顯示注音輸入)"</formula>
    </cfRule>
    <cfRule type="expression" dxfId="24" priority="15">
      <formula>顯示注音輸入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2">
      <formula>"'= TRUE(顯示注音輸入)"</formula>
    </cfRule>
    <cfRule type="expression" dxfId="20" priority="11">
      <formula>顯示注音輸入</formula>
    </cfRule>
  </conditionalFormatting>
  <conditionalFormatting sqref="D103:R103">
    <cfRule type="expression" dxfId="19" priority="10">
      <formula>"'= TRUE(顯示注音輸入)"</formula>
    </cfRule>
    <cfRule type="expression" dxfId="18" priority="9">
      <formula>顯示注音輸入</formula>
    </cfRule>
  </conditionalFormatting>
  <conditionalFormatting sqref="D107:R107">
    <cfRule type="expression" dxfId="17" priority="8">
      <formula>"'= TRUE(顯示注音輸入)"</formula>
    </cfRule>
    <cfRule type="expression" dxfId="16" priority="7">
      <formula>顯示注音輸入</formula>
    </cfRule>
  </conditionalFormatting>
  <conditionalFormatting sqref="D111:R111">
    <cfRule type="expression" dxfId="15" priority="6">
      <formula>"'= TRUE(顯示注音輸入)"</formula>
    </cfRule>
    <cfRule type="expression" dxfId="14" priority="5">
      <formula>顯示注音輸入</formula>
    </cfRule>
  </conditionalFormatting>
  <conditionalFormatting sqref="D115:R115">
    <cfRule type="expression" dxfId="13" priority="4">
      <formula>"'= TRUE(顯示注音輸入)"</formula>
    </cfRule>
    <cfRule type="expression" dxfId="12" priority="3">
      <formula>顯示注音輸入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20</vt:i4>
      </vt:variant>
    </vt:vector>
  </HeadingPairs>
  <TitlesOfParts>
    <vt:vector size="27" baseType="lpstr">
      <vt:lpstr>env</vt:lpstr>
      <vt:lpstr>標音字庫</vt:lpstr>
      <vt:lpstr>缺字表</vt:lpstr>
      <vt:lpstr>漢字注音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2025-12-10T06:00:09Z</dcterms:modified>
</cp:coreProperties>
</file>