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CA4DC18A-4AA4-4ACC-96DD-1F1914AEC483}" xr6:coauthVersionLast="47" xr6:coauthVersionMax="47" xr10:uidLastSave="{00000000-0000-0000-0000-000000000000}"/>
  <bookViews>
    <workbookView xWindow="-120" yWindow="-120" windowWidth="29040" windowHeight="15720" activeTab="2" xr2:uid="{25A76161-EFED-4AC8-8EAA-A42737AE1909}"/>
  </bookViews>
  <sheets>
    <sheet name="env" sheetId="8" r:id="rId1"/>
    <sheet name="缺字表" sheetId="136" r:id="rId2"/>
    <sheet name="標音字庫" sheetId="135" r:id="rId3"/>
    <sheet name="人工標音字庫" sheetId="134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" i="9" l="1"/>
  <c r="Q13" i="9"/>
  <c r="R9" i="9"/>
  <c r="R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<sst xmlns="http://schemas.openxmlformats.org/spreadsheetml/2006/main" count="331" uniqueCount="181">
  <si>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</si>
  <si>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</si>
  <si>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</si>
  <si>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</si>
  <si>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</si>
  <si>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</si>
  <si>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</si>
  <si>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</si>
  <si>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</si>
  <si>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</si>
  <si>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</si>
  <si>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</si>
  <si>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</si>
  <si>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</si>
  <si>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</si>
  <si>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</si>
  <si>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</si>
  <si>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</si>
  <si>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</si>
  <si>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</si>
  <si>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</si>
  <si>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</si>
  <si>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</si>
  <si>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風</t>
  </si>
  <si>
    <t>u2</t>
  </si>
  <si>
    <t>hong1</t>
  </si>
  <si>
    <t>N/A</t>
  </si>
  <si>
    <t>(5, 5)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</si>
  <si>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</si>
  <si>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</si>
  <si>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</si>
  <si>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</si>
  <si>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</si>
  <si>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</si>
  <si>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</si>
  <si>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</si>
  <si>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</si>
  <si>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</si>
  <si>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</si>
  <si>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</si>
  <si>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</si>
  <si>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</si>
  <si>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</si>
  <si>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</si>
  <si>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閩拼調符</t>
  </si>
  <si>
    <t>(9, 11)</t>
  </si>
  <si>
    <t>hōng</t>
  </si>
  <si>
    <t>zzín</t>
  </si>
  <si>
    <t>wǔ</t>
  </si>
  <si>
    <t>漢字</t>
  </si>
  <si>
    <t>台語音標</t>
  </si>
  <si>
    <t>校正音標</t>
  </si>
  <si>
    <t>座標</t>
  </si>
  <si>
    <t>知</t>
  </si>
  <si>
    <t>否</t>
  </si>
  <si>
    <t>？</t>
  </si>
  <si>
    <t>應</t>
  </si>
  <si>
    <t>是</t>
  </si>
  <si>
    <t>綠</t>
  </si>
  <si>
    <t>肥</t>
  </si>
  <si>
    <t>紅</t>
  </si>
  <si>
    <t>瘦</t>
  </si>
  <si>
    <t>昨</t>
  </si>
  <si>
    <t>夜</t>
  </si>
  <si>
    <t>雨</t>
  </si>
  <si>
    <t>疏</t>
  </si>
  <si>
    <t>驟</t>
  </si>
  <si>
    <t>濃</t>
  </si>
  <si>
    <t>睡</t>
  </si>
  <si>
    <t>不</t>
  </si>
  <si>
    <t>消</t>
  </si>
  <si>
    <t>殘</t>
  </si>
  <si>
    <t>酒</t>
  </si>
  <si>
    <t>試</t>
  </si>
  <si>
    <t>問</t>
  </si>
  <si>
    <t>卷</t>
  </si>
  <si>
    <t>簾</t>
  </si>
  <si>
    <t>卻</t>
  </si>
  <si>
    <t>道</t>
  </si>
  <si>
    <t>海</t>
  </si>
  <si>
    <t>棠</t>
  </si>
  <si>
    <t>依</t>
  </si>
  <si>
    <t>舊</t>
  </si>
  <si>
    <t xml:space="preserve">《知否，知否？應是綠肥紅瘦》
昨夜雨疏風驟，濃睡不消殘酒。
試問卷簾人，卻道海棠依舊。
知否，知否？應是綠肥紅瘦。
</t>
  </si>
  <si>
    <t>知否，知否？應是綠肥紅瘦</t>
    <phoneticPr fontId="1" type="noConversion"/>
  </si>
  <si>
    <t>ti1</t>
  </si>
  <si>
    <t>ing1</t>
  </si>
  <si>
    <t>yīng</t>
  </si>
  <si>
    <t>si2</t>
  </si>
  <si>
    <t>sǐ</t>
  </si>
  <si>
    <t>liok8</t>
  </si>
  <si>
    <t>liók</t>
  </si>
  <si>
    <t>pui5</t>
  </si>
  <si>
    <t>búi</t>
  </si>
  <si>
    <t>(5, 16)</t>
  </si>
  <si>
    <t>zok8</t>
  </si>
  <si>
    <t>zók</t>
  </si>
  <si>
    <t>ia7</t>
  </si>
  <si>
    <t>yâ</t>
  </si>
  <si>
    <t>soo1</t>
  </si>
  <si>
    <t>sōo</t>
  </si>
  <si>
    <t>zoo7</t>
  </si>
  <si>
    <t>zôo</t>
  </si>
  <si>
    <t>long5</t>
  </si>
  <si>
    <t>lóng</t>
  </si>
  <si>
    <t>sui7</t>
  </si>
  <si>
    <t>sûi</t>
  </si>
  <si>
    <t>put4</t>
  </si>
  <si>
    <t>būt</t>
  </si>
  <si>
    <t>siau1</t>
  </si>
  <si>
    <t>siāo</t>
  </si>
  <si>
    <t>zan5</t>
  </si>
  <si>
    <t>zán</t>
  </si>
  <si>
    <t>ziu2</t>
  </si>
  <si>
    <t>zǐu</t>
  </si>
  <si>
    <t>(9, 4)</t>
  </si>
  <si>
    <t>(9, 5)</t>
  </si>
  <si>
    <t>(9, 6)</t>
  </si>
  <si>
    <t>(9, 7)</t>
  </si>
  <si>
    <t>(9, 8)</t>
  </si>
  <si>
    <t>(9, 9)</t>
  </si>
  <si>
    <t>(9, 12)</t>
  </si>
  <si>
    <t>(9, 13)</t>
  </si>
  <si>
    <t>(9, 14)</t>
  </si>
  <si>
    <t>(9, 15)</t>
  </si>
  <si>
    <t>(9, 16)</t>
  </si>
  <si>
    <t>ci3</t>
  </si>
  <si>
    <t>cì</t>
  </si>
  <si>
    <t>bun7</t>
  </si>
  <si>
    <t>bbûn</t>
  </si>
  <si>
    <t>liam5</t>
  </si>
  <si>
    <t>liám</t>
  </si>
  <si>
    <t>khiok4</t>
  </si>
  <si>
    <t>kiōk</t>
  </si>
  <si>
    <t>to7</t>
  </si>
  <si>
    <t>dô</t>
  </si>
  <si>
    <t>hai2</t>
  </si>
  <si>
    <t>hǎi</t>
  </si>
  <si>
    <t>tong5</t>
  </si>
  <si>
    <t>dóng</t>
  </si>
  <si>
    <t>i1</t>
  </si>
  <si>
    <t>yī</t>
  </si>
  <si>
    <t>kiu7</t>
  </si>
  <si>
    <t>gîu</t>
  </si>
  <si>
    <t>(13, 4)</t>
  </si>
  <si>
    <t>(13, 5)</t>
  </si>
  <si>
    <t>(13, 6)</t>
  </si>
  <si>
    <t>(13, 7)</t>
  </si>
  <si>
    <t>(13, 8)</t>
  </si>
  <si>
    <t>(13, 10)</t>
  </si>
  <si>
    <t>(13, 11)</t>
  </si>
  <si>
    <t>(13, 12)</t>
  </si>
  <si>
    <t>(13, 13)</t>
  </si>
  <si>
    <t>(13, 14)</t>
  </si>
  <si>
    <t>(13, 15)</t>
  </si>
  <si>
    <t>(5, 5); (5, 8); (17, 4); (17, 7)</t>
  </si>
  <si>
    <t>(5, 11); (17, 10)</t>
  </si>
  <si>
    <t>(5, 12); (17, 11)</t>
  </si>
  <si>
    <t>(5, 13); (17, 12)</t>
  </si>
  <si>
    <t>(5, 14); (17, 13)</t>
  </si>
  <si>
    <t>【河洛文讀注音-閩拼調符】《知否，知否？應是綠肥紅瘦》.xlsx</t>
    <phoneticPr fontId="1" type="noConversion"/>
  </si>
  <si>
    <t>hiu2</t>
  </si>
  <si>
    <t>hiu2</t>
    <phoneticPr fontId="1" type="noConversion"/>
  </si>
  <si>
    <t>siu3</t>
  </si>
  <si>
    <t>siu3</t>
    <phoneticPr fontId="1" type="noConversion"/>
  </si>
  <si>
    <t>hǐu</t>
    <phoneticPr fontId="1" type="noConversion"/>
  </si>
  <si>
    <t>sìu</t>
    <phoneticPr fontId="1" type="noConversion"/>
  </si>
  <si>
    <t>kuan2</t>
  </si>
  <si>
    <t>kuan2</t>
    <phoneticPr fontId="1" type="noConversion"/>
  </si>
  <si>
    <t>guǎn</t>
    <phoneticPr fontId="1" type="noConversion"/>
  </si>
  <si>
    <t>hong5</t>
  </si>
  <si>
    <t>hong5</t>
    <phoneticPr fontId="1" type="noConversion"/>
  </si>
  <si>
    <t>hóng</t>
    <phoneticPr fontId="1" type="noConversion"/>
  </si>
  <si>
    <t>(17, 14); (5, 15)</t>
  </si>
  <si>
    <t>(17, 5); (5, 6)</t>
  </si>
  <si>
    <t>(5, 9); (17, 8)</t>
  </si>
  <si>
    <t>(17, 15)</t>
  </si>
  <si>
    <t>知否？知否？.png</t>
    <phoneticPr fontId="1" type="noConversion"/>
  </si>
  <si>
    <t>zai1</t>
  </si>
  <si>
    <t>zai1</t>
    <phoneticPr fontId="1" type="noConversion"/>
  </si>
  <si>
    <t>zāi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</si>
</sst>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3" zoomScale="80" zoomScaleNormal="80" workbookViewId="0">
      <selection activeCell="C8" sqref="C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29</v>
      </c>
      <c r="C2" s="40">
        <v>1</v>
      </c>
    </row>
    <row r="3" spans="2:4" ht="30">
      <c r="B3" s="37" t="s">
        <v>30</v>
      </c>
      <c r="C3" s="45" t="s">
        <v>31</v>
      </c>
    </row>
    <row r="4" spans="2:4">
      <c r="B4" s="4" t="s">
        <v>2</v>
      </c>
      <c r="C4" s="2"/>
    </row>
    <row r="5" spans="2:4">
      <c r="B5" s="4" t="s">
        <v>3</v>
      </c>
      <c r="C5" s="2" t="s">
        <v>160</v>
      </c>
    </row>
    <row r="6" spans="2:4">
      <c r="B6" s="4" t="s">
        <v>4</v>
      </c>
      <c r="C6" s="3" t="s">
        <v>84</v>
      </c>
    </row>
    <row r="7" spans="2:4">
      <c r="B7" s="4" t="s">
        <v>5</v>
      </c>
      <c r="C7" s="49" t="s">
        <v>177</v>
      </c>
      <c r="D7" s="44"/>
    </row>
    <row r="8" spans="2:4">
      <c r="B8" s="4" t="s">
        <v>6</v>
      </c>
      <c r="C8" s="41" t="s">
        <v>37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</v>
      </c>
      <c r="D11" s="1">
        <f>每頁總列數*4+5</f>
        <v>25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32</v>
      </c>
    </row>
    <row r="14" spans="2:4" ht="30">
      <c r="B14" s="37" t="s">
        <v>12</v>
      </c>
      <c r="C14" s="39" t="s">
        <v>33</v>
      </c>
    </row>
    <row r="15" spans="2:4" ht="30">
      <c r="B15" s="37" t="s">
        <v>13</v>
      </c>
      <c r="C15" s="39" t="s">
        <v>44</v>
      </c>
    </row>
    <row r="16" spans="2:4" ht="30">
      <c r="B16" s="37" t="s">
        <v>14</v>
      </c>
      <c r="C16" s="39" t="s">
        <v>34</v>
      </c>
    </row>
    <row r="17" spans="2:3" ht="30">
      <c r="B17" s="37" t="s">
        <v>15</v>
      </c>
      <c r="C17" s="39" t="s">
        <v>35</v>
      </c>
    </row>
    <row r="18" spans="2:3" ht="30">
      <c r="B18" s="37" t="s">
        <v>16</v>
      </c>
      <c r="C18" s="39" t="s">
        <v>44</v>
      </c>
    </row>
    <row r="19" spans="2:3" ht="30">
      <c r="B19" s="37" t="s">
        <v>17</v>
      </c>
      <c r="C19" s="39" t="s">
        <v>36</v>
      </c>
    </row>
    <row r="20" spans="2:3" ht="30">
      <c r="B20" s="37" t="s">
        <v>28</v>
      </c>
      <c r="C20" s="43">
        <v>0</v>
      </c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870A4-7651-4131-8FFD-237794F877F5}">
  <dimension ref="A1:D1"/>
  <sheetViews>
    <sheetView workbookViewId="0"/>
  </sheetViews>
  <sheetFormatPr defaultRowHeight="16.5"/>
  <sheetData>
    <row r="1" spans="1:4">
      <c r="A1" t="s">
        <v>40</v>
      </c>
      <c r="B1" t="s">
        <v>41</v>
      </c>
      <c r="C1" t="s">
        <v>42</v>
      </c>
      <c r="D1" t="s">
        <v>43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16C5C-3BC9-4172-97A7-CE008297FA68}">
  <dimension ref="A1:D32"/>
  <sheetViews>
    <sheetView tabSelected="1" workbookViewId="0">
      <selection activeCell="N17" sqref="N17"/>
    </sheetView>
  </sheetViews>
  <sheetFormatPr defaultRowHeight="16.5"/>
  <sheetData>
    <row r="1" spans="1:4">
      <c r="A1" t="s">
        <v>49</v>
      </c>
      <c r="B1" t="s">
        <v>50</v>
      </c>
      <c r="C1" t="s">
        <v>51</v>
      </c>
      <c r="D1" t="s">
        <v>52</v>
      </c>
    </row>
    <row r="2" spans="1:4">
      <c r="A2" t="s">
        <v>53</v>
      </c>
      <c r="B2" t="s">
        <v>85</v>
      </c>
      <c r="C2" t="s">
        <v>26</v>
      </c>
      <c r="D2" t="s">
        <v>155</v>
      </c>
    </row>
    <row r="3" spans="1:4">
      <c r="A3" t="s">
        <v>53</v>
      </c>
      <c r="B3" t="s">
        <v>178</v>
      </c>
      <c r="C3" t="s">
        <v>26</v>
      </c>
      <c r="D3" t="s">
        <v>155</v>
      </c>
    </row>
    <row r="4" spans="1:4">
      <c r="A4" t="s">
        <v>54</v>
      </c>
      <c r="B4" t="s">
        <v>161</v>
      </c>
      <c r="C4" t="s">
        <v>26</v>
      </c>
      <c r="D4" t="s">
        <v>175</v>
      </c>
    </row>
    <row r="5" spans="1:4">
      <c r="A5" t="s">
        <v>56</v>
      </c>
      <c r="B5" t="s">
        <v>86</v>
      </c>
      <c r="C5" t="s">
        <v>26</v>
      </c>
      <c r="D5" t="s">
        <v>156</v>
      </c>
    </row>
    <row r="6" spans="1:4">
      <c r="A6" t="s">
        <v>57</v>
      </c>
      <c r="B6" t="s">
        <v>88</v>
      </c>
      <c r="C6" t="s">
        <v>26</v>
      </c>
      <c r="D6" t="s">
        <v>157</v>
      </c>
    </row>
    <row r="7" spans="1:4">
      <c r="A7" t="s">
        <v>58</v>
      </c>
      <c r="B7" t="s">
        <v>90</v>
      </c>
      <c r="C7" t="s">
        <v>26</v>
      </c>
      <c r="D7" t="s">
        <v>158</v>
      </c>
    </row>
    <row r="8" spans="1:4">
      <c r="A8" t="s">
        <v>59</v>
      </c>
      <c r="B8" t="s">
        <v>92</v>
      </c>
      <c r="C8" t="s">
        <v>26</v>
      </c>
      <c r="D8" t="s">
        <v>159</v>
      </c>
    </row>
    <row r="9" spans="1:4">
      <c r="A9" t="s">
        <v>61</v>
      </c>
      <c r="B9" t="s">
        <v>163</v>
      </c>
      <c r="C9" t="s">
        <v>26</v>
      </c>
      <c r="D9" t="s">
        <v>176</v>
      </c>
    </row>
    <row r="10" spans="1:4">
      <c r="A10" t="s">
        <v>62</v>
      </c>
      <c r="B10" t="s">
        <v>95</v>
      </c>
      <c r="C10" t="s">
        <v>26</v>
      </c>
      <c r="D10" t="s">
        <v>115</v>
      </c>
    </row>
    <row r="11" spans="1:4">
      <c r="A11" t="s">
        <v>63</v>
      </c>
      <c r="B11" t="s">
        <v>97</v>
      </c>
      <c r="C11" t="s">
        <v>26</v>
      </c>
      <c r="D11" t="s">
        <v>116</v>
      </c>
    </row>
    <row r="12" spans="1:4">
      <c r="A12" t="s">
        <v>64</v>
      </c>
      <c r="B12" t="s">
        <v>24</v>
      </c>
      <c r="C12" t="s">
        <v>26</v>
      </c>
      <c r="D12" t="s">
        <v>117</v>
      </c>
    </row>
    <row r="13" spans="1:4">
      <c r="A13" t="s">
        <v>65</v>
      </c>
      <c r="B13" t="s">
        <v>99</v>
      </c>
      <c r="C13" t="s">
        <v>26</v>
      </c>
      <c r="D13" t="s">
        <v>118</v>
      </c>
    </row>
    <row r="14" spans="1:4">
      <c r="A14" t="s">
        <v>23</v>
      </c>
      <c r="B14" t="s">
        <v>25</v>
      </c>
      <c r="C14" t="s">
        <v>26</v>
      </c>
      <c r="D14" t="s">
        <v>119</v>
      </c>
    </row>
    <row r="15" spans="1:4">
      <c r="A15" t="s">
        <v>66</v>
      </c>
      <c r="B15" t="s">
        <v>101</v>
      </c>
      <c r="C15" t="s">
        <v>26</v>
      </c>
      <c r="D15" t="s">
        <v>120</v>
      </c>
    </row>
    <row r="16" spans="1:4">
      <c r="A16" t="s">
        <v>67</v>
      </c>
      <c r="B16" t="s">
        <v>103</v>
      </c>
      <c r="C16" t="s">
        <v>26</v>
      </c>
      <c r="D16" t="s">
        <v>45</v>
      </c>
    </row>
    <row r="17" spans="1:4">
      <c r="A17" t="s">
        <v>68</v>
      </c>
      <c r="B17" t="s">
        <v>105</v>
      </c>
      <c r="C17" t="s">
        <v>26</v>
      </c>
      <c r="D17" t="s">
        <v>121</v>
      </c>
    </row>
    <row r="18" spans="1:4">
      <c r="A18" t="s">
        <v>69</v>
      </c>
      <c r="B18" t="s">
        <v>107</v>
      </c>
      <c r="C18" t="s">
        <v>26</v>
      </c>
      <c r="D18" t="s">
        <v>122</v>
      </c>
    </row>
    <row r="19" spans="1:4">
      <c r="A19" t="s">
        <v>70</v>
      </c>
      <c r="B19" t="s">
        <v>109</v>
      </c>
      <c r="C19" t="s">
        <v>26</v>
      </c>
      <c r="D19" t="s">
        <v>123</v>
      </c>
    </row>
    <row r="20" spans="1:4">
      <c r="A20" t="s">
        <v>71</v>
      </c>
      <c r="B20" t="s">
        <v>111</v>
      </c>
      <c r="C20" t="s">
        <v>26</v>
      </c>
      <c r="D20" t="s">
        <v>124</v>
      </c>
    </row>
    <row r="21" spans="1:4">
      <c r="A21" t="s">
        <v>72</v>
      </c>
      <c r="B21" t="s">
        <v>113</v>
      </c>
      <c r="C21" t="s">
        <v>26</v>
      </c>
      <c r="D21" t="s">
        <v>125</v>
      </c>
    </row>
    <row r="22" spans="1:4">
      <c r="A22" t="s">
        <v>73</v>
      </c>
      <c r="B22" t="s">
        <v>126</v>
      </c>
      <c r="C22" t="s">
        <v>26</v>
      </c>
      <c r="D22" t="s">
        <v>144</v>
      </c>
    </row>
    <row r="23" spans="1:4">
      <c r="A23" t="s">
        <v>74</v>
      </c>
      <c r="B23" t="s">
        <v>128</v>
      </c>
      <c r="C23" t="s">
        <v>26</v>
      </c>
      <c r="D23" t="s">
        <v>145</v>
      </c>
    </row>
    <row r="24" spans="1:4">
      <c r="A24" t="s">
        <v>75</v>
      </c>
      <c r="B24" t="s">
        <v>167</v>
      </c>
      <c r="C24" t="s">
        <v>26</v>
      </c>
      <c r="D24" t="s">
        <v>146</v>
      </c>
    </row>
    <row r="25" spans="1:4">
      <c r="A25" t="s">
        <v>76</v>
      </c>
      <c r="B25" t="s">
        <v>130</v>
      </c>
      <c r="C25" t="s">
        <v>26</v>
      </c>
      <c r="D25" t="s">
        <v>147</v>
      </c>
    </row>
    <row r="26" spans="1:4">
      <c r="A26" t="s">
        <v>20</v>
      </c>
      <c r="B26" t="s">
        <v>22</v>
      </c>
      <c r="C26" t="s">
        <v>26</v>
      </c>
      <c r="D26" t="s">
        <v>148</v>
      </c>
    </row>
    <row r="27" spans="1:4">
      <c r="A27" t="s">
        <v>77</v>
      </c>
      <c r="B27" t="s">
        <v>132</v>
      </c>
      <c r="C27" t="s">
        <v>26</v>
      </c>
      <c r="D27" t="s">
        <v>149</v>
      </c>
    </row>
    <row r="28" spans="1:4">
      <c r="A28" t="s">
        <v>78</v>
      </c>
      <c r="B28" t="s">
        <v>134</v>
      </c>
      <c r="C28" t="s">
        <v>26</v>
      </c>
      <c r="D28" t="s">
        <v>150</v>
      </c>
    </row>
    <row r="29" spans="1:4">
      <c r="A29" t="s">
        <v>79</v>
      </c>
      <c r="B29" t="s">
        <v>136</v>
      </c>
      <c r="C29" t="s">
        <v>26</v>
      </c>
      <c r="D29" t="s">
        <v>151</v>
      </c>
    </row>
    <row r="30" spans="1:4">
      <c r="A30" t="s">
        <v>80</v>
      </c>
      <c r="B30" t="s">
        <v>138</v>
      </c>
      <c r="C30" t="s">
        <v>26</v>
      </c>
      <c r="D30" t="s">
        <v>152</v>
      </c>
    </row>
    <row r="31" spans="1:4">
      <c r="A31" t="s">
        <v>81</v>
      </c>
      <c r="B31" t="s">
        <v>140</v>
      </c>
      <c r="C31" t="s">
        <v>26</v>
      </c>
      <c r="D31" t="s">
        <v>153</v>
      </c>
    </row>
    <row r="32" spans="1:4">
      <c r="A32" t="s">
        <v>82</v>
      </c>
      <c r="B32" t="s">
        <v>142</v>
      </c>
      <c r="C32" t="s">
        <v>26</v>
      </c>
      <c r="D32" t="s">
        <v>154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EEEE7-2560-4025-ACE8-AC4D4EB27C23}">
  <dimension ref="A1:D5"/>
  <sheetViews>
    <sheetView workbookViewId="0">
      <selection activeCell="K17" sqref="K17"/>
    </sheetView>
  </sheetViews>
  <sheetFormatPr defaultRowHeight="16.5"/>
  <sheetData>
    <row r="1" spans="1:4">
      <c r="A1" t="s">
        <v>49</v>
      </c>
      <c r="B1" t="s">
        <v>50</v>
      </c>
      <c r="C1" t="s">
        <v>51</v>
      </c>
      <c r="D1" t="s">
        <v>52</v>
      </c>
    </row>
    <row r="2" spans="1:4">
      <c r="A2" t="s">
        <v>60</v>
      </c>
      <c r="B2" t="s">
        <v>170</v>
      </c>
      <c r="C2" t="s">
        <v>26</v>
      </c>
      <c r="D2" t="s">
        <v>173</v>
      </c>
    </row>
    <row r="3" spans="1:4">
      <c r="A3" t="s">
        <v>54</v>
      </c>
      <c r="B3" t="s">
        <v>161</v>
      </c>
      <c r="C3" t="s">
        <v>26</v>
      </c>
      <c r="D3" t="s">
        <v>174</v>
      </c>
    </row>
    <row r="4" spans="1:4">
      <c r="A4" t="s">
        <v>61</v>
      </c>
      <c r="B4" t="s">
        <v>163</v>
      </c>
      <c r="C4" t="s">
        <v>26</v>
      </c>
      <c r="D4" t="s">
        <v>94</v>
      </c>
    </row>
    <row r="5" spans="1:4">
      <c r="A5" t="s">
        <v>53</v>
      </c>
      <c r="B5" t="s">
        <v>178</v>
      </c>
      <c r="C5" t="s">
        <v>26</v>
      </c>
      <c r="D5" t="s">
        <v>27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zoomScale="55" zoomScaleNormal="5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3" sqref="E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58</v>
      </c>
    </row>
    <row r="3" spans="1:22" s="14" customFormat="1" ht="60" customHeight="1">
      <c r="B3" s="12"/>
      <c r="C3" s="13"/>
      <c r="D3" s="48"/>
      <c r="E3" s="48" t="s">
        <v>179</v>
      </c>
      <c r="F3" s="48" t="s">
        <v>162</v>
      </c>
      <c r="G3" s="48"/>
      <c r="H3" s="48"/>
      <c r="I3" s="48"/>
      <c r="J3" s="48"/>
      <c r="K3" s="48"/>
      <c r="L3" s="48"/>
      <c r="M3" s="48"/>
      <c r="N3" s="48"/>
      <c r="O3" s="48" t="s">
        <v>171</v>
      </c>
      <c r="P3" s="48" t="s">
        <v>164</v>
      </c>
      <c r="Q3" s="48"/>
      <c r="R3" s="48"/>
      <c r="T3" s="15"/>
      <c r="V3" s="51" t="s">
        <v>83</v>
      </c>
    </row>
    <row r="4" spans="1:22" s="6" customFormat="1" ht="36" customHeight="1">
      <c r="B4" s="16"/>
      <c r="D4" s="55"/>
      <c r="E4" s="55" t="s">
        <v>179</v>
      </c>
      <c r="F4" s="55" t="s">
        <v>162</v>
      </c>
      <c r="G4" s="55"/>
      <c r="H4" s="55" t="s">
        <v>179</v>
      </c>
      <c r="I4" s="55" t="s">
        <v>162</v>
      </c>
      <c r="J4" s="55"/>
      <c r="K4" s="55" t="s">
        <v>86</v>
      </c>
      <c r="L4" s="55" t="s">
        <v>88</v>
      </c>
      <c r="M4" s="55" t="s">
        <v>90</v>
      </c>
      <c r="N4" s="55" t="s">
        <v>92</v>
      </c>
      <c r="O4" s="55" t="s">
        <v>171</v>
      </c>
      <c r="P4" s="55" t="s">
        <v>164</v>
      </c>
      <c r="Q4" s="55"/>
      <c r="R4" s="55"/>
      <c r="S4" s="17"/>
      <c r="V4" s="52"/>
    </row>
    <row r="5" spans="1:22" s="6" customFormat="1" ht="80.099999999999994" customHeight="1">
      <c r="B5" s="18">
        <v>1</v>
      </c>
      <c r="D5" s="54" t="s">
        <v>38</v>
      </c>
      <c r="E5" s="54" t="s">
        <v>53</v>
      </c>
      <c r="F5" s="54" t="s">
        <v>54</v>
      </c>
      <c r="G5" s="54" t="s">
        <v>18</v>
      </c>
      <c r="H5" s="54" t="s">
        <v>53</v>
      </c>
      <c r="I5" s="54" t="s">
        <v>54</v>
      </c>
      <c r="J5" s="54" t="s">
        <v>55</v>
      </c>
      <c r="K5" s="54" t="s">
        <v>56</v>
      </c>
      <c r="L5" s="54" t="s">
        <v>57</v>
      </c>
      <c r="M5" s="54" t="s">
        <v>58</v>
      </c>
      <c r="N5" s="54" t="s">
        <v>59</v>
      </c>
      <c r="O5" s="54" t="s">
        <v>60</v>
      </c>
      <c r="P5" s="54" t="s">
        <v>61</v>
      </c>
      <c r="Q5" s="54" t="s">
        <v>39</v>
      </c>
      <c r="R5" s="54" t="str">
        <f>CHAR(10)</f>
        <v xml:space="preserve">
</v>
      </c>
      <c r="S5" s="19"/>
      <c r="V5" s="52"/>
    </row>
    <row r="6" spans="1:22" s="23" customFormat="1" ht="36" customHeight="1">
      <c r="B6" s="20"/>
      <c r="C6" s="21"/>
      <c r="D6" s="56"/>
      <c r="E6" s="56" t="s">
        <v>180</v>
      </c>
      <c r="F6" s="56" t="s">
        <v>165</v>
      </c>
      <c r="G6" s="56"/>
      <c r="H6" s="56" t="s">
        <v>180</v>
      </c>
      <c r="I6" s="56" t="s">
        <v>165</v>
      </c>
      <c r="J6" s="56"/>
      <c r="K6" s="56" t="s">
        <v>87</v>
      </c>
      <c r="L6" s="56" t="s">
        <v>89</v>
      </c>
      <c r="M6" s="56" t="s">
        <v>91</v>
      </c>
      <c r="N6" s="56" t="s">
        <v>93</v>
      </c>
      <c r="O6" s="56" t="s">
        <v>172</v>
      </c>
      <c r="P6" s="56" t="s">
        <v>166</v>
      </c>
      <c r="Q6" s="56"/>
      <c r="R6" s="56"/>
      <c r="S6" s="22"/>
      <c r="V6" s="52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2"/>
    </row>
    <row r="8" spans="1:22" s="6" customFormat="1" ht="36" customHeight="1">
      <c r="B8" s="16"/>
      <c r="D8" s="55" t="s">
        <v>95</v>
      </c>
      <c r="E8" s="55" t="s">
        <v>97</v>
      </c>
      <c r="F8" s="55" t="s">
        <v>24</v>
      </c>
      <c r="G8" s="55" t="s">
        <v>99</v>
      </c>
      <c r="H8" s="55" t="s">
        <v>25</v>
      </c>
      <c r="I8" s="55" t="s">
        <v>101</v>
      </c>
      <c r="J8" s="55"/>
      <c r="K8" s="55" t="s">
        <v>103</v>
      </c>
      <c r="L8" s="55" t="s">
        <v>105</v>
      </c>
      <c r="M8" s="55" t="s">
        <v>107</v>
      </c>
      <c r="N8" s="55" t="s">
        <v>109</v>
      </c>
      <c r="O8" s="55" t="s">
        <v>111</v>
      </c>
      <c r="P8" s="55" t="s">
        <v>113</v>
      </c>
      <c r="Q8" s="55"/>
      <c r="R8" s="55"/>
      <c r="S8" s="17"/>
      <c r="V8" s="52"/>
    </row>
    <row r="9" spans="1:22" s="6" customFormat="1" ht="80.099999999999994" customHeight="1">
      <c r="B9" s="18">
        <f>B5+1</f>
        <v>2</v>
      </c>
      <c r="D9" s="54" t="s">
        <v>62</v>
      </c>
      <c r="E9" s="54" t="s">
        <v>63</v>
      </c>
      <c r="F9" s="54" t="s">
        <v>64</v>
      </c>
      <c r="G9" s="54" t="s">
        <v>65</v>
      </c>
      <c r="H9" s="54" t="s">
        <v>23</v>
      </c>
      <c r="I9" s="54" t="s">
        <v>66</v>
      </c>
      <c r="J9" s="54" t="s">
        <v>18</v>
      </c>
      <c r="K9" s="54" t="s">
        <v>67</v>
      </c>
      <c r="L9" s="54" t="s">
        <v>68</v>
      </c>
      <c r="M9" s="54" t="s">
        <v>69</v>
      </c>
      <c r="N9" s="54" t="s">
        <v>70</v>
      </c>
      <c r="O9" s="54" t="s">
        <v>71</v>
      </c>
      <c r="P9" s="54" t="s">
        <v>72</v>
      </c>
      <c r="Q9" s="54" t="s">
        <v>19</v>
      </c>
      <c r="R9" s="54" t="str">
        <f>CHAR(10)</f>
        <v xml:space="preserve">
</v>
      </c>
      <c r="S9" s="19"/>
      <c r="T9" s="15"/>
      <c r="V9" s="52"/>
    </row>
    <row r="10" spans="1:22" s="6" customFormat="1" ht="36" customHeight="1">
      <c r="B10" s="20"/>
      <c r="D10" s="56" t="s">
        <v>96</v>
      </c>
      <c r="E10" s="56" t="s">
        <v>98</v>
      </c>
      <c r="F10" s="56" t="s">
        <v>48</v>
      </c>
      <c r="G10" s="56" t="s">
        <v>100</v>
      </c>
      <c r="H10" s="56" t="s">
        <v>46</v>
      </c>
      <c r="I10" s="56" t="s">
        <v>102</v>
      </c>
      <c r="J10" s="56"/>
      <c r="K10" s="56" t="s">
        <v>104</v>
      </c>
      <c r="L10" s="56" t="s">
        <v>106</v>
      </c>
      <c r="M10" s="56" t="s">
        <v>108</v>
      </c>
      <c r="N10" s="56" t="s">
        <v>110</v>
      </c>
      <c r="O10" s="56" t="s">
        <v>112</v>
      </c>
      <c r="P10" s="56" t="s">
        <v>114</v>
      </c>
      <c r="Q10" s="56"/>
      <c r="R10" s="56"/>
      <c r="S10" s="28"/>
      <c r="V10" s="52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2"/>
    </row>
    <row r="12" spans="1:22" s="6" customFormat="1" ht="36" customHeight="1">
      <c r="B12" s="16"/>
      <c r="D12" s="55" t="s">
        <v>126</v>
      </c>
      <c r="E12" s="55" t="s">
        <v>128</v>
      </c>
      <c r="F12" s="55" t="s">
        <v>168</v>
      </c>
      <c r="G12" s="55" t="s">
        <v>130</v>
      </c>
      <c r="H12" s="55" t="s">
        <v>22</v>
      </c>
      <c r="I12" s="55"/>
      <c r="J12" s="55" t="s">
        <v>132</v>
      </c>
      <c r="K12" s="55" t="s">
        <v>134</v>
      </c>
      <c r="L12" s="55" t="s">
        <v>136</v>
      </c>
      <c r="M12" s="55" t="s">
        <v>138</v>
      </c>
      <c r="N12" s="55" t="s">
        <v>140</v>
      </c>
      <c r="O12" s="55" t="s">
        <v>142</v>
      </c>
      <c r="P12" s="55"/>
      <c r="Q12" s="55"/>
      <c r="R12" s="46"/>
      <c r="S12" s="17"/>
      <c r="V12" s="52"/>
    </row>
    <row r="13" spans="1:22" s="6" customFormat="1" ht="80.099999999999994" customHeight="1">
      <c r="B13" s="18">
        <f>B9+1</f>
        <v>3</v>
      </c>
      <c r="D13" s="54" t="s">
        <v>73</v>
      </c>
      <c r="E13" s="54" t="s">
        <v>74</v>
      </c>
      <c r="F13" s="54" t="s">
        <v>75</v>
      </c>
      <c r="G13" s="54" t="s">
        <v>76</v>
      </c>
      <c r="H13" s="54" t="s">
        <v>20</v>
      </c>
      <c r="I13" s="54" t="s">
        <v>18</v>
      </c>
      <c r="J13" s="54" t="s">
        <v>77</v>
      </c>
      <c r="K13" s="54" t="s">
        <v>78</v>
      </c>
      <c r="L13" s="54" t="s">
        <v>79</v>
      </c>
      <c r="M13" s="54" t="s">
        <v>80</v>
      </c>
      <c r="N13" s="54" t="s">
        <v>81</v>
      </c>
      <c r="O13" s="54" t="s">
        <v>82</v>
      </c>
      <c r="P13" s="54" t="s">
        <v>19</v>
      </c>
      <c r="Q13" s="54" t="str">
        <f>CHAR(10)</f>
        <v xml:space="preserve">
</v>
      </c>
      <c r="R13" s="36"/>
      <c r="S13" s="19"/>
      <c r="V13" s="52"/>
    </row>
    <row r="14" spans="1:22" s="6" customFormat="1" ht="36" customHeight="1">
      <c r="B14" s="20"/>
      <c r="D14" s="56" t="s">
        <v>127</v>
      </c>
      <c r="E14" s="56" t="s">
        <v>129</v>
      </c>
      <c r="F14" s="56" t="s">
        <v>169</v>
      </c>
      <c r="G14" s="56" t="s">
        <v>131</v>
      </c>
      <c r="H14" s="56" t="s">
        <v>47</v>
      </c>
      <c r="I14" s="56"/>
      <c r="J14" s="56" t="s">
        <v>133</v>
      </c>
      <c r="K14" s="56" t="s">
        <v>135</v>
      </c>
      <c r="L14" s="56" t="s">
        <v>137</v>
      </c>
      <c r="M14" s="56" t="s">
        <v>139</v>
      </c>
      <c r="N14" s="56" t="s">
        <v>141</v>
      </c>
      <c r="O14" s="56" t="s">
        <v>143</v>
      </c>
      <c r="P14" s="56"/>
      <c r="Q14" s="56"/>
      <c r="R14" s="50"/>
      <c r="S14" s="28"/>
      <c r="V14" s="52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2"/>
    </row>
    <row r="16" spans="1:22" s="6" customFormat="1" ht="36" customHeight="1">
      <c r="B16" s="16"/>
      <c r="D16" s="55" t="s">
        <v>179</v>
      </c>
      <c r="E16" s="55" t="s">
        <v>162</v>
      </c>
      <c r="F16" s="55"/>
      <c r="G16" s="55" t="s">
        <v>179</v>
      </c>
      <c r="H16" s="55" t="s">
        <v>162</v>
      </c>
      <c r="I16" s="55"/>
      <c r="J16" s="55" t="s">
        <v>86</v>
      </c>
      <c r="K16" s="55" t="s">
        <v>88</v>
      </c>
      <c r="L16" s="55" t="s">
        <v>90</v>
      </c>
      <c r="M16" s="55" t="s">
        <v>92</v>
      </c>
      <c r="N16" s="55" t="s">
        <v>171</v>
      </c>
      <c r="O16" s="55" t="s">
        <v>164</v>
      </c>
      <c r="P16" s="55"/>
      <c r="Q16" s="55"/>
      <c r="R16" s="46"/>
      <c r="S16" s="17"/>
      <c r="V16" s="52"/>
    </row>
    <row r="17" spans="2:22" s="6" customFormat="1" ht="80.099999999999994" customHeight="1">
      <c r="B17" s="18">
        <f>B13+1</f>
        <v>4</v>
      </c>
      <c r="D17" s="54" t="s">
        <v>53</v>
      </c>
      <c r="E17" s="54" t="s">
        <v>54</v>
      </c>
      <c r="F17" s="54" t="s">
        <v>18</v>
      </c>
      <c r="G17" s="54" t="s">
        <v>53</v>
      </c>
      <c r="H17" s="54" t="s">
        <v>54</v>
      </c>
      <c r="I17" s="54" t="s">
        <v>55</v>
      </c>
      <c r="J17" s="54" t="s">
        <v>56</v>
      </c>
      <c r="K17" s="54" t="s">
        <v>57</v>
      </c>
      <c r="L17" s="54" t="s">
        <v>58</v>
      </c>
      <c r="M17" s="54" t="s">
        <v>59</v>
      </c>
      <c r="N17" s="54" t="s">
        <v>60</v>
      </c>
      <c r="O17" s="54" t="s">
        <v>61</v>
      </c>
      <c r="P17" s="54" t="s">
        <v>19</v>
      </c>
      <c r="Q17" s="54" t="str">
        <f>CHAR(10)</f>
        <v xml:space="preserve">
</v>
      </c>
      <c r="R17" s="36"/>
      <c r="S17" s="19"/>
      <c r="V17" s="52"/>
    </row>
    <row r="18" spans="2:22" s="6" customFormat="1" ht="36" customHeight="1">
      <c r="B18" s="20"/>
      <c r="D18" s="56" t="s">
        <v>180</v>
      </c>
      <c r="E18" s="56" t="s">
        <v>165</v>
      </c>
      <c r="F18" s="56"/>
      <c r="G18" s="56" t="s">
        <v>180</v>
      </c>
      <c r="H18" s="56" t="s">
        <v>165</v>
      </c>
      <c r="I18" s="56"/>
      <c r="J18" s="56" t="s">
        <v>87</v>
      </c>
      <c r="K18" s="56" t="s">
        <v>89</v>
      </c>
      <c r="L18" s="56" t="s">
        <v>91</v>
      </c>
      <c r="M18" s="56" t="s">
        <v>93</v>
      </c>
      <c r="N18" s="56" t="s">
        <v>172</v>
      </c>
      <c r="O18" s="56" t="s">
        <v>166</v>
      </c>
      <c r="P18" s="56"/>
      <c r="Q18" s="56"/>
      <c r="R18" s="50"/>
      <c r="S18" s="28"/>
      <c r="V18" s="52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2"/>
    </row>
    <row r="20" spans="2:22" s="6" customFormat="1" ht="36" customHeight="1">
      <c r="B20" s="16"/>
      <c r="D20" s="55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52"/>
    </row>
    <row r="21" spans="2:22" s="6" customFormat="1" ht="80.099999999999994" customHeight="1">
      <c r="B21" s="18">
        <f>B17+1</f>
        <v>5</v>
      </c>
      <c r="D21" s="54" t="s">
        <v>21</v>
      </c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52"/>
    </row>
    <row r="22" spans="2:22" s="6" customFormat="1" ht="36" customHeight="1">
      <c r="B22" s="20"/>
      <c r="D22" s="56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28"/>
      <c r="V22" s="52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2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2"/>
    </row>
    <row r="25" spans="2:22" s="6" customFormat="1" ht="80.099999999999994" customHeight="1">
      <c r="B25" s="18">
        <f>B21+1</f>
        <v>6</v>
      </c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52"/>
    </row>
    <row r="26" spans="2:22" s="6" customFormat="1" ht="36" customHeight="1">
      <c r="B26" s="2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2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2"/>
    </row>
    <row r="28" spans="2:22" s="6" customFormat="1" ht="36" customHeight="1">
      <c r="B28" s="1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/>
      </c>
      <c r="V28" s="52"/>
    </row>
    <row r="29" spans="2:22" s="6" customFormat="1" ht="80.099999999999994" customHeight="1">
      <c r="B29" s="18">
        <f>B25+1</f>
        <v>7</v>
      </c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/>
      </c>
      <c r="V29" s="52"/>
    </row>
    <row r="30" spans="2:22" s="6" customFormat="1" ht="36" customHeight="1">
      <c r="B30" s="2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28"/>
      <c r="U30" s="32" t="str">
        <f t="shared" si="1"/>
        <v/>
      </c>
      <c r="V30" s="52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2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52"/>
    </row>
    <row r="33" spans="2:22" s="6" customFormat="1" ht="80.099999999999994" customHeight="1">
      <c r="B33" s="18">
        <f>B29+1</f>
        <v>8</v>
      </c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52"/>
    </row>
    <row r="34" spans="2:22" s="6" customFormat="1" ht="36" customHeight="1">
      <c r="B34" s="2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28"/>
      <c r="V34" s="52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2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52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52"/>
    </row>
    <row r="38" spans="2:22" s="6" customFormat="1" ht="36" customHeight="1">
      <c r="B38" s="2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28"/>
      <c r="V38" s="52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2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52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52"/>
    </row>
    <row r="42" spans="2:22" s="6" customFormat="1" ht="36" customHeight="1">
      <c r="B42" s="2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28"/>
      <c r="V42" s="52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2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52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52"/>
    </row>
    <row r="46" spans="2:22" s="6" customFormat="1" ht="36" customHeight="1">
      <c r="B46" s="2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28"/>
      <c r="V46" s="52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2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52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52"/>
    </row>
    <row r="50" spans="2:22" s="6" customFormat="1" ht="36" customHeight="1">
      <c r="B50" s="2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28"/>
      <c r="V50" s="52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2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52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52"/>
    </row>
    <row r="54" spans="2:22" s="6" customFormat="1" ht="36" customHeight="1">
      <c r="B54" s="2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28"/>
      <c r="V54" s="52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2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52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52"/>
    </row>
    <row r="58" spans="2:22" s="6" customFormat="1" ht="36" customHeight="1">
      <c r="B58" s="2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28"/>
      <c r="V58" s="52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2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52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52"/>
    </row>
    <row r="62" spans="2:22" s="6" customFormat="1" ht="36" customHeight="1">
      <c r="B62" s="2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28"/>
      <c r="V62" s="52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2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52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52"/>
    </row>
    <row r="66" spans="2:22" s="6" customFormat="1" ht="36" customHeight="1">
      <c r="B66" s="2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28"/>
      <c r="V66" s="52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2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52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52"/>
    </row>
    <row r="70" spans="2:22" s="6" customFormat="1" ht="36" customHeight="1">
      <c r="B70" s="2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28"/>
      <c r="V70" s="52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2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52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52"/>
    </row>
    <row r="74" spans="2:22" s="6" customFormat="1" ht="36" customHeight="1">
      <c r="B74" s="2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28"/>
      <c r="V74" s="52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2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52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52"/>
    </row>
    <row r="78" spans="2:22" s="6" customFormat="1" ht="36" customHeight="1">
      <c r="B78" s="2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28"/>
      <c r="V78" s="52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2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52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52"/>
    </row>
    <row r="82" spans="2:22" s="6" customFormat="1" ht="36" customHeight="1">
      <c r="B82" s="2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28"/>
      <c r="V82" s="53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>
      <c r="B170" s="20"/>
      <c r="C170" s="6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>
      <c r="B174" s="20"/>
      <c r="C174" s="6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>
      <c r="B178" s="20"/>
      <c r="C178" s="6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>
      <c r="B182" s="20"/>
      <c r="C182" s="6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>
      <c r="B186" s="20"/>
      <c r="C186" s="6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E3 P3:R3 G3:N3">
    <cfRule type="expression" dxfId="9" priority="105">
      <formula>顯示注音輸入</formula>
    </cfRule>
    <cfRule type="expression" dxfId="8" priority="106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5" priority="7">
      <formula>顯示注音輸入</formula>
    </cfRule>
    <cfRule type="expression" dxfId="4" priority="8">
      <formula>"'= TRUE(顯示注音輸入)"</formula>
    </cfRule>
  </conditionalFormatting>
  <conditionalFormatting sqref="O3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F3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2026-07-01T07:41:47Z</dcterms:modified>
</cp:coreProperties>
</file>