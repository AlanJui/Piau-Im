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8_{E90873FC-DE07-42FC-A8E4-D39A6F58C1F6}" xr6:coauthVersionLast="47" xr6:coauthVersionMax="47" xr10:uidLastSave="{00000000-0000-0000-0000-000000000000}"/>
  <bookViews>
    <workbookView xWindow="28680" yWindow="-120" windowWidth="38640" windowHeight="15720" activeTab="4" xr2:uid="{25A76161-EFED-4AC8-8EAA-A42737AE1909}"/>
  </bookViews>
  <sheets>
    <sheet name="env" sheetId="8" r:id="rId1"/>
    <sheet name="缺字表" sheetId="136" r:id="rId2"/>
    <sheet name="標音字庫" sheetId="135" r:id="rId3"/>
    <sheet name="人工標音字庫" sheetId="134" r:id="rId4"/>
    <sheet name="漢字注音" sheetId="9" r:id="rId5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7" i="9" l="1"/>
  <c r="Q13" i="9"/>
  <c r="R9" i="9"/>
  <c r="R5" i="9"/>
  <c r="B1605" i="9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  <c r="B1205" i="9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805" i="9"/>
  <c r="B809" i="9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409" i="9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213" i="9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209" i="9"/>
  <c r="B117" i="9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113" i="9"/>
  <c r="B109" i="9"/>
  <c r="B97" i="9"/>
  <c r="D11" i="8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101" i="9" s="1"/>
  <c r="B105" i="9" s="1"/>
  <c r="B205" i="9" s="1"/>
  <c r="V2" i="9"/>
  <c r="B405" i="9" l="1"/>
</calcChain>
</file>

<file path=xl/sharedStrings.xml><?xml version="1.0" encoding="utf-8"?>
<sst xmlns="http://schemas.openxmlformats.org/spreadsheetml/2006/main" count="322" uniqueCount="174">
  <si>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</si>
  <si>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</si>
  <si>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</si>
  <si>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</si>
  <si>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</si>
  <si>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</si>
  <si>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</si>
  <si>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</si>
  <si>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</si>
  <si>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</si>
  <si>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</si>
  <si>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</si>
  <si>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</si>
  <si>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</si>
  <si>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</si>
  <si>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</si>
  <si>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</si>
  <si>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</si>
  <si>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，</t>
  </si>
  <si>
    <t>。</t>
  </si>
  <si>
    <t>人</t>
  </si>
  <si>
    <t>φ</t>
  </si>
  <si>
    <t>jin5</t>
  </si>
  <si>
    <t>風</t>
  </si>
  <si>
    <t>u2</t>
  </si>
  <si>
    <t>hong1</t>
  </si>
  <si>
    <t>N/A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</si>
  <si>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</si>
  <si>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</si>
  <si>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</si>
  <si>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</si>
  <si>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</si>
  <si>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河洛話</t>
  </si>
  <si>
    <t>無預設</t>
  </si>
  <si>
    <t>上及右</t>
  </si>
  <si>
    <t>方音符號</t>
  </si>
  <si>
    <t>output7</t>
    <phoneticPr fontId="1" type="noConversion"/>
  </si>
  <si>
    <t>《</t>
  </si>
  <si>
    <t>》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</si>
  <si>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</si>
  <si>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</si>
  <si>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</si>
  <si>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</si>
  <si>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閩拼調符</t>
  </si>
  <si>
    <t>(9, 11)</t>
  </si>
  <si>
    <t>hōng</t>
  </si>
  <si>
    <t>zzín</t>
  </si>
  <si>
    <t>wǔ</t>
  </si>
  <si>
    <t>知</t>
  </si>
  <si>
    <t>否</t>
  </si>
  <si>
    <t>？</t>
  </si>
  <si>
    <t>應</t>
  </si>
  <si>
    <t>是</t>
  </si>
  <si>
    <t>綠</t>
  </si>
  <si>
    <t>肥</t>
  </si>
  <si>
    <t>紅</t>
  </si>
  <si>
    <t>瘦</t>
  </si>
  <si>
    <t>昨</t>
  </si>
  <si>
    <t>夜</t>
  </si>
  <si>
    <t>雨</t>
  </si>
  <si>
    <t>疏</t>
  </si>
  <si>
    <t>驟</t>
  </si>
  <si>
    <t>濃</t>
  </si>
  <si>
    <t>睡</t>
  </si>
  <si>
    <t>不</t>
  </si>
  <si>
    <t>消</t>
  </si>
  <si>
    <t>殘</t>
  </si>
  <si>
    <t>酒</t>
  </si>
  <si>
    <t>試</t>
  </si>
  <si>
    <t>問</t>
  </si>
  <si>
    <t>卷</t>
  </si>
  <si>
    <t>簾</t>
  </si>
  <si>
    <t>卻</t>
  </si>
  <si>
    <t>道</t>
  </si>
  <si>
    <t>海</t>
  </si>
  <si>
    <t>棠</t>
  </si>
  <si>
    <t>依</t>
  </si>
  <si>
    <t>舊</t>
  </si>
  <si>
    <t xml:space="preserve">《知否，知否？應是綠肥紅瘦》
昨夜雨疏風驟，濃睡不消殘酒。
試問卷簾人，卻道海棠依舊。
知否，知否？應是綠肥紅瘦。
</t>
  </si>
  <si>
    <t>知否，知否？應是綠肥紅瘦</t>
    <phoneticPr fontId="1" type="noConversion"/>
  </si>
  <si>
    <t>ti1</t>
  </si>
  <si>
    <t>dī</t>
  </si>
  <si>
    <t>ing1</t>
  </si>
  <si>
    <t>yīng</t>
  </si>
  <si>
    <t>si2</t>
  </si>
  <si>
    <t>sǐ</t>
  </si>
  <si>
    <t>liok8</t>
  </si>
  <si>
    <t>liók</t>
  </si>
  <si>
    <t>pui5</t>
  </si>
  <si>
    <t>búi</t>
  </si>
  <si>
    <t>(5, 16)</t>
  </si>
  <si>
    <t>zok8</t>
  </si>
  <si>
    <t>zók</t>
  </si>
  <si>
    <t>ia7</t>
  </si>
  <si>
    <t>yâ</t>
  </si>
  <si>
    <t>soo1</t>
  </si>
  <si>
    <t>sōo</t>
  </si>
  <si>
    <t>zoo7</t>
  </si>
  <si>
    <t>zôo</t>
  </si>
  <si>
    <t>long5</t>
  </si>
  <si>
    <t>lóng</t>
  </si>
  <si>
    <t>sui7</t>
  </si>
  <si>
    <t>sûi</t>
  </si>
  <si>
    <t>put4</t>
  </si>
  <si>
    <t>būt</t>
  </si>
  <si>
    <t>siau1</t>
  </si>
  <si>
    <t>siāo</t>
  </si>
  <si>
    <t>zan5</t>
  </si>
  <si>
    <t>zán</t>
  </si>
  <si>
    <t>ziu2</t>
  </si>
  <si>
    <t>zǐu</t>
  </si>
  <si>
    <t>(9, 4)</t>
  </si>
  <si>
    <t>(9, 5)</t>
  </si>
  <si>
    <t>(9, 6)</t>
  </si>
  <si>
    <t>(9, 7)</t>
  </si>
  <si>
    <t>(9, 8)</t>
  </si>
  <si>
    <t>(9, 9)</t>
  </si>
  <si>
    <t>(9, 12)</t>
  </si>
  <si>
    <t>(9, 13)</t>
  </si>
  <si>
    <t>(9, 14)</t>
  </si>
  <si>
    <t>(9, 15)</t>
  </si>
  <si>
    <t>(9, 16)</t>
  </si>
  <si>
    <t>ci3</t>
  </si>
  <si>
    <t>cì</t>
  </si>
  <si>
    <t>bun7</t>
  </si>
  <si>
    <t>bbûn</t>
  </si>
  <si>
    <t>liam5</t>
  </si>
  <si>
    <t>liám</t>
  </si>
  <si>
    <t>khiok4</t>
  </si>
  <si>
    <t>kiōk</t>
  </si>
  <si>
    <t>to7</t>
  </si>
  <si>
    <t>dô</t>
  </si>
  <si>
    <t>hai2</t>
  </si>
  <si>
    <t>hǎi</t>
  </si>
  <si>
    <t>tong5</t>
  </si>
  <si>
    <t>dóng</t>
  </si>
  <si>
    <t>i1</t>
  </si>
  <si>
    <t>yī</t>
  </si>
  <si>
    <t>kiu7</t>
  </si>
  <si>
    <t>gîu</t>
  </si>
  <si>
    <t>(13, 4)</t>
  </si>
  <si>
    <t>(13, 5)</t>
  </si>
  <si>
    <t>(13, 6)</t>
  </si>
  <si>
    <t>(13, 7)</t>
  </si>
  <si>
    <t>(13, 8)</t>
  </si>
  <si>
    <t>(13, 10)</t>
  </si>
  <si>
    <t>(13, 11)</t>
  </si>
  <si>
    <t>(13, 12)</t>
  </si>
  <si>
    <t>(13, 13)</t>
  </si>
  <si>
    <t>(13, 14)</t>
  </si>
  <si>
    <t>(13, 15)</t>
  </si>
  <si>
    <t>(5, 5); (5, 8); (17, 4); (17, 7)</t>
  </si>
  <si>
    <t>(5, 11); (17, 10)</t>
  </si>
  <si>
    <t>(5, 12); (17, 11)</t>
  </si>
  <si>
    <t>(5, 13); (17, 12)</t>
  </si>
  <si>
    <t>(5, 14); (17, 13)</t>
  </si>
  <si>
    <t>【河洛文讀注音-閩拼調符】《知否，知否？應是綠肥紅瘦》.xlsx</t>
    <phoneticPr fontId="1" type="noConversion"/>
  </si>
  <si>
    <t>hiu2</t>
  </si>
  <si>
    <t>hiu2</t>
    <phoneticPr fontId="1" type="noConversion"/>
  </si>
  <si>
    <t>siu3</t>
  </si>
  <si>
    <t>siu3</t>
    <phoneticPr fontId="1" type="noConversion"/>
  </si>
  <si>
    <t>hǐu</t>
    <phoneticPr fontId="1" type="noConversion"/>
  </si>
  <si>
    <t>sìu</t>
    <phoneticPr fontId="1" type="noConversion"/>
  </si>
  <si>
    <t>kuan2</t>
  </si>
  <si>
    <t>kuan2</t>
    <phoneticPr fontId="1" type="noConversion"/>
  </si>
  <si>
    <t>guǎn</t>
    <phoneticPr fontId="1" type="noConversion"/>
  </si>
  <si>
    <t>hong5</t>
  </si>
  <si>
    <t>hong5</t>
    <phoneticPr fontId="1" type="noConversion"/>
  </si>
  <si>
    <t>hóng</t>
    <phoneticPr fontId="1" type="noConversion"/>
  </si>
  <si>
    <t>(17, 14); (5, 15)</t>
  </si>
  <si>
    <t>(17, 5); (5, 6)</t>
  </si>
  <si>
    <t>(5, 9); (17, 8)</t>
  </si>
  <si>
    <t>(17, 15)</t>
  </si>
  <si>
    <t>知否？知否？.png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</si>
</sst>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6"/>
      <color rgb="FF009900"/>
      <name val="Cascadia Code"/>
      <family val="3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7" fillId="0" borderId="0" applyNumberFormat="0" applyFill="0" applyBorder="0" applyAlignment="0" applyProtection="0">
      <alignment vertical="center"/>
    </xf>
  </cellStyleXfs>
  <cellXfs count="57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5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8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9" fillId="0" borderId="0" xfId="1" applyFont="1">
      <alignment vertical="center"/>
    </xf>
    <xf numFmtId="0" fontId="30" fillId="0" borderId="0" xfId="3" applyFont="1" applyAlignment="1">
      <alignment horizontal="left" vertical="center"/>
    </xf>
    <xf numFmtId="0" fontId="31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2" fillId="0" borderId="0" xfId="1" applyFont="1" applyAlignment="1">
      <alignment horizontal="left" vertical="center"/>
    </xf>
    <xf numFmtId="0" fontId="33" fillId="3" borderId="0" xfId="1" applyFont="1" applyFill="1">
      <alignment vertical="center"/>
    </xf>
    <xf numFmtId="0" fontId="31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5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34" fillId="2" borderId="3" xfId="3" applyFont="1" applyFill="1" applyBorder="1" applyAlignment="1" applyProtection="1">
      <alignment horizontal="center" vertical="center" wrapText="1" readingOrder="1"/>
      <protection locked="0"/>
    </xf>
    <xf numFmtId="0" fontId="27" fillId="4" borderId="0" xfId="4" applyFill="1" applyAlignment="1">
      <alignment vertical="center" readingOrder="1"/>
    </xf>
    <xf numFmtId="0" fontId="36" fillId="0" borderId="0" xfId="3" applyFont="1" applyAlignment="1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19" fillId="0" borderId="0" xfId="3" applyFont="1" applyFill="1" applyAlignment="1">
      <alignment horizontal="center" vertical="center"/>
    </xf>
    <xf numFmtId="0" fontId="35" fillId="0" borderId="0" xfId="3" applyFont="1" applyFill="1" applyAlignment="1">
      <alignment horizontal="center" vertical="center"/>
    </xf>
    <xf numFmtId="0" fontId="36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0"/>
  <sheetViews>
    <sheetView topLeftCell="A3" zoomScale="80" zoomScaleNormal="80" workbookViewId="0">
      <selection activeCell="C8" sqref="C8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28</v>
      </c>
      <c r="C2" s="40">
        <v>1</v>
      </c>
    </row>
    <row r="3" spans="2:4" ht="30">
      <c r="B3" s="37" t="s">
        <v>29</v>
      </c>
      <c r="C3" s="45" t="s">
        <v>30</v>
      </c>
    </row>
    <row r="4" spans="2:4">
      <c r="B4" s="4" t="s">
        <v>2</v>
      </c>
      <c r="C4" s="2"/>
    </row>
    <row r="5" spans="2:4">
      <c r="B5" s="4" t="s">
        <v>3</v>
      </c>
      <c r="C5" s="2" t="s">
        <v>156</v>
      </c>
    </row>
    <row r="6" spans="2:4">
      <c r="B6" s="4" t="s">
        <v>4</v>
      </c>
      <c r="C6" s="3" t="s">
        <v>79</v>
      </c>
    </row>
    <row r="7" spans="2:4">
      <c r="B7" s="4" t="s">
        <v>5</v>
      </c>
      <c r="C7" s="49" t="s">
        <v>173</v>
      </c>
      <c r="D7" s="44"/>
    </row>
    <row r="8" spans="2:4">
      <c r="B8" s="4" t="s">
        <v>6</v>
      </c>
      <c r="C8" s="41" t="s">
        <v>36</v>
      </c>
    </row>
    <row r="9" spans="2:4" ht="30">
      <c r="B9" s="37" t="s">
        <v>7</v>
      </c>
      <c r="C9" s="40"/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5</v>
      </c>
      <c r="D11" s="1">
        <f>每頁總列數*4+5</f>
        <v>25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31</v>
      </c>
    </row>
    <row r="14" spans="2:4" ht="30">
      <c r="B14" s="37" t="s">
        <v>12</v>
      </c>
      <c r="C14" s="39" t="s">
        <v>32</v>
      </c>
    </row>
    <row r="15" spans="2:4" ht="30">
      <c r="B15" s="37" t="s">
        <v>13</v>
      </c>
      <c r="C15" s="39" t="s">
        <v>43</v>
      </c>
    </row>
    <row r="16" spans="2:4" ht="30">
      <c r="B16" s="37" t="s">
        <v>14</v>
      </c>
      <c r="C16" s="39" t="s">
        <v>33</v>
      </c>
    </row>
    <row r="17" spans="2:3" ht="30">
      <c r="B17" s="37" t="s">
        <v>15</v>
      </c>
      <c r="C17" s="39" t="s">
        <v>34</v>
      </c>
    </row>
    <row r="18" spans="2:3" ht="30">
      <c r="B18" s="37" t="s">
        <v>16</v>
      </c>
      <c r="C18" s="39" t="s">
        <v>43</v>
      </c>
    </row>
    <row r="19" spans="2:3" ht="30">
      <c r="B19" s="37" t="s">
        <v>17</v>
      </c>
      <c r="C19" s="39" t="s">
        <v>35</v>
      </c>
    </row>
    <row r="20" spans="2:3" ht="30">
      <c r="B20" s="37" t="s">
        <v>27</v>
      </c>
      <c r="C20" s="43">
        <v>0</v>
      </c>
    </row>
  </sheetData>
  <phoneticPr fontId="1" type="noConversion"/>
  <dataValidations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870A4-7651-4131-8FFD-237794F877F5}">
  <dimension ref="A1:D1"/>
  <sheetViews>
    <sheetView workbookViewId="0"/>
  </sheetViews>
  <sheetFormatPr defaultRowHeight="16.5"/>
  <sheetData>
    <row r="1" spans="1:4">
      <c r="A1" t="s">
        <v>39</v>
      </c>
      <c r="B1" t="s">
        <v>40</v>
      </c>
      <c r="C1" t="s">
        <v>41</v>
      </c>
      <c r="D1" t="s">
        <v>42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16C5C-3BC9-4172-97A7-CE008297FA68}">
  <dimension ref="A1:D31"/>
  <sheetViews>
    <sheetView workbookViewId="0">
      <selection activeCell="B24" sqref="B24"/>
    </sheetView>
  </sheetViews>
  <sheetFormatPr defaultRowHeight="16.5"/>
  <sheetData>
    <row r="1" spans="1:4">
      <c r="A1" t="s">
        <v>39</v>
      </c>
      <c r="B1" t="s">
        <v>40</v>
      </c>
      <c r="C1" t="s">
        <v>41</v>
      </c>
      <c r="D1" t="s">
        <v>42</v>
      </c>
    </row>
    <row r="2" spans="1:4">
      <c r="A2" t="s">
        <v>48</v>
      </c>
      <c r="B2" t="s">
        <v>80</v>
      </c>
      <c r="C2" t="s">
        <v>26</v>
      </c>
      <c r="D2" t="s">
        <v>151</v>
      </c>
    </row>
    <row r="3" spans="1:4">
      <c r="A3" t="s">
        <v>49</v>
      </c>
      <c r="B3" t="s">
        <v>157</v>
      </c>
      <c r="C3" t="s">
        <v>26</v>
      </c>
      <c r="D3" t="s">
        <v>171</v>
      </c>
    </row>
    <row r="4" spans="1:4">
      <c r="A4" t="s">
        <v>51</v>
      </c>
      <c r="B4" t="s">
        <v>82</v>
      </c>
      <c r="C4" t="s">
        <v>26</v>
      </c>
      <c r="D4" t="s">
        <v>152</v>
      </c>
    </row>
    <row r="5" spans="1:4">
      <c r="A5" t="s">
        <v>52</v>
      </c>
      <c r="B5" t="s">
        <v>84</v>
      </c>
      <c r="C5" t="s">
        <v>26</v>
      </c>
      <c r="D5" t="s">
        <v>153</v>
      </c>
    </row>
    <row r="6" spans="1:4">
      <c r="A6" t="s">
        <v>53</v>
      </c>
      <c r="B6" t="s">
        <v>86</v>
      </c>
      <c r="C6" t="s">
        <v>26</v>
      </c>
      <c r="D6" t="s">
        <v>154</v>
      </c>
    </row>
    <row r="7" spans="1:4">
      <c r="A7" t="s">
        <v>54</v>
      </c>
      <c r="B7" t="s">
        <v>88</v>
      </c>
      <c r="C7" t="s">
        <v>26</v>
      </c>
      <c r="D7" t="s">
        <v>155</v>
      </c>
    </row>
    <row r="8" spans="1:4">
      <c r="A8" t="s">
        <v>56</v>
      </c>
      <c r="B8" t="s">
        <v>159</v>
      </c>
      <c r="C8" t="s">
        <v>26</v>
      </c>
      <c r="D8" t="s">
        <v>172</v>
      </c>
    </row>
    <row r="9" spans="1:4">
      <c r="A9" t="s">
        <v>57</v>
      </c>
      <c r="B9" t="s">
        <v>91</v>
      </c>
      <c r="C9" t="s">
        <v>26</v>
      </c>
      <c r="D9" t="s">
        <v>111</v>
      </c>
    </row>
    <row r="10" spans="1:4">
      <c r="A10" t="s">
        <v>58</v>
      </c>
      <c r="B10" t="s">
        <v>93</v>
      </c>
      <c r="C10" t="s">
        <v>26</v>
      </c>
      <c r="D10" t="s">
        <v>112</v>
      </c>
    </row>
    <row r="11" spans="1:4">
      <c r="A11" t="s">
        <v>59</v>
      </c>
      <c r="B11" t="s">
        <v>24</v>
      </c>
      <c r="C11" t="s">
        <v>26</v>
      </c>
      <c r="D11" t="s">
        <v>113</v>
      </c>
    </row>
    <row r="12" spans="1:4">
      <c r="A12" t="s">
        <v>60</v>
      </c>
      <c r="B12" t="s">
        <v>95</v>
      </c>
      <c r="C12" t="s">
        <v>26</v>
      </c>
      <c r="D12" t="s">
        <v>114</v>
      </c>
    </row>
    <row r="13" spans="1:4">
      <c r="A13" t="s">
        <v>23</v>
      </c>
      <c r="B13" t="s">
        <v>25</v>
      </c>
      <c r="C13" t="s">
        <v>26</v>
      </c>
      <c r="D13" t="s">
        <v>115</v>
      </c>
    </row>
    <row r="14" spans="1:4">
      <c r="A14" t="s">
        <v>61</v>
      </c>
      <c r="B14" t="s">
        <v>97</v>
      </c>
      <c r="C14" t="s">
        <v>26</v>
      </c>
      <c r="D14" t="s">
        <v>116</v>
      </c>
    </row>
    <row r="15" spans="1:4">
      <c r="A15" t="s">
        <v>62</v>
      </c>
      <c r="B15" t="s">
        <v>99</v>
      </c>
      <c r="C15" t="s">
        <v>26</v>
      </c>
      <c r="D15" t="s">
        <v>44</v>
      </c>
    </row>
    <row r="16" spans="1:4">
      <c r="A16" t="s">
        <v>63</v>
      </c>
      <c r="B16" t="s">
        <v>101</v>
      </c>
      <c r="C16" t="s">
        <v>26</v>
      </c>
      <c r="D16" t="s">
        <v>117</v>
      </c>
    </row>
    <row r="17" spans="1:4">
      <c r="A17" t="s">
        <v>64</v>
      </c>
      <c r="B17" t="s">
        <v>103</v>
      </c>
      <c r="C17" t="s">
        <v>26</v>
      </c>
      <c r="D17" t="s">
        <v>118</v>
      </c>
    </row>
    <row r="18" spans="1:4">
      <c r="A18" t="s">
        <v>65</v>
      </c>
      <c r="B18" t="s">
        <v>105</v>
      </c>
      <c r="C18" t="s">
        <v>26</v>
      </c>
      <c r="D18" t="s">
        <v>119</v>
      </c>
    </row>
    <row r="19" spans="1:4">
      <c r="A19" t="s">
        <v>66</v>
      </c>
      <c r="B19" t="s">
        <v>107</v>
      </c>
      <c r="C19" t="s">
        <v>26</v>
      </c>
      <c r="D19" t="s">
        <v>120</v>
      </c>
    </row>
    <row r="20" spans="1:4">
      <c r="A20" t="s">
        <v>67</v>
      </c>
      <c r="B20" t="s">
        <v>109</v>
      </c>
      <c r="C20" t="s">
        <v>26</v>
      </c>
      <c r="D20" t="s">
        <v>121</v>
      </c>
    </row>
    <row r="21" spans="1:4">
      <c r="A21" t="s">
        <v>68</v>
      </c>
      <c r="B21" t="s">
        <v>122</v>
      </c>
      <c r="C21" t="s">
        <v>26</v>
      </c>
      <c r="D21" t="s">
        <v>140</v>
      </c>
    </row>
    <row r="22" spans="1:4">
      <c r="A22" t="s">
        <v>69</v>
      </c>
      <c r="B22" t="s">
        <v>124</v>
      </c>
      <c r="C22" t="s">
        <v>26</v>
      </c>
      <c r="D22" t="s">
        <v>141</v>
      </c>
    </row>
    <row r="23" spans="1:4">
      <c r="A23" t="s">
        <v>70</v>
      </c>
      <c r="B23" t="s">
        <v>163</v>
      </c>
      <c r="C23" t="s">
        <v>26</v>
      </c>
      <c r="D23" t="s">
        <v>142</v>
      </c>
    </row>
    <row r="24" spans="1:4">
      <c r="A24" t="s">
        <v>71</v>
      </c>
      <c r="B24" t="s">
        <v>126</v>
      </c>
      <c r="C24" t="s">
        <v>26</v>
      </c>
      <c r="D24" t="s">
        <v>143</v>
      </c>
    </row>
    <row r="25" spans="1:4">
      <c r="A25" t="s">
        <v>20</v>
      </c>
      <c r="B25" t="s">
        <v>22</v>
      </c>
      <c r="C25" t="s">
        <v>26</v>
      </c>
      <c r="D25" t="s">
        <v>144</v>
      </c>
    </row>
    <row r="26" spans="1:4">
      <c r="A26" t="s">
        <v>72</v>
      </c>
      <c r="B26" t="s">
        <v>128</v>
      </c>
      <c r="C26" t="s">
        <v>26</v>
      </c>
      <c r="D26" t="s">
        <v>145</v>
      </c>
    </row>
    <row r="27" spans="1:4">
      <c r="A27" t="s">
        <v>73</v>
      </c>
      <c r="B27" t="s">
        <v>130</v>
      </c>
      <c r="C27" t="s">
        <v>26</v>
      </c>
      <c r="D27" t="s">
        <v>146</v>
      </c>
    </row>
    <row r="28" spans="1:4">
      <c r="A28" t="s">
        <v>74</v>
      </c>
      <c r="B28" t="s">
        <v>132</v>
      </c>
      <c r="C28" t="s">
        <v>26</v>
      </c>
      <c r="D28" t="s">
        <v>147</v>
      </c>
    </row>
    <row r="29" spans="1:4">
      <c r="A29" t="s">
        <v>75</v>
      </c>
      <c r="B29" t="s">
        <v>134</v>
      </c>
      <c r="C29" t="s">
        <v>26</v>
      </c>
      <c r="D29" t="s">
        <v>148</v>
      </c>
    </row>
    <row r="30" spans="1:4">
      <c r="A30" t="s">
        <v>76</v>
      </c>
      <c r="B30" t="s">
        <v>136</v>
      </c>
      <c r="C30" t="s">
        <v>26</v>
      </c>
      <c r="D30" t="s">
        <v>149</v>
      </c>
    </row>
    <row r="31" spans="1:4">
      <c r="A31" t="s">
        <v>77</v>
      </c>
      <c r="B31" t="s">
        <v>138</v>
      </c>
      <c r="C31" t="s">
        <v>26</v>
      </c>
      <c r="D31" t="s">
        <v>150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EEEE7-2560-4025-ACE8-AC4D4EB27C23}">
  <dimension ref="A1:D4"/>
  <sheetViews>
    <sheetView workbookViewId="0"/>
  </sheetViews>
  <sheetFormatPr defaultRowHeight="16.5"/>
  <sheetData>
    <row r="1" spans="1:4">
      <c r="A1" t="s">
        <v>39</v>
      </c>
      <c r="B1" t="s">
        <v>40</v>
      </c>
      <c r="C1" t="s">
        <v>41</v>
      </c>
      <c r="D1" t="s">
        <v>42</v>
      </c>
    </row>
    <row r="2" spans="1:4">
      <c r="A2" t="s">
        <v>55</v>
      </c>
      <c r="B2" t="s">
        <v>166</v>
      </c>
      <c r="C2" t="s">
        <v>26</v>
      </c>
      <c r="D2" t="s">
        <v>169</v>
      </c>
    </row>
    <row r="3" spans="1:4">
      <c r="A3" t="s">
        <v>49</v>
      </c>
      <c r="B3" t="s">
        <v>157</v>
      </c>
      <c r="C3" t="s">
        <v>26</v>
      </c>
      <c r="D3" t="s">
        <v>170</v>
      </c>
    </row>
    <row r="4" spans="1:4">
      <c r="A4" t="s">
        <v>56</v>
      </c>
      <c r="B4" t="s">
        <v>159</v>
      </c>
      <c r="C4" t="s">
        <v>26</v>
      </c>
      <c r="D4" t="s">
        <v>90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2002"/>
  <sheetViews>
    <sheetView showGridLines="0" tabSelected="1" zoomScale="55" zoomScaleNormal="55" workbookViewId="0">
      <pane xSplit="3" ySplit="1" topLeftCell="D12" activePane="bottomRight" state="frozen"/>
      <selection pane="topRight" activeCell="D1" sqref="D1"/>
      <selection pane="bottomLeft" activeCell="A2" sqref="A2"/>
      <selection pane="bottomRight" activeCell="D21" sqref="D2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58</v>
      </c>
    </row>
    <row r="3" spans="1:22" s="14" customFormat="1" ht="60" customHeight="1">
      <c r="B3" s="12"/>
      <c r="C3" s="13"/>
      <c r="D3" s="48"/>
      <c r="E3" s="48"/>
      <c r="F3" s="48" t="s">
        <v>158</v>
      </c>
      <c r="G3" s="48"/>
      <c r="H3" s="48"/>
      <c r="I3" s="48"/>
      <c r="J3" s="48"/>
      <c r="K3" s="48"/>
      <c r="L3" s="48"/>
      <c r="M3" s="48"/>
      <c r="N3" s="48"/>
      <c r="O3" s="48" t="s">
        <v>167</v>
      </c>
      <c r="P3" s="48" t="s">
        <v>160</v>
      </c>
      <c r="Q3" s="48"/>
      <c r="R3" s="48"/>
      <c r="T3" s="15"/>
      <c r="V3" s="51" t="s">
        <v>78</v>
      </c>
    </row>
    <row r="4" spans="1:22" s="6" customFormat="1" ht="36" customHeight="1">
      <c r="B4" s="16"/>
      <c r="D4" s="55"/>
      <c r="E4" s="55" t="s">
        <v>80</v>
      </c>
      <c r="F4" s="55" t="s">
        <v>158</v>
      </c>
      <c r="G4" s="55"/>
      <c r="H4" s="55" t="s">
        <v>80</v>
      </c>
      <c r="I4" s="55" t="s">
        <v>158</v>
      </c>
      <c r="J4" s="55"/>
      <c r="K4" s="55" t="s">
        <v>82</v>
      </c>
      <c r="L4" s="55" t="s">
        <v>84</v>
      </c>
      <c r="M4" s="55" t="s">
        <v>86</v>
      </c>
      <c r="N4" s="55" t="s">
        <v>88</v>
      </c>
      <c r="O4" s="55" t="s">
        <v>167</v>
      </c>
      <c r="P4" s="55" t="s">
        <v>160</v>
      </c>
      <c r="Q4" s="55"/>
      <c r="R4" s="55"/>
      <c r="S4" s="17"/>
      <c r="V4" s="52"/>
    </row>
    <row r="5" spans="1:22" s="6" customFormat="1" ht="80.099999999999994" customHeight="1">
      <c r="B5" s="18">
        <v>1</v>
      </c>
      <c r="D5" s="54" t="s">
        <v>37</v>
      </c>
      <c r="E5" s="54" t="s">
        <v>48</v>
      </c>
      <c r="F5" s="54" t="s">
        <v>49</v>
      </c>
      <c r="G5" s="54" t="s">
        <v>18</v>
      </c>
      <c r="H5" s="54" t="s">
        <v>48</v>
      </c>
      <c r="I5" s="54" t="s">
        <v>49</v>
      </c>
      <c r="J5" s="54" t="s">
        <v>50</v>
      </c>
      <c r="K5" s="54" t="s">
        <v>51</v>
      </c>
      <c r="L5" s="54" t="s">
        <v>52</v>
      </c>
      <c r="M5" s="54" t="s">
        <v>53</v>
      </c>
      <c r="N5" s="54" t="s">
        <v>54</v>
      </c>
      <c r="O5" s="54" t="s">
        <v>55</v>
      </c>
      <c r="P5" s="54" t="s">
        <v>56</v>
      </c>
      <c r="Q5" s="54" t="s">
        <v>38</v>
      </c>
      <c r="R5" s="54" t="str">
        <f>CHAR(10)</f>
        <v xml:space="preserve">
</v>
      </c>
      <c r="S5" s="19"/>
      <c r="V5" s="52"/>
    </row>
    <row r="6" spans="1:22" s="23" customFormat="1" ht="36" customHeight="1">
      <c r="B6" s="20"/>
      <c r="C6" s="21"/>
      <c r="D6" s="56"/>
      <c r="E6" s="56" t="s">
        <v>81</v>
      </c>
      <c r="F6" s="56" t="s">
        <v>161</v>
      </c>
      <c r="G6" s="56"/>
      <c r="H6" s="56" t="s">
        <v>81</v>
      </c>
      <c r="I6" s="56" t="s">
        <v>161</v>
      </c>
      <c r="J6" s="56"/>
      <c r="K6" s="56" t="s">
        <v>83</v>
      </c>
      <c r="L6" s="56" t="s">
        <v>85</v>
      </c>
      <c r="M6" s="56" t="s">
        <v>87</v>
      </c>
      <c r="N6" s="56" t="s">
        <v>89</v>
      </c>
      <c r="O6" s="56" t="s">
        <v>168</v>
      </c>
      <c r="P6" s="56" t="s">
        <v>162</v>
      </c>
      <c r="Q6" s="56"/>
      <c r="R6" s="56"/>
      <c r="S6" s="22"/>
      <c r="V6" s="52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2"/>
    </row>
    <row r="8" spans="1:22" s="6" customFormat="1" ht="36" customHeight="1">
      <c r="B8" s="16"/>
      <c r="D8" s="55" t="s">
        <v>91</v>
      </c>
      <c r="E8" s="55" t="s">
        <v>93</v>
      </c>
      <c r="F8" s="55" t="s">
        <v>24</v>
      </c>
      <c r="G8" s="55" t="s">
        <v>95</v>
      </c>
      <c r="H8" s="55" t="s">
        <v>25</v>
      </c>
      <c r="I8" s="55" t="s">
        <v>97</v>
      </c>
      <c r="J8" s="55"/>
      <c r="K8" s="55" t="s">
        <v>99</v>
      </c>
      <c r="L8" s="55" t="s">
        <v>101</v>
      </c>
      <c r="M8" s="55" t="s">
        <v>103</v>
      </c>
      <c r="N8" s="55" t="s">
        <v>105</v>
      </c>
      <c r="O8" s="55" t="s">
        <v>107</v>
      </c>
      <c r="P8" s="55" t="s">
        <v>109</v>
      </c>
      <c r="Q8" s="55"/>
      <c r="R8" s="55"/>
      <c r="S8" s="17"/>
      <c r="V8" s="52"/>
    </row>
    <row r="9" spans="1:22" s="6" customFormat="1" ht="80.099999999999994" customHeight="1">
      <c r="B9" s="18">
        <f>B5+1</f>
        <v>2</v>
      </c>
      <c r="D9" s="54" t="s">
        <v>57</v>
      </c>
      <c r="E9" s="54" t="s">
        <v>58</v>
      </c>
      <c r="F9" s="54" t="s">
        <v>59</v>
      </c>
      <c r="G9" s="54" t="s">
        <v>60</v>
      </c>
      <c r="H9" s="54" t="s">
        <v>23</v>
      </c>
      <c r="I9" s="54" t="s">
        <v>61</v>
      </c>
      <c r="J9" s="54" t="s">
        <v>18</v>
      </c>
      <c r="K9" s="54" t="s">
        <v>62</v>
      </c>
      <c r="L9" s="54" t="s">
        <v>63</v>
      </c>
      <c r="M9" s="54" t="s">
        <v>64</v>
      </c>
      <c r="N9" s="54" t="s">
        <v>65</v>
      </c>
      <c r="O9" s="54" t="s">
        <v>66</v>
      </c>
      <c r="P9" s="54" t="s">
        <v>67</v>
      </c>
      <c r="Q9" s="54" t="s">
        <v>19</v>
      </c>
      <c r="R9" s="54" t="str">
        <f>CHAR(10)</f>
        <v xml:space="preserve">
</v>
      </c>
      <c r="S9" s="19"/>
      <c r="T9" s="15"/>
      <c r="V9" s="52"/>
    </row>
    <row r="10" spans="1:22" s="6" customFormat="1" ht="36" customHeight="1">
      <c r="B10" s="20"/>
      <c r="D10" s="56" t="s">
        <v>92</v>
      </c>
      <c r="E10" s="56" t="s">
        <v>94</v>
      </c>
      <c r="F10" s="56" t="s">
        <v>47</v>
      </c>
      <c r="G10" s="56" t="s">
        <v>96</v>
      </c>
      <c r="H10" s="56" t="s">
        <v>45</v>
      </c>
      <c r="I10" s="56" t="s">
        <v>98</v>
      </c>
      <c r="J10" s="56"/>
      <c r="K10" s="56" t="s">
        <v>100</v>
      </c>
      <c r="L10" s="56" t="s">
        <v>102</v>
      </c>
      <c r="M10" s="56" t="s">
        <v>104</v>
      </c>
      <c r="N10" s="56" t="s">
        <v>106</v>
      </c>
      <c r="O10" s="56" t="s">
        <v>108</v>
      </c>
      <c r="P10" s="56" t="s">
        <v>110</v>
      </c>
      <c r="Q10" s="56"/>
      <c r="R10" s="56"/>
      <c r="S10" s="28"/>
      <c r="V10" s="52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2"/>
    </row>
    <row r="12" spans="1:22" s="6" customFormat="1" ht="36" customHeight="1">
      <c r="B12" s="16"/>
      <c r="D12" s="55" t="s">
        <v>122</v>
      </c>
      <c r="E12" s="55" t="s">
        <v>124</v>
      </c>
      <c r="F12" s="55" t="s">
        <v>164</v>
      </c>
      <c r="G12" s="55" t="s">
        <v>126</v>
      </c>
      <c r="H12" s="55" t="s">
        <v>22</v>
      </c>
      <c r="I12" s="55"/>
      <c r="J12" s="55" t="s">
        <v>128</v>
      </c>
      <c r="K12" s="55" t="s">
        <v>130</v>
      </c>
      <c r="L12" s="55" t="s">
        <v>132</v>
      </c>
      <c r="M12" s="55" t="s">
        <v>134</v>
      </c>
      <c r="N12" s="55" t="s">
        <v>136</v>
      </c>
      <c r="O12" s="55" t="s">
        <v>138</v>
      </c>
      <c r="P12" s="55"/>
      <c r="Q12" s="55"/>
      <c r="R12" s="46"/>
      <c r="S12" s="17"/>
      <c r="V12" s="52"/>
    </row>
    <row r="13" spans="1:22" s="6" customFormat="1" ht="80.099999999999994" customHeight="1">
      <c r="B13" s="18">
        <f>B9+1</f>
        <v>3</v>
      </c>
      <c r="D13" s="54" t="s">
        <v>68</v>
      </c>
      <c r="E13" s="54" t="s">
        <v>69</v>
      </c>
      <c r="F13" s="54" t="s">
        <v>70</v>
      </c>
      <c r="G13" s="54" t="s">
        <v>71</v>
      </c>
      <c r="H13" s="54" t="s">
        <v>20</v>
      </c>
      <c r="I13" s="54" t="s">
        <v>18</v>
      </c>
      <c r="J13" s="54" t="s">
        <v>72</v>
      </c>
      <c r="K13" s="54" t="s">
        <v>73</v>
      </c>
      <c r="L13" s="54" t="s">
        <v>74</v>
      </c>
      <c r="M13" s="54" t="s">
        <v>75</v>
      </c>
      <c r="N13" s="54" t="s">
        <v>76</v>
      </c>
      <c r="O13" s="54" t="s">
        <v>77</v>
      </c>
      <c r="P13" s="54" t="s">
        <v>19</v>
      </c>
      <c r="Q13" s="54" t="str">
        <f>CHAR(10)</f>
        <v xml:space="preserve">
</v>
      </c>
      <c r="R13" s="36"/>
      <c r="S13" s="19"/>
      <c r="V13" s="52"/>
    </row>
    <row r="14" spans="1:22" s="6" customFormat="1" ht="36" customHeight="1">
      <c r="B14" s="20"/>
      <c r="D14" s="56" t="s">
        <v>123</v>
      </c>
      <c r="E14" s="56" t="s">
        <v>125</v>
      </c>
      <c r="F14" s="56" t="s">
        <v>165</v>
      </c>
      <c r="G14" s="56" t="s">
        <v>127</v>
      </c>
      <c r="H14" s="56" t="s">
        <v>46</v>
      </c>
      <c r="I14" s="56"/>
      <c r="J14" s="56" t="s">
        <v>129</v>
      </c>
      <c r="K14" s="56" t="s">
        <v>131</v>
      </c>
      <c r="L14" s="56" t="s">
        <v>133</v>
      </c>
      <c r="M14" s="56" t="s">
        <v>135</v>
      </c>
      <c r="N14" s="56" t="s">
        <v>137</v>
      </c>
      <c r="O14" s="56" t="s">
        <v>139</v>
      </c>
      <c r="P14" s="56"/>
      <c r="Q14" s="56"/>
      <c r="R14" s="50"/>
      <c r="S14" s="28"/>
      <c r="V14" s="52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2"/>
    </row>
    <row r="16" spans="1:22" s="6" customFormat="1" ht="36" customHeight="1">
      <c r="B16" s="16"/>
      <c r="D16" s="55" t="s">
        <v>80</v>
      </c>
      <c r="E16" s="55" t="s">
        <v>158</v>
      </c>
      <c r="F16" s="55"/>
      <c r="G16" s="55" t="s">
        <v>80</v>
      </c>
      <c r="H16" s="55" t="s">
        <v>158</v>
      </c>
      <c r="I16" s="55"/>
      <c r="J16" s="55" t="s">
        <v>82</v>
      </c>
      <c r="K16" s="55" t="s">
        <v>84</v>
      </c>
      <c r="L16" s="55" t="s">
        <v>86</v>
      </c>
      <c r="M16" s="55" t="s">
        <v>88</v>
      </c>
      <c r="N16" s="55" t="s">
        <v>167</v>
      </c>
      <c r="O16" s="55" t="s">
        <v>160</v>
      </c>
      <c r="P16" s="55"/>
      <c r="Q16" s="55"/>
      <c r="R16" s="46"/>
      <c r="S16" s="17"/>
      <c r="V16" s="52"/>
    </row>
    <row r="17" spans="2:22" s="6" customFormat="1" ht="80.099999999999994" customHeight="1">
      <c r="B17" s="18">
        <f>B13+1</f>
        <v>4</v>
      </c>
      <c r="D17" s="54" t="s">
        <v>48</v>
      </c>
      <c r="E17" s="54" t="s">
        <v>49</v>
      </c>
      <c r="F17" s="54" t="s">
        <v>18</v>
      </c>
      <c r="G17" s="54" t="s">
        <v>48</v>
      </c>
      <c r="H17" s="54" t="s">
        <v>49</v>
      </c>
      <c r="I17" s="54" t="s">
        <v>50</v>
      </c>
      <c r="J17" s="54" t="s">
        <v>51</v>
      </c>
      <c r="K17" s="54" t="s">
        <v>52</v>
      </c>
      <c r="L17" s="54" t="s">
        <v>53</v>
      </c>
      <c r="M17" s="54" t="s">
        <v>54</v>
      </c>
      <c r="N17" s="54" t="s">
        <v>55</v>
      </c>
      <c r="O17" s="54" t="s">
        <v>56</v>
      </c>
      <c r="P17" s="54" t="s">
        <v>19</v>
      </c>
      <c r="Q17" s="54" t="str">
        <f>CHAR(10)</f>
        <v xml:space="preserve">
</v>
      </c>
      <c r="R17" s="36"/>
      <c r="S17" s="19"/>
      <c r="V17" s="52"/>
    </row>
    <row r="18" spans="2:22" s="6" customFormat="1" ht="36" customHeight="1">
      <c r="B18" s="20"/>
      <c r="D18" s="56" t="s">
        <v>81</v>
      </c>
      <c r="E18" s="56" t="s">
        <v>161</v>
      </c>
      <c r="F18" s="56"/>
      <c r="G18" s="56" t="s">
        <v>81</v>
      </c>
      <c r="H18" s="56" t="s">
        <v>161</v>
      </c>
      <c r="I18" s="56"/>
      <c r="J18" s="56" t="s">
        <v>83</v>
      </c>
      <c r="K18" s="56" t="s">
        <v>85</v>
      </c>
      <c r="L18" s="56" t="s">
        <v>87</v>
      </c>
      <c r="M18" s="56" t="s">
        <v>89</v>
      </c>
      <c r="N18" s="56" t="s">
        <v>168</v>
      </c>
      <c r="O18" s="56" t="s">
        <v>162</v>
      </c>
      <c r="P18" s="56"/>
      <c r="Q18" s="56"/>
      <c r="R18" s="50"/>
      <c r="S18" s="28"/>
      <c r="V18" s="52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2"/>
    </row>
    <row r="20" spans="2:22" s="6" customFormat="1" ht="36" customHeight="1">
      <c r="B20" s="16"/>
      <c r="D20" s="55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17"/>
      <c r="V20" s="52"/>
    </row>
    <row r="21" spans="2:22" s="6" customFormat="1" ht="80.099999999999994" customHeight="1">
      <c r="B21" s="18">
        <f>B17+1</f>
        <v>5</v>
      </c>
      <c r="D21" s="54" t="s">
        <v>21</v>
      </c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19"/>
      <c r="V21" s="52"/>
    </row>
    <row r="22" spans="2:22" s="6" customFormat="1" ht="36" customHeight="1">
      <c r="B22" s="20"/>
      <c r="D22" s="56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28"/>
      <c r="V22" s="52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2"/>
    </row>
    <row r="24" spans="2:22" s="6" customFormat="1" ht="36" customHeight="1">
      <c r="B24" s="1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52"/>
    </row>
    <row r="25" spans="2:22" s="6" customFormat="1" ht="80.099999999999994" customHeight="1">
      <c r="B25" s="18">
        <f>B21+1</f>
        <v>6</v>
      </c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19"/>
      <c r="V25" s="52"/>
    </row>
    <row r="26" spans="2:22" s="6" customFormat="1" ht="36" customHeight="1">
      <c r="B26" s="2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28"/>
      <c r="V26" s="52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52"/>
    </row>
    <row r="28" spans="2:22" s="6" customFormat="1" ht="36" customHeight="1">
      <c r="B28" s="1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17"/>
      <c r="U28" s="32" t="str">
        <f t="shared" si="1"/>
        <v/>
      </c>
      <c r="V28" s="52"/>
    </row>
    <row r="29" spans="2:22" s="6" customFormat="1" ht="80.099999999999994" customHeight="1">
      <c r="B29" s="18">
        <f>B25+1</f>
        <v>7</v>
      </c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19"/>
      <c r="U29" s="32" t="str">
        <f t="shared" si="1"/>
        <v/>
      </c>
      <c r="V29" s="52"/>
    </row>
    <row r="30" spans="2:22" s="6" customFormat="1" ht="36" customHeight="1">
      <c r="B30" s="2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28"/>
      <c r="U30" s="32" t="str">
        <f t="shared" si="1"/>
        <v/>
      </c>
      <c r="V30" s="52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52"/>
    </row>
    <row r="32" spans="2:22" s="6" customFormat="1" ht="36" customHeight="1">
      <c r="B32" s="1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17"/>
      <c r="U32" s="32" t="str">
        <f t="shared" si="1"/>
        <v/>
      </c>
      <c r="V32" s="52"/>
    </row>
    <row r="33" spans="2:22" s="6" customFormat="1" ht="80.099999999999994" customHeight="1">
      <c r="B33" s="18">
        <f>B29+1</f>
        <v>8</v>
      </c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19"/>
      <c r="V33" s="52"/>
    </row>
    <row r="34" spans="2:22" s="6" customFormat="1" ht="36" customHeight="1">
      <c r="B34" s="2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28"/>
      <c r="V34" s="52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2"/>
    </row>
    <row r="36" spans="2:22" s="6" customFormat="1" ht="36" customHeight="1">
      <c r="B36" s="1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17"/>
      <c r="V36" s="52"/>
    </row>
    <row r="37" spans="2:22" s="6" customFormat="1" ht="80.099999999999994" customHeight="1">
      <c r="B37" s="18">
        <f>B33+1</f>
        <v>9</v>
      </c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19"/>
      <c r="V37" s="52"/>
    </row>
    <row r="38" spans="2:22" s="6" customFormat="1" ht="36" customHeight="1">
      <c r="B38" s="2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28"/>
      <c r="V38" s="52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2"/>
    </row>
    <row r="40" spans="2:22" s="6" customFormat="1" ht="36" customHeight="1">
      <c r="B40" s="1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17"/>
      <c r="V40" s="52"/>
    </row>
    <row r="41" spans="2:22" s="6" customFormat="1" ht="80.099999999999994" customHeight="1">
      <c r="B41" s="18">
        <f>B37+1</f>
        <v>10</v>
      </c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19"/>
      <c r="V41" s="52"/>
    </row>
    <row r="42" spans="2:22" s="6" customFormat="1" ht="36" customHeight="1">
      <c r="B42" s="20"/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28"/>
      <c r="V42" s="52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2"/>
    </row>
    <row r="44" spans="2:22" s="6" customFormat="1" ht="36" customHeight="1">
      <c r="B44" s="1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17"/>
      <c r="V44" s="52"/>
    </row>
    <row r="45" spans="2:22" s="6" customFormat="1" ht="80.099999999999994" customHeight="1">
      <c r="B45" s="18">
        <f>B41+1</f>
        <v>11</v>
      </c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19"/>
      <c r="V45" s="52"/>
    </row>
    <row r="46" spans="2:22" s="6" customFormat="1" ht="36" customHeight="1">
      <c r="B46" s="2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28"/>
      <c r="V46" s="52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2"/>
    </row>
    <row r="48" spans="2:22" s="6" customFormat="1" ht="36" customHeight="1">
      <c r="B48" s="1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17"/>
      <c r="V48" s="52"/>
    </row>
    <row r="49" spans="2:22" s="6" customFormat="1" ht="80.099999999999994" customHeight="1">
      <c r="B49" s="18">
        <f>B45+1</f>
        <v>12</v>
      </c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19"/>
      <c r="V49" s="52"/>
    </row>
    <row r="50" spans="2:22" s="6" customFormat="1" ht="36" customHeight="1">
      <c r="B50" s="2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28"/>
      <c r="V50" s="52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2"/>
    </row>
    <row r="52" spans="2:22" s="6" customFormat="1" ht="36" customHeight="1">
      <c r="B52" s="1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17"/>
      <c r="V52" s="52"/>
    </row>
    <row r="53" spans="2:22" s="6" customFormat="1" ht="80.099999999999994" customHeight="1">
      <c r="B53" s="18">
        <f>B49+1</f>
        <v>13</v>
      </c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19"/>
      <c r="V53" s="52"/>
    </row>
    <row r="54" spans="2:22" s="6" customFormat="1" ht="36" customHeight="1">
      <c r="B54" s="2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28"/>
      <c r="V54" s="52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52"/>
    </row>
    <row r="56" spans="2:22" s="6" customFormat="1" ht="36" customHeight="1">
      <c r="B56" s="1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17"/>
      <c r="V56" s="52"/>
    </row>
    <row r="57" spans="2:22" s="6" customFormat="1" ht="80.099999999999994" customHeight="1">
      <c r="B57" s="18">
        <f>B53+1</f>
        <v>14</v>
      </c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19"/>
      <c r="V57" s="52"/>
    </row>
    <row r="58" spans="2:22" s="6" customFormat="1" ht="36" customHeight="1">
      <c r="B58" s="2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28"/>
      <c r="V58" s="52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2"/>
    </row>
    <row r="60" spans="2:22" s="6" customFormat="1" ht="36" customHeight="1">
      <c r="B60" s="1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17"/>
      <c r="V60" s="52"/>
    </row>
    <row r="61" spans="2:22" s="6" customFormat="1" ht="80.099999999999994" customHeight="1">
      <c r="B61" s="18">
        <f>B57+1</f>
        <v>15</v>
      </c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19"/>
      <c r="V61" s="52"/>
    </row>
    <row r="62" spans="2:22" s="6" customFormat="1" ht="36" customHeight="1">
      <c r="B62" s="2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28"/>
      <c r="V62" s="52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2"/>
    </row>
    <row r="64" spans="2:22" s="6" customFormat="1" ht="36" customHeight="1">
      <c r="B64" s="1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17"/>
      <c r="V64" s="52"/>
    </row>
    <row r="65" spans="2:22" s="6" customFormat="1" ht="80.099999999999994" customHeight="1">
      <c r="B65" s="18">
        <f>B61+1</f>
        <v>16</v>
      </c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19"/>
      <c r="V65" s="52"/>
    </row>
    <row r="66" spans="2:22" s="6" customFormat="1" ht="36" customHeight="1">
      <c r="B66" s="2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28"/>
      <c r="V66" s="52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2"/>
    </row>
    <row r="68" spans="2:22" s="6" customFormat="1" ht="36" customHeight="1">
      <c r="B68" s="1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17"/>
      <c r="V68" s="52"/>
    </row>
    <row r="69" spans="2:22" s="6" customFormat="1" ht="80.099999999999994" customHeight="1">
      <c r="B69" s="18">
        <f>B65+1</f>
        <v>17</v>
      </c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19"/>
      <c r="V69" s="52"/>
    </row>
    <row r="70" spans="2:22" s="6" customFormat="1" ht="36" customHeight="1">
      <c r="B70" s="2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28"/>
      <c r="V70" s="52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2"/>
    </row>
    <row r="72" spans="2:22" s="6" customFormat="1" ht="36" customHeight="1">
      <c r="B72" s="1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17"/>
      <c r="V72" s="52"/>
    </row>
    <row r="73" spans="2:22" s="6" customFormat="1" ht="80.099999999999994" customHeight="1">
      <c r="B73" s="18">
        <f>B69+1</f>
        <v>18</v>
      </c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19"/>
      <c r="V73" s="52"/>
    </row>
    <row r="74" spans="2:22" s="6" customFormat="1" ht="36" customHeight="1">
      <c r="B74" s="2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28"/>
      <c r="V74" s="52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2"/>
    </row>
    <row r="76" spans="2:22" s="6" customFormat="1" ht="36" customHeight="1">
      <c r="B76" s="1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17"/>
      <c r="V76" s="52"/>
    </row>
    <row r="77" spans="2:22" s="6" customFormat="1" ht="80.099999999999994" customHeight="1">
      <c r="B77" s="18">
        <f>B73+1</f>
        <v>19</v>
      </c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19"/>
      <c r="V77" s="52"/>
    </row>
    <row r="78" spans="2:22" s="6" customFormat="1" ht="36" customHeight="1">
      <c r="B78" s="2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28"/>
      <c r="V78" s="52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2"/>
    </row>
    <row r="80" spans="2:22" s="6" customFormat="1" ht="36" customHeight="1">
      <c r="B80" s="1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17"/>
      <c r="V80" s="52"/>
    </row>
    <row r="81" spans="2:22" s="6" customFormat="1" ht="80.099999999999994" customHeight="1">
      <c r="B81" s="18">
        <f>B77+1</f>
        <v>20</v>
      </c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19"/>
      <c r="V81" s="52"/>
    </row>
    <row r="82" spans="2:22" s="6" customFormat="1" ht="36" customHeight="1">
      <c r="B82" s="2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28"/>
      <c r="V82" s="53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17"/>
      <c r="V84" s="7"/>
    </row>
    <row r="85" spans="2:22" s="6" customFormat="1" ht="80.099999999999994" customHeight="1">
      <c r="B85" s="18">
        <f>B81+1</f>
        <v>21</v>
      </c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19"/>
      <c r="V85" s="7"/>
    </row>
    <row r="86" spans="2:22" s="6" customFormat="1" ht="36" customHeight="1">
      <c r="B86" s="2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19"/>
      <c r="V89" s="7"/>
    </row>
    <row r="90" spans="2:22" s="6" customFormat="1" ht="36" customHeight="1">
      <c r="B90" s="20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17"/>
      <c r="V92" s="7"/>
    </row>
    <row r="93" spans="2:22" s="6" customFormat="1" ht="80.099999999999994" customHeight="1">
      <c r="B93" s="18">
        <f>B89+1</f>
        <v>23</v>
      </c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19"/>
      <c r="V93" s="7"/>
    </row>
    <row r="94" spans="2:22" s="6" customFormat="1" ht="36" customHeight="1">
      <c r="B94" s="2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</row>
    <row r="97" spans="2:18" s="6" customFormat="1" ht="80.099999999999994" customHeight="1">
      <c r="B97" s="18">
        <f>B93+1</f>
        <v>24</v>
      </c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</row>
    <row r="98" spans="2:18" s="6" customFormat="1" ht="36" customHeight="1">
      <c r="B98" s="2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</row>
    <row r="101" spans="2:18" s="6" customFormat="1" ht="80.099999999999994" customHeight="1">
      <c r="B101" s="18">
        <f>B97+1</f>
        <v>25</v>
      </c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</row>
    <row r="102" spans="2:18" s="6" customFormat="1" ht="36" customHeight="1">
      <c r="B102" s="2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</row>
    <row r="105" spans="2:18" s="6" customFormat="1" ht="80.099999999999994" customHeight="1">
      <c r="B105" s="18">
        <f>B101+1</f>
        <v>26</v>
      </c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</row>
    <row r="106" spans="2:18" s="6" customFormat="1" ht="36" customHeight="1">
      <c r="B106" s="2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</row>
    <row r="109" spans="2:18" s="6" customFormat="1" ht="80.099999999999994" customHeight="1">
      <c r="B109" s="18">
        <f>B105+1</f>
        <v>27</v>
      </c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</row>
    <row r="110" spans="2:18" s="6" customFormat="1" ht="36" customHeight="1">
      <c r="B110" s="20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</row>
    <row r="113" spans="2:18" s="6" customFormat="1" ht="80.099999999999994" customHeight="1">
      <c r="B113" s="18">
        <f t="shared" ref="B113" si="2">B109+1</f>
        <v>28</v>
      </c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</row>
    <row r="114" spans="2:18" s="6" customFormat="1" ht="36" customHeight="1">
      <c r="B114" s="2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</row>
    <row r="117" spans="2:18" s="6" customFormat="1" ht="80.099999999999994" customHeight="1">
      <c r="B117" s="18">
        <f t="shared" ref="B117" si="3">B113+1</f>
        <v>29</v>
      </c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</row>
    <row r="118" spans="2:18" s="6" customFormat="1" ht="36" customHeight="1">
      <c r="B118" s="2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</row>
    <row r="121" spans="2:18" s="6" customFormat="1" ht="80.099999999999994" customHeight="1">
      <c r="B121" s="18">
        <f t="shared" ref="B121" si="4">B117+1</f>
        <v>30</v>
      </c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</row>
    <row r="122" spans="2:18" s="6" customFormat="1" ht="36" customHeight="1">
      <c r="B122" s="2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</row>
    <row r="125" spans="2:18" s="6" customFormat="1" ht="80.099999999999994" customHeight="1">
      <c r="B125" s="18">
        <f t="shared" ref="B125" si="5">B121+1</f>
        <v>31</v>
      </c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</row>
    <row r="126" spans="2:18" s="6" customFormat="1" ht="36" customHeight="1">
      <c r="B126" s="2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</row>
    <row r="129" spans="2:18" s="6" customFormat="1" ht="80.099999999999994" customHeight="1">
      <c r="B129" s="18">
        <f t="shared" ref="B129" si="6">B125+1</f>
        <v>32</v>
      </c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</row>
    <row r="130" spans="2:18" s="6" customFormat="1" ht="36" customHeight="1">
      <c r="B130" s="2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</row>
    <row r="133" spans="2:18" s="6" customFormat="1" ht="80.099999999999994" customHeight="1">
      <c r="B133" s="18">
        <f t="shared" ref="B133" si="7">B129+1</f>
        <v>33</v>
      </c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</row>
    <row r="134" spans="2:18" s="6" customFormat="1" ht="36" customHeight="1">
      <c r="B134" s="2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</row>
    <row r="137" spans="2:18" s="6" customFormat="1" ht="80.099999999999994" customHeight="1">
      <c r="B137" s="18">
        <f t="shared" ref="B137" si="8">B133+1</f>
        <v>34</v>
      </c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</row>
    <row r="138" spans="2:18" s="6" customFormat="1" ht="36" customHeight="1">
      <c r="B138" s="2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</row>
    <row r="141" spans="2:18" s="6" customFormat="1" ht="80.099999999999994" customHeight="1">
      <c r="B141" s="18">
        <f t="shared" ref="B141" si="9">B137+1</f>
        <v>35</v>
      </c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</row>
    <row r="142" spans="2:18" s="6" customFormat="1" ht="36" customHeight="1">
      <c r="B142" s="2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</row>
    <row r="146" spans="2:18" s="6" customFormat="1" ht="36" customHeight="1">
      <c r="B146" s="2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</row>
    <row r="153" spans="2:18" s="6" customFormat="1" ht="80.099999999999994" customHeight="1">
      <c r="B153" s="18">
        <f t="shared" ref="B153" si="12">B149+1</f>
        <v>38</v>
      </c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</row>
    <row r="154" spans="2:18" s="6" customFormat="1" ht="36" customHeight="1">
      <c r="B154" s="2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</row>
    <row r="157" spans="2:18" s="6" customFormat="1" ht="80.099999999999994" customHeight="1">
      <c r="B157" s="18">
        <f t="shared" ref="B157" si="13">B153+1</f>
        <v>39</v>
      </c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</row>
    <row r="158" spans="2:18" s="6" customFormat="1" ht="36" customHeight="1">
      <c r="B158" s="2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 t="shared" ref="B161" si="14">B157+1</f>
        <v>40</v>
      </c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</row>
    <row r="165" spans="2:18" s="6" customFormat="1" ht="80.099999999999994" customHeight="1">
      <c r="B165" s="18">
        <f t="shared" ref="B165" si="15">B161+1</f>
        <v>41</v>
      </c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</row>
    <row r="166" spans="2:18" s="6" customFormat="1" ht="36" customHeight="1">
      <c r="B166" s="2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</row>
    <row r="169" spans="2:18" ht="58.5">
      <c r="B169" s="18">
        <f t="shared" ref="B169" si="16">B165+1</f>
        <v>42</v>
      </c>
      <c r="C169" s="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</row>
    <row r="170" spans="2:18">
      <c r="B170" s="20"/>
      <c r="C170" s="6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</row>
    <row r="173" spans="2:18" ht="58.5">
      <c r="B173" s="18">
        <f t="shared" ref="B173" si="17">B169+1</f>
        <v>43</v>
      </c>
      <c r="C173" s="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</row>
    <row r="174" spans="2:18">
      <c r="B174" s="20"/>
      <c r="C174" s="6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</row>
    <row r="178" spans="2:18">
      <c r="B178" s="20"/>
      <c r="C178" s="6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</row>
    <row r="181" spans="2:18" ht="58.5">
      <c r="B181" s="18">
        <f t="shared" ref="B181" si="19">B177+1</f>
        <v>45</v>
      </c>
      <c r="C181" s="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</row>
    <row r="182" spans="2:18">
      <c r="B182" s="20"/>
      <c r="C182" s="6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</row>
    <row r="185" spans="2:18" ht="58.5">
      <c r="B185" s="18">
        <f t="shared" ref="B185" si="20">B181+1</f>
        <v>46</v>
      </c>
      <c r="C185" s="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</row>
    <row r="186" spans="2:18">
      <c r="B186" s="20"/>
      <c r="C186" s="6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</row>
    <row r="190" spans="2:18">
      <c r="B190" s="20"/>
      <c r="C190" s="6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>
      <c r="B193" s="18">
        <f t="shared" ref="B193" si="22">B189+1</f>
        <v>48</v>
      </c>
      <c r="C193" s="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>
      <c r="B194" s="20"/>
      <c r="C194" s="6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>
      <c r="B197" s="18">
        <f t="shared" ref="B197" si="23"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>
      <c r="B198" s="20"/>
      <c r="C198" s="6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>
      <c r="B201" s="18">
        <f t="shared" ref="B201" si="24"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>
      <c r="B202" s="20"/>
      <c r="C202" s="6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>
      <c r="B206" s="20"/>
      <c r="C206" s="6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>
      <c r="B210" s="20"/>
      <c r="C210" s="6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>
      <c r="B214" s="20"/>
      <c r="C214" s="6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</row>
    <row r="215" spans="2:18">
      <c r="B215" s="12"/>
      <c r="C215" s="31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>
      <c r="B217" s="18">
        <f>B213+1</f>
        <v>54</v>
      </c>
      <c r="C217" s="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>
      <c r="B218" s="20"/>
      <c r="C218" s="6"/>
      <c r="D218" s="50"/>
      <c r="E218" s="50"/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>
      <c r="B222" s="20"/>
      <c r="C222" s="6"/>
      <c r="D222" s="50"/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>
      <c r="B225" s="18">
        <f>B221+1</f>
        <v>56</v>
      </c>
      <c r="C225" s="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>
      <c r="B226" s="20"/>
      <c r="C226" s="6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>
      <c r="B230" s="20"/>
      <c r="C230" s="6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>
      <c r="B234" s="20"/>
      <c r="C234" s="6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E3 P3:R3 G3:N3">
    <cfRule type="expression" dxfId="9" priority="105">
      <formula>顯示注音輸入</formula>
    </cfRule>
    <cfRule type="expression" dxfId="8" priority="106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5" priority="7">
      <formula>顯示注音輸入</formula>
    </cfRule>
    <cfRule type="expression" dxfId="4" priority="8">
      <formula>"'= TRUE(顯示注音輸入)"</formula>
    </cfRule>
  </conditionalFormatting>
  <conditionalFormatting sqref="O3">
    <cfRule type="expression" dxfId="3" priority="3">
      <formula>顯示注音輸入</formula>
    </cfRule>
    <cfRule type="expression" dxfId="2" priority="4">
      <formula>"'= TRUE(顯示注音輸入)"</formula>
    </cfRule>
  </conditionalFormatting>
  <conditionalFormatting sqref="F3">
    <cfRule type="expression" dxfId="1" priority="1">
      <formula>顯示注音輸入</formula>
    </cfRule>
    <cfRule type="expression" dxfId="0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20</vt:i4>
      </vt:variant>
    </vt:vector>
  </HeadingPairs>
  <TitlesOfParts>
    <vt:vector size="25" baseType="lpstr">
      <vt:lpstr>env</vt:lpstr>
      <vt:lpstr>缺字表</vt:lpstr>
      <vt:lpstr>標音字庫</vt:lpstr>
      <vt:lpstr>人工標音字庫</vt:lpstr>
      <vt:lpstr>漢字注音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2026-06-30T14:48:00Z</dcterms:modified>
</cp:coreProperties>
</file>