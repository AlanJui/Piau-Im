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123AAF3F-DA69-4AD5-B041-C87D651A2CE2}" xr6:coauthVersionLast="47" xr6:coauthVersionMax="47" xr10:uidLastSave="{00000000-0000-0000-0000-000000000000}"/>
  <bookViews>
    <workbookView xWindow="-67320" yWindow="-120" windowWidth="29040" windowHeight="15720" tabRatio="741" activeTab="6" xr2:uid="{25A76161-EFED-4AC8-8EAA-A42737AE1909}"/>
  </bookViews>
  <sheets>
    <sheet name="env" sheetId="8" r:id="rId1"/>
    <sheet name="操作表" sheetId="190" r:id="rId2"/>
    <sheet name="變調標音格式" sheetId="238" r:id="rId3"/>
    <sheet name="缺字表" sheetId="232" r:id="rId4"/>
    <sheet name="標音字庫" sheetId="231" r:id="rId5"/>
    <sheet name="人工標音字庫" sheetId="230" r:id="rId6"/>
    <sheet name="漢字注音" sheetId="9" r:id="rId7"/>
    <sheet name="漢字注音 (標示變調)" sheetId="239" r:id="rId8"/>
    <sheet name="漢字注音（台語注音二式）" sheetId="229" r:id="rId9"/>
    <sheet name="SRT漢字注音" sheetId="234" r:id="rId10"/>
    <sheet name="SRT漢字注音 (閩拼調符)" sheetId="235" r:id="rId11"/>
    <sheet name="SRT漢字注音 (台羅拼音)" sheetId="237" r:id="rId12"/>
    <sheet name="SRT漢字注音（台語注音二式）" sheetId="189" r:id="rId13"/>
    <sheet name="SRT漢字注音 (方音符號)" sheetId="236" r:id="rId14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SRT漢字標音">env!$C$21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使用變調標音格式">env!$C$22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7">'漢字注音 (標示變調)'!$A$5</definedName>
    <definedName name="覩9" localSheetId="8">'漢字注音（台語注音二式）'!$A$5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" i="239" l="1"/>
  <c r="E61" i="239"/>
  <c r="E53" i="239"/>
  <c r="B49" i="239"/>
  <c r="B53" i="239" s="1"/>
  <c r="B57" i="239" s="1"/>
  <c r="B61" i="239" s="1"/>
  <c r="B65" i="239" s="1"/>
  <c r="B69" i="239" s="1"/>
  <c r="B73" i="239" s="1"/>
  <c r="B77" i="239" s="1"/>
  <c r="B81" i="239" s="1"/>
  <c r="B85" i="239" s="1"/>
  <c r="B89" i="239" s="1"/>
  <c r="B93" i="239" s="1"/>
  <c r="B97" i="239" s="1"/>
  <c r="B101" i="239" s="1"/>
  <c r="B105" i="239" s="1"/>
  <c r="B109" i="239" s="1"/>
  <c r="B113" i="239" s="1"/>
  <c r="B117" i="239" s="1"/>
  <c r="B121" i="239" s="1"/>
  <c r="B125" i="239" s="1"/>
  <c r="B129" i="239" s="1"/>
  <c r="B133" i="239" s="1"/>
  <c r="B137" i="239" s="1"/>
  <c r="B141" i="239" s="1"/>
  <c r="B145" i="239" s="1"/>
  <c r="B149" i="239" s="1"/>
  <c r="B153" i="239" s="1"/>
  <c r="B157" i="239" s="1"/>
  <c r="B161" i="239" s="1"/>
  <c r="B165" i="239" s="1"/>
  <c r="B169" i="239" s="1"/>
  <c r="B173" i="239" s="1"/>
  <c r="B177" i="239" s="1"/>
  <c r="B181" i="239" s="1"/>
  <c r="B185" i="239" s="1"/>
  <c r="B189" i="239" s="1"/>
  <c r="B193" i="239" s="1"/>
  <c r="B197" i="239" s="1"/>
  <c r="B201" i="239" s="1"/>
  <c r="B205" i="239" s="1"/>
  <c r="B209" i="239" s="1"/>
  <c r="B213" i="239" s="1"/>
  <c r="B217" i="239" s="1"/>
  <c r="B221" i="239" s="1"/>
  <c r="B225" i="239" s="1"/>
  <c r="B229" i="239" s="1"/>
  <c r="B233" i="239" s="1"/>
  <c r="B237" i="239" s="1"/>
  <c r="B241" i="239" s="1"/>
  <c r="B245" i="239" s="1"/>
  <c r="B249" i="239" s="1"/>
  <c r="B253" i="239" s="1"/>
  <c r="B257" i="239" s="1"/>
  <c r="B261" i="239" s="1"/>
  <c r="B265" i="239" s="1"/>
  <c r="B269" i="239" s="1"/>
  <c r="B273" i="239" s="1"/>
  <c r="B277" i="239" s="1"/>
  <c r="B281" i="239" s="1"/>
  <c r="B285" i="239" s="1"/>
  <c r="B289" i="239" s="1"/>
  <c r="B293" i="239" s="1"/>
  <c r="B297" i="239" s="1"/>
  <c r="B301" i="239" s="1"/>
  <c r="B305" i="239" s="1"/>
  <c r="B309" i="239" s="1"/>
  <c r="B313" i="239" s="1"/>
  <c r="B317" i="239" s="1"/>
  <c r="B321" i="239" s="1"/>
  <c r="B325" i="239" s="1"/>
  <c r="B329" i="239" s="1"/>
  <c r="B333" i="239" s="1"/>
  <c r="B337" i="239" s="1"/>
  <c r="B341" i="239" s="1"/>
  <c r="B345" i="239" s="1"/>
  <c r="B349" i="239" s="1"/>
  <c r="B353" i="239" s="1"/>
  <c r="B357" i="239" s="1"/>
  <c r="B361" i="239" s="1"/>
  <c r="B365" i="239" s="1"/>
  <c r="B369" i="239" s="1"/>
  <c r="B373" i="239" s="1"/>
  <c r="B377" i="239" s="1"/>
  <c r="B381" i="239" s="1"/>
  <c r="B385" i="239" s="1"/>
  <c r="B389" i="239" s="1"/>
  <c r="B393" i="239" s="1"/>
  <c r="B397" i="239" s="1"/>
  <c r="B401" i="239" s="1"/>
  <c r="B405" i="239" s="1"/>
  <c r="B409" i="239" s="1"/>
  <c r="B413" i="239" s="1"/>
  <c r="B417" i="239" s="1"/>
  <c r="B421" i="239" s="1"/>
  <c r="B425" i="239" s="1"/>
  <c r="B429" i="239" s="1"/>
  <c r="B433" i="239" s="1"/>
  <c r="B437" i="239" s="1"/>
  <c r="B441" i="239" s="1"/>
  <c r="B445" i="239" s="1"/>
  <c r="B449" i="239" s="1"/>
  <c r="B453" i="239" s="1"/>
  <c r="B457" i="239" s="1"/>
  <c r="B461" i="239" s="1"/>
  <c r="B465" i="239" s="1"/>
  <c r="B469" i="239" s="1"/>
  <c r="B473" i="239" s="1"/>
  <c r="B477" i="239" s="1"/>
  <c r="B481" i="239" s="1"/>
  <c r="B485" i="239" s="1"/>
  <c r="B489" i="239" s="1"/>
  <c r="B493" i="239" s="1"/>
  <c r="B497" i="239" s="1"/>
  <c r="B501" i="239" s="1"/>
  <c r="B505" i="239" s="1"/>
  <c r="B509" i="239" s="1"/>
  <c r="B513" i="239" s="1"/>
  <c r="B517" i="239" s="1"/>
  <c r="B521" i="239" s="1"/>
  <c r="B525" i="239" s="1"/>
  <c r="B529" i="239" s="1"/>
  <c r="B533" i="239" s="1"/>
  <c r="B537" i="239" s="1"/>
  <c r="B541" i="239" s="1"/>
  <c r="B545" i="239" s="1"/>
  <c r="B549" i="239" s="1"/>
  <c r="B553" i="239" s="1"/>
  <c r="B557" i="239" s="1"/>
  <c r="B561" i="239" s="1"/>
  <c r="B565" i="239" s="1"/>
  <c r="B569" i="239" s="1"/>
  <c r="B573" i="239" s="1"/>
  <c r="B577" i="239" s="1"/>
  <c r="B581" i="239" s="1"/>
  <c r="B585" i="239" s="1"/>
  <c r="B589" i="239" s="1"/>
  <c r="B593" i="239" s="1"/>
  <c r="B597" i="239" s="1"/>
  <c r="B601" i="239" s="1"/>
  <c r="B605" i="239" s="1"/>
  <c r="B609" i="239" s="1"/>
  <c r="B613" i="239" s="1"/>
  <c r="B617" i="239" s="1"/>
  <c r="B621" i="239" s="1"/>
  <c r="B625" i="239" s="1"/>
  <c r="B629" i="239" s="1"/>
  <c r="B633" i="239" s="1"/>
  <c r="B637" i="239" s="1"/>
  <c r="B641" i="239" s="1"/>
  <c r="B645" i="239" s="1"/>
  <c r="B649" i="239" s="1"/>
  <c r="B653" i="239" s="1"/>
  <c r="B657" i="239" s="1"/>
  <c r="B661" i="239" s="1"/>
  <c r="B665" i="239" s="1"/>
  <c r="B669" i="239" s="1"/>
  <c r="B673" i="239" s="1"/>
  <c r="B677" i="239" s="1"/>
  <c r="B681" i="239" s="1"/>
  <c r="B685" i="239" s="1"/>
  <c r="B689" i="239" s="1"/>
  <c r="B693" i="239" s="1"/>
  <c r="B697" i="239" s="1"/>
  <c r="B701" i="239" s="1"/>
  <c r="B705" i="239" s="1"/>
  <c r="B709" i="239" s="1"/>
  <c r="B713" i="239" s="1"/>
  <c r="B717" i="239" s="1"/>
  <c r="B721" i="239" s="1"/>
  <c r="B725" i="239" s="1"/>
  <c r="B729" i="239" s="1"/>
  <c r="B733" i="239" s="1"/>
  <c r="B737" i="239" s="1"/>
  <c r="B741" i="239" s="1"/>
  <c r="B745" i="239" s="1"/>
  <c r="B749" i="239" s="1"/>
  <c r="B753" i="239" s="1"/>
  <c r="B757" i="239" s="1"/>
  <c r="B761" i="239" s="1"/>
  <c r="B765" i="239" s="1"/>
  <c r="B769" i="239" s="1"/>
  <c r="B773" i="239" s="1"/>
  <c r="B777" i="239" s="1"/>
  <c r="B781" i="239" s="1"/>
  <c r="B785" i="239" s="1"/>
  <c r="B789" i="239" s="1"/>
  <c r="B793" i="239" s="1"/>
  <c r="B797" i="239" s="1"/>
  <c r="B801" i="239" s="1"/>
  <c r="B805" i="239" s="1"/>
  <c r="B809" i="239" s="1"/>
  <c r="B813" i="239" s="1"/>
  <c r="B817" i="239" s="1"/>
  <c r="B821" i="239" s="1"/>
  <c r="B825" i="239" s="1"/>
  <c r="B829" i="239" s="1"/>
  <c r="B833" i="239" s="1"/>
  <c r="B837" i="239" s="1"/>
  <c r="B841" i="239" s="1"/>
  <c r="B845" i="239" s="1"/>
  <c r="B849" i="239" s="1"/>
  <c r="B853" i="239" s="1"/>
  <c r="B857" i="239" s="1"/>
  <c r="B861" i="239" s="1"/>
  <c r="B865" i="239" s="1"/>
  <c r="B869" i="239" s="1"/>
  <c r="B873" i="239" s="1"/>
  <c r="B877" i="239" s="1"/>
  <c r="B881" i="239" s="1"/>
  <c r="B885" i="239" s="1"/>
  <c r="B889" i="239" s="1"/>
  <c r="B893" i="239" s="1"/>
  <c r="B897" i="239" s="1"/>
  <c r="B901" i="239" s="1"/>
  <c r="B905" i="239" s="1"/>
  <c r="B909" i="239" s="1"/>
  <c r="B913" i="239" s="1"/>
  <c r="B917" i="239" s="1"/>
  <c r="B921" i="239" s="1"/>
  <c r="B925" i="239" s="1"/>
  <c r="B929" i="239" s="1"/>
  <c r="B933" i="239" s="1"/>
  <c r="B937" i="239" s="1"/>
  <c r="B941" i="239" s="1"/>
  <c r="B945" i="239" s="1"/>
  <c r="B949" i="239" s="1"/>
  <c r="B953" i="239" s="1"/>
  <c r="B957" i="239" s="1"/>
  <c r="B961" i="239" s="1"/>
  <c r="B965" i="239" s="1"/>
  <c r="B969" i="239" s="1"/>
  <c r="B973" i="239" s="1"/>
  <c r="B977" i="239" s="1"/>
  <c r="B981" i="239" s="1"/>
  <c r="B985" i="239" s="1"/>
  <c r="B989" i="239" s="1"/>
  <c r="B993" i="239" s="1"/>
  <c r="B997" i="239" s="1"/>
  <c r="B1001" i="239" s="1"/>
  <c r="B1005" i="239" s="1"/>
  <c r="B1009" i="239" s="1"/>
  <c r="B1013" i="239" s="1"/>
  <c r="B1017" i="239" s="1"/>
  <c r="B1021" i="239" s="1"/>
  <c r="B1025" i="239" s="1"/>
  <c r="B1029" i="239" s="1"/>
  <c r="B1033" i="239" s="1"/>
  <c r="B1037" i="239" s="1"/>
  <c r="B1041" i="239" s="1"/>
  <c r="B1045" i="239" s="1"/>
  <c r="B1049" i="239" s="1"/>
  <c r="B1053" i="239" s="1"/>
  <c r="B1057" i="239" s="1"/>
  <c r="B1061" i="239" s="1"/>
  <c r="B1065" i="239" s="1"/>
  <c r="B1069" i="239" s="1"/>
  <c r="B1073" i="239" s="1"/>
  <c r="B1077" i="239" s="1"/>
  <c r="B1081" i="239" s="1"/>
  <c r="B1085" i="239" s="1"/>
  <c r="B1089" i="239" s="1"/>
  <c r="B1093" i="239" s="1"/>
  <c r="B1097" i="239" s="1"/>
  <c r="B1101" i="239" s="1"/>
  <c r="B1105" i="239" s="1"/>
  <c r="B1109" i="239" s="1"/>
  <c r="B1113" i="239" s="1"/>
  <c r="B1117" i="239" s="1"/>
  <c r="B1121" i="239" s="1"/>
  <c r="B1125" i="239" s="1"/>
  <c r="B1129" i="239" s="1"/>
  <c r="B1133" i="239" s="1"/>
  <c r="B1137" i="239" s="1"/>
  <c r="B1141" i="239" s="1"/>
  <c r="B1145" i="239" s="1"/>
  <c r="B1149" i="239" s="1"/>
  <c r="B1153" i="239" s="1"/>
  <c r="B1157" i="239" s="1"/>
  <c r="B1161" i="239" s="1"/>
  <c r="B1165" i="239" s="1"/>
  <c r="B1169" i="239" s="1"/>
  <c r="B1173" i="239" s="1"/>
  <c r="B1177" i="239" s="1"/>
  <c r="B1181" i="239" s="1"/>
  <c r="B1185" i="239" s="1"/>
  <c r="B1189" i="239" s="1"/>
  <c r="B1193" i="239" s="1"/>
  <c r="B1197" i="239" s="1"/>
  <c r="B1201" i="239" s="1"/>
  <c r="B1205" i="239" s="1"/>
  <c r="B1209" i="239" s="1"/>
  <c r="B1213" i="239" s="1"/>
  <c r="B1217" i="239" s="1"/>
  <c r="B1221" i="239" s="1"/>
  <c r="B1225" i="239" s="1"/>
  <c r="B1229" i="239" s="1"/>
  <c r="B1233" i="239" s="1"/>
  <c r="B1237" i="239" s="1"/>
  <c r="B1241" i="239" s="1"/>
  <c r="B1245" i="239" s="1"/>
  <c r="B1249" i="239" s="1"/>
  <c r="B1253" i="239" s="1"/>
  <c r="B1257" i="239" s="1"/>
  <c r="B1261" i="239" s="1"/>
  <c r="B1265" i="239" s="1"/>
  <c r="B1269" i="239" s="1"/>
  <c r="B1273" i="239" s="1"/>
  <c r="B1277" i="239" s="1"/>
  <c r="B1281" i="239" s="1"/>
  <c r="B1285" i="239" s="1"/>
  <c r="B1289" i="239" s="1"/>
  <c r="B1293" i="239" s="1"/>
  <c r="B1297" i="239" s="1"/>
  <c r="B1301" i="239" s="1"/>
  <c r="B1305" i="239" s="1"/>
  <c r="B1309" i="239" s="1"/>
  <c r="B1313" i="239" s="1"/>
  <c r="B1317" i="239" s="1"/>
  <c r="B1321" i="239" s="1"/>
  <c r="B1325" i="239" s="1"/>
  <c r="B1329" i="239" s="1"/>
  <c r="B1333" i="239" s="1"/>
  <c r="B1337" i="239" s="1"/>
  <c r="B1341" i="239" s="1"/>
  <c r="B1345" i="239" s="1"/>
  <c r="B1349" i="239" s="1"/>
  <c r="B1353" i="239" s="1"/>
  <c r="B1357" i="239" s="1"/>
  <c r="B1361" i="239" s="1"/>
  <c r="B1365" i="239" s="1"/>
  <c r="B1369" i="239" s="1"/>
  <c r="B1373" i="239" s="1"/>
  <c r="B1377" i="239" s="1"/>
  <c r="B1381" i="239" s="1"/>
  <c r="B1385" i="239" s="1"/>
  <c r="B1389" i="239" s="1"/>
  <c r="B1393" i="239" s="1"/>
  <c r="B1397" i="239" s="1"/>
  <c r="B1401" i="239" s="1"/>
  <c r="B1405" i="239" s="1"/>
  <c r="B1409" i="239" s="1"/>
  <c r="B1413" i="239" s="1"/>
  <c r="B1417" i="239" s="1"/>
  <c r="B1421" i="239" s="1"/>
  <c r="B1425" i="239" s="1"/>
  <c r="B1429" i="239" s="1"/>
  <c r="B1433" i="239" s="1"/>
  <c r="B1437" i="239" s="1"/>
  <c r="B1441" i="239" s="1"/>
  <c r="B1445" i="239" s="1"/>
  <c r="B1449" i="239" s="1"/>
  <c r="B1453" i="239" s="1"/>
  <c r="B1457" i="239" s="1"/>
  <c r="B1461" i="239" s="1"/>
  <c r="B1465" i="239" s="1"/>
  <c r="B1469" i="239" s="1"/>
  <c r="B1473" i="239" s="1"/>
  <c r="B1477" i="239" s="1"/>
  <c r="B1481" i="239" s="1"/>
  <c r="B1485" i="239" s="1"/>
  <c r="B1489" i="239" s="1"/>
  <c r="B1493" i="239" s="1"/>
  <c r="B1497" i="239" s="1"/>
  <c r="B1501" i="239" s="1"/>
  <c r="B1505" i="239" s="1"/>
  <c r="B1509" i="239" s="1"/>
  <c r="B1513" i="239" s="1"/>
  <c r="B1517" i="239" s="1"/>
  <c r="B1521" i="239" s="1"/>
  <c r="B1525" i="239" s="1"/>
  <c r="B1529" i="239" s="1"/>
  <c r="B1533" i="239" s="1"/>
  <c r="B1537" i="239" s="1"/>
  <c r="B1541" i="239" s="1"/>
  <c r="B1545" i="239" s="1"/>
  <c r="B1549" i="239" s="1"/>
  <c r="B1553" i="239" s="1"/>
  <c r="B1557" i="239" s="1"/>
  <c r="B1561" i="239" s="1"/>
  <c r="B1565" i="239" s="1"/>
  <c r="B1569" i="239" s="1"/>
  <c r="B1573" i="239" s="1"/>
  <c r="B1577" i="239" s="1"/>
  <c r="B1581" i="239" s="1"/>
  <c r="B1585" i="239" s="1"/>
  <c r="B1589" i="239" s="1"/>
  <c r="B1593" i="239" s="1"/>
  <c r="B1597" i="239" s="1"/>
  <c r="B1601" i="239" s="1"/>
  <c r="B1605" i="239" s="1"/>
  <c r="B1609" i="239" s="1"/>
  <c r="B1613" i="239" s="1"/>
  <c r="B1617" i="239" s="1"/>
  <c r="B1621" i="239" s="1"/>
  <c r="B1625" i="239" s="1"/>
  <c r="B1629" i="239" s="1"/>
  <c r="B1633" i="239" s="1"/>
  <c r="B1637" i="239" s="1"/>
  <c r="B1641" i="239" s="1"/>
  <c r="B1645" i="239" s="1"/>
  <c r="B1649" i="239" s="1"/>
  <c r="B1653" i="239" s="1"/>
  <c r="B1657" i="239" s="1"/>
  <c r="B1661" i="239" s="1"/>
  <c r="B1665" i="239" s="1"/>
  <c r="B1669" i="239" s="1"/>
  <c r="B1673" i="239" s="1"/>
  <c r="B1677" i="239" s="1"/>
  <c r="B1681" i="239" s="1"/>
  <c r="B1685" i="239" s="1"/>
  <c r="B1689" i="239" s="1"/>
  <c r="B1693" i="239" s="1"/>
  <c r="B1697" i="239" s="1"/>
  <c r="B1701" i="239" s="1"/>
  <c r="B1705" i="239" s="1"/>
  <c r="B1709" i="239" s="1"/>
  <c r="B1713" i="239" s="1"/>
  <c r="B1717" i="239" s="1"/>
  <c r="B1721" i="239" s="1"/>
  <c r="B1725" i="239" s="1"/>
  <c r="B1729" i="239" s="1"/>
  <c r="B1733" i="239" s="1"/>
  <c r="B1737" i="239" s="1"/>
  <c r="B1741" i="239" s="1"/>
  <c r="B1745" i="239" s="1"/>
  <c r="B1749" i="239" s="1"/>
  <c r="B1753" i="239" s="1"/>
  <c r="B1757" i="239" s="1"/>
  <c r="B1761" i="239" s="1"/>
  <c r="B1765" i="239" s="1"/>
  <c r="B1769" i="239" s="1"/>
  <c r="B1773" i="239" s="1"/>
  <c r="B1777" i="239" s="1"/>
  <c r="B1781" i="239" s="1"/>
  <c r="B1785" i="239" s="1"/>
  <c r="B1789" i="239" s="1"/>
  <c r="B1793" i="239" s="1"/>
  <c r="B1797" i="239" s="1"/>
  <c r="B1801" i="239" s="1"/>
  <c r="B1805" i="239" s="1"/>
  <c r="B1809" i="239" s="1"/>
  <c r="B1813" i="239" s="1"/>
  <c r="B1817" i="239" s="1"/>
  <c r="B1821" i="239" s="1"/>
  <c r="B1825" i="239" s="1"/>
  <c r="B1829" i="239" s="1"/>
  <c r="B1833" i="239" s="1"/>
  <c r="B1837" i="239" s="1"/>
  <c r="B1841" i="239" s="1"/>
  <c r="B1845" i="239" s="1"/>
  <c r="B1849" i="239" s="1"/>
  <c r="B1853" i="239" s="1"/>
  <c r="B1857" i="239" s="1"/>
  <c r="B1861" i="239" s="1"/>
  <c r="B1865" i="239" s="1"/>
  <c r="B1869" i="239" s="1"/>
  <c r="B1873" i="239" s="1"/>
  <c r="B1877" i="239" s="1"/>
  <c r="B1881" i="239" s="1"/>
  <c r="B1885" i="239" s="1"/>
  <c r="B1889" i="239" s="1"/>
  <c r="B1893" i="239" s="1"/>
  <c r="B1897" i="239" s="1"/>
  <c r="B1901" i="239" s="1"/>
  <c r="B1905" i="239" s="1"/>
  <c r="B1909" i="239" s="1"/>
  <c r="B1913" i="239" s="1"/>
  <c r="B1917" i="239" s="1"/>
  <c r="B1921" i="239" s="1"/>
  <c r="B1925" i="239" s="1"/>
  <c r="B1929" i="239" s="1"/>
  <c r="B1933" i="239" s="1"/>
  <c r="B1937" i="239" s="1"/>
  <c r="B1941" i="239" s="1"/>
  <c r="B1945" i="239" s="1"/>
  <c r="B1949" i="239" s="1"/>
  <c r="B1953" i="239" s="1"/>
  <c r="B1957" i="239" s="1"/>
  <c r="B1961" i="239" s="1"/>
  <c r="B1965" i="239" s="1"/>
  <c r="B1969" i="239" s="1"/>
  <c r="B1973" i="239" s="1"/>
  <c r="B1977" i="239" s="1"/>
  <c r="B1981" i="239" s="1"/>
  <c r="B1985" i="239" s="1"/>
  <c r="B1989" i="239" s="1"/>
  <c r="B1993" i="239" s="1"/>
  <c r="B1997" i="239" s="1"/>
  <c r="B2001" i="239" s="1"/>
  <c r="B2005" i="239" s="1"/>
  <c r="B2009" i="239" s="1"/>
  <c r="B2013" i="239" s="1"/>
  <c r="B2017" i="239" s="1"/>
  <c r="B2021" i="239" s="1"/>
  <c r="B2025" i="239" s="1"/>
  <c r="B2029" i="239" s="1"/>
  <c r="B2033" i="239" s="1"/>
  <c r="B2037" i="239" s="1"/>
  <c r="B2041" i="239" s="1"/>
  <c r="B2045" i="239" s="1"/>
  <c r="B2049" i="239" s="1"/>
  <c r="B2053" i="239" s="1"/>
  <c r="B2057" i="239" s="1"/>
  <c r="B2061" i="239" s="1"/>
  <c r="B2065" i="239" s="1"/>
  <c r="B2069" i="239" s="1"/>
  <c r="B2073" i="239" s="1"/>
  <c r="B2077" i="239" s="1"/>
  <c r="B2081" i="239" s="1"/>
  <c r="B2085" i="239" s="1"/>
  <c r="B2089" i="239" s="1"/>
  <c r="B2093" i="239" s="1"/>
  <c r="B2097" i="239" s="1"/>
  <c r="B2101" i="239" s="1"/>
  <c r="B2105" i="239" s="1"/>
  <c r="B2109" i="239" s="1"/>
  <c r="B2113" i="239" s="1"/>
  <c r="B2117" i="239" s="1"/>
  <c r="B2121" i="239" s="1"/>
  <c r="B2125" i="239" s="1"/>
  <c r="B2129" i="239" s="1"/>
  <c r="B2133" i="239" s="1"/>
  <c r="B2137" i="239" s="1"/>
  <c r="B2141" i="239" s="1"/>
  <c r="B2145" i="239" s="1"/>
  <c r="B2149" i="239" s="1"/>
  <c r="B2153" i="239" s="1"/>
  <c r="B2157" i="239" s="1"/>
  <c r="B2161" i="239" s="1"/>
  <c r="B2165" i="239" s="1"/>
  <c r="B2169" i="239" s="1"/>
  <c r="B2173" i="239" s="1"/>
  <c r="B2177" i="239" s="1"/>
  <c r="B2181" i="239" s="1"/>
  <c r="B2185" i="239" s="1"/>
  <c r="B2189" i="239" s="1"/>
  <c r="B2193" i="239" s="1"/>
  <c r="B2197" i="239" s="1"/>
  <c r="B2201" i="239" s="1"/>
  <c r="B2205" i="239" s="1"/>
  <c r="B2209" i="239" s="1"/>
  <c r="B2213" i="239" s="1"/>
  <c r="B2217" i="239" s="1"/>
  <c r="B2221" i="239" s="1"/>
  <c r="B2225" i="239" s="1"/>
  <c r="B2229" i="239" s="1"/>
  <c r="B2233" i="239" s="1"/>
  <c r="B2237" i="239" s="1"/>
  <c r="B2241" i="239" s="1"/>
  <c r="B2245" i="239" s="1"/>
  <c r="B2249" i="239" s="1"/>
  <c r="B2253" i="239" s="1"/>
  <c r="B2257" i="239" s="1"/>
  <c r="B2261" i="239" s="1"/>
  <c r="B2265" i="239" s="1"/>
  <c r="G45" i="239"/>
  <c r="P37" i="239"/>
  <c r="E33" i="239"/>
  <c r="U32" i="239"/>
  <c r="U31" i="239"/>
  <c r="U30" i="239"/>
  <c r="U29" i="239"/>
  <c r="U28" i="239"/>
  <c r="U27" i="239"/>
  <c r="E25" i="239"/>
  <c r="B21" i="239"/>
  <c r="B25" i="239" s="1"/>
  <c r="B29" i="239" s="1"/>
  <c r="B33" i="239" s="1"/>
  <c r="B37" i="239" s="1"/>
  <c r="B41" i="239" s="1"/>
  <c r="B45" i="239" s="1"/>
  <c r="E17" i="239"/>
  <c r="F9" i="239"/>
  <c r="B9" i="239"/>
  <c r="B13" i="239" s="1"/>
  <c r="B17" i="239" s="1"/>
  <c r="V2" i="239"/>
  <c r="R1" i="239"/>
  <c r="Q1" i="239"/>
  <c r="P1" i="239"/>
  <c r="O1" i="239"/>
  <c r="N1" i="239"/>
  <c r="M1" i="239"/>
  <c r="L1" i="239"/>
  <c r="K1" i="239"/>
  <c r="J1" i="239"/>
  <c r="I1" i="239"/>
  <c r="H1" i="239"/>
  <c r="G1" i="239"/>
  <c r="F1" i="239"/>
  <c r="E1" i="239"/>
  <c r="D1" i="239"/>
  <c r="C1" i="239"/>
  <c r="B1" i="239"/>
  <c r="A1" i="239"/>
  <c r="T12" i="235"/>
  <c r="T11" i="235"/>
  <c r="T10" i="235"/>
  <c r="T9" i="235"/>
  <c r="T8" i="235"/>
  <c r="T7" i="235"/>
  <c r="T6" i="235"/>
  <c r="T5" i="235"/>
  <c r="T4" i="235"/>
  <c r="T12" i="234"/>
  <c r="T11" i="234"/>
  <c r="T12" i="237"/>
  <c r="T11" i="237"/>
  <c r="T10" i="237"/>
  <c r="T9" i="237"/>
  <c r="T8" i="237"/>
  <c r="T7" i="237"/>
  <c r="T6" i="237"/>
  <c r="T5" i="237"/>
  <c r="T4" i="237"/>
  <c r="T12" i="189"/>
  <c r="T11" i="189"/>
  <c r="T10" i="189"/>
  <c r="T9" i="189"/>
  <c r="T8" i="189"/>
  <c r="T7" i="189"/>
  <c r="T6" i="189"/>
  <c r="T5" i="189"/>
  <c r="T4" i="189"/>
  <c r="T12" i="236"/>
  <c r="T11" i="236"/>
  <c r="T10" i="236"/>
  <c r="T9" i="236"/>
  <c r="T8" i="236"/>
  <c r="T7" i="236"/>
  <c r="T6" i="236"/>
  <c r="T5" i="236"/>
  <c r="T4" i="236"/>
  <c r="T10" i="234"/>
  <c r="T9" i="234"/>
  <c r="T8" i="234"/>
  <c r="T7" i="234"/>
  <c r="T6" i="234"/>
  <c r="T5" i="234"/>
  <c r="T4" i="234"/>
  <c r="P65" i="9"/>
  <c r="E61" i="9"/>
  <c r="E53" i="9"/>
  <c r="G45" i="9"/>
  <c r="P37" i="9"/>
  <c r="E33" i="9"/>
  <c r="E25" i="9"/>
  <c r="E17" i="9"/>
  <c r="F9" i="9"/>
  <c r="P65" i="229"/>
  <c r="E61" i="229"/>
  <c r="E53" i="229"/>
  <c r="G45" i="229"/>
  <c r="P37" i="229"/>
  <c r="E33" i="229"/>
  <c r="U32" i="229"/>
  <c r="U31" i="229"/>
  <c r="U30" i="229"/>
  <c r="U29" i="229"/>
  <c r="U28" i="229"/>
  <c r="U27" i="229"/>
  <c r="E25" i="229"/>
  <c r="E17" i="229"/>
  <c r="F9" i="229"/>
  <c r="B9" i="229"/>
  <c r="B13" i="229" s="1"/>
  <c r="B17" i="229" s="1"/>
  <c r="B21" i="229" s="1"/>
  <c r="B25" i="229" s="1"/>
  <c r="B29" i="229" s="1"/>
  <c r="B33" i="229" s="1"/>
  <c r="B37" i="229" s="1"/>
  <c r="B41" i="229" s="1"/>
  <c r="B45" i="229" s="1"/>
  <c r="B49" i="229" s="1"/>
  <c r="B53" i="229" s="1"/>
  <c r="B57" i="229" s="1"/>
  <c r="B61" i="229" s="1"/>
  <c r="B65" i="229" s="1"/>
  <c r="B69" i="229" s="1"/>
  <c r="B73" i="229" s="1"/>
  <c r="B77" i="229" s="1"/>
  <c r="B81" i="229" s="1"/>
  <c r="B85" i="229" s="1"/>
  <c r="B89" i="229" s="1"/>
  <c r="B93" i="229" s="1"/>
  <c r="B97" i="229" s="1"/>
  <c r="B101" i="229" s="1"/>
  <c r="B105" i="229" s="1"/>
  <c r="B109" i="229" s="1"/>
  <c r="B113" i="229" s="1"/>
  <c r="B117" i="229" s="1"/>
  <c r="B121" i="229" s="1"/>
  <c r="B125" i="229" s="1"/>
  <c r="B129" i="229" s="1"/>
  <c r="B133" i="229" s="1"/>
  <c r="B137" i="229" s="1"/>
  <c r="B141" i="229" s="1"/>
  <c r="B145" i="229" s="1"/>
  <c r="B149" i="229" s="1"/>
  <c r="B153" i="229" s="1"/>
  <c r="B157" i="229" s="1"/>
  <c r="B161" i="229" s="1"/>
  <c r="B165" i="229" s="1"/>
  <c r="B169" i="229" s="1"/>
  <c r="B173" i="229" s="1"/>
  <c r="B177" i="229" s="1"/>
  <c r="B181" i="229" s="1"/>
  <c r="B185" i="229" s="1"/>
  <c r="B189" i="229" s="1"/>
  <c r="B193" i="229" s="1"/>
  <c r="B197" i="229" s="1"/>
  <c r="B201" i="229" s="1"/>
  <c r="B205" i="229" s="1"/>
  <c r="B209" i="229" s="1"/>
  <c r="B213" i="229" s="1"/>
  <c r="B217" i="229" s="1"/>
  <c r="B221" i="229" s="1"/>
  <c r="B225" i="229" s="1"/>
  <c r="B229" i="229" s="1"/>
  <c r="B233" i="229" s="1"/>
  <c r="B237" i="229" s="1"/>
  <c r="B241" i="229" s="1"/>
  <c r="B245" i="229" s="1"/>
  <c r="B249" i="229" s="1"/>
  <c r="B253" i="229" s="1"/>
  <c r="B257" i="229" s="1"/>
  <c r="B261" i="229" s="1"/>
  <c r="B265" i="229" s="1"/>
  <c r="B269" i="229" s="1"/>
  <c r="B273" i="229" s="1"/>
  <c r="B277" i="229" s="1"/>
  <c r="B281" i="229" s="1"/>
  <c r="B285" i="229" s="1"/>
  <c r="B289" i="229" s="1"/>
  <c r="B293" i="229" s="1"/>
  <c r="B297" i="229" s="1"/>
  <c r="B301" i="229" s="1"/>
  <c r="B305" i="229" s="1"/>
  <c r="B309" i="229" s="1"/>
  <c r="B313" i="229" s="1"/>
  <c r="B317" i="229" s="1"/>
  <c r="B321" i="229" s="1"/>
  <c r="B325" i="229" s="1"/>
  <c r="B329" i="229" s="1"/>
  <c r="B333" i="229" s="1"/>
  <c r="B337" i="229" s="1"/>
  <c r="B341" i="229" s="1"/>
  <c r="B345" i="229" s="1"/>
  <c r="B349" i="229" s="1"/>
  <c r="B353" i="229" s="1"/>
  <c r="B357" i="229" s="1"/>
  <c r="B361" i="229" s="1"/>
  <c r="B365" i="229" s="1"/>
  <c r="B369" i="229" s="1"/>
  <c r="B373" i="229" s="1"/>
  <c r="B377" i="229" s="1"/>
  <c r="B381" i="229" s="1"/>
  <c r="B385" i="229" s="1"/>
  <c r="B389" i="229" s="1"/>
  <c r="B393" i="229" s="1"/>
  <c r="B397" i="229" s="1"/>
  <c r="B401" i="229" s="1"/>
  <c r="B405" i="229" s="1"/>
  <c r="B409" i="229" s="1"/>
  <c r="B413" i="229" s="1"/>
  <c r="B417" i="229" s="1"/>
  <c r="B421" i="229" s="1"/>
  <c r="B425" i="229" s="1"/>
  <c r="B429" i="229" s="1"/>
  <c r="B433" i="229" s="1"/>
  <c r="B437" i="229" s="1"/>
  <c r="B441" i="229" s="1"/>
  <c r="B445" i="229" s="1"/>
  <c r="B449" i="229" s="1"/>
  <c r="B453" i="229" s="1"/>
  <c r="B457" i="229" s="1"/>
  <c r="B461" i="229" s="1"/>
  <c r="B465" i="229" s="1"/>
  <c r="B469" i="229" s="1"/>
  <c r="B473" i="229" s="1"/>
  <c r="B477" i="229" s="1"/>
  <c r="B481" i="229" s="1"/>
  <c r="B485" i="229" s="1"/>
  <c r="B489" i="229" s="1"/>
  <c r="B493" i="229" s="1"/>
  <c r="B497" i="229" s="1"/>
  <c r="B501" i="229" s="1"/>
  <c r="B505" i="229" s="1"/>
  <c r="B509" i="229" s="1"/>
  <c r="B513" i="229" s="1"/>
  <c r="B517" i="229" s="1"/>
  <c r="B521" i="229" s="1"/>
  <c r="B525" i="229" s="1"/>
  <c r="B529" i="229" s="1"/>
  <c r="B533" i="229" s="1"/>
  <c r="B537" i="229" s="1"/>
  <c r="B541" i="229" s="1"/>
  <c r="B545" i="229" s="1"/>
  <c r="B549" i="229" s="1"/>
  <c r="B553" i="229" s="1"/>
  <c r="B557" i="229" s="1"/>
  <c r="B561" i="229" s="1"/>
  <c r="B565" i="229" s="1"/>
  <c r="B569" i="229" s="1"/>
  <c r="B573" i="229" s="1"/>
  <c r="B577" i="229" s="1"/>
  <c r="B581" i="229" s="1"/>
  <c r="B585" i="229" s="1"/>
  <c r="B589" i="229" s="1"/>
  <c r="B593" i="229" s="1"/>
  <c r="B597" i="229" s="1"/>
  <c r="B601" i="229" s="1"/>
  <c r="B605" i="229" s="1"/>
  <c r="B609" i="229" s="1"/>
  <c r="B613" i="229" s="1"/>
  <c r="B617" i="229" s="1"/>
  <c r="B621" i="229" s="1"/>
  <c r="B625" i="229" s="1"/>
  <c r="B629" i="229" s="1"/>
  <c r="B633" i="229" s="1"/>
  <c r="B637" i="229" s="1"/>
  <c r="B641" i="229" s="1"/>
  <c r="B645" i="229" s="1"/>
  <c r="B649" i="229" s="1"/>
  <c r="B653" i="229" s="1"/>
  <c r="B657" i="229" s="1"/>
  <c r="B661" i="229" s="1"/>
  <c r="B665" i="229" s="1"/>
  <c r="B669" i="229" s="1"/>
  <c r="B673" i="229" s="1"/>
  <c r="B677" i="229" s="1"/>
  <c r="B681" i="229" s="1"/>
  <c r="B685" i="229" s="1"/>
  <c r="B689" i="229" s="1"/>
  <c r="B693" i="229" s="1"/>
  <c r="B697" i="229" s="1"/>
  <c r="B701" i="229" s="1"/>
  <c r="B705" i="229" s="1"/>
  <c r="B709" i="229" s="1"/>
  <c r="B713" i="229" s="1"/>
  <c r="B717" i="229" s="1"/>
  <c r="B721" i="229" s="1"/>
  <c r="B725" i="229" s="1"/>
  <c r="B729" i="229" s="1"/>
  <c r="B733" i="229" s="1"/>
  <c r="B737" i="229" s="1"/>
  <c r="B741" i="229" s="1"/>
  <c r="B745" i="229" s="1"/>
  <c r="B749" i="229" s="1"/>
  <c r="B753" i="229" s="1"/>
  <c r="B757" i="229" s="1"/>
  <c r="B761" i="229" s="1"/>
  <c r="B765" i="229" s="1"/>
  <c r="B769" i="229" s="1"/>
  <c r="B773" i="229" s="1"/>
  <c r="B777" i="229" s="1"/>
  <c r="B781" i="229" s="1"/>
  <c r="B785" i="229" s="1"/>
  <c r="B789" i="229" s="1"/>
  <c r="B793" i="229" s="1"/>
  <c r="B797" i="229" s="1"/>
  <c r="B801" i="229" s="1"/>
  <c r="B805" i="229" s="1"/>
  <c r="B809" i="229" s="1"/>
  <c r="B813" i="229" s="1"/>
  <c r="B817" i="229" s="1"/>
  <c r="B821" i="229" s="1"/>
  <c r="B825" i="229" s="1"/>
  <c r="B829" i="229" s="1"/>
  <c r="B833" i="229" s="1"/>
  <c r="B837" i="229" s="1"/>
  <c r="B841" i="229" s="1"/>
  <c r="B845" i="229" s="1"/>
  <c r="B849" i="229" s="1"/>
  <c r="B853" i="229" s="1"/>
  <c r="B857" i="229" s="1"/>
  <c r="B861" i="229" s="1"/>
  <c r="B865" i="229" s="1"/>
  <c r="B869" i="229" s="1"/>
  <c r="B873" i="229" s="1"/>
  <c r="B877" i="229" s="1"/>
  <c r="B881" i="229" s="1"/>
  <c r="B885" i="229" s="1"/>
  <c r="B889" i="229" s="1"/>
  <c r="B893" i="229" s="1"/>
  <c r="B897" i="229" s="1"/>
  <c r="B901" i="229" s="1"/>
  <c r="B905" i="229" s="1"/>
  <c r="B909" i="229" s="1"/>
  <c r="B913" i="229" s="1"/>
  <c r="B917" i="229" s="1"/>
  <c r="B921" i="229" s="1"/>
  <c r="B925" i="229" s="1"/>
  <c r="B929" i="229" s="1"/>
  <c r="B933" i="229" s="1"/>
  <c r="B937" i="229" s="1"/>
  <c r="B941" i="229" s="1"/>
  <c r="B945" i="229" s="1"/>
  <c r="B949" i="229" s="1"/>
  <c r="B953" i="229" s="1"/>
  <c r="B957" i="229" s="1"/>
  <c r="B961" i="229" s="1"/>
  <c r="B965" i="229" s="1"/>
  <c r="B969" i="229" s="1"/>
  <c r="B973" i="229" s="1"/>
  <c r="B977" i="229" s="1"/>
  <c r="B981" i="229" s="1"/>
  <c r="B985" i="229" s="1"/>
  <c r="B989" i="229" s="1"/>
  <c r="B993" i="229" s="1"/>
  <c r="B997" i="229" s="1"/>
  <c r="B1001" i="229" s="1"/>
  <c r="B1005" i="229" s="1"/>
  <c r="B1009" i="229" s="1"/>
  <c r="B1013" i="229" s="1"/>
  <c r="B1017" i="229" s="1"/>
  <c r="B1021" i="229" s="1"/>
  <c r="B1025" i="229" s="1"/>
  <c r="B1029" i="229" s="1"/>
  <c r="B1033" i="229" s="1"/>
  <c r="B1037" i="229" s="1"/>
  <c r="B1041" i="229" s="1"/>
  <c r="B1045" i="229" s="1"/>
  <c r="B1049" i="229" s="1"/>
  <c r="B1053" i="229" s="1"/>
  <c r="B1057" i="229" s="1"/>
  <c r="B1061" i="229" s="1"/>
  <c r="B1065" i="229" s="1"/>
  <c r="B1069" i="229" s="1"/>
  <c r="B1073" i="229" s="1"/>
  <c r="B1077" i="229" s="1"/>
  <c r="B1081" i="229" s="1"/>
  <c r="B1085" i="229" s="1"/>
  <c r="B1089" i="229" s="1"/>
  <c r="B1093" i="229" s="1"/>
  <c r="B1097" i="229" s="1"/>
  <c r="B1101" i="229" s="1"/>
  <c r="B1105" i="229" s="1"/>
  <c r="B1109" i="229" s="1"/>
  <c r="B1113" i="229" s="1"/>
  <c r="B1117" i="229" s="1"/>
  <c r="B1121" i="229" s="1"/>
  <c r="B1125" i="229" s="1"/>
  <c r="B1129" i="229" s="1"/>
  <c r="B1133" i="229" s="1"/>
  <c r="B1137" i="229" s="1"/>
  <c r="B1141" i="229" s="1"/>
  <c r="B1145" i="229" s="1"/>
  <c r="B1149" i="229" s="1"/>
  <c r="B1153" i="229" s="1"/>
  <c r="B1157" i="229" s="1"/>
  <c r="B1161" i="229" s="1"/>
  <c r="B1165" i="229" s="1"/>
  <c r="B1169" i="229" s="1"/>
  <c r="B1173" i="229" s="1"/>
  <c r="B1177" i="229" s="1"/>
  <c r="B1181" i="229" s="1"/>
  <c r="B1185" i="229" s="1"/>
  <c r="B1189" i="229" s="1"/>
  <c r="B1193" i="229" s="1"/>
  <c r="B1197" i="229" s="1"/>
  <c r="B1201" i="229" s="1"/>
  <c r="B1205" i="229" s="1"/>
  <c r="B1209" i="229" s="1"/>
  <c r="B1213" i="229" s="1"/>
  <c r="B1217" i="229" s="1"/>
  <c r="B1221" i="229" s="1"/>
  <c r="B1225" i="229" s="1"/>
  <c r="B1229" i="229" s="1"/>
  <c r="B1233" i="229" s="1"/>
  <c r="B1237" i="229" s="1"/>
  <c r="B1241" i="229" s="1"/>
  <c r="B1245" i="229" s="1"/>
  <c r="B1249" i="229" s="1"/>
  <c r="B1253" i="229" s="1"/>
  <c r="B1257" i="229" s="1"/>
  <c r="B1261" i="229" s="1"/>
  <c r="B1265" i="229" s="1"/>
  <c r="B1269" i="229" s="1"/>
  <c r="B1273" i="229" s="1"/>
  <c r="B1277" i="229" s="1"/>
  <c r="B1281" i="229" s="1"/>
  <c r="B1285" i="229" s="1"/>
  <c r="B1289" i="229" s="1"/>
  <c r="B1293" i="229" s="1"/>
  <c r="B1297" i="229" s="1"/>
  <c r="B1301" i="229" s="1"/>
  <c r="B1305" i="229" s="1"/>
  <c r="B1309" i="229" s="1"/>
  <c r="B1313" i="229" s="1"/>
  <c r="B1317" i="229" s="1"/>
  <c r="B1321" i="229" s="1"/>
  <c r="B1325" i="229" s="1"/>
  <c r="B1329" i="229" s="1"/>
  <c r="B1333" i="229" s="1"/>
  <c r="B1337" i="229" s="1"/>
  <c r="B1341" i="229" s="1"/>
  <c r="B1345" i="229" s="1"/>
  <c r="B1349" i="229" s="1"/>
  <c r="B1353" i="229" s="1"/>
  <c r="B1357" i="229" s="1"/>
  <c r="B1361" i="229" s="1"/>
  <c r="B1365" i="229" s="1"/>
  <c r="B1369" i="229" s="1"/>
  <c r="B1373" i="229" s="1"/>
  <c r="B1377" i="229" s="1"/>
  <c r="B1381" i="229" s="1"/>
  <c r="B1385" i="229" s="1"/>
  <c r="B1389" i="229" s="1"/>
  <c r="B1393" i="229" s="1"/>
  <c r="B1397" i="229" s="1"/>
  <c r="B1401" i="229" s="1"/>
  <c r="B1405" i="229" s="1"/>
  <c r="B1409" i="229" s="1"/>
  <c r="B1413" i="229" s="1"/>
  <c r="B1417" i="229" s="1"/>
  <c r="B1421" i="229" s="1"/>
  <c r="B1425" i="229" s="1"/>
  <c r="B1429" i="229" s="1"/>
  <c r="B1433" i="229" s="1"/>
  <c r="B1437" i="229" s="1"/>
  <c r="B1441" i="229" s="1"/>
  <c r="B1445" i="229" s="1"/>
  <c r="B1449" i="229" s="1"/>
  <c r="B1453" i="229" s="1"/>
  <c r="B1457" i="229" s="1"/>
  <c r="B1461" i="229" s="1"/>
  <c r="B1465" i="229" s="1"/>
  <c r="B1469" i="229" s="1"/>
  <c r="B1473" i="229" s="1"/>
  <c r="B1477" i="229" s="1"/>
  <c r="B1481" i="229" s="1"/>
  <c r="B1485" i="229" s="1"/>
  <c r="B1489" i="229" s="1"/>
  <c r="B1493" i="229" s="1"/>
  <c r="B1497" i="229" s="1"/>
  <c r="B1501" i="229" s="1"/>
  <c r="B1505" i="229" s="1"/>
  <c r="B1509" i="229" s="1"/>
  <c r="B1513" i="229" s="1"/>
  <c r="B1517" i="229" s="1"/>
  <c r="B1521" i="229" s="1"/>
  <c r="B1525" i="229" s="1"/>
  <c r="B1529" i="229" s="1"/>
  <c r="B1533" i="229" s="1"/>
  <c r="B1537" i="229" s="1"/>
  <c r="B1541" i="229" s="1"/>
  <c r="B1545" i="229" s="1"/>
  <c r="B1549" i="229" s="1"/>
  <c r="B1553" i="229" s="1"/>
  <c r="B1557" i="229" s="1"/>
  <c r="B1561" i="229" s="1"/>
  <c r="B1565" i="229" s="1"/>
  <c r="B1569" i="229" s="1"/>
  <c r="B1573" i="229" s="1"/>
  <c r="B1577" i="229" s="1"/>
  <c r="B1581" i="229" s="1"/>
  <c r="B1585" i="229" s="1"/>
  <c r="B1589" i="229" s="1"/>
  <c r="B1593" i="229" s="1"/>
  <c r="B1597" i="229" s="1"/>
  <c r="B1601" i="229" s="1"/>
  <c r="B1605" i="229" s="1"/>
  <c r="B1609" i="229" s="1"/>
  <c r="B1613" i="229" s="1"/>
  <c r="B1617" i="229" s="1"/>
  <c r="B1621" i="229" s="1"/>
  <c r="B1625" i="229" s="1"/>
  <c r="B1629" i="229" s="1"/>
  <c r="B1633" i="229" s="1"/>
  <c r="B1637" i="229" s="1"/>
  <c r="B1641" i="229" s="1"/>
  <c r="B1645" i="229" s="1"/>
  <c r="B1649" i="229" s="1"/>
  <c r="B1653" i="229" s="1"/>
  <c r="B1657" i="229" s="1"/>
  <c r="B1661" i="229" s="1"/>
  <c r="B1665" i="229" s="1"/>
  <c r="B1669" i="229" s="1"/>
  <c r="B1673" i="229" s="1"/>
  <c r="B1677" i="229" s="1"/>
  <c r="B1681" i="229" s="1"/>
  <c r="B1685" i="229" s="1"/>
  <c r="B1689" i="229" s="1"/>
  <c r="B1693" i="229" s="1"/>
  <c r="B1697" i="229" s="1"/>
  <c r="B1701" i="229" s="1"/>
  <c r="B1705" i="229" s="1"/>
  <c r="B1709" i="229" s="1"/>
  <c r="B1713" i="229" s="1"/>
  <c r="B1717" i="229" s="1"/>
  <c r="B1721" i="229" s="1"/>
  <c r="B1725" i="229" s="1"/>
  <c r="B1729" i="229" s="1"/>
  <c r="B1733" i="229" s="1"/>
  <c r="B1737" i="229" s="1"/>
  <c r="B1741" i="229" s="1"/>
  <c r="B1745" i="229" s="1"/>
  <c r="B1749" i="229" s="1"/>
  <c r="B1753" i="229" s="1"/>
  <c r="B1757" i="229" s="1"/>
  <c r="B1761" i="229" s="1"/>
  <c r="B1765" i="229" s="1"/>
  <c r="B1769" i="229" s="1"/>
  <c r="B1773" i="229" s="1"/>
  <c r="B1777" i="229" s="1"/>
  <c r="B1781" i="229" s="1"/>
  <c r="B1785" i="229" s="1"/>
  <c r="B1789" i="229" s="1"/>
  <c r="B1793" i="229" s="1"/>
  <c r="B1797" i="229" s="1"/>
  <c r="B1801" i="229" s="1"/>
  <c r="B1805" i="229" s="1"/>
  <c r="B1809" i="229" s="1"/>
  <c r="B1813" i="229" s="1"/>
  <c r="B1817" i="229" s="1"/>
  <c r="B1821" i="229" s="1"/>
  <c r="B1825" i="229" s="1"/>
  <c r="B1829" i="229" s="1"/>
  <c r="B1833" i="229" s="1"/>
  <c r="B1837" i="229" s="1"/>
  <c r="B1841" i="229" s="1"/>
  <c r="B1845" i="229" s="1"/>
  <c r="B1849" i="229" s="1"/>
  <c r="B1853" i="229" s="1"/>
  <c r="B1857" i="229" s="1"/>
  <c r="B1861" i="229" s="1"/>
  <c r="B1865" i="229" s="1"/>
  <c r="B1869" i="229" s="1"/>
  <c r="B1873" i="229" s="1"/>
  <c r="B1877" i="229" s="1"/>
  <c r="B1881" i="229" s="1"/>
  <c r="B1885" i="229" s="1"/>
  <c r="B1889" i="229" s="1"/>
  <c r="B1893" i="229" s="1"/>
  <c r="B1897" i="229" s="1"/>
  <c r="B1901" i="229" s="1"/>
  <c r="B1905" i="229" s="1"/>
  <c r="B1909" i="229" s="1"/>
  <c r="B1913" i="229" s="1"/>
  <c r="B1917" i="229" s="1"/>
  <c r="B1921" i="229" s="1"/>
  <c r="B1925" i="229" s="1"/>
  <c r="B1929" i="229" s="1"/>
  <c r="B1933" i="229" s="1"/>
  <c r="B1937" i="229" s="1"/>
  <c r="B1941" i="229" s="1"/>
  <c r="B1945" i="229" s="1"/>
  <c r="B1949" i="229" s="1"/>
  <c r="B1953" i="229" s="1"/>
  <c r="B1957" i="229" s="1"/>
  <c r="B1961" i="229" s="1"/>
  <c r="B1965" i="229" s="1"/>
  <c r="B1969" i="229" s="1"/>
  <c r="B1973" i="229" s="1"/>
  <c r="B1977" i="229" s="1"/>
  <c r="B1981" i="229" s="1"/>
  <c r="B1985" i="229" s="1"/>
  <c r="B1989" i="229" s="1"/>
  <c r="B1993" i="229" s="1"/>
  <c r="B1997" i="229" s="1"/>
  <c r="B2001" i="229" s="1"/>
  <c r="B2005" i="229" s="1"/>
  <c r="B2009" i="229" s="1"/>
  <c r="B2013" i="229" s="1"/>
  <c r="B2017" i="229" s="1"/>
  <c r="B2021" i="229" s="1"/>
  <c r="B2025" i="229" s="1"/>
  <c r="B2029" i="229" s="1"/>
  <c r="B2033" i="229" s="1"/>
  <c r="B2037" i="229" s="1"/>
  <c r="B2041" i="229" s="1"/>
  <c r="B2045" i="229" s="1"/>
  <c r="B2049" i="229" s="1"/>
  <c r="B2053" i="229" s="1"/>
  <c r="B2057" i="229" s="1"/>
  <c r="B2061" i="229" s="1"/>
  <c r="B2065" i="229" s="1"/>
  <c r="B2069" i="229" s="1"/>
  <c r="B2073" i="229" s="1"/>
  <c r="B2077" i="229" s="1"/>
  <c r="B2081" i="229" s="1"/>
  <c r="B2085" i="229" s="1"/>
  <c r="B2089" i="229" s="1"/>
  <c r="B2093" i="229" s="1"/>
  <c r="B2097" i="229" s="1"/>
  <c r="B2101" i="229" s="1"/>
  <c r="B2105" i="229" s="1"/>
  <c r="B2109" i="229" s="1"/>
  <c r="B2113" i="229" s="1"/>
  <c r="B2117" i="229" s="1"/>
  <c r="B2121" i="229" s="1"/>
  <c r="B2125" i="229" s="1"/>
  <c r="B2129" i="229" s="1"/>
  <c r="B2133" i="229" s="1"/>
  <c r="B2137" i="229" s="1"/>
  <c r="B2141" i="229" s="1"/>
  <c r="B2145" i="229" s="1"/>
  <c r="B2149" i="229" s="1"/>
  <c r="B2153" i="229" s="1"/>
  <c r="B2157" i="229" s="1"/>
  <c r="B2161" i="229" s="1"/>
  <c r="B2165" i="229" s="1"/>
  <c r="B2169" i="229" s="1"/>
  <c r="B2173" i="229" s="1"/>
  <c r="B2177" i="229" s="1"/>
  <c r="B2181" i="229" s="1"/>
  <c r="B2185" i="229" s="1"/>
  <c r="B2189" i="229" s="1"/>
  <c r="B2193" i="229" s="1"/>
  <c r="B2197" i="229" s="1"/>
  <c r="B2201" i="229" s="1"/>
  <c r="B2205" i="229" s="1"/>
  <c r="B2209" i="229" s="1"/>
  <c r="B2213" i="229" s="1"/>
  <c r="B2217" i="229" s="1"/>
  <c r="B2221" i="229" s="1"/>
  <c r="B2225" i="229" s="1"/>
  <c r="B2229" i="229" s="1"/>
  <c r="B2233" i="229" s="1"/>
  <c r="B2237" i="229" s="1"/>
  <c r="B2241" i="229" s="1"/>
  <c r="B2245" i="229" s="1"/>
  <c r="B2249" i="229" s="1"/>
  <c r="B2253" i="229" s="1"/>
  <c r="B2257" i="229" s="1"/>
  <c r="B2261" i="229" s="1"/>
  <c r="B2265" i="229" s="1"/>
  <c r="V2" i="229"/>
  <c r="R1" i="229"/>
  <c r="Q1" i="229"/>
  <c r="P1" i="229"/>
  <c r="O1" i="229"/>
  <c r="N1" i="229"/>
  <c r="M1" i="229"/>
  <c r="L1" i="229"/>
  <c r="K1" i="229"/>
  <c r="J1" i="229"/>
  <c r="I1" i="229"/>
  <c r="H1" i="229"/>
  <c r="G1" i="229"/>
  <c r="F1" i="229"/>
  <c r="E1" i="229"/>
  <c r="D1" i="229"/>
  <c r="C1" i="229"/>
  <c r="B1" i="229"/>
  <c r="A1" i="229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2005" i="9" s="1"/>
  <c r="B2009" i="9" s="1"/>
  <c r="B2013" i="9" s="1"/>
  <c r="B2017" i="9" s="1"/>
  <c r="B2021" i="9" s="1"/>
  <c r="B2025" i="9" s="1"/>
  <c r="B2029" i="9" s="1"/>
  <c r="B2033" i="9" s="1"/>
  <c r="B2037" i="9" s="1"/>
  <c r="B2041" i="9" s="1"/>
  <c r="B2045" i="9" s="1"/>
  <c r="B2049" i="9" s="1"/>
  <c r="B2053" i="9" s="1"/>
  <c r="B2057" i="9" s="1"/>
  <c r="B2061" i="9" s="1"/>
  <c r="B2065" i="9" s="1"/>
  <c r="B2069" i="9" s="1"/>
  <c r="B2073" i="9" s="1"/>
  <c r="B2077" i="9" s="1"/>
  <c r="B2081" i="9" s="1"/>
  <c r="B2085" i="9" s="1"/>
  <c r="B2089" i="9" s="1"/>
  <c r="B2093" i="9" s="1"/>
  <c r="B2097" i="9" s="1"/>
  <c r="B2101" i="9" s="1"/>
  <c r="B2105" i="9" s="1"/>
  <c r="B2109" i="9" s="1"/>
  <c r="B2113" i="9" s="1"/>
  <c r="B2117" i="9" s="1"/>
  <c r="B2121" i="9" s="1"/>
  <c r="B2125" i="9" s="1"/>
  <c r="B2129" i="9" s="1"/>
  <c r="B2133" i="9" s="1"/>
  <c r="B2137" i="9" s="1"/>
  <c r="B2141" i="9" s="1"/>
  <c r="B2145" i="9" s="1"/>
  <c r="B2149" i="9" s="1"/>
  <c r="B2153" i="9" s="1"/>
  <c r="B2157" i="9" s="1"/>
  <c r="B2161" i="9" s="1"/>
  <c r="B2165" i="9" s="1"/>
  <c r="B2169" i="9" s="1"/>
  <c r="B2173" i="9" s="1"/>
  <c r="B2177" i="9" s="1"/>
  <c r="B2181" i="9" s="1"/>
  <c r="B2185" i="9" s="1"/>
  <c r="B2189" i="9" s="1"/>
  <c r="B2193" i="9" s="1"/>
  <c r="B2197" i="9" s="1"/>
  <c r="B2201" i="9" s="1"/>
  <c r="B2205" i="9" s="1"/>
  <c r="B2209" i="9" s="1"/>
  <c r="B2213" i="9" s="1"/>
  <c r="B2217" i="9" s="1"/>
  <c r="B2221" i="9" s="1"/>
  <c r="B2225" i="9" s="1"/>
  <c r="B2229" i="9" s="1"/>
  <c r="B2233" i="9" s="1"/>
  <c r="B2237" i="9" s="1"/>
  <c r="B2241" i="9" s="1"/>
  <c r="B2245" i="9" s="1"/>
  <c r="B2249" i="9" s="1"/>
  <c r="B2253" i="9" s="1"/>
  <c r="B2257" i="9" s="1"/>
  <c r="B2261" i="9" s="1"/>
  <c r="B2265" i="9" s="1"/>
</calcChain>
</file>

<file path=xl/sharedStrings.xml><?xml version="1.0" encoding="utf-8"?>
<sst xmlns="http://schemas.openxmlformats.org/spreadsheetml/2006/main" count="2136" uniqueCount="669">
  <si>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</si>
  <si>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</si>
  <si>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</si>
  <si>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</si>
  <si>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</si>
  <si>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</si>
  <si>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</si>
  <si>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</si>
  <si>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</si>
  <si>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</si>
  <si>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</si>
  <si>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</si>
  <si>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</si>
  <si>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</si>
  <si>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</si>
  <si>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</si>
  <si>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</si>
  <si>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</si>
  <si>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</si>
  <si>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</si>
  <si>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</si>
  <si>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</si>
  <si>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</si>
  <si>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</si>
  <si>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</si>
  <si>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</si>
  <si>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</si>
  <si>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</si>
  <si>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</si>
  <si>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output7</t>
    <phoneticPr fontId="1" type="noConversion"/>
  </si>
  <si>
    <t>為</t>
  </si>
  <si>
    <t>ui5</t>
  </si>
  <si>
    <t>河洛話</t>
    <phoneticPr fontId="1" type="noConversion"/>
  </si>
  <si>
    <t>時</t>
  </si>
  <si>
    <t>漢字</t>
  </si>
  <si>
    <t>《</t>
  </si>
  <si>
    <t>道</t>
  </si>
  <si>
    <t>一</t>
  </si>
  <si>
    <t>》</t>
  </si>
  <si>
    <t>to7</t>
  </si>
  <si>
    <t>dor7</t>
  </si>
  <si>
    <t>tik4</t>
  </si>
  <si>
    <t>diek4</t>
  </si>
  <si>
    <t>it4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</si>
  <si>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</si>
  <si>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</si>
  <si>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</si>
  <si>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</si>
  <si>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</si>
  <si>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</si>
  <si>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</si>
  <si>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</si>
  <si>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</si>
  <si>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</si>
  <si>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</si>
  <si>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</si>
  <si>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</si>
  <si>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</si>
  <si>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</si>
  <si>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</si>
  <si>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</si>
  <si>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</si>
  <si>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</si>
  <si>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</si>
  <si>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00:00:25,000</t>
  </si>
  <si>
    <t>00:00:27,000</t>
  </si>
  <si>
    <t>30</t>
  </si>
  <si>
    <t>27</t>
  </si>
  <si>
    <t>00:00:30,000</t>
  </si>
  <si>
    <t>00:00:32,000</t>
  </si>
  <si>
    <t>35</t>
  </si>
  <si>
    <t>32</t>
  </si>
  <si>
    <t>00:00:35,000</t>
  </si>
  <si>
    <t>00:00:37,000</t>
  </si>
  <si>
    <t>40</t>
  </si>
  <si>
    <t>37</t>
  </si>
  <si>
    <t>00:00:40,000</t>
  </si>
  <si>
    <t>00:00:42,000</t>
  </si>
  <si>
    <t>45</t>
  </si>
  <si>
    <t>42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</si>
  <si>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</si>
  <si>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</si>
  <si>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</si>
  <si>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</si>
  <si>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</si>
  <si>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</si>
  <si>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</si>
  <si>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</si>
  <si>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</si>
  <si>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</si>
  <si>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</si>
  <si>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</si>
  <si>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</si>
  <si>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</si>
  <si>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</si>
  <si>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上下注音文</t>
    <phoneticPr fontId="1" type="noConversion"/>
  </si>
  <si>
    <t>此</t>
  </si>
  <si>
    <t>cu2</t>
  </si>
  <si>
    <t>天</t>
  </si>
  <si>
    <t>萬</t>
  </si>
  <si>
    <t>hui1</t>
  </si>
  <si>
    <t>hing5</t>
  </si>
  <si>
    <t>thian1</t>
  </si>
  <si>
    <t>ban7</t>
  </si>
  <si>
    <t>tian1</t>
  </si>
  <si>
    <t>bban7</t>
  </si>
  <si>
    <t>（</t>
  </si>
  <si>
    <t>）</t>
  </si>
  <si>
    <t>不</t>
  </si>
  <si>
    <t>相</t>
  </si>
  <si>
    <t>生</t>
  </si>
  <si>
    <t>聲</t>
  </si>
  <si>
    <t>前</t>
  </si>
  <si>
    <t>處</t>
  </si>
  <si>
    <t>得</t>
  </si>
  <si>
    <t>誰</t>
  </si>
  <si>
    <t>？</t>
  </si>
  <si>
    <t>愛</t>
  </si>
  <si>
    <t>何</t>
  </si>
  <si>
    <t>今</t>
  </si>
  <si>
    <t>：</t>
  </si>
  <si>
    <t>清</t>
  </si>
  <si>
    <t>新</t>
  </si>
  <si>
    <t>我</t>
  </si>
  <si>
    <t>家</t>
  </si>
  <si>
    <t>屬</t>
  </si>
  <si>
    <t>年</t>
  </si>
  <si>
    <t>老</t>
  </si>
  <si>
    <t>平</t>
  </si>
  <si>
    <t>疏</t>
  </si>
  <si>
    <t>來</t>
  </si>
  <si>
    <t>put4</t>
  </si>
  <si>
    <t>but4</t>
  </si>
  <si>
    <t>siong3</t>
  </si>
  <si>
    <t>shiong3</t>
  </si>
  <si>
    <t>sing1</t>
  </si>
  <si>
    <t>shing1</t>
  </si>
  <si>
    <t>zian5</t>
  </si>
  <si>
    <t>jian5</t>
  </si>
  <si>
    <t>sui5</t>
  </si>
  <si>
    <t>kong1</t>
  </si>
  <si>
    <t>hu5</t>
  </si>
  <si>
    <t>sim1</t>
  </si>
  <si>
    <t>shim1</t>
  </si>
  <si>
    <t>ngoo2</t>
  </si>
  <si>
    <t>liok8</t>
  </si>
  <si>
    <t>liook8</t>
  </si>
  <si>
    <t>bian5</t>
  </si>
  <si>
    <t>ling5</t>
  </si>
  <si>
    <t>sin1</t>
  </si>
  <si>
    <t>kim1</t>
  </si>
  <si>
    <t>gim1</t>
  </si>
  <si>
    <t>giok8</t>
  </si>
  <si>
    <t>ggiook8</t>
  </si>
  <si>
    <t>buan2</t>
  </si>
  <si>
    <t>bbuan2</t>
  </si>
  <si>
    <t>ai3</t>
  </si>
  <si>
    <t>long5</t>
  </si>
  <si>
    <t>ho5</t>
  </si>
  <si>
    <t>hor5</t>
  </si>
  <si>
    <t>zing7</t>
  </si>
  <si>
    <t>jing7</t>
  </si>
  <si>
    <t>cing1</t>
  </si>
  <si>
    <t>ching1</t>
  </si>
  <si>
    <t>cin1</t>
  </si>
  <si>
    <t>chin1</t>
  </si>
  <si>
    <t>ziok4</t>
  </si>
  <si>
    <t>jiook4</t>
  </si>
  <si>
    <t>iu1</t>
  </si>
  <si>
    <t>ka1</t>
  </si>
  <si>
    <t>ga1</t>
  </si>
  <si>
    <t>siau3</t>
  </si>
  <si>
    <t>shiau3</t>
  </si>
  <si>
    <t>uan5</t>
  </si>
  <si>
    <t>zing5</t>
  </si>
  <si>
    <t>jing5</t>
  </si>
  <si>
    <t>lian5</t>
  </si>
  <si>
    <t>lo2</t>
  </si>
  <si>
    <t>lor2</t>
  </si>
  <si>
    <t>phing5</t>
  </si>
  <si>
    <t>ping5</t>
  </si>
  <si>
    <t>tiong1</t>
  </si>
  <si>
    <t>sik8</t>
  </si>
  <si>
    <t>shiek8</t>
  </si>
  <si>
    <t>kian1</t>
  </si>
  <si>
    <t>gian1</t>
  </si>
  <si>
    <t>king3</t>
  </si>
  <si>
    <t>ging3</t>
  </si>
  <si>
    <t>soo1</t>
  </si>
  <si>
    <t>lai5</t>
  </si>
  <si>
    <t>續校</t>
    <phoneticPr fontId="1" type="noConversion"/>
  </si>
  <si>
    <t>校對注音</t>
    <phoneticPr fontId="1" type="noConversion"/>
  </si>
  <si>
    <t>在【缺字表】補漢字庫尚缺之漢字標音</t>
    <phoneticPr fontId="1" type="noConversion"/>
  </si>
  <si>
    <r>
      <t>py .\a500_</t>
    </r>
    <r>
      <rPr>
        <sz val="16"/>
        <color rgb="FFFF0000"/>
        <rFont val="細明體"/>
        <family val="3"/>
        <charset val="136"/>
      </rPr>
      <t>漢字庫工具</t>
    </r>
    <r>
      <rPr>
        <sz val="16"/>
        <color rgb="FFFF0000"/>
        <rFont val="Charis SIL"/>
      </rPr>
      <t>.py 2</t>
    </r>
    <phoneticPr fontId="1" type="noConversion"/>
  </si>
  <si>
    <t>更新漢字庫之漢字標音</t>
    <phoneticPr fontId="1" type="noConversion"/>
  </si>
  <si>
    <t>將【漢字注音】工作表內容製成漢字標音網頁</t>
    <phoneticPr fontId="1" type="noConversion"/>
  </si>
  <si>
    <t>製作上下兩行式【簡式】漢字標音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</si>
  <si>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 --start d133</t>
    </r>
    <phoneticPr fontId="1" type="noConversion"/>
  </si>
  <si>
    <t>念</t>
  </si>
  <si>
    <t>青</t>
  </si>
  <si>
    <t>夕</t>
  </si>
  <si>
    <t>影</t>
  </si>
  <si>
    <t>空</t>
  </si>
  <si>
    <t>便</t>
  </si>
  <si>
    <t>lim5</t>
  </si>
  <si>
    <t>(5, 6)</t>
  </si>
  <si>
    <t>ing2</t>
  </si>
  <si>
    <t>(13, 15)</t>
  </si>
  <si>
    <t>(21, 11)</t>
  </si>
  <si>
    <t>(21, 14)</t>
  </si>
  <si>
    <t>(21, 15)</t>
  </si>
  <si>
    <t>liam7</t>
  </si>
  <si>
    <t>(41, 18)</t>
  </si>
  <si>
    <t>(49, 14)</t>
  </si>
  <si>
    <t>(49, 16)</t>
  </si>
  <si>
    <t>(49, 17)</t>
  </si>
  <si>
    <t>(57, 4)</t>
  </si>
  <si>
    <t>(57, 5)</t>
  </si>
  <si>
    <t>(57, 6)</t>
  </si>
  <si>
    <t>(57, 7)</t>
  </si>
  <si>
    <t>(57, 12)</t>
  </si>
  <si>
    <t>(57, 14)</t>
  </si>
  <si>
    <t>khong1</t>
  </si>
  <si>
    <t>pian5</t>
  </si>
  <si>
    <t>lam5</t>
  </si>
  <si>
    <t>奴</t>
  </si>
  <si>
    <t>嬌</t>
  </si>
  <si>
    <t>·</t>
  </si>
  <si>
    <t>斷</t>
  </si>
  <si>
    <t>虹</t>
  </si>
  <si>
    <t>霽</t>
  </si>
  <si>
    <t>雨</t>
  </si>
  <si>
    <t>宋</t>
  </si>
  <si>
    <t>黃</t>
  </si>
  <si>
    <t>庭</t>
  </si>
  <si>
    <t>堅</t>
  </si>
  <si>
    <t>淨</t>
  </si>
  <si>
    <t>秋</t>
  </si>
  <si>
    <t>山</t>
  </si>
  <si>
    <t>染</t>
  </si>
  <si>
    <t>修</t>
  </si>
  <si>
    <t>眉</t>
  </si>
  <si>
    <t>綠</t>
  </si>
  <si>
    <t>桂</t>
  </si>
  <si>
    <t>扶</t>
  </si>
  <si>
    <t>輝</t>
  </si>
  <si>
    <t>足</t>
  </si>
  <si>
    <t>里</t>
  </si>
  <si>
    <t>姮</t>
  </si>
  <si>
    <t>娥</t>
  </si>
  <si>
    <t>駕</t>
  </si>
  <si>
    <t>輪</t>
  </si>
  <si>
    <t>玉</t>
  </si>
  <si>
    <t>寒</t>
  </si>
  <si>
    <t>光</t>
  </si>
  <si>
    <t>零</t>
  </si>
  <si>
    <t>亂</t>
  </si>
  <si>
    <t>偏</t>
  </si>
  <si>
    <t>照</t>
  </si>
  <si>
    <t>醽</t>
  </si>
  <si>
    <t>醁</t>
  </si>
  <si>
    <t>少</t>
  </si>
  <si>
    <t>從</t>
  </si>
  <si>
    <t>追</t>
  </si>
  <si>
    <t>遊</t>
  </si>
  <si>
    <t>晚</t>
  </si>
  <si>
    <t>涼</t>
  </si>
  <si>
    <t>幽</t>
  </si>
  <si>
    <t>徑</t>
  </si>
  <si>
    <t>繞</t>
  </si>
  <si>
    <t>張</t>
  </si>
  <si>
    <t>園</t>
  </si>
  <si>
    <t>森</t>
  </si>
  <si>
    <t>木</t>
  </si>
  <si>
    <t>共</t>
  </si>
  <si>
    <t>倒</t>
  </si>
  <si>
    <t>金</t>
  </si>
  <si>
    <t>荷</t>
  </si>
  <si>
    <t>難</t>
  </si>
  <si>
    <t>尊</t>
  </si>
  <si>
    <t>子</t>
  </si>
  <si>
    <t>江</t>
  </si>
  <si>
    <t>南</t>
  </si>
  <si>
    <t>北</t>
  </si>
  <si>
    <t>最</t>
  </si>
  <si>
    <t>臨</t>
  </si>
  <si>
    <t>風</t>
  </si>
  <si>
    <t>笛</t>
  </si>
  <si>
    <t>孫</t>
  </si>
  <si>
    <t>郎</t>
  </si>
  <si>
    <t>微</t>
  </si>
  <si>
    <t>笑</t>
  </si>
  <si>
    <t>坐</t>
  </si>
  <si>
    <t>噴</t>
  </si>
  <si>
    <t>霜</t>
  </si>
  <si>
    <t>竹</t>
  </si>
  <si>
    <t xml:space="preserve">《念奴嬌·斷虹霽雨》（宋：黃庭堅）
斷虹霽雨，淨秋空，山染修眉新綠。
桂影扶疏，誰便道，今夕清輝不足？
萬里青天，姮娥何處，駕此一輪玉。
寒光零亂，為誰偏照醽醁？
年少從我追遊，晚涼幽徑，繞張園森木。
共倒金荷，家萬里，難得尊前相屬。
老子平生，江南江北，最愛臨風笛。
孫郎微笑，坐來聲噴霜竹。
</t>
  </si>
  <si>
    <t>念奴嬌·斷虹霽雨</t>
    <phoneticPr fontId="1" type="noConversion"/>
  </si>
  <si>
    <t>loo5</t>
  </si>
  <si>
    <t>kiau1</t>
  </si>
  <si>
    <t>giau1</t>
  </si>
  <si>
    <t>tuan3</t>
  </si>
  <si>
    <t>duan3</t>
  </si>
  <si>
    <t>hong5</t>
  </si>
  <si>
    <t>ze3</t>
  </si>
  <si>
    <t>u2</t>
  </si>
  <si>
    <t>song3</t>
  </si>
  <si>
    <t>ting5</t>
  </si>
  <si>
    <t>ding5</t>
  </si>
  <si>
    <t>(5, 5)</t>
  </si>
  <si>
    <t>(5, 7)</t>
  </si>
  <si>
    <t>(5, 15)</t>
  </si>
  <si>
    <t>(5, 17)</t>
  </si>
  <si>
    <t>(5, 18)</t>
  </si>
  <si>
    <t>(9, 4)</t>
  </si>
  <si>
    <t>ciu1</t>
  </si>
  <si>
    <t>chiu1</t>
  </si>
  <si>
    <t>san1</t>
  </si>
  <si>
    <t>bak4</t>
  </si>
  <si>
    <t>bbak4</t>
  </si>
  <si>
    <t>siu1</t>
  </si>
  <si>
    <t>shiu1</t>
  </si>
  <si>
    <t>bi5</t>
  </si>
  <si>
    <t>bbi5</t>
  </si>
  <si>
    <t>(5, 9); (13, 4)</t>
  </si>
  <si>
    <t>(5, 10); (13, 5)</t>
  </si>
  <si>
    <t>(5, 11); (13, 6)</t>
  </si>
  <si>
    <t>(5, 12); (13, 7)</t>
  </si>
  <si>
    <t>(13, 9)</t>
  </si>
  <si>
    <t>(13, 10)</t>
  </si>
  <si>
    <t>(13, 11)</t>
  </si>
  <si>
    <t>(13, 13)</t>
  </si>
  <si>
    <t>(13, 14)</t>
  </si>
  <si>
    <t>(13, 16)</t>
  </si>
  <si>
    <t>(13, 17)</t>
  </si>
  <si>
    <t>(13, 18)</t>
  </si>
  <si>
    <t>kue3</t>
  </si>
  <si>
    <t>gue3</t>
  </si>
  <si>
    <t>(21, 4)</t>
  </si>
  <si>
    <t>(21, 5)</t>
  </si>
  <si>
    <t>(21, 6)</t>
  </si>
  <si>
    <t>(21, 7)</t>
  </si>
  <si>
    <t>(21, 10)</t>
  </si>
  <si>
    <t>(21, 13)</t>
  </si>
  <si>
    <t>(21, 16)</t>
  </si>
  <si>
    <t>(21, 17)</t>
  </si>
  <si>
    <t>(21, 18)</t>
  </si>
  <si>
    <t>li2</t>
  </si>
  <si>
    <t>go5</t>
  </si>
  <si>
    <t>ggor5</t>
  </si>
  <si>
    <t>ka3</t>
  </si>
  <si>
    <t>ga3</t>
  </si>
  <si>
    <t>lun5</t>
  </si>
  <si>
    <t>(29, 6)</t>
  </si>
  <si>
    <t>(29, 7)</t>
  </si>
  <si>
    <t>(29, 9)</t>
  </si>
  <si>
    <t>(29, 10)</t>
  </si>
  <si>
    <t>(29, 11)</t>
  </si>
  <si>
    <t>(29, 12)</t>
  </si>
  <si>
    <t>(29, 14)</t>
  </si>
  <si>
    <t>(29, 15)</t>
  </si>
  <si>
    <t>(29, 16)</t>
  </si>
  <si>
    <t>(29, 17)</t>
  </si>
  <si>
    <t>(29, 18)</t>
  </si>
  <si>
    <t>han5</t>
  </si>
  <si>
    <t>gong1</t>
  </si>
  <si>
    <t>luan7</t>
  </si>
  <si>
    <t>ziau3</t>
  </si>
  <si>
    <t>jiau3</t>
  </si>
  <si>
    <t>(21, 9); (37, 10)</t>
  </si>
  <si>
    <t>(37, 4)</t>
  </si>
  <si>
    <t>(37, 5)</t>
  </si>
  <si>
    <t>(37, 6)</t>
  </si>
  <si>
    <t>(37, 7)</t>
  </si>
  <si>
    <t>(37, 9)</t>
  </si>
  <si>
    <t>(37, 11)</t>
  </si>
  <si>
    <t>(37, 12)</t>
  </si>
  <si>
    <t>(37, 13)</t>
  </si>
  <si>
    <t>(37, 14)</t>
  </si>
  <si>
    <t>tui1</t>
  </si>
  <si>
    <t>dui1</t>
  </si>
  <si>
    <t>iu5</t>
  </si>
  <si>
    <t>liong5</t>
  </si>
  <si>
    <t>jiau2</t>
  </si>
  <si>
    <t>jjiau2</t>
  </si>
  <si>
    <t>diong1</t>
  </si>
  <si>
    <t>(41, 4)</t>
  </si>
  <si>
    <t>(41, 5)</t>
  </si>
  <si>
    <t>(41, 6)</t>
  </si>
  <si>
    <t>(41, 7)</t>
  </si>
  <si>
    <t>(41, 8)</t>
  </si>
  <si>
    <t>(41, 9)</t>
  </si>
  <si>
    <t>(41, 11)</t>
  </si>
  <si>
    <t>(41, 12)</t>
  </si>
  <si>
    <t>(41, 13)</t>
  </si>
  <si>
    <t>(41, 14)</t>
  </si>
  <si>
    <t>(41, 16)</t>
  </si>
  <si>
    <t>(41, 17)</t>
  </si>
  <si>
    <t>bok8</t>
  </si>
  <si>
    <t>bbok8</t>
  </si>
  <si>
    <t>(45, 4)</t>
  </si>
  <si>
    <t>(45, 5)</t>
  </si>
  <si>
    <t>kiong7</t>
  </si>
  <si>
    <t>giong7</t>
  </si>
  <si>
    <t>tau2</t>
  </si>
  <si>
    <t>dau2</t>
  </si>
  <si>
    <t>hau1</t>
  </si>
  <si>
    <t>lan5</t>
  </si>
  <si>
    <t>zun1</t>
  </si>
  <si>
    <t>(29, 4); (49, 10)</t>
  </si>
  <si>
    <t>(29, 5); (49, 11)</t>
  </si>
  <si>
    <t>(49, 4)</t>
  </si>
  <si>
    <t>(49, 5)</t>
  </si>
  <si>
    <t>(49, 6)</t>
  </si>
  <si>
    <t>(49, 7)</t>
  </si>
  <si>
    <t>(49, 9)</t>
  </si>
  <si>
    <t>(49, 13)</t>
  </si>
  <si>
    <t>(49, 15)</t>
  </si>
  <si>
    <t>(49, 18)</t>
  </si>
  <si>
    <t>zu2</t>
  </si>
  <si>
    <t>kang1</t>
  </si>
  <si>
    <t>gang1</t>
  </si>
  <si>
    <t>pok4</t>
  </si>
  <si>
    <t>bok4</t>
  </si>
  <si>
    <t>zue3</t>
  </si>
  <si>
    <t>hong1</t>
  </si>
  <si>
    <t>tik8</t>
  </si>
  <si>
    <t>diek8</t>
  </si>
  <si>
    <t>(57, 9); (57, 11)</t>
  </si>
  <si>
    <t>(57, 10)</t>
  </si>
  <si>
    <t>(57, 15)</t>
  </si>
  <si>
    <t>(57, 16)</t>
  </si>
  <si>
    <t>(57, 17)</t>
  </si>
  <si>
    <t>(57, 18)</t>
  </si>
  <si>
    <t>sun1</t>
  </si>
  <si>
    <t>cio3</t>
  </si>
  <si>
    <t>chior3</t>
  </si>
  <si>
    <t>ze7</t>
  </si>
  <si>
    <t>bu7</t>
  </si>
  <si>
    <t>bbu7</t>
  </si>
  <si>
    <t>song1</t>
  </si>
  <si>
    <t>tiok4</t>
  </si>
  <si>
    <t>diook4</t>
  </si>
  <si>
    <t>(65, 4)</t>
  </si>
  <si>
    <t>(65, 5)</t>
  </si>
  <si>
    <t>(65, 6)</t>
  </si>
  <si>
    <t>(65, 7)</t>
  </si>
  <si>
    <t>(65, 9)</t>
  </si>
  <si>
    <t>(65, 10)</t>
  </si>
  <si>
    <t>(65, 11)</t>
  </si>
  <si>
    <t>(65, 12)</t>
  </si>
  <si>
    <t>(65, 13)</t>
  </si>
  <si>
    <t>(65, 14)</t>
  </si>
  <si>
    <t>斷虹霽雨，淨秋空，山染修眉新綠。</t>
  </si>
  <si>
    <t>桂影扶疏，誰便道，今夕清輝不足？</t>
  </si>
  <si>
    <t>萬里青天，姮娥何處，駕此一輪玉。</t>
  </si>
  <si>
    <t>寒光零亂，為誰偏照醽醁？</t>
  </si>
  <si>
    <t>年少從我追遊，晚涼幽徑，繞張園森木。</t>
  </si>
  <si>
    <t>共倒金荷，家萬里，難得尊前相屬。</t>
  </si>
  <si>
    <t>老子平生，江南江北，最愛臨風笛。</t>
  </si>
  <si>
    <t>Lor2 zu2 ping5 shing1, gang1 lam5 gang1 bok4, zue3 ai3 lim5 hong1 diek8.</t>
  </si>
  <si>
    <t>孫郎微笑，坐來聲噴霜竹。</t>
  </si>
  <si>
    <t>閩拼調符</t>
  </si>
  <si>
    <t>liâm</t>
  </si>
  <si>
    <t>lóo</t>
  </si>
  <si>
    <t>giāo</t>
  </si>
  <si>
    <t>duàn</t>
  </si>
  <si>
    <t>hóng</t>
  </si>
  <si>
    <t>zè</t>
  </si>
  <si>
    <t>wǔ</t>
  </si>
  <si>
    <t>sòng</t>
  </si>
  <si>
    <t>díng</t>
  </si>
  <si>
    <t>giān</t>
  </si>
  <si>
    <t>zîng</t>
  </si>
  <si>
    <t>cīu</t>
  </si>
  <si>
    <t>kōng</t>
  </si>
  <si>
    <t>sān</t>
  </si>
  <si>
    <t>sīu</t>
  </si>
  <si>
    <t>bbí</t>
  </si>
  <si>
    <t>liók</t>
  </si>
  <si>
    <t>yǐng</t>
  </si>
  <si>
    <t>hú</t>
  </si>
  <si>
    <t>sōo</t>
  </si>
  <si>
    <t>súi</t>
  </si>
  <si>
    <t>bián</t>
  </si>
  <si>
    <t>dô</t>
  </si>
  <si>
    <t>gīm</t>
  </si>
  <si>
    <t>sík</t>
  </si>
  <si>
    <t>cīng</t>
  </si>
  <si>
    <t>hūi</t>
  </si>
  <si>
    <t>būt</t>
  </si>
  <si>
    <t>ziōk</t>
  </si>
  <si>
    <t>bbân</t>
  </si>
  <si>
    <t>lǐ</t>
  </si>
  <si>
    <t>tiān</t>
  </si>
  <si>
    <t>híng</t>
  </si>
  <si>
    <t>ggó</t>
  </si>
  <si>
    <t>hó</t>
  </si>
  <si>
    <t>cǔ</t>
  </si>
  <si>
    <t>gà</t>
  </si>
  <si>
    <t>yīt</t>
  </si>
  <si>
    <t>lún</t>
  </si>
  <si>
    <t>ggiók</t>
  </si>
  <si>
    <t>hán</t>
  </si>
  <si>
    <t>gōng</t>
  </si>
  <si>
    <t>líng</t>
  </si>
  <si>
    <t>luân</t>
  </si>
  <si>
    <t>wí</t>
  </si>
  <si>
    <t>ziào</t>
  </si>
  <si>
    <t>lián</t>
  </si>
  <si>
    <t>siào</t>
  </si>
  <si>
    <t>ggnǒo</t>
  </si>
  <si>
    <t>dūi</t>
  </si>
  <si>
    <t>yú</t>
  </si>
  <si>
    <t>bbuǎn</t>
  </si>
  <si>
    <t>lióng</t>
  </si>
  <si>
    <t>yū</t>
  </si>
  <si>
    <t>gìng</t>
  </si>
  <si>
    <t>zziǎo</t>
  </si>
  <si>
    <t>diōng</t>
  </si>
  <si>
    <t>wán</t>
  </si>
  <si>
    <t>sīm</t>
  </si>
  <si>
    <t>bbók</t>
  </si>
  <si>
    <t>giông</t>
  </si>
  <si>
    <t>gā</t>
  </si>
  <si>
    <t>lán</t>
  </si>
  <si>
    <t>dīk</t>
  </si>
  <si>
    <t>zūn</t>
  </si>
  <si>
    <t>zián</t>
  </si>
  <si>
    <t>lǒ</t>
  </si>
  <si>
    <t>zǔ</t>
  </si>
  <si>
    <t>píng</t>
  </si>
  <si>
    <t>sīng</t>
  </si>
  <si>
    <t>gāng</t>
  </si>
  <si>
    <t>lám</t>
  </si>
  <si>
    <t>bōk</t>
  </si>
  <si>
    <t>zuè</t>
  </si>
  <si>
    <t>ài</t>
  </si>
  <si>
    <t>lím</t>
  </si>
  <si>
    <t>hōng</t>
  </si>
  <si>
    <t>dík</t>
  </si>
  <si>
    <t>sūn</t>
  </si>
  <si>
    <t>lóng</t>
  </si>
  <si>
    <t>ciò</t>
  </si>
  <si>
    <t>zê</t>
  </si>
  <si>
    <t>lái</t>
  </si>
  <si>
    <t>sōng</t>
  </si>
  <si>
    <t>diōk</t>
  </si>
  <si>
    <t>【河洛文讀注音-閩拼調符】《念奴嬌·斷虹霽雨》.xlsx</t>
    <phoneticPr fontId="1" type="noConversion"/>
  </si>
  <si>
    <t>Lǒ zǔ píng sīng, gāng lám gāng bōk, zuè ài lím hōng dík.</t>
  </si>
  <si>
    <t>SRT漢字標音</t>
    <phoneticPr fontId="5" type="noConversion"/>
  </si>
  <si>
    <t>ㄌㄜˋ ㄗㄨˋ ㄆㄧㄥˊ ㄒㄧㄥ, ㄍㄤ ㄌㆰˊ ㄍㄤ ㄅㆦㆻ, ㄗㄨㆤ˪ ㄞ˪ ㄌㄧㆬˊ ㄏㆲ ㄉㄧㆻ˙.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</si>
  <si>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</si>
  <si>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</si>
  <si>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</si>
  <si>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</si>
  <si>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liam2</t>
  </si>
  <si>
    <t>liam2</t>
    <phoneticPr fontId="1" type="noConversion"/>
  </si>
  <si>
    <t>liǎm</t>
    <phoneticPr fontId="1" type="noConversion"/>
  </si>
  <si>
    <t>kui3</t>
  </si>
  <si>
    <t>kui3</t>
    <phoneticPr fontId="1" type="noConversion"/>
  </si>
  <si>
    <t>gùi</t>
    <phoneticPr fontId="1" type="noConversion"/>
  </si>
  <si>
    <t>to2</t>
  </si>
  <si>
    <t>to2</t>
    <phoneticPr fontId="1" type="noConversion"/>
  </si>
  <si>
    <t>dǒ</t>
    <phoneticPr fontId="1" type="noConversion"/>
  </si>
  <si>
    <t>ho5</t>
    <phoneticPr fontId="1" type="noConversion"/>
  </si>
  <si>
    <t>hó</t>
    <phoneticPr fontId="1" type="noConversion"/>
  </si>
  <si>
    <t>phun3</t>
  </si>
  <si>
    <t>phun3</t>
    <phoneticPr fontId="1" type="noConversion"/>
  </si>
  <si>
    <t>pùn</t>
    <phoneticPr fontId="1" type="noConversion"/>
  </si>
  <si>
    <t>Gùi yǐng hú sōo, súi bián dô, gīm sík cīng hūi būt ziōk?</t>
  </si>
  <si>
    <t>Sūn lóng bbí ciò, zê lái sīng pùn sōng diōk.</t>
  </si>
  <si>
    <t>ㄍㄨㄧ˪ ㄧㄥˋ ㄏㄨˊ ㄙㆦ, ㄙㄨㄧˊ ㄅㄧㄢˊ ㄉㄜ˫, ㄍㄧㆬ ㄒㄧㆻ˙ ㄑㄧㄥ ㄏㄨㄧ ㄅㄨㆵ ㄐㄧㆦㆻ?</t>
  </si>
  <si>
    <t>ㄙㄨㄣ ㄌㆲˊ ㆠㄧˊ ㄑㄧㄜ˪, ㄗㆤ˫ ㄌㄞˊ ㄒㄧㄥ ㄆㄨㄣ˪ ㄙㆲ ㄉㄧㆦㆻ.</t>
  </si>
  <si>
    <t>閩拼調號</t>
  </si>
  <si>
    <t>十五音</t>
  </si>
  <si>
    <t>念奴嬌·斷虹霾雨.jpg</t>
    <phoneticPr fontId="1" type="noConversion"/>
  </si>
  <si>
    <t>sin1</t>
    <phoneticPr fontId="1" type="noConversion"/>
  </si>
  <si>
    <t>sīn</t>
    <phoneticPr fontId="1" type="noConversion"/>
  </si>
  <si>
    <t>ㄉㄨㄢ˪ ㄏㆲˊ ㄗㆤ˪ ㄨˋ, ㄐㄧㄥ˫ ㄑㄧㄨ ㄎㆲ, ㄙㄢ ㄌㄧㆰˋ ㄒㄧㄨ ㆠㄧˊ ㄒㄧㄣ ㄌㄧㆦㆻ˙.</t>
  </si>
  <si>
    <t>Tuàn hông tsè ú, tsīng tshiu khong, san líam siu bî sin li̍ok.</t>
  </si>
  <si>
    <t>Kùi íng hû soo, sûi pîan tō, kim si̍k tshing hui put tsiok?</t>
  </si>
  <si>
    <t>Ló tsú phîng sing, kang lâm kang pok, tsùe ài lîm hong ti̍k.</t>
  </si>
  <si>
    <t>Sun lông bî tshìo, tsē lâi sing phùn song tiok.</t>
  </si>
  <si>
    <t>phian1</t>
  </si>
  <si>
    <t>phian1</t>
    <phoneticPr fontId="1" type="noConversion"/>
  </si>
  <si>
    <t>piān</t>
    <phoneticPr fontId="1" type="noConversion"/>
  </si>
  <si>
    <t>ㄏㄢˊ ㄍㆲ ㄌㄧㄥˊ ㄌㄨㄢ˫, ㄨㄧˊ ㄙㄨㄧˊ ㄆㄧㄢ ㄐㄧㄠ˪ ㄌㄧㄥˊ ㄌㄧㆦㆻ˙?</t>
  </si>
  <si>
    <t>台語音標</t>
  </si>
  <si>
    <t>校正音標</t>
  </si>
  <si>
    <t>座標</t>
  </si>
  <si>
    <t>ziong5</t>
  </si>
  <si>
    <t>ziong5</t>
    <phoneticPr fontId="1" type="noConversion"/>
  </si>
  <si>
    <t>zióng</t>
    <phoneticPr fontId="1" type="noConversion"/>
  </si>
  <si>
    <t>siong1</t>
  </si>
  <si>
    <t>siong1</t>
    <phoneticPr fontId="1" type="noConversion"/>
  </si>
  <si>
    <t>siōng</t>
    <phoneticPr fontId="1" type="noConversion"/>
  </si>
  <si>
    <t>。</t>
    <phoneticPr fontId="1" type="noConversion"/>
  </si>
  <si>
    <t>cu3</t>
  </si>
  <si>
    <t>cu3</t>
    <phoneticPr fontId="1" type="noConversion"/>
  </si>
  <si>
    <t>cù</t>
    <phoneticPr fontId="1" type="noConversion"/>
  </si>
  <si>
    <t>《念奴嬌。斷虹霽雨》（宋：黃庭堅）</t>
  </si>
  <si>
    <t>ㄌㄧㆰ˫ ㄌㆦˊ ㄍㄧㄠ. ㄉㄨㄢ˪ ㄏㆲˊ ㄗㆤ˪ ㄨˋ ㄙㆲ˪: ㄏㆲˊ ㄉㄧㄥˊ ㄍㄧㄢ</t>
  </si>
  <si>
    <t>ㆠㄢ˫ ㄌㄧˋ ㄑㄧㄥ ㄊㄧㄢ, ㄏㄧㄥˊ ㆣㄜˊ ㄏㄜˊ ㄘㄨ˪, ㄍㄚ˪ ㄘㄨˋ ㄧㆵ ㄌㄨㄣˊ ㆣㄧㆦㆻ˙.</t>
  </si>
  <si>
    <t>ㄌㄧㄢˊ ㄒㄧㄠ˪ ㄐㄧㆲˊ ㄫㆦˋ ㄉㄨㄧ ㄧㄨˊ, ㆠㄨㄢˋ ㄌㄧㆲˊ ㄧㄨ ㄍㄧㄥ˪, ㆢㄧㄠˋ ㄉㄧㆲ ㄨㄢˊ ㄒㄧㆬ ㆠㆦㆻ˙.</t>
  </si>
  <si>
    <t>ㄍㄧㆲ˫ ㄉㄜˋ ㄍㄧㆬ ㄏㄜˊ, ㄍㄚ ㆠㄢ˫ ㄌㄧˋ, ㄌㄢˊ ㄉㄧㆻ ㄗㄨㄣ ㄐㄧㄢˊ ㄒㄧㆲ ㄐㄧㆦㆻ.</t>
  </si>
  <si>
    <t>Liam7 loo5 giau1. Duan3 hong5 ze3 u2 song3: hong5 ding5 gian1</t>
  </si>
  <si>
    <t>Duan3 hong5 ze3 u2, jing7 chiu1 kong1, san1 liam2 shiu1 bbi5 shin1 liook8.</t>
  </si>
  <si>
    <t>Gui3 ing2 hu5 soo1, sui5 bian5 dor7, gim1 shiek8 ching1 hui1 but4 jiook4?</t>
  </si>
  <si>
    <t>Bban7 li2 ching1 tian1, hing5 ggor5 hor5 cu3, ga3 cu2 it4 lun5 ggiook8.</t>
  </si>
  <si>
    <t>Han5 gong1 ling5 luan7, ui5 sui5 pian1 jiau3 ling5 liook8?</t>
  </si>
  <si>
    <t>Lian5 shiau3 jiong5 ngoo2 dui1 iu5, bbuan2 liong5 iu1 ging3, jjiau2 diong1 uan5 shim1 bbok8.</t>
  </si>
  <si>
    <t>Giong7 dor2 gim1 hor5, ga1 bban7 li2, lan5 diek4 zun1 jian5 shiong1 jiook4.</t>
  </si>
  <si>
    <t>Sun1 long5 bbi5 chior3, ze7 lai5 shing1 pun3 song1 diook4.</t>
  </si>
  <si>
    <t>Līam lôo kiau. Tuàn hông tsè ú sòng: hông tîng kian</t>
  </si>
  <si>
    <t>Bān lí tshing thian, hîng gô hô tshù, kà tshú it lûn gi̍ok.</t>
  </si>
  <si>
    <t>Hân kong lîng luān, ûi sûi phian tsìau lîng li̍ok?</t>
  </si>
  <si>
    <t>Lîan sìau tsîong ngóo tui îu, buán lîong iu kìng, jíau tiong uân sim bo̍k.</t>
  </si>
  <si>
    <t>Kīong tó kim hô, ka bān lí, lân tik tsun tsîan siong tsiok.</t>
  </si>
  <si>
    <t>Liâm lóo giāo. Duàn hóng zè wǔ sòng: hóng díng giān</t>
  </si>
  <si>
    <t>Duàn hóng zè wǔ, zîng cīu kōng, sān liǎm sīu bbí sīn liók.</t>
  </si>
  <si>
    <t>Bbân lǐ cīng tiān, híng ggó hó cù, gà cǔ yīt lún ggiók.</t>
  </si>
  <si>
    <t>Hán gōng líng luân, wí súi piān ziào líng liók?</t>
  </si>
  <si>
    <t>Lián siào zióng ggnǒo dūi yú, bbuǎn lióng yū gìng, zziǎo diōng wán sīm bbók.</t>
  </si>
  <si>
    <t>Giông dǒ gīm hó, gā bbân lǐ, lán dīk zūn zián siōng ziōk.</t>
  </si>
  <si>
    <t>漢字標音法</t>
    <phoneticPr fontId="1" type="noConversion"/>
  </si>
  <si>
    <t>本調標音格式</t>
    <phoneticPr fontId="1" type="noConversion"/>
  </si>
  <si>
    <t>變調標音格式</t>
    <phoneticPr fontId="1" type="noConversion"/>
  </si>
  <si>
    <t>標準標音格式</t>
    <phoneticPr fontId="1" type="noConversion"/>
  </si>
  <si>
    <t>duan5</t>
    <phoneticPr fontId="1" type="noConversion"/>
  </si>
  <si>
    <t xml:space="preserve">duàn </t>
    <phoneticPr fontId="1" type="noConversion"/>
  </si>
  <si>
    <t>tuàn</t>
    <phoneticPr fontId="1" type="noConversion"/>
  </si>
  <si>
    <t>duan3</t>
    <phoneticPr fontId="1" type="noConversion"/>
  </si>
  <si>
    <t>toàn</t>
    <phoneticPr fontId="1" type="noConversion"/>
  </si>
  <si>
    <t>tuan3</t>
    <phoneticPr fontId="1" type="noConversion"/>
  </si>
  <si>
    <t>地觀三</t>
    <phoneticPr fontId="1" type="noConversion"/>
  </si>
  <si>
    <t>觀三地</t>
    <phoneticPr fontId="1" type="noConversion"/>
  </si>
  <si>
    <t>¹</t>
  </si>
  <si>
    <t>²</t>
  </si>
  <si>
    <t>⁶</t>
  </si>
  <si>
    <t>⁸</t>
  </si>
  <si>
    <t>⁹</t>
  </si>
  <si>
    <t>⁰</t>
  </si>
  <si>
    <t>³</t>
    <phoneticPr fontId="1" type="noConversion"/>
  </si>
  <si>
    <t>tuan³</t>
    <phoneticPr fontId="1" type="noConversion"/>
  </si>
  <si>
    <t>toan³</t>
    <phoneticPr fontId="1" type="noConversion"/>
  </si>
  <si>
    <t>duan³</t>
    <phoneticPr fontId="1" type="noConversion"/>
  </si>
  <si>
    <t>duan⁵</t>
    <phoneticPr fontId="1" type="noConversion"/>
  </si>
  <si>
    <t>duan⁵⁻³</t>
    <phoneticPr fontId="1" type="noConversion"/>
  </si>
  <si>
    <t>⁵</t>
    <phoneticPr fontId="1" type="noConversion"/>
  </si>
  <si>
    <t>⁷</t>
    <phoneticPr fontId="1" type="noConversion"/>
  </si>
  <si>
    <t>tuan³⁻⁷</t>
    <phoneticPr fontId="1" type="noConversion"/>
  </si>
  <si>
    <t>toan³⁻⁷</t>
    <phoneticPr fontId="1" type="noConversion"/>
  </si>
  <si>
    <t>duan³⁻⁷</t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</si>
  <si>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˪</t>
    </r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</si>
  <si>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³</t>
    </r>
    <phoneticPr fontId="1" type="noConversion"/>
  </si>
  <si>
    <r>
      <rPr>
        <sz val="18"/>
        <color theme="1"/>
        <rFont val="Noto Sans TC"/>
        <family val="2"/>
        <charset val="136"/>
      </rPr>
      <t>ㄉㄨㄢ</t>
    </r>
    <r>
      <rPr>
        <sz val="18"/>
        <color theme="1"/>
        <rFont val="Charis SemiBold"/>
      </rPr>
      <t>³⁻⁷</t>
    </r>
    <phoneticPr fontId="1" type="noConversion"/>
  </si>
  <si>
    <r>
      <rPr>
        <sz val="12"/>
        <color theme="1"/>
        <rFont val="新細明體"/>
        <family val="2"/>
        <charset val="136"/>
      </rPr>
      <t>⁴</t>
    </r>
  </si>
  <si>
    <t>地觀三-七</t>
    <phoneticPr fontId="1" type="noConversion"/>
  </si>
  <si>
    <t>十五音</t>
    <phoneticPr fontId="1" type="noConversion"/>
  </si>
  <si>
    <t>雅俗通</t>
    <phoneticPr fontId="1" type="noConversion"/>
  </si>
  <si>
    <t>方音符號</t>
    <phoneticPr fontId="1" type="noConversion"/>
  </si>
  <si>
    <t>台羅拼音</t>
    <phoneticPr fontId="1" type="noConversion"/>
  </si>
  <si>
    <t>白話字</t>
    <phoneticPr fontId="1" type="noConversion"/>
  </si>
  <si>
    <t>注音二式</t>
    <phoneticPr fontId="1" type="noConversion"/>
  </si>
  <si>
    <t>閩拼調號</t>
    <phoneticPr fontId="1" type="noConversion"/>
  </si>
  <si>
    <t>閩拼調符</t>
    <phoneticPr fontId="1" type="noConversion"/>
  </si>
  <si>
    <t>使用變調標音格式</t>
    <phoneticPr fontId="5" type="noConversion"/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</si>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</sst>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.000_);[Red]\(#,##0.000\)"/>
  </numFmts>
  <fonts count="6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b/>
      <sz val="11"/>
      <color rgb="FFFF0000"/>
      <name val="Microsoft JhengHei"/>
      <family val="2"/>
      <charset val="136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  <font>
      <sz val="16"/>
      <color theme="3" tint="0.499984740745262"/>
      <name val="Charis SIL"/>
    </font>
    <font>
      <sz val="16"/>
      <color theme="3" tint="0.499984740745262"/>
      <name val="Microsoft JhengHei UI"/>
      <family val="2"/>
      <charset val="136"/>
    </font>
    <font>
      <sz val="16"/>
      <color theme="3" tint="0.499984740745262"/>
      <name val="細明體"/>
      <family val="3"/>
      <charset val="136"/>
    </font>
    <font>
      <sz val="16"/>
      <color rgb="FFFF0000"/>
      <name val="細明體"/>
      <family val="3"/>
      <charset val="136"/>
    </font>
    <font>
      <sz val="12"/>
      <color theme="1"/>
      <name val="新細明體"/>
      <family val="2"/>
      <charset val="136"/>
    </font>
    <font>
      <sz val="18"/>
      <color theme="1"/>
      <name val="新細明體"/>
      <family val="2"/>
      <charset val="136"/>
      <scheme val="minor"/>
    </font>
    <font>
      <sz val="18"/>
      <color theme="1"/>
      <name val="Charis Medium"/>
    </font>
    <font>
      <sz val="18"/>
      <color theme="1"/>
      <name val="Noto Sans TC"/>
      <family val="2"/>
      <charset val="136"/>
    </font>
    <font>
      <sz val="18"/>
      <color theme="1"/>
      <name val="Charis SemiBold"/>
    </font>
    <font>
      <sz val="12"/>
      <color theme="1"/>
      <name val="Charis SIL"/>
    </font>
    <font>
      <sz val="18"/>
      <color theme="1"/>
      <name val="等距更紗黑體 TC SemiBold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6" fillId="0" borderId="0" applyNumberFormat="0" applyFill="0" applyBorder="0" applyAlignment="0" applyProtection="0">
      <alignment vertical="center"/>
    </xf>
    <xf numFmtId="0" fontId="36" fillId="4" borderId="0">
      <alignment horizontal="center" vertical="center"/>
    </xf>
    <xf numFmtId="0" fontId="42" fillId="0" borderId="0"/>
    <xf numFmtId="43" fontId="39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4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5" fillId="0" borderId="0" xfId="3" applyFont="1" applyAlignment="1">
      <alignment horizontal="center"/>
    </xf>
    <xf numFmtId="0" fontId="2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8" fillId="0" borderId="0" xfId="1" applyFont="1">
      <alignment vertical="center"/>
    </xf>
    <xf numFmtId="0" fontId="29" fillId="0" borderId="0" xfId="3" applyFont="1" applyAlignment="1">
      <alignment horizontal="left" vertical="center"/>
    </xf>
    <xf numFmtId="0" fontId="30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1" fillId="0" borderId="0" xfId="1" applyFont="1" applyAlignment="1">
      <alignment horizontal="left" vertical="center"/>
    </xf>
    <xf numFmtId="0" fontId="32" fillId="3" borderId="0" xfId="1" applyFont="1" applyFill="1">
      <alignment vertical="center"/>
    </xf>
    <xf numFmtId="0" fontId="30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4" fillId="0" borderId="0" xfId="3" applyFont="1" applyAlignment="1">
      <alignment horizontal="center" vertical="center"/>
    </xf>
    <xf numFmtId="0" fontId="33" fillId="2" borderId="3" xfId="3" applyFont="1" applyFill="1" applyBorder="1" applyAlignment="1" applyProtection="1">
      <alignment horizontal="center" vertical="center" wrapText="1" readingOrder="1"/>
      <protection locked="0"/>
    </xf>
    <xf numFmtId="0" fontId="35" fillId="0" borderId="0" xfId="1" applyFont="1">
      <alignment vertical="center"/>
    </xf>
    <xf numFmtId="0" fontId="37" fillId="4" borderId="0" xfId="4" applyFont="1" applyFill="1" applyAlignment="1">
      <alignment vertical="center" readingOrder="1"/>
    </xf>
    <xf numFmtId="0" fontId="38" fillId="0" borderId="0" xfId="1" applyFont="1">
      <alignment vertical="center"/>
    </xf>
    <xf numFmtId="0" fontId="49" fillId="0" borderId="0" xfId="0" applyFont="1">
      <alignment vertical="center"/>
    </xf>
    <xf numFmtId="49" fontId="48" fillId="2" borderId="6" xfId="0" applyNumberFormat="1" applyFont="1" applyFill="1" applyBorder="1" applyAlignment="1">
      <alignment horizontal="left" vertical="center" wrapText="1"/>
    </xf>
    <xf numFmtId="49" fontId="47" fillId="2" borderId="6" xfId="0" applyNumberFormat="1" applyFont="1" applyFill="1" applyBorder="1" applyAlignment="1">
      <alignment horizontal="left" vertical="center" wrapText="1"/>
    </xf>
    <xf numFmtId="0" fontId="40" fillId="5" borderId="6" xfId="0" applyFont="1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0" fillId="0" borderId="0" xfId="0" applyAlignment="1"/>
    <xf numFmtId="0" fontId="44" fillId="7" borderId="6" xfId="0" applyFont="1" applyFill="1" applyBorder="1" applyAlignment="1">
      <alignment horizontal="center" vertical="center"/>
    </xf>
    <xf numFmtId="0" fontId="45" fillId="8" borderId="6" xfId="0" applyFont="1" applyFill="1" applyBorder="1" applyAlignment="1">
      <alignment horizontal="center" vertical="center" wrapText="1"/>
    </xf>
    <xf numFmtId="0" fontId="40" fillId="5" borderId="6" xfId="0" applyFont="1" applyFill="1" applyBorder="1" applyAlignment="1">
      <alignment horizontal="center" vertical="center" wrapText="1"/>
    </xf>
    <xf numFmtId="0" fontId="44" fillId="7" borderId="6" xfId="0" applyFont="1" applyFill="1" applyBorder="1" applyAlignment="1">
      <alignment horizontal="center" vertical="center" wrapText="1"/>
    </xf>
    <xf numFmtId="38" fontId="41" fillId="2" borderId="6" xfId="7" applyNumberFormat="1" applyFont="1" applyFill="1" applyBorder="1" applyAlignment="1" applyProtection="1">
      <alignment horizontal="right" vertical="center"/>
    </xf>
    <xf numFmtId="38" fontId="41" fillId="6" borderId="6" xfId="7" applyNumberFormat="1" applyFont="1" applyFill="1" applyBorder="1" applyAlignment="1" applyProtection="1">
      <alignment horizontal="right" vertical="center"/>
    </xf>
    <xf numFmtId="0" fontId="45" fillId="8" borderId="6" xfId="0" applyFont="1" applyFill="1" applyBorder="1" applyAlignment="1">
      <alignment horizontal="centerContinuous" vertical="center"/>
    </xf>
    <xf numFmtId="0" fontId="43" fillId="9" borderId="6" xfId="0" applyFont="1" applyFill="1" applyBorder="1" applyAlignment="1" applyProtection="1">
      <alignment horizontal="center" vertical="center"/>
      <protection locked="0"/>
    </xf>
    <xf numFmtId="0" fontId="41" fillId="9" borderId="6" xfId="0" applyFont="1" applyFill="1" applyBorder="1" applyAlignment="1">
      <alignment horizontal="center" vertical="center"/>
    </xf>
    <xf numFmtId="177" fontId="41" fillId="9" borderId="6" xfId="7" applyNumberFormat="1" applyFont="1" applyFill="1" applyBorder="1" applyAlignment="1" applyProtection="1">
      <alignment horizontal="right" vertical="center"/>
    </xf>
    <xf numFmtId="38" fontId="41" fillId="2" borderId="6" xfId="7" applyNumberFormat="1" applyFont="1" applyFill="1" applyBorder="1" applyAlignment="1" applyProtection="1">
      <alignment horizontal="right" vertical="center" wrapText="1"/>
    </xf>
    <xf numFmtId="38" fontId="41" fillId="10" borderId="6" xfId="7" applyNumberFormat="1" applyFont="1" applyFill="1" applyBorder="1" applyAlignment="1" applyProtection="1">
      <alignment horizontal="right" vertical="center"/>
    </xf>
    <xf numFmtId="176" fontId="41" fillId="10" borderId="6" xfId="7" applyNumberFormat="1" applyFont="1" applyFill="1" applyBorder="1" applyAlignment="1" applyProtection="1">
      <alignment horizontal="right" vertical="center"/>
    </xf>
    <xf numFmtId="0" fontId="41" fillId="10" borderId="6" xfId="0" applyFont="1" applyFill="1" applyBorder="1" applyAlignment="1">
      <alignment horizontal="center" vertical="center"/>
    </xf>
    <xf numFmtId="0" fontId="46" fillId="5" borderId="6" xfId="0" applyFont="1" applyFill="1" applyBorder="1" applyAlignment="1">
      <alignment horizontal="center" vertical="center"/>
    </xf>
    <xf numFmtId="0" fontId="52" fillId="0" borderId="0" xfId="0" applyFont="1">
      <alignment vertical="center"/>
    </xf>
    <xf numFmtId="0" fontId="51" fillId="0" borderId="0" xfId="3" applyFont="1" applyAlignment="1">
      <alignment horizontal="center" vertical="center"/>
    </xf>
    <xf numFmtId="0" fontId="53" fillId="0" borderId="0" xfId="0" applyFont="1">
      <alignment vertical="center"/>
    </xf>
    <xf numFmtId="0" fontId="48" fillId="2" borderId="6" xfId="0" applyFont="1" applyFill="1" applyBorder="1" applyAlignment="1">
      <alignment horizontal="left" vertical="center" wrapText="1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10" borderId="0" xfId="3" applyFont="1" applyFill="1" applyAlignment="1">
      <alignment horizontal="center" vertical="center"/>
    </xf>
    <xf numFmtId="0" fontId="59" fillId="3" borderId="7" xfId="0" applyFont="1" applyFill="1" applyBorder="1">
      <alignment vertical="center"/>
    </xf>
    <xf numFmtId="0" fontId="62" fillId="0" borderId="7" xfId="0" applyFont="1" applyBorder="1" applyAlignment="1">
      <alignment horizontal="left" vertical="center"/>
    </xf>
    <xf numFmtId="0" fontId="63" fillId="0" borderId="0" xfId="0" applyFont="1">
      <alignment vertical="center"/>
    </xf>
    <xf numFmtId="0" fontId="64" fillId="0" borderId="7" xfId="0" applyFont="1" applyBorder="1" applyAlignment="1">
      <alignment horizontal="left" vertical="center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1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C22" sqref="B22:C22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0" t="s">
        <v>548</v>
      </c>
    </row>
    <row r="6" spans="2:4">
      <c r="B6" s="4" t="s">
        <v>4</v>
      </c>
      <c r="C6" s="3" t="s">
        <v>297</v>
      </c>
    </row>
    <row r="7" spans="2:4">
      <c r="B7" s="4" t="s">
        <v>5</v>
      </c>
      <c r="C7" s="49" t="s">
        <v>576</v>
      </c>
      <c r="D7" s="44"/>
    </row>
    <row r="8" spans="2:4">
      <c r="B8" s="4" t="s">
        <v>6</v>
      </c>
      <c r="C8" s="41" t="s">
        <v>29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17</v>
      </c>
      <c r="D11" s="1">
        <f>每頁總列數*4+5</f>
        <v>73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26</v>
      </c>
    </row>
    <row r="14" spans="2:4" ht="30">
      <c r="B14" s="37" t="s">
        <v>12</v>
      </c>
      <c r="C14" s="39" t="s">
        <v>32</v>
      </c>
    </row>
    <row r="15" spans="2:4" ht="30">
      <c r="B15" s="37" t="s">
        <v>13</v>
      </c>
      <c r="C15" s="39" t="s">
        <v>462</v>
      </c>
    </row>
    <row r="16" spans="2:4" ht="30">
      <c r="B16" s="37" t="s">
        <v>14</v>
      </c>
      <c r="C16" s="39" t="s">
        <v>27</v>
      </c>
    </row>
    <row r="17" spans="2:3" ht="30">
      <c r="B17" s="37" t="s">
        <v>15</v>
      </c>
      <c r="C17" s="39" t="s">
        <v>28</v>
      </c>
    </row>
    <row r="18" spans="2:3" ht="30">
      <c r="B18" s="37" t="s">
        <v>16</v>
      </c>
      <c r="C18" s="39" t="s">
        <v>574</v>
      </c>
    </row>
    <row r="19" spans="2:3" ht="30">
      <c r="B19" s="37" t="s">
        <v>17</v>
      </c>
      <c r="C19" s="39" t="s">
        <v>575</v>
      </c>
    </row>
    <row r="20" spans="2:3" ht="30">
      <c r="B20" s="37" t="s">
        <v>22</v>
      </c>
      <c r="C20" s="43">
        <v>0</v>
      </c>
    </row>
    <row r="21" spans="2:3" ht="30">
      <c r="B21" s="37" t="s">
        <v>550</v>
      </c>
      <c r="C21" s="39" t="s">
        <v>462</v>
      </c>
    </row>
    <row r="22" spans="2:3" ht="30">
      <c r="B22" s="37" t="s">
        <v>667</v>
      </c>
      <c r="C22" s="39" t="s">
        <v>668</v>
      </c>
    </row>
    <row r="28" spans="2:3">
      <c r="C28" s="48"/>
    </row>
  </sheetData>
  <phoneticPr fontId="1" type="noConversion"/>
  <dataValidations count="7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 C21" xr:uid="{4B8A1C7E-4BB3-4C1C-9065-B81F5BED0DFB}">
      <formula1>" ,十五音, 雅俗通,方音符號,注音二式,台語音標, 白話字, 台羅拼音,閩拼調號, 閩拼調符"</formula1>
    </dataValidation>
    <dataValidation type="list" allowBlank="1" showInputMessage="1" showErrorMessage="1" sqref="C22" xr:uid="{3B462607-59EA-4614-9C01-D2BD8472AADD}">
      <formula1>"否,是"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sheetPr>
    <tabColor rgb="FFFF0000"/>
  </sheetPr>
  <dimension ref="B2:E15"/>
  <sheetViews>
    <sheetView workbookViewId="0">
      <selection activeCell="B10" sqref="B10"/>
    </sheetView>
  </sheetViews>
  <sheetFormatPr defaultRowHeight="29.25"/>
  <cols>
    <col min="1" max="1" width="9" style="51"/>
    <col min="2" max="2" width="62.75" style="51" customWidth="1"/>
    <col min="3" max="3" width="33.625" style="76" customWidth="1"/>
    <col min="4" max="4" width="16.625" style="51" customWidth="1"/>
    <col min="5" max="5" width="29.75" style="51" customWidth="1"/>
    <col min="6" max="16384" width="9" style="51"/>
  </cols>
  <sheetData>
    <row r="2" spans="2:5">
      <c r="B2" s="51" t="s">
        <v>84</v>
      </c>
    </row>
    <row r="3" spans="2:5">
      <c r="B3" s="51" t="s">
        <v>85</v>
      </c>
    </row>
    <row r="4" spans="2:5">
      <c r="B4" s="51" t="s">
        <v>87</v>
      </c>
      <c r="C4" s="78" t="s">
        <v>192</v>
      </c>
    </row>
    <row r="5" spans="2:5">
      <c r="B5" s="72" t="s">
        <v>94</v>
      </c>
      <c r="C5" s="77" t="s">
        <v>191</v>
      </c>
      <c r="D5" s="74" t="s">
        <v>90</v>
      </c>
      <c r="E5" s="74" t="s">
        <v>91</v>
      </c>
    </row>
    <row r="6" spans="2:5">
      <c r="B6" s="72"/>
      <c r="D6" s="74" t="s">
        <v>92</v>
      </c>
      <c r="E6" s="74" t="s">
        <v>93</v>
      </c>
    </row>
    <row r="7" spans="2:5">
      <c r="B7" s="72"/>
    </row>
    <row r="8" spans="2:5">
      <c r="B8" s="72" t="s">
        <v>94</v>
      </c>
      <c r="C8" s="77" t="s">
        <v>190</v>
      </c>
      <c r="E8" s="74"/>
    </row>
    <row r="9" spans="2:5">
      <c r="B9" s="72" t="s">
        <v>197</v>
      </c>
      <c r="C9" s="77"/>
      <c r="E9" s="74"/>
    </row>
    <row r="10" spans="2:5">
      <c r="B10" s="51" t="s">
        <v>86</v>
      </c>
    </row>
    <row r="11" spans="2:5">
      <c r="B11" s="72"/>
      <c r="C11" s="77"/>
      <c r="E11" s="74"/>
    </row>
    <row r="12" spans="2:5">
      <c r="B12" s="51" t="s">
        <v>88</v>
      </c>
      <c r="C12" s="78" t="s">
        <v>195</v>
      </c>
    </row>
    <row r="13" spans="2:5">
      <c r="B13" s="72" t="s">
        <v>193</v>
      </c>
      <c r="C13" s="78" t="s">
        <v>194</v>
      </c>
    </row>
    <row r="15" spans="2:5">
      <c r="B15" s="51" t="s">
        <v>89</v>
      </c>
      <c r="C15" s="78" t="s">
        <v>196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66D2-FA9C-4C47-876B-E069DFBD07F2}">
  <sheetPr>
    <tabColor rgb="FFFF0000"/>
  </sheetPr>
  <dimension ref="B2:I12"/>
  <sheetViews>
    <sheetView workbookViewId="0">
      <selection activeCell="K17" sqref="K17"/>
    </sheetView>
  </sheetViews>
  <sheetFormatPr defaultRowHeight="22.5"/>
  <cols>
    <col min="2" max="2" width="17.5" bestFit="1" customWidth="1"/>
    <col min="3" max="5" width="21" customWidth="1"/>
    <col min="7" max="7" width="9" customWidth="1"/>
    <col min="9" max="9" width="9" style="85"/>
  </cols>
  <sheetData>
    <row r="2" spans="2:9" ht="25.5">
      <c r="B2" s="83" t="s">
        <v>625</v>
      </c>
      <c r="C2" s="83" t="s">
        <v>628</v>
      </c>
      <c r="D2" s="83" t="s">
        <v>626</v>
      </c>
      <c r="E2" s="83" t="s">
        <v>627</v>
      </c>
    </row>
    <row r="3" spans="2:9" ht="30" customHeight="1">
      <c r="B3" s="86" t="s">
        <v>659</v>
      </c>
      <c r="C3" s="86" t="s">
        <v>635</v>
      </c>
      <c r="D3" s="86" t="s">
        <v>635</v>
      </c>
      <c r="E3" s="86" t="s">
        <v>658</v>
      </c>
      <c r="I3" s="85" t="s">
        <v>637</v>
      </c>
    </row>
    <row r="4" spans="2:9" ht="30" customHeight="1">
      <c r="B4" s="86" t="s">
        <v>660</v>
      </c>
      <c r="C4" s="86" t="s">
        <v>636</v>
      </c>
      <c r="D4" s="86" t="s">
        <v>635</v>
      </c>
      <c r="E4" s="86" t="s">
        <v>658</v>
      </c>
      <c r="I4" s="85" t="s">
        <v>638</v>
      </c>
    </row>
    <row r="5" spans="2:9" ht="30" customHeight="1">
      <c r="B5" s="86" t="s">
        <v>661</v>
      </c>
      <c r="C5" s="84" t="s">
        <v>654</v>
      </c>
      <c r="D5" s="84" t="s">
        <v>655</v>
      </c>
      <c r="E5" s="84" t="s">
        <v>656</v>
      </c>
      <c r="I5" s="85" t="s">
        <v>643</v>
      </c>
    </row>
    <row r="6" spans="2:9" ht="30" customHeight="1">
      <c r="B6" s="86" t="s">
        <v>553</v>
      </c>
      <c r="C6" s="84" t="s">
        <v>634</v>
      </c>
      <c r="D6" s="84" t="s">
        <v>644</v>
      </c>
      <c r="E6" s="84" t="s">
        <v>651</v>
      </c>
      <c r="I6" s="85" t="s">
        <v>657</v>
      </c>
    </row>
    <row r="7" spans="2:9" ht="30" customHeight="1">
      <c r="B7" s="86" t="s">
        <v>662</v>
      </c>
      <c r="C7" s="84" t="s">
        <v>631</v>
      </c>
      <c r="D7" s="84" t="s">
        <v>644</v>
      </c>
      <c r="E7" s="84" t="s">
        <v>651</v>
      </c>
      <c r="I7" s="85" t="s">
        <v>649</v>
      </c>
    </row>
    <row r="8" spans="2:9" ht="30" customHeight="1">
      <c r="B8" s="86" t="s">
        <v>663</v>
      </c>
      <c r="C8" s="84" t="s">
        <v>633</v>
      </c>
      <c r="D8" s="84" t="s">
        <v>645</v>
      </c>
      <c r="E8" s="84" t="s">
        <v>652</v>
      </c>
      <c r="I8" s="85" t="s">
        <v>639</v>
      </c>
    </row>
    <row r="9" spans="2:9" ht="30" customHeight="1">
      <c r="B9" s="86" t="s">
        <v>664</v>
      </c>
      <c r="C9" s="84" t="s">
        <v>632</v>
      </c>
      <c r="D9" s="84" t="s">
        <v>646</v>
      </c>
      <c r="E9" s="84" t="s">
        <v>653</v>
      </c>
      <c r="I9" s="85" t="s">
        <v>650</v>
      </c>
    </row>
    <row r="10" spans="2:9" ht="30" customHeight="1">
      <c r="B10" s="86" t="s">
        <v>665</v>
      </c>
      <c r="C10" s="84" t="s">
        <v>629</v>
      </c>
      <c r="D10" s="84" t="s">
        <v>647</v>
      </c>
      <c r="E10" s="84" t="s">
        <v>648</v>
      </c>
      <c r="I10" s="85" t="s">
        <v>640</v>
      </c>
    </row>
    <row r="11" spans="2:9" ht="30" customHeight="1">
      <c r="B11" s="86" t="s">
        <v>666</v>
      </c>
      <c r="C11" s="84" t="s">
        <v>630</v>
      </c>
      <c r="D11" s="84" t="s">
        <v>647</v>
      </c>
      <c r="E11" s="84" t="s">
        <v>648</v>
      </c>
      <c r="I11" s="85" t="s">
        <v>641</v>
      </c>
    </row>
    <row r="12" spans="2:9" ht="30" customHeight="1">
      <c r="I12" s="85" t="s">
        <v>642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E3D7D-BF57-4AF6-BF42-CDA4809E4B7B}">
  <dimension ref="A1:D3"/>
  <sheetViews>
    <sheetView workbookViewId="0"/>
  </sheetViews>
  <sheetFormatPr defaultRowHeight="16.5"/>
  <sheetData>
    <row r="1" spans="1:4">
      <c r="A1" t="s">
        <v>552</v>
      </c>
      <c r="B1" t="s">
        <v>553</v>
      </c>
      <c r="C1" t="s">
        <v>554</v>
      </c>
      <c r="D1" t="s">
        <v>555</v>
      </c>
    </row>
    <row r="2" spans="1:4">
      <c r="A2" t="s">
        <v>259</v>
      </c>
      <c r="B2" t="s">
        <v>148</v>
      </c>
      <c r="C2" t="s">
        <v>21</v>
      </c>
      <c r="D2" t="s">
        <v>377</v>
      </c>
    </row>
    <row r="3" spans="1:4">
      <c r="A3" t="s">
        <v>260</v>
      </c>
      <c r="B3" t="s">
        <v>145</v>
      </c>
      <c r="C3" t="s">
        <v>21</v>
      </c>
      <c r="D3" t="s">
        <v>378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E284-99DE-48C5-8EAA-859C1535D09A}">
  <dimension ref="A1:D104"/>
  <sheetViews>
    <sheetView topLeftCell="A85" workbookViewId="0"/>
  </sheetViews>
  <sheetFormatPr defaultRowHeight="16.5"/>
  <sheetData>
    <row r="1" spans="1:4">
      <c r="A1" t="s">
        <v>34</v>
      </c>
      <c r="B1" t="s">
        <v>588</v>
      </c>
      <c r="C1" t="s">
        <v>589</v>
      </c>
      <c r="D1" t="s">
        <v>590</v>
      </c>
    </row>
    <row r="2" spans="1:4">
      <c r="A2" t="s">
        <v>198</v>
      </c>
      <c r="B2" t="s">
        <v>211</v>
      </c>
      <c r="C2" t="s">
        <v>21</v>
      </c>
      <c r="D2" t="s">
        <v>309</v>
      </c>
    </row>
    <row r="3" spans="1:4">
      <c r="A3" t="s">
        <v>225</v>
      </c>
      <c r="B3" t="s">
        <v>298</v>
      </c>
      <c r="C3" t="s">
        <v>21</v>
      </c>
      <c r="D3" t="s">
        <v>205</v>
      </c>
    </row>
    <row r="4" spans="1:4">
      <c r="A4" t="s">
        <v>226</v>
      </c>
      <c r="B4" t="s">
        <v>299</v>
      </c>
      <c r="C4" t="s">
        <v>21</v>
      </c>
      <c r="D4" t="s">
        <v>310</v>
      </c>
    </row>
    <row r="5" spans="1:4">
      <c r="A5" t="s">
        <v>228</v>
      </c>
      <c r="B5" t="s">
        <v>301</v>
      </c>
      <c r="C5" t="s">
        <v>21</v>
      </c>
      <c r="D5" t="s">
        <v>324</v>
      </c>
    </row>
    <row r="6" spans="1:4">
      <c r="A6" t="s">
        <v>229</v>
      </c>
      <c r="B6" t="s">
        <v>303</v>
      </c>
      <c r="C6" t="s">
        <v>21</v>
      </c>
      <c r="D6" t="s">
        <v>325</v>
      </c>
    </row>
    <row r="7" spans="1:4">
      <c r="A7" t="s">
        <v>230</v>
      </c>
      <c r="B7" t="s">
        <v>304</v>
      </c>
      <c r="C7" t="s">
        <v>21</v>
      </c>
      <c r="D7" t="s">
        <v>326</v>
      </c>
    </row>
    <row r="8" spans="1:4">
      <c r="A8" t="s">
        <v>231</v>
      </c>
      <c r="B8" t="s">
        <v>305</v>
      </c>
      <c r="C8" t="s">
        <v>21</v>
      </c>
      <c r="D8" t="s">
        <v>327</v>
      </c>
    </row>
    <row r="9" spans="1:4">
      <c r="A9" t="s">
        <v>232</v>
      </c>
      <c r="B9" t="s">
        <v>306</v>
      </c>
      <c r="C9" t="s">
        <v>21</v>
      </c>
      <c r="D9" t="s">
        <v>311</v>
      </c>
    </row>
    <row r="10" spans="1:4">
      <c r="A10" t="s">
        <v>233</v>
      </c>
      <c r="B10" t="s">
        <v>303</v>
      </c>
      <c r="C10" t="s">
        <v>21</v>
      </c>
      <c r="D10" t="s">
        <v>312</v>
      </c>
    </row>
    <row r="11" spans="1:4">
      <c r="A11" t="s">
        <v>234</v>
      </c>
      <c r="B11" t="s">
        <v>307</v>
      </c>
      <c r="C11" t="s">
        <v>21</v>
      </c>
      <c r="D11" t="s">
        <v>313</v>
      </c>
    </row>
    <row r="12" spans="1:4">
      <c r="A12" t="s">
        <v>235</v>
      </c>
      <c r="B12" t="s">
        <v>184</v>
      </c>
      <c r="C12" t="s">
        <v>21</v>
      </c>
      <c r="D12" t="s">
        <v>314</v>
      </c>
    </row>
    <row r="13" spans="1:4">
      <c r="A13" t="s">
        <v>236</v>
      </c>
      <c r="B13" t="s">
        <v>160</v>
      </c>
      <c r="C13" t="s">
        <v>21</v>
      </c>
      <c r="D13" t="s">
        <v>328</v>
      </c>
    </row>
    <row r="14" spans="1:4">
      <c r="A14" t="s">
        <v>237</v>
      </c>
      <c r="B14" t="s">
        <v>315</v>
      </c>
      <c r="C14" t="s">
        <v>21</v>
      </c>
      <c r="D14" t="s">
        <v>329</v>
      </c>
    </row>
    <row r="15" spans="1:4">
      <c r="A15" t="s">
        <v>202</v>
      </c>
      <c r="B15" t="s">
        <v>222</v>
      </c>
      <c r="C15" t="s">
        <v>21</v>
      </c>
      <c r="D15" t="s">
        <v>330</v>
      </c>
    </row>
    <row r="16" spans="1:4">
      <c r="A16" t="s">
        <v>238</v>
      </c>
      <c r="B16" t="s">
        <v>317</v>
      </c>
      <c r="C16" t="s">
        <v>21</v>
      </c>
      <c r="D16" t="s">
        <v>331</v>
      </c>
    </row>
    <row r="17" spans="1:4">
      <c r="A17" t="s">
        <v>239</v>
      </c>
      <c r="B17" t="s">
        <v>556</v>
      </c>
      <c r="C17" t="s">
        <v>21</v>
      </c>
      <c r="D17" t="s">
        <v>332</v>
      </c>
    </row>
    <row r="18" spans="1:4">
      <c r="A18" t="s">
        <v>240</v>
      </c>
      <c r="B18" t="s">
        <v>320</v>
      </c>
      <c r="C18" t="s">
        <v>21</v>
      </c>
      <c r="D18" t="s">
        <v>207</v>
      </c>
    </row>
    <row r="19" spans="1:4">
      <c r="A19" t="s">
        <v>241</v>
      </c>
      <c r="B19" t="s">
        <v>322</v>
      </c>
      <c r="C19" t="s">
        <v>21</v>
      </c>
      <c r="D19" t="s">
        <v>333</v>
      </c>
    </row>
    <row r="20" spans="1:4">
      <c r="A20" t="s">
        <v>122</v>
      </c>
      <c r="B20" t="s">
        <v>149</v>
      </c>
      <c r="C20" t="s">
        <v>21</v>
      </c>
      <c r="D20" t="s">
        <v>334</v>
      </c>
    </row>
    <row r="21" spans="1:4">
      <c r="A21" t="s">
        <v>242</v>
      </c>
      <c r="B21" t="s">
        <v>145</v>
      </c>
      <c r="C21" t="s">
        <v>21</v>
      </c>
      <c r="D21" t="s">
        <v>335</v>
      </c>
    </row>
    <row r="22" spans="1:4">
      <c r="A22" t="s">
        <v>243</v>
      </c>
      <c r="B22" t="s">
        <v>559</v>
      </c>
      <c r="C22" t="s">
        <v>21</v>
      </c>
      <c r="D22" t="s">
        <v>338</v>
      </c>
    </row>
    <row r="23" spans="1:4">
      <c r="A23" t="s">
        <v>201</v>
      </c>
      <c r="B23" t="s">
        <v>206</v>
      </c>
      <c r="C23" t="s">
        <v>21</v>
      </c>
      <c r="D23" t="s">
        <v>339</v>
      </c>
    </row>
    <row r="24" spans="1:4">
      <c r="A24" t="s">
        <v>244</v>
      </c>
      <c r="B24" t="s">
        <v>141</v>
      </c>
      <c r="C24" t="s">
        <v>21</v>
      </c>
      <c r="D24" t="s">
        <v>340</v>
      </c>
    </row>
    <row r="25" spans="1:4">
      <c r="A25" t="s">
        <v>129</v>
      </c>
      <c r="B25" t="s">
        <v>188</v>
      </c>
      <c r="C25" t="s">
        <v>21</v>
      </c>
      <c r="D25" t="s">
        <v>341</v>
      </c>
    </row>
    <row r="26" spans="1:4">
      <c r="A26" t="s">
        <v>115</v>
      </c>
      <c r="B26" t="s">
        <v>139</v>
      </c>
      <c r="C26" t="s">
        <v>21</v>
      </c>
      <c r="D26" t="s">
        <v>369</v>
      </c>
    </row>
    <row r="27" spans="1:4">
      <c r="A27" t="s">
        <v>203</v>
      </c>
      <c r="B27" t="s">
        <v>223</v>
      </c>
      <c r="C27" t="s">
        <v>21</v>
      </c>
      <c r="D27" t="s">
        <v>342</v>
      </c>
    </row>
    <row r="28" spans="1:4">
      <c r="A28" t="s">
        <v>36</v>
      </c>
      <c r="B28" t="s">
        <v>39</v>
      </c>
      <c r="C28" t="s">
        <v>21</v>
      </c>
      <c r="D28" t="s">
        <v>208</v>
      </c>
    </row>
    <row r="29" spans="1:4">
      <c r="A29" t="s">
        <v>119</v>
      </c>
      <c r="B29" t="s">
        <v>150</v>
      </c>
      <c r="C29" t="s">
        <v>21</v>
      </c>
      <c r="D29" t="s">
        <v>343</v>
      </c>
    </row>
    <row r="30" spans="1:4">
      <c r="A30" t="s">
        <v>200</v>
      </c>
      <c r="B30" t="s">
        <v>182</v>
      </c>
      <c r="C30" t="s">
        <v>21</v>
      </c>
      <c r="D30" t="s">
        <v>209</v>
      </c>
    </row>
    <row r="31" spans="1:4">
      <c r="A31" t="s">
        <v>121</v>
      </c>
      <c r="B31" t="s">
        <v>162</v>
      </c>
      <c r="C31" t="s">
        <v>21</v>
      </c>
      <c r="D31" t="s">
        <v>210</v>
      </c>
    </row>
    <row r="32" spans="1:4">
      <c r="A32" t="s">
        <v>245</v>
      </c>
      <c r="B32" t="s">
        <v>100</v>
      </c>
      <c r="C32" t="s">
        <v>21</v>
      </c>
      <c r="D32" t="s">
        <v>344</v>
      </c>
    </row>
    <row r="33" spans="1:4">
      <c r="A33" t="s">
        <v>108</v>
      </c>
      <c r="B33" t="s">
        <v>131</v>
      </c>
      <c r="C33" t="s">
        <v>21</v>
      </c>
      <c r="D33" t="s">
        <v>345</v>
      </c>
    </row>
    <row r="34" spans="1:4">
      <c r="A34" t="s">
        <v>246</v>
      </c>
      <c r="B34" t="s">
        <v>166</v>
      </c>
      <c r="C34" t="s">
        <v>21</v>
      </c>
      <c r="D34" t="s">
        <v>346</v>
      </c>
    </row>
    <row r="35" spans="1:4">
      <c r="A35" t="s">
        <v>99</v>
      </c>
      <c r="B35" t="s">
        <v>103</v>
      </c>
      <c r="C35" t="s">
        <v>21</v>
      </c>
      <c r="D35" t="s">
        <v>409</v>
      </c>
    </row>
    <row r="36" spans="1:4">
      <c r="A36" t="s">
        <v>247</v>
      </c>
      <c r="B36" t="s">
        <v>347</v>
      </c>
      <c r="C36" t="s">
        <v>21</v>
      </c>
      <c r="D36" t="s">
        <v>410</v>
      </c>
    </row>
    <row r="37" spans="1:4">
      <c r="A37" t="s">
        <v>199</v>
      </c>
      <c r="B37" t="s">
        <v>162</v>
      </c>
      <c r="C37" t="s">
        <v>21</v>
      </c>
      <c r="D37" t="s">
        <v>353</v>
      </c>
    </row>
    <row r="38" spans="1:4">
      <c r="A38" t="s">
        <v>98</v>
      </c>
      <c r="B38" t="s">
        <v>102</v>
      </c>
      <c r="C38" t="s">
        <v>21</v>
      </c>
      <c r="D38" t="s">
        <v>354</v>
      </c>
    </row>
    <row r="39" spans="1:4">
      <c r="A39" t="s">
        <v>248</v>
      </c>
      <c r="B39" t="s">
        <v>101</v>
      </c>
      <c r="C39" t="s">
        <v>21</v>
      </c>
      <c r="D39" t="s">
        <v>355</v>
      </c>
    </row>
    <row r="40" spans="1:4">
      <c r="A40" t="s">
        <v>249</v>
      </c>
      <c r="B40" t="s">
        <v>348</v>
      </c>
      <c r="C40" t="s">
        <v>21</v>
      </c>
      <c r="D40" t="s">
        <v>356</v>
      </c>
    </row>
    <row r="41" spans="1:4">
      <c r="A41" t="s">
        <v>118</v>
      </c>
      <c r="B41" t="s">
        <v>158</v>
      </c>
      <c r="C41" t="s">
        <v>21</v>
      </c>
      <c r="D41" t="s">
        <v>357</v>
      </c>
    </row>
    <row r="42" spans="1:4">
      <c r="A42" t="s">
        <v>113</v>
      </c>
      <c r="B42" t="s">
        <v>598</v>
      </c>
      <c r="C42" t="s">
        <v>21</v>
      </c>
      <c r="D42" t="s">
        <v>358</v>
      </c>
    </row>
    <row r="43" spans="1:4">
      <c r="A43" t="s">
        <v>250</v>
      </c>
      <c r="B43" t="s">
        <v>350</v>
      </c>
      <c r="C43" t="s">
        <v>21</v>
      </c>
      <c r="D43" t="s">
        <v>359</v>
      </c>
    </row>
    <row r="44" spans="1:4">
      <c r="A44" t="s">
        <v>96</v>
      </c>
      <c r="B44" t="s">
        <v>97</v>
      </c>
      <c r="C44" t="s">
        <v>21</v>
      </c>
      <c r="D44" t="s">
        <v>360</v>
      </c>
    </row>
    <row r="45" spans="1:4">
      <c r="A45" t="s">
        <v>37</v>
      </c>
      <c r="B45" t="s">
        <v>43</v>
      </c>
      <c r="C45" t="s">
        <v>21</v>
      </c>
      <c r="D45" t="s">
        <v>361</v>
      </c>
    </row>
    <row r="46" spans="1:4">
      <c r="A46" t="s">
        <v>251</v>
      </c>
      <c r="B46" t="s">
        <v>352</v>
      </c>
      <c r="C46" t="s">
        <v>21</v>
      </c>
      <c r="D46" t="s">
        <v>362</v>
      </c>
    </row>
    <row r="47" spans="1:4">
      <c r="A47" t="s">
        <v>252</v>
      </c>
      <c r="B47" t="s">
        <v>152</v>
      </c>
      <c r="C47" t="s">
        <v>21</v>
      </c>
      <c r="D47" t="s">
        <v>363</v>
      </c>
    </row>
    <row r="48" spans="1:4">
      <c r="A48" t="s">
        <v>253</v>
      </c>
      <c r="B48" t="s">
        <v>364</v>
      </c>
      <c r="C48" t="s">
        <v>21</v>
      </c>
      <c r="D48" t="s">
        <v>370</v>
      </c>
    </row>
    <row r="49" spans="1:4">
      <c r="A49" t="s">
        <v>254</v>
      </c>
      <c r="B49" t="s">
        <v>140</v>
      </c>
      <c r="C49" t="s">
        <v>21</v>
      </c>
      <c r="D49" t="s">
        <v>371</v>
      </c>
    </row>
    <row r="50" spans="1:4">
      <c r="A50" t="s">
        <v>255</v>
      </c>
      <c r="B50" t="s">
        <v>148</v>
      </c>
      <c r="C50" t="s">
        <v>21</v>
      </c>
      <c r="D50" t="s">
        <v>372</v>
      </c>
    </row>
    <row r="51" spans="1:4">
      <c r="A51" t="s">
        <v>256</v>
      </c>
      <c r="B51" t="s">
        <v>366</v>
      </c>
      <c r="C51" t="s">
        <v>21</v>
      </c>
      <c r="D51" t="s">
        <v>373</v>
      </c>
    </row>
    <row r="52" spans="1:4">
      <c r="A52" t="s">
        <v>30</v>
      </c>
      <c r="B52" t="s">
        <v>31</v>
      </c>
      <c r="C52" t="s">
        <v>21</v>
      </c>
      <c r="D52" t="s">
        <v>374</v>
      </c>
    </row>
    <row r="53" spans="1:4">
      <c r="A53" t="s">
        <v>257</v>
      </c>
      <c r="B53" t="s">
        <v>584</v>
      </c>
      <c r="C53" t="s">
        <v>21</v>
      </c>
      <c r="D53" t="s">
        <v>375</v>
      </c>
    </row>
    <row r="54" spans="1:4">
      <c r="A54" t="s">
        <v>258</v>
      </c>
      <c r="B54" t="s">
        <v>367</v>
      </c>
      <c r="C54" t="s">
        <v>21</v>
      </c>
      <c r="D54" t="s">
        <v>376</v>
      </c>
    </row>
    <row r="55" spans="1:4">
      <c r="A55" t="s">
        <v>126</v>
      </c>
      <c r="B55" t="s">
        <v>176</v>
      </c>
      <c r="C55" t="s">
        <v>21</v>
      </c>
      <c r="D55" t="s">
        <v>386</v>
      </c>
    </row>
    <row r="56" spans="1:4">
      <c r="A56" t="s">
        <v>261</v>
      </c>
      <c r="B56" t="s">
        <v>171</v>
      </c>
      <c r="C56" t="s">
        <v>21</v>
      </c>
      <c r="D56" t="s">
        <v>387</v>
      </c>
    </row>
    <row r="57" spans="1:4">
      <c r="A57" t="s">
        <v>262</v>
      </c>
      <c r="B57" t="s">
        <v>591</v>
      </c>
      <c r="C57" t="s">
        <v>21</v>
      </c>
      <c r="D57" t="s">
        <v>388</v>
      </c>
    </row>
    <row r="58" spans="1:4">
      <c r="A58" t="s">
        <v>123</v>
      </c>
      <c r="B58" t="s">
        <v>144</v>
      </c>
      <c r="C58" t="s">
        <v>21</v>
      </c>
      <c r="D58" t="s">
        <v>389</v>
      </c>
    </row>
    <row r="59" spans="1:4">
      <c r="A59" t="s">
        <v>263</v>
      </c>
      <c r="B59" t="s">
        <v>379</v>
      </c>
      <c r="C59" t="s">
        <v>21</v>
      </c>
      <c r="D59" t="s">
        <v>390</v>
      </c>
    </row>
    <row r="60" spans="1:4">
      <c r="A60" t="s">
        <v>264</v>
      </c>
      <c r="B60" t="s">
        <v>381</v>
      </c>
      <c r="C60" t="s">
        <v>21</v>
      </c>
      <c r="D60" t="s">
        <v>391</v>
      </c>
    </row>
    <row r="61" spans="1:4">
      <c r="A61" t="s">
        <v>265</v>
      </c>
      <c r="B61" t="s">
        <v>154</v>
      </c>
      <c r="C61" t="s">
        <v>21</v>
      </c>
      <c r="D61" t="s">
        <v>392</v>
      </c>
    </row>
    <row r="62" spans="1:4">
      <c r="A62" t="s">
        <v>266</v>
      </c>
      <c r="B62" t="s">
        <v>382</v>
      </c>
      <c r="C62" t="s">
        <v>21</v>
      </c>
      <c r="D62" t="s">
        <v>393</v>
      </c>
    </row>
    <row r="63" spans="1:4">
      <c r="A63" t="s">
        <v>267</v>
      </c>
      <c r="B63" t="s">
        <v>168</v>
      </c>
      <c r="C63" t="s">
        <v>21</v>
      </c>
      <c r="D63" t="s">
        <v>394</v>
      </c>
    </row>
    <row r="64" spans="1:4">
      <c r="A64" t="s">
        <v>268</v>
      </c>
      <c r="B64" t="s">
        <v>186</v>
      </c>
      <c r="C64" t="s">
        <v>21</v>
      </c>
      <c r="D64" t="s">
        <v>395</v>
      </c>
    </row>
    <row r="65" spans="1:4">
      <c r="A65" t="s">
        <v>269</v>
      </c>
      <c r="B65" t="s">
        <v>383</v>
      </c>
      <c r="C65" t="s">
        <v>21</v>
      </c>
      <c r="D65" t="s">
        <v>396</v>
      </c>
    </row>
    <row r="66" spans="1:4">
      <c r="A66" t="s">
        <v>270</v>
      </c>
      <c r="B66" t="s">
        <v>181</v>
      </c>
      <c r="C66" t="s">
        <v>21</v>
      </c>
      <c r="D66" t="s">
        <v>397</v>
      </c>
    </row>
    <row r="67" spans="1:4">
      <c r="A67" t="s">
        <v>271</v>
      </c>
      <c r="B67" t="s">
        <v>173</v>
      </c>
      <c r="C67" t="s">
        <v>21</v>
      </c>
      <c r="D67" t="s">
        <v>212</v>
      </c>
    </row>
    <row r="68" spans="1:4">
      <c r="A68" t="s">
        <v>272</v>
      </c>
      <c r="B68" t="s">
        <v>142</v>
      </c>
      <c r="C68" t="s">
        <v>21</v>
      </c>
      <c r="D68" t="s">
        <v>400</v>
      </c>
    </row>
    <row r="69" spans="1:4">
      <c r="A69" t="s">
        <v>273</v>
      </c>
      <c r="B69" t="s">
        <v>398</v>
      </c>
      <c r="C69" t="s">
        <v>21</v>
      </c>
      <c r="D69" t="s">
        <v>401</v>
      </c>
    </row>
    <row r="70" spans="1:4">
      <c r="A70" t="s">
        <v>274</v>
      </c>
      <c r="B70" t="s">
        <v>402</v>
      </c>
      <c r="C70" t="s">
        <v>21</v>
      </c>
      <c r="D70" t="s">
        <v>411</v>
      </c>
    </row>
    <row r="71" spans="1:4">
      <c r="A71" t="s">
        <v>275</v>
      </c>
      <c r="B71" t="s">
        <v>562</v>
      </c>
      <c r="C71" t="s">
        <v>21</v>
      </c>
      <c r="D71" t="s">
        <v>412</v>
      </c>
    </row>
    <row r="72" spans="1:4">
      <c r="A72" t="s">
        <v>276</v>
      </c>
      <c r="B72" t="s">
        <v>150</v>
      </c>
      <c r="C72" t="s">
        <v>21</v>
      </c>
      <c r="D72" t="s">
        <v>413</v>
      </c>
    </row>
    <row r="73" spans="1:4">
      <c r="A73" t="s">
        <v>277</v>
      </c>
      <c r="B73" t="s">
        <v>158</v>
      </c>
      <c r="C73" t="s">
        <v>21</v>
      </c>
      <c r="D73" t="s">
        <v>414</v>
      </c>
    </row>
    <row r="74" spans="1:4">
      <c r="A74" t="s">
        <v>124</v>
      </c>
      <c r="B74" t="s">
        <v>169</v>
      </c>
      <c r="C74" t="s">
        <v>21</v>
      </c>
      <c r="D74" t="s">
        <v>415</v>
      </c>
    </row>
    <row r="75" spans="1:4">
      <c r="A75" t="s">
        <v>278</v>
      </c>
      <c r="B75" t="s">
        <v>407</v>
      </c>
      <c r="C75" t="s">
        <v>21</v>
      </c>
      <c r="D75" t="s">
        <v>416</v>
      </c>
    </row>
    <row r="76" spans="1:4">
      <c r="A76" t="s">
        <v>114</v>
      </c>
      <c r="B76" t="s">
        <v>41</v>
      </c>
      <c r="C76" t="s">
        <v>21</v>
      </c>
      <c r="D76" t="s">
        <v>213</v>
      </c>
    </row>
    <row r="77" spans="1:4">
      <c r="A77" t="s">
        <v>279</v>
      </c>
      <c r="B77" t="s">
        <v>408</v>
      </c>
      <c r="C77" t="s">
        <v>21</v>
      </c>
      <c r="D77" t="s">
        <v>417</v>
      </c>
    </row>
    <row r="78" spans="1:4">
      <c r="A78" t="s">
        <v>112</v>
      </c>
      <c r="B78" t="s">
        <v>137</v>
      </c>
      <c r="C78" t="s">
        <v>21</v>
      </c>
      <c r="D78" t="s">
        <v>214</v>
      </c>
    </row>
    <row r="79" spans="1:4">
      <c r="A79" t="s">
        <v>109</v>
      </c>
      <c r="B79" t="s">
        <v>594</v>
      </c>
      <c r="C79" t="s">
        <v>21</v>
      </c>
      <c r="D79" t="s">
        <v>215</v>
      </c>
    </row>
    <row r="80" spans="1:4">
      <c r="A80" t="s">
        <v>125</v>
      </c>
      <c r="B80" t="s">
        <v>166</v>
      </c>
      <c r="C80" t="s">
        <v>21</v>
      </c>
      <c r="D80" t="s">
        <v>418</v>
      </c>
    </row>
    <row r="81" spans="1:4">
      <c r="A81" t="s">
        <v>127</v>
      </c>
      <c r="B81" t="s">
        <v>177</v>
      </c>
      <c r="C81" t="s">
        <v>21</v>
      </c>
      <c r="D81" t="s">
        <v>216</v>
      </c>
    </row>
    <row r="82" spans="1:4">
      <c r="A82" t="s">
        <v>280</v>
      </c>
      <c r="B82" t="s">
        <v>419</v>
      </c>
      <c r="C82" t="s">
        <v>21</v>
      </c>
      <c r="D82" t="s">
        <v>217</v>
      </c>
    </row>
    <row r="83" spans="1:4">
      <c r="A83" t="s">
        <v>128</v>
      </c>
      <c r="B83" t="s">
        <v>179</v>
      </c>
      <c r="C83" t="s">
        <v>21</v>
      </c>
      <c r="D83" t="s">
        <v>218</v>
      </c>
    </row>
    <row r="84" spans="1:4">
      <c r="A84" t="s">
        <v>110</v>
      </c>
      <c r="B84" t="s">
        <v>135</v>
      </c>
      <c r="C84" t="s">
        <v>21</v>
      </c>
      <c r="D84" t="s">
        <v>219</v>
      </c>
    </row>
    <row r="85" spans="1:4">
      <c r="A85" t="s">
        <v>281</v>
      </c>
      <c r="B85" t="s">
        <v>420</v>
      </c>
      <c r="C85" t="s">
        <v>21</v>
      </c>
      <c r="D85" t="s">
        <v>428</v>
      </c>
    </row>
    <row r="86" spans="1:4">
      <c r="A86" t="s">
        <v>282</v>
      </c>
      <c r="B86" t="s">
        <v>224</v>
      </c>
      <c r="C86" t="s">
        <v>21</v>
      </c>
      <c r="D86" t="s">
        <v>429</v>
      </c>
    </row>
    <row r="87" spans="1:4">
      <c r="A87" t="s">
        <v>283</v>
      </c>
      <c r="B87" t="s">
        <v>422</v>
      </c>
      <c r="C87" t="s">
        <v>21</v>
      </c>
      <c r="D87" t="s">
        <v>220</v>
      </c>
    </row>
    <row r="88" spans="1:4">
      <c r="A88" t="s">
        <v>284</v>
      </c>
      <c r="B88" t="s">
        <v>424</v>
      </c>
      <c r="C88" t="s">
        <v>21</v>
      </c>
      <c r="D88" t="s">
        <v>221</v>
      </c>
    </row>
    <row r="89" spans="1:4">
      <c r="A89" t="s">
        <v>117</v>
      </c>
      <c r="B89" t="s">
        <v>156</v>
      </c>
      <c r="C89" t="s">
        <v>21</v>
      </c>
      <c r="D89" t="s">
        <v>430</v>
      </c>
    </row>
    <row r="90" spans="1:4">
      <c r="A90" t="s">
        <v>285</v>
      </c>
      <c r="B90" t="s">
        <v>204</v>
      </c>
      <c r="C90" t="s">
        <v>21</v>
      </c>
      <c r="D90" t="s">
        <v>431</v>
      </c>
    </row>
    <row r="91" spans="1:4">
      <c r="A91" t="s">
        <v>286</v>
      </c>
      <c r="B91" t="s">
        <v>425</v>
      </c>
      <c r="C91" t="s">
        <v>21</v>
      </c>
      <c r="D91" t="s">
        <v>432</v>
      </c>
    </row>
    <row r="92" spans="1:4">
      <c r="A92" t="s">
        <v>287</v>
      </c>
      <c r="B92" t="s">
        <v>426</v>
      </c>
      <c r="C92" t="s">
        <v>21</v>
      </c>
      <c r="D92" t="s">
        <v>433</v>
      </c>
    </row>
    <row r="93" spans="1:4">
      <c r="A93" t="s">
        <v>288</v>
      </c>
      <c r="B93" t="s">
        <v>434</v>
      </c>
      <c r="C93" t="s">
        <v>21</v>
      </c>
      <c r="D93" t="s">
        <v>443</v>
      </c>
    </row>
    <row r="94" spans="1:4">
      <c r="A94" t="s">
        <v>289</v>
      </c>
      <c r="B94" t="s">
        <v>157</v>
      </c>
      <c r="C94" t="s">
        <v>21</v>
      </c>
      <c r="D94" t="s">
        <v>444</v>
      </c>
    </row>
    <row r="95" spans="1:4">
      <c r="A95" t="s">
        <v>290</v>
      </c>
      <c r="B95" t="s">
        <v>322</v>
      </c>
      <c r="C95" t="s">
        <v>21</v>
      </c>
      <c r="D95" t="s">
        <v>445</v>
      </c>
    </row>
    <row r="96" spans="1:4">
      <c r="A96" t="s">
        <v>291</v>
      </c>
      <c r="B96" t="s">
        <v>435</v>
      </c>
      <c r="C96" t="s">
        <v>21</v>
      </c>
      <c r="D96" t="s">
        <v>446</v>
      </c>
    </row>
    <row r="97" spans="1:4">
      <c r="A97" t="s">
        <v>292</v>
      </c>
      <c r="B97" t="s">
        <v>437</v>
      </c>
      <c r="C97" t="s">
        <v>21</v>
      </c>
      <c r="D97" t="s">
        <v>447</v>
      </c>
    </row>
    <row r="98" spans="1:4">
      <c r="A98" t="s">
        <v>130</v>
      </c>
      <c r="B98" t="s">
        <v>189</v>
      </c>
      <c r="C98" t="s">
        <v>21</v>
      </c>
      <c r="D98" t="s">
        <v>448</v>
      </c>
    </row>
    <row r="99" spans="1:4">
      <c r="A99" t="s">
        <v>111</v>
      </c>
      <c r="B99" t="s">
        <v>135</v>
      </c>
      <c r="C99" t="s">
        <v>21</v>
      </c>
      <c r="D99" t="s">
        <v>449</v>
      </c>
    </row>
    <row r="100" spans="1:4">
      <c r="A100" t="s">
        <v>293</v>
      </c>
      <c r="B100" t="s">
        <v>567</v>
      </c>
      <c r="C100" t="s">
        <v>21</v>
      </c>
      <c r="D100" t="s">
        <v>450</v>
      </c>
    </row>
    <row r="101" spans="1:4">
      <c r="A101" t="s">
        <v>294</v>
      </c>
      <c r="B101" t="s">
        <v>440</v>
      </c>
      <c r="C101" t="s">
        <v>21</v>
      </c>
      <c r="D101" t="s">
        <v>451</v>
      </c>
    </row>
    <row r="102" spans="1:4">
      <c r="A102" t="s">
        <v>295</v>
      </c>
      <c r="B102" t="s">
        <v>441</v>
      </c>
      <c r="C102" t="s">
        <v>21</v>
      </c>
      <c r="D102" t="s">
        <v>452</v>
      </c>
    </row>
    <row r="103" spans="1:4">
      <c r="A103" t="s">
        <v>259</v>
      </c>
      <c r="B103" t="s">
        <v>148</v>
      </c>
      <c r="C103" t="s">
        <v>21</v>
      </c>
      <c r="D103" t="s">
        <v>377</v>
      </c>
    </row>
    <row r="104" spans="1:4">
      <c r="A104" t="s">
        <v>260</v>
      </c>
      <c r="B104" t="s">
        <v>145</v>
      </c>
      <c r="C104" t="s">
        <v>21</v>
      </c>
      <c r="D104" t="s">
        <v>378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7491-877B-4C6E-95B4-815A7D2FD80B}">
  <dimension ref="A1:D3"/>
  <sheetViews>
    <sheetView workbookViewId="0"/>
  </sheetViews>
  <sheetFormatPr defaultRowHeight="16.5"/>
  <sheetData>
    <row r="1" spans="1:4">
      <c r="A1" t="s">
        <v>552</v>
      </c>
      <c r="B1" t="s">
        <v>553</v>
      </c>
      <c r="C1" t="s">
        <v>554</v>
      </c>
      <c r="D1" t="s">
        <v>555</v>
      </c>
    </row>
    <row r="2" spans="1:4">
      <c r="A2" t="s">
        <v>259</v>
      </c>
      <c r="B2" t="s">
        <v>148</v>
      </c>
      <c r="C2" t="s">
        <v>21</v>
      </c>
      <c r="D2" t="s">
        <v>377</v>
      </c>
    </row>
    <row r="3" spans="1:4">
      <c r="A3" t="s">
        <v>260</v>
      </c>
      <c r="B3" t="s">
        <v>145</v>
      </c>
      <c r="C3" t="s">
        <v>21</v>
      </c>
      <c r="D3" t="s">
        <v>378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270"/>
  <sheetViews>
    <sheetView showGridLines="0" tabSelected="1" zoomScale="50" zoomScaleNormal="50" workbookViewId="0">
      <pane xSplit="3" ySplit="1" topLeftCell="D6" activePane="bottomRight" state="frozen"/>
      <selection pane="topRight" activeCell="D1" sqref="D1"/>
      <selection pane="bottomLeft" activeCell="A2" sqref="A2"/>
      <selection pane="bottomRight" activeCell="M14" sqref="M1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148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79" t="s">
        <v>296</v>
      </c>
    </row>
    <row r="4" spans="1:22" s="6" customFormat="1" ht="36" customHeight="1">
      <c r="B4" s="16"/>
      <c r="D4" s="46"/>
      <c r="E4" s="46" t="s">
        <v>211</v>
      </c>
      <c r="F4" s="46" t="s">
        <v>298</v>
      </c>
      <c r="G4" s="46" t="s">
        <v>299</v>
      </c>
      <c r="H4" s="46"/>
      <c r="I4" s="46" t="s">
        <v>301</v>
      </c>
      <c r="J4" s="46" t="s">
        <v>303</v>
      </c>
      <c r="K4" s="46" t="s">
        <v>304</v>
      </c>
      <c r="L4" s="46" t="s">
        <v>305</v>
      </c>
      <c r="M4" s="46"/>
      <c r="N4" s="46"/>
      <c r="O4" s="46" t="s">
        <v>306</v>
      </c>
      <c r="P4" s="46"/>
      <c r="Q4" s="46" t="s">
        <v>303</v>
      </c>
      <c r="R4" s="46" t="s">
        <v>307</v>
      </c>
      <c r="S4" s="17"/>
      <c r="V4" s="80"/>
    </row>
    <row r="5" spans="1:22" s="6" customFormat="1" ht="80.099999999999994" customHeight="1">
      <c r="B5" s="18">
        <v>1</v>
      </c>
      <c r="D5" s="36" t="s">
        <v>35</v>
      </c>
      <c r="E5" s="82" t="s">
        <v>198</v>
      </c>
      <c r="F5" s="82" t="s">
        <v>225</v>
      </c>
      <c r="G5" s="36" t="s">
        <v>226</v>
      </c>
      <c r="H5" s="36" t="s">
        <v>597</v>
      </c>
      <c r="I5" s="82" t="s">
        <v>228</v>
      </c>
      <c r="J5" s="36" t="s">
        <v>229</v>
      </c>
      <c r="K5" s="82" t="s">
        <v>230</v>
      </c>
      <c r="L5" s="36" t="s">
        <v>231</v>
      </c>
      <c r="M5" s="36" t="s">
        <v>38</v>
      </c>
      <c r="N5" s="36" t="s">
        <v>106</v>
      </c>
      <c r="O5" s="36" t="s">
        <v>232</v>
      </c>
      <c r="P5" s="36" t="s">
        <v>120</v>
      </c>
      <c r="Q5" s="82" t="s">
        <v>233</v>
      </c>
      <c r="R5" s="82" t="s">
        <v>234</v>
      </c>
      <c r="S5" s="19"/>
      <c r="V5" s="80"/>
    </row>
    <row r="6" spans="1:22" s="23" customFormat="1" ht="36" customHeight="1">
      <c r="B6" s="20"/>
      <c r="C6" s="21"/>
      <c r="D6" s="73"/>
      <c r="E6" s="73" t="s">
        <v>463</v>
      </c>
      <c r="F6" s="73" t="s">
        <v>464</v>
      </c>
      <c r="G6" s="73" t="s">
        <v>465</v>
      </c>
      <c r="H6" s="73"/>
      <c r="I6" s="73" t="s">
        <v>466</v>
      </c>
      <c r="J6" s="73" t="s">
        <v>467</v>
      </c>
      <c r="K6" s="73" t="s">
        <v>468</v>
      </c>
      <c r="L6" s="73" t="s">
        <v>469</v>
      </c>
      <c r="M6" s="73"/>
      <c r="N6" s="73"/>
      <c r="O6" s="73" t="s">
        <v>470</v>
      </c>
      <c r="P6" s="73"/>
      <c r="Q6" s="73" t="s">
        <v>467</v>
      </c>
      <c r="R6" s="73" t="s">
        <v>471</v>
      </c>
      <c r="S6" s="22"/>
      <c r="V6" s="80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0"/>
    </row>
    <row r="8" spans="1:22" s="6" customFormat="1" ht="36" customHeight="1">
      <c r="B8" s="16"/>
      <c r="D8" s="46" t="s">
        <v>184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17"/>
      <c r="V8" s="80"/>
    </row>
    <row r="9" spans="1:22" s="6" customFormat="1" ht="80.099999999999994" customHeight="1">
      <c r="B9" s="18">
        <f>B5+1</f>
        <v>2</v>
      </c>
      <c r="D9" s="36" t="s">
        <v>235</v>
      </c>
      <c r="E9" s="36" t="s">
        <v>107</v>
      </c>
      <c r="F9" s="36" t="str">
        <f>CHAR(10)</f>
        <v xml:space="preserve">
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19"/>
      <c r="T9" s="15"/>
      <c r="V9" s="80"/>
    </row>
    <row r="10" spans="1:22" s="6" customFormat="1" ht="36" customHeight="1">
      <c r="B10" s="20"/>
      <c r="D10" s="73" t="s">
        <v>472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8"/>
      <c r="V10" s="80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0"/>
    </row>
    <row r="12" spans="1:22" s="6" customFormat="1" ht="36" customHeight="1">
      <c r="B12" s="16"/>
      <c r="D12" s="46" t="s">
        <v>301</v>
      </c>
      <c r="E12" s="46" t="s">
        <v>303</v>
      </c>
      <c r="F12" s="46" t="s">
        <v>304</v>
      </c>
      <c r="G12" s="46" t="s">
        <v>305</v>
      </c>
      <c r="H12" s="46"/>
      <c r="I12" s="46" t="s">
        <v>160</v>
      </c>
      <c r="J12" s="46" t="s">
        <v>315</v>
      </c>
      <c r="K12" s="46" t="s">
        <v>222</v>
      </c>
      <c r="L12" s="46"/>
      <c r="M12" s="46" t="s">
        <v>317</v>
      </c>
      <c r="N12" s="46" t="s">
        <v>557</v>
      </c>
      <c r="O12" s="46" t="s">
        <v>320</v>
      </c>
      <c r="P12" s="46" t="s">
        <v>322</v>
      </c>
      <c r="Q12" s="46" t="s">
        <v>577</v>
      </c>
      <c r="R12" s="46" t="s">
        <v>145</v>
      </c>
      <c r="S12" s="17"/>
      <c r="V12" s="80"/>
    </row>
    <row r="13" spans="1:22" s="6" customFormat="1" ht="80.099999999999994" customHeight="1">
      <c r="B13" s="18">
        <f>B9+1</f>
        <v>3</v>
      </c>
      <c r="D13" s="82" t="s">
        <v>228</v>
      </c>
      <c r="E13" s="36" t="s">
        <v>229</v>
      </c>
      <c r="F13" s="82" t="s">
        <v>230</v>
      </c>
      <c r="G13" s="36" t="s">
        <v>231</v>
      </c>
      <c r="H13" s="36" t="s">
        <v>18</v>
      </c>
      <c r="I13" s="82" t="s">
        <v>236</v>
      </c>
      <c r="J13" s="82" t="s">
        <v>237</v>
      </c>
      <c r="K13" s="36" t="s">
        <v>202</v>
      </c>
      <c r="L13" s="36" t="s">
        <v>18</v>
      </c>
      <c r="M13" s="82" t="s">
        <v>238</v>
      </c>
      <c r="N13" s="36" t="s">
        <v>239</v>
      </c>
      <c r="O13" s="82" t="s">
        <v>240</v>
      </c>
      <c r="P13" s="36" t="s">
        <v>241</v>
      </c>
      <c r="Q13" s="82" t="s">
        <v>122</v>
      </c>
      <c r="R13" s="36" t="s">
        <v>242</v>
      </c>
      <c r="S13" s="19"/>
      <c r="V13" s="80"/>
    </row>
    <row r="14" spans="1:22" s="6" customFormat="1" ht="36" customHeight="1">
      <c r="B14" s="20"/>
      <c r="D14" s="73" t="s">
        <v>466</v>
      </c>
      <c r="E14" s="73" t="s">
        <v>467</v>
      </c>
      <c r="F14" s="73" t="s">
        <v>468</v>
      </c>
      <c r="G14" s="73" t="s">
        <v>469</v>
      </c>
      <c r="H14" s="73"/>
      <c r="I14" s="73" t="s">
        <v>473</v>
      </c>
      <c r="J14" s="73" t="s">
        <v>474</v>
      </c>
      <c r="K14" s="73" t="s">
        <v>475</v>
      </c>
      <c r="L14" s="73"/>
      <c r="M14" s="73" t="s">
        <v>476</v>
      </c>
      <c r="N14" s="73" t="s">
        <v>558</v>
      </c>
      <c r="O14" s="73" t="s">
        <v>477</v>
      </c>
      <c r="P14" s="73" t="s">
        <v>478</v>
      </c>
      <c r="Q14" s="73" t="s">
        <v>578</v>
      </c>
      <c r="R14" s="73" t="s">
        <v>479</v>
      </c>
      <c r="S14" s="28"/>
      <c r="V14" s="80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0"/>
    </row>
    <row r="16" spans="1:22" s="6" customFormat="1" ht="36" customHeight="1">
      <c r="B16" s="1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80"/>
    </row>
    <row r="17" spans="2:22" s="6" customFormat="1" ht="80.099999999999994" customHeight="1">
      <c r="B17" s="18">
        <f>B13+1</f>
        <v>4</v>
      </c>
      <c r="D17" s="36" t="s">
        <v>19</v>
      </c>
      <c r="E17" s="36" t="str">
        <f>CHAR(10)</f>
        <v xml:space="preserve">
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80"/>
    </row>
    <row r="18" spans="2:22" s="6" customFormat="1" ht="36" customHeight="1">
      <c r="B18" s="20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28"/>
      <c r="V18" s="80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0"/>
    </row>
    <row r="20" spans="2:22" s="6" customFormat="1" ht="36" customHeight="1">
      <c r="B20" s="16"/>
      <c r="D20" s="46" t="s">
        <v>560</v>
      </c>
      <c r="E20" s="46" t="s">
        <v>206</v>
      </c>
      <c r="F20" s="46" t="s">
        <v>141</v>
      </c>
      <c r="G20" s="46" t="s">
        <v>188</v>
      </c>
      <c r="H20" s="46"/>
      <c r="I20" s="46" t="s">
        <v>139</v>
      </c>
      <c r="J20" s="46" t="s">
        <v>223</v>
      </c>
      <c r="K20" s="46" t="s">
        <v>39</v>
      </c>
      <c r="L20" s="46"/>
      <c r="M20" s="46" t="s">
        <v>150</v>
      </c>
      <c r="N20" s="46" t="s">
        <v>182</v>
      </c>
      <c r="O20" s="46" t="s">
        <v>162</v>
      </c>
      <c r="P20" s="46" t="s">
        <v>100</v>
      </c>
      <c r="Q20" s="46" t="s">
        <v>131</v>
      </c>
      <c r="R20" s="46" t="s">
        <v>166</v>
      </c>
      <c r="S20" s="17"/>
      <c r="V20" s="80"/>
    </row>
    <row r="21" spans="2:22" s="6" customFormat="1" ht="80.099999999999994" customHeight="1">
      <c r="B21" s="18">
        <f>B17+1</f>
        <v>5</v>
      </c>
      <c r="D21" s="82" t="s">
        <v>243</v>
      </c>
      <c r="E21" s="36" t="s">
        <v>201</v>
      </c>
      <c r="F21" s="82" t="s">
        <v>244</v>
      </c>
      <c r="G21" s="36" t="s">
        <v>129</v>
      </c>
      <c r="H21" s="36" t="s">
        <v>18</v>
      </c>
      <c r="I21" s="82" t="s">
        <v>115</v>
      </c>
      <c r="J21" s="82" t="s">
        <v>203</v>
      </c>
      <c r="K21" s="36" t="s">
        <v>36</v>
      </c>
      <c r="L21" s="36" t="s">
        <v>18</v>
      </c>
      <c r="M21" s="82" t="s">
        <v>119</v>
      </c>
      <c r="N21" s="36" t="s">
        <v>200</v>
      </c>
      <c r="O21" s="82" t="s">
        <v>121</v>
      </c>
      <c r="P21" s="36" t="s">
        <v>245</v>
      </c>
      <c r="Q21" s="82" t="s">
        <v>108</v>
      </c>
      <c r="R21" s="36" t="s">
        <v>246</v>
      </c>
      <c r="S21" s="19"/>
      <c r="V21" s="80"/>
    </row>
    <row r="22" spans="2:22" s="6" customFormat="1" ht="36" customHeight="1">
      <c r="B22" s="20"/>
      <c r="D22" s="73" t="s">
        <v>561</v>
      </c>
      <c r="E22" s="73" t="s">
        <v>480</v>
      </c>
      <c r="F22" s="73" t="s">
        <v>481</v>
      </c>
      <c r="G22" s="73" t="s">
        <v>482</v>
      </c>
      <c r="H22" s="73"/>
      <c r="I22" s="73" t="s">
        <v>483</v>
      </c>
      <c r="J22" s="73" t="s">
        <v>484</v>
      </c>
      <c r="K22" s="73" t="s">
        <v>485</v>
      </c>
      <c r="L22" s="73"/>
      <c r="M22" s="73" t="s">
        <v>486</v>
      </c>
      <c r="N22" s="73" t="s">
        <v>487</v>
      </c>
      <c r="O22" s="73" t="s">
        <v>488</v>
      </c>
      <c r="P22" s="73" t="s">
        <v>489</v>
      </c>
      <c r="Q22" s="73" t="s">
        <v>490</v>
      </c>
      <c r="R22" s="73" t="s">
        <v>491</v>
      </c>
      <c r="S22" s="28"/>
      <c r="V22" s="80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0"/>
    </row>
    <row r="24" spans="2:22" s="6" customFormat="1" ht="36" customHeight="1">
      <c r="B24" s="1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80"/>
    </row>
    <row r="25" spans="2:22" s="6" customFormat="1" ht="80.099999999999994" customHeight="1">
      <c r="B25" s="18">
        <f>B21+1</f>
        <v>6</v>
      </c>
      <c r="D25" s="36" t="s">
        <v>116</v>
      </c>
      <c r="E25" s="36" t="str">
        <f>CHAR(10)</f>
        <v xml:space="preserve">
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80"/>
    </row>
    <row r="26" spans="2:22" s="6" customFormat="1" ht="36" customHeight="1">
      <c r="B26" s="20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8"/>
      <c r="V26" s="80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0"/>
    </row>
    <row r="28" spans="2:22" s="6" customFormat="1" ht="36" customHeight="1">
      <c r="B28" s="16"/>
      <c r="D28" s="46" t="s">
        <v>103</v>
      </c>
      <c r="E28" s="46" t="s">
        <v>347</v>
      </c>
      <c r="F28" s="46" t="s">
        <v>162</v>
      </c>
      <c r="G28" s="46" t="s">
        <v>102</v>
      </c>
      <c r="H28" s="46"/>
      <c r="I28" s="46" t="s">
        <v>101</v>
      </c>
      <c r="J28" s="46" t="s">
        <v>348</v>
      </c>
      <c r="K28" s="46" t="s">
        <v>158</v>
      </c>
      <c r="L28" s="46" t="s">
        <v>599</v>
      </c>
      <c r="M28" s="46"/>
      <c r="N28" s="46" t="s">
        <v>350</v>
      </c>
      <c r="O28" s="46" t="s">
        <v>97</v>
      </c>
      <c r="P28" s="46" t="s">
        <v>43</v>
      </c>
      <c r="Q28" s="46" t="s">
        <v>352</v>
      </c>
      <c r="R28" s="46" t="s">
        <v>152</v>
      </c>
      <c r="S28" s="17"/>
      <c r="U28" s="32" t="str">
        <f t="shared" si="1"/>
        <v/>
      </c>
      <c r="V28" s="80"/>
    </row>
    <row r="29" spans="2:22" s="6" customFormat="1" ht="80.099999999999994" customHeight="1">
      <c r="B29" s="18">
        <f>B25+1</f>
        <v>7</v>
      </c>
      <c r="D29" s="82" t="s">
        <v>99</v>
      </c>
      <c r="E29" s="36" t="s">
        <v>247</v>
      </c>
      <c r="F29" s="82" t="s">
        <v>199</v>
      </c>
      <c r="G29" s="36" t="s">
        <v>98</v>
      </c>
      <c r="H29" s="36" t="s">
        <v>18</v>
      </c>
      <c r="I29" s="82" t="s">
        <v>248</v>
      </c>
      <c r="J29" s="36" t="s">
        <v>249</v>
      </c>
      <c r="K29" s="82" t="s">
        <v>118</v>
      </c>
      <c r="L29" s="36" t="s">
        <v>113</v>
      </c>
      <c r="M29" s="36" t="s">
        <v>18</v>
      </c>
      <c r="N29" s="82" t="s">
        <v>250</v>
      </c>
      <c r="O29" s="36" t="s">
        <v>96</v>
      </c>
      <c r="P29" s="82" t="s">
        <v>37</v>
      </c>
      <c r="Q29" s="82" t="s">
        <v>251</v>
      </c>
      <c r="R29" s="36" t="s">
        <v>252</v>
      </c>
      <c r="S29" s="19"/>
      <c r="U29" s="32" t="str">
        <f t="shared" si="1"/>
        <v/>
      </c>
      <c r="V29" s="80"/>
    </row>
    <row r="30" spans="2:22" s="6" customFormat="1" ht="36" customHeight="1">
      <c r="B30" s="20"/>
      <c r="D30" s="73" t="s">
        <v>492</v>
      </c>
      <c r="E30" s="73" t="s">
        <v>493</v>
      </c>
      <c r="F30" s="73" t="s">
        <v>488</v>
      </c>
      <c r="G30" s="73" t="s">
        <v>494</v>
      </c>
      <c r="H30" s="73"/>
      <c r="I30" s="73" t="s">
        <v>495</v>
      </c>
      <c r="J30" s="73" t="s">
        <v>496</v>
      </c>
      <c r="K30" s="73" t="s">
        <v>497</v>
      </c>
      <c r="L30" s="73" t="s">
        <v>600</v>
      </c>
      <c r="M30" s="73"/>
      <c r="N30" s="73" t="s">
        <v>499</v>
      </c>
      <c r="O30" s="73" t="s">
        <v>498</v>
      </c>
      <c r="P30" s="73" t="s">
        <v>500</v>
      </c>
      <c r="Q30" s="73" t="s">
        <v>501</v>
      </c>
      <c r="R30" s="73" t="s">
        <v>502</v>
      </c>
      <c r="S30" s="28"/>
      <c r="U30" s="32" t="str">
        <f t="shared" si="1"/>
        <v/>
      </c>
      <c r="V30" s="80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0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0"/>
    </row>
    <row r="33" spans="2:22" s="6" customFormat="1" ht="80.099999999999994" customHeight="1">
      <c r="B33" s="18">
        <f>B29+1</f>
        <v>8</v>
      </c>
      <c r="D33" s="36" t="s">
        <v>19</v>
      </c>
      <c r="E33" s="36" t="str">
        <f>CHAR(10)</f>
        <v xml:space="preserve">
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0"/>
    </row>
    <row r="34" spans="2:22" s="6" customFormat="1" ht="36" customHeight="1">
      <c r="B34" s="20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28"/>
      <c r="V34" s="80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 t="s">
        <v>148</v>
      </c>
      <c r="N35" s="47" t="s">
        <v>145</v>
      </c>
      <c r="O35" s="47"/>
      <c r="P35" s="47"/>
      <c r="Q35" s="47"/>
      <c r="R35" s="47"/>
      <c r="V35" s="80"/>
    </row>
    <row r="36" spans="2:22" s="6" customFormat="1" ht="36" customHeight="1">
      <c r="B36" s="16"/>
      <c r="D36" s="46" t="s">
        <v>364</v>
      </c>
      <c r="E36" s="46" t="s">
        <v>140</v>
      </c>
      <c r="F36" s="46" t="s">
        <v>148</v>
      </c>
      <c r="G36" s="46" t="s">
        <v>366</v>
      </c>
      <c r="H36" s="46"/>
      <c r="I36" s="46" t="s">
        <v>31</v>
      </c>
      <c r="J36" s="46" t="s">
        <v>139</v>
      </c>
      <c r="K36" s="46" t="s">
        <v>585</v>
      </c>
      <c r="L36" s="46" t="s">
        <v>367</v>
      </c>
      <c r="M36" s="46" t="s">
        <v>148</v>
      </c>
      <c r="N36" s="46" t="s">
        <v>145</v>
      </c>
      <c r="O36" s="46"/>
      <c r="P36" s="46"/>
      <c r="Q36" s="46"/>
      <c r="R36" s="46"/>
      <c r="S36" s="17"/>
      <c r="V36" s="80"/>
    </row>
    <row r="37" spans="2:22" s="6" customFormat="1" ht="80.099999999999994" customHeight="1">
      <c r="B37" s="18">
        <f>B33+1</f>
        <v>9</v>
      </c>
      <c r="D37" s="82" t="s">
        <v>253</v>
      </c>
      <c r="E37" s="36" t="s">
        <v>254</v>
      </c>
      <c r="F37" s="82" t="s">
        <v>255</v>
      </c>
      <c r="G37" s="36" t="s">
        <v>256</v>
      </c>
      <c r="H37" s="36" t="s">
        <v>18</v>
      </c>
      <c r="I37" s="82" t="s">
        <v>30</v>
      </c>
      <c r="J37" s="36" t="s">
        <v>115</v>
      </c>
      <c r="K37" s="82" t="s">
        <v>257</v>
      </c>
      <c r="L37" s="36" t="s">
        <v>258</v>
      </c>
      <c r="M37" s="82" t="s">
        <v>259</v>
      </c>
      <c r="N37" s="36" t="s">
        <v>260</v>
      </c>
      <c r="O37" s="36" t="s">
        <v>116</v>
      </c>
      <c r="P37" s="36" t="str">
        <f>CHAR(10)</f>
        <v xml:space="preserve">
</v>
      </c>
      <c r="Q37" s="36"/>
      <c r="R37" s="36"/>
      <c r="S37" s="19"/>
      <c r="V37" s="80"/>
    </row>
    <row r="38" spans="2:22" s="6" customFormat="1" ht="36" customHeight="1">
      <c r="B38" s="20"/>
      <c r="D38" s="73" t="s">
        <v>503</v>
      </c>
      <c r="E38" s="73" t="s">
        <v>504</v>
      </c>
      <c r="F38" s="73" t="s">
        <v>505</v>
      </c>
      <c r="G38" s="73" t="s">
        <v>506</v>
      </c>
      <c r="H38" s="73"/>
      <c r="I38" s="73" t="s">
        <v>507</v>
      </c>
      <c r="J38" s="73" t="s">
        <v>483</v>
      </c>
      <c r="K38" s="73" t="s">
        <v>586</v>
      </c>
      <c r="L38" s="73" t="s">
        <v>508</v>
      </c>
      <c r="M38" s="73" t="s">
        <v>505</v>
      </c>
      <c r="N38" s="73" t="s">
        <v>479</v>
      </c>
      <c r="O38" s="73"/>
      <c r="P38" s="73"/>
      <c r="Q38" s="73"/>
      <c r="R38" s="73"/>
      <c r="S38" s="28"/>
      <c r="V38" s="80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0"/>
    </row>
    <row r="40" spans="2:22" s="6" customFormat="1" ht="36" customHeight="1">
      <c r="B40" s="16"/>
      <c r="D40" s="46" t="s">
        <v>176</v>
      </c>
      <c r="E40" s="46" t="s">
        <v>171</v>
      </c>
      <c r="F40" s="46" t="s">
        <v>592</v>
      </c>
      <c r="G40" s="46" t="s">
        <v>144</v>
      </c>
      <c r="H40" s="46" t="s">
        <v>379</v>
      </c>
      <c r="I40" s="46" t="s">
        <v>381</v>
      </c>
      <c r="J40" s="46"/>
      <c r="K40" s="46" t="s">
        <v>154</v>
      </c>
      <c r="L40" s="46" t="s">
        <v>382</v>
      </c>
      <c r="M40" s="46" t="s">
        <v>168</v>
      </c>
      <c r="N40" s="46" t="s">
        <v>186</v>
      </c>
      <c r="O40" s="46"/>
      <c r="P40" s="46" t="s">
        <v>383</v>
      </c>
      <c r="Q40" s="46" t="s">
        <v>181</v>
      </c>
      <c r="R40" s="46" t="s">
        <v>173</v>
      </c>
      <c r="S40" s="17"/>
      <c r="V40" s="80"/>
    </row>
    <row r="41" spans="2:22" s="6" customFormat="1" ht="80.099999999999994" customHeight="1">
      <c r="B41" s="18">
        <f>B37+1</f>
        <v>10</v>
      </c>
      <c r="D41" s="82" t="s">
        <v>126</v>
      </c>
      <c r="E41" s="36" t="s">
        <v>261</v>
      </c>
      <c r="F41" s="82" t="s">
        <v>262</v>
      </c>
      <c r="G41" s="36" t="s">
        <v>123</v>
      </c>
      <c r="H41" s="82" t="s">
        <v>263</v>
      </c>
      <c r="I41" s="36" t="s">
        <v>264</v>
      </c>
      <c r="J41" s="36" t="s">
        <v>18</v>
      </c>
      <c r="K41" s="82" t="s">
        <v>265</v>
      </c>
      <c r="L41" s="36" t="s">
        <v>266</v>
      </c>
      <c r="M41" s="82" t="s">
        <v>267</v>
      </c>
      <c r="N41" s="36" t="s">
        <v>268</v>
      </c>
      <c r="O41" s="36" t="s">
        <v>18</v>
      </c>
      <c r="P41" s="36" t="s">
        <v>269</v>
      </c>
      <c r="Q41" s="82" t="s">
        <v>270</v>
      </c>
      <c r="R41" s="36" t="s">
        <v>271</v>
      </c>
      <c r="S41" s="19"/>
      <c r="V41" s="80"/>
    </row>
    <row r="42" spans="2:22" s="6" customFormat="1" ht="36" customHeight="1">
      <c r="B42" s="20"/>
      <c r="D42" s="73" t="s">
        <v>509</v>
      </c>
      <c r="E42" s="73" t="s">
        <v>510</v>
      </c>
      <c r="F42" s="73" t="s">
        <v>593</v>
      </c>
      <c r="G42" s="73" t="s">
        <v>511</v>
      </c>
      <c r="H42" s="73" t="s">
        <v>512</v>
      </c>
      <c r="I42" s="73" t="s">
        <v>513</v>
      </c>
      <c r="J42" s="73"/>
      <c r="K42" s="73" t="s">
        <v>514</v>
      </c>
      <c r="L42" s="73" t="s">
        <v>515</v>
      </c>
      <c r="M42" s="73" t="s">
        <v>516</v>
      </c>
      <c r="N42" s="73" t="s">
        <v>517</v>
      </c>
      <c r="O42" s="73"/>
      <c r="P42" s="73" t="s">
        <v>518</v>
      </c>
      <c r="Q42" s="73" t="s">
        <v>519</v>
      </c>
      <c r="R42" s="73" t="s">
        <v>520</v>
      </c>
      <c r="S42" s="28"/>
      <c r="V42" s="80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0"/>
    </row>
    <row r="44" spans="2:22" s="6" customFormat="1" ht="36" customHeight="1">
      <c r="B44" s="16"/>
      <c r="D44" s="46" t="s">
        <v>142</v>
      </c>
      <c r="E44" s="46" t="s">
        <v>398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0"/>
    </row>
    <row r="45" spans="2:22" s="6" customFormat="1" ht="80.099999999999994" customHeight="1">
      <c r="B45" s="18">
        <f>B41+1</f>
        <v>11</v>
      </c>
      <c r="D45" s="82" t="s">
        <v>272</v>
      </c>
      <c r="E45" s="36" t="s">
        <v>273</v>
      </c>
      <c r="F45" s="36" t="s">
        <v>19</v>
      </c>
      <c r="G45" s="36" t="str">
        <f>CHAR(10)</f>
        <v xml:space="preserve">
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0"/>
    </row>
    <row r="46" spans="2:22" s="6" customFormat="1" ht="36" customHeight="1">
      <c r="B46" s="20"/>
      <c r="D46" s="73" t="s">
        <v>521</v>
      </c>
      <c r="E46" s="73" t="s">
        <v>522</v>
      </c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28"/>
      <c r="V46" s="80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0"/>
    </row>
    <row r="48" spans="2:22" s="6" customFormat="1" ht="36" customHeight="1">
      <c r="B48" s="16"/>
      <c r="D48" s="46" t="s">
        <v>402</v>
      </c>
      <c r="E48" s="46" t="s">
        <v>563</v>
      </c>
      <c r="F48" s="46" t="s">
        <v>150</v>
      </c>
      <c r="G48" s="46" t="s">
        <v>565</v>
      </c>
      <c r="H48" s="46"/>
      <c r="I48" s="46" t="s">
        <v>169</v>
      </c>
      <c r="J48" s="46" t="s">
        <v>103</v>
      </c>
      <c r="K48" s="46" t="s">
        <v>347</v>
      </c>
      <c r="L48" s="46"/>
      <c r="M48" s="46" t="s">
        <v>407</v>
      </c>
      <c r="N48" s="46" t="s">
        <v>41</v>
      </c>
      <c r="O48" s="46" t="s">
        <v>408</v>
      </c>
      <c r="P48" s="46" t="s">
        <v>137</v>
      </c>
      <c r="Q48" s="46" t="s">
        <v>595</v>
      </c>
      <c r="R48" s="46" t="s">
        <v>166</v>
      </c>
      <c r="S48" s="17"/>
      <c r="V48" s="80"/>
    </row>
    <row r="49" spans="2:22" s="6" customFormat="1" ht="80.099999999999994" customHeight="1">
      <c r="B49" s="18">
        <f>B45+1</f>
        <v>12</v>
      </c>
      <c r="D49" s="82" t="s">
        <v>274</v>
      </c>
      <c r="E49" s="36" t="s">
        <v>275</v>
      </c>
      <c r="F49" s="82" t="s">
        <v>276</v>
      </c>
      <c r="G49" s="36" t="s">
        <v>277</v>
      </c>
      <c r="H49" s="36" t="s">
        <v>18</v>
      </c>
      <c r="I49" s="82" t="s">
        <v>124</v>
      </c>
      <c r="J49" s="82" t="s">
        <v>99</v>
      </c>
      <c r="K49" s="36" t="s">
        <v>247</v>
      </c>
      <c r="L49" s="36" t="s">
        <v>18</v>
      </c>
      <c r="M49" s="82" t="s">
        <v>278</v>
      </c>
      <c r="N49" s="36" t="s">
        <v>114</v>
      </c>
      <c r="O49" s="82" t="s">
        <v>279</v>
      </c>
      <c r="P49" s="36" t="s">
        <v>112</v>
      </c>
      <c r="Q49" s="82" t="s">
        <v>109</v>
      </c>
      <c r="R49" s="36" t="s">
        <v>125</v>
      </c>
      <c r="S49" s="19"/>
      <c r="V49" s="80"/>
    </row>
    <row r="50" spans="2:22" s="6" customFormat="1" ht="36" customHeight="1">
      <c r="B50" s="20"/>
      <c r="D50" s="73" t="s">
        <v>523</v>
      </c>
      <c r="E50" s="73" t="s">
        <v>564</v>
      </c>
      <c r="F50" s="73" t="s">
        <v>486</v>
      </c>
      <c r="G50" s="73" t="s">
        <v>566</v>
      </c>
      <c r="H50" s="73"/>
      <c r="I50" s="73" t="s">
        <v>524</v>
      </c>
      <c r="J50" s="73" t="s">
        <v>492</v>
      </c>
      <c r="K50" s="73" t="s">
        <v>493</v>
      </c>
      <c r="L50" s="73"/>
      <c r="M50" s="73" t="s">
        <v>525</v>
      </c>
      <c r="N50" s="73" t="s">
        <v>526</v>
      </c>
      <c r="O50" s="73" t="s">
        <v>527</v>
      </c>
      <c r="P50" s="73" t="s">
        <v>528</v>
      </c>
      <c r="Q50" s="73" t="s">
        <v>596</v>
      </c>
      <c r="R50" s="73" t="s">
        <v>491</v>
      </c>
      <c r="S50" s="28"/>
      <c r="V50" s="80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0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0"/>
    </row>
    <row r="53" spans="2:22" s="6" customFormat="1" ht="80.099999999999994" customHeight="1">
      <c r="B53" s="18">
        <f>B49+1</f>
        <v>13</v>
      </c>
      <c r="D53" s="36" t="s">
        <v>19</v>
      </c>
      <c r="E53" s="36" t="str">
        <f>CHAR(10)</f>
        <v xml:space="preserve">
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0"/>
    </row>
    <row r="54" spans="2:22" s="6" customFormat="1" ht="36" customHeight="1">
      <c r="B54" s="20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28"/>
      <c r="V54" s="80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0"/>
    </row>
    <row r="56" spans="2:22" s="6" customFormat="1" ht="36" customHeight="1">
      <c r="B56" s="16"/>
      <c r="D56" s="46" t="s">
        <v>177</v>
      </c>
      <c r="E56" s="46" t="s">
        <v>419</v>
      </c>
      <c r="F56" s="46" t="s">
        <v>179</v>
      </c>
      <c r="G56" s="46" t="s">
        <v>135</v>
      </c>
      <c r="H56" s="46"/>
      <c r="I56" s="46" t="s">
        <v>420</v>
      </c>
      <c r="J56" s="46" t="s">
        <v>224</v>
      </c>
      <c r="K56" s="46" t="s">
        <v>420</v>
      </c>
      <c r="L56" s="46" t="s">
        <v>422</v>
      </c>
      <c r="M56" s="46"/>
      <c r="N56" s="46" t="s">
        <v>424</v>
      </c>
      <c r="O56" s="46" t="s">
        <v>156</v>
      </c>
      <c r="P56" s="46" t="s">
        <v>204</v>
      </c>
      <c r="Q56" s="46" t="s">
        <v>425</v>
      </c>
      <c r="R56" s="46" t="s">
        <v>426</v>
      </c>
      <c r="S56" s="17"/>
      <c r="V56" s="80"/>
    </row>
    <row r="57" spans="2:22" s="6" customFormat="1" ht="80.099999999999994" customHeight="1">
      <c r="B57" s="18">
        <f>B53+1</f>
        <v>14</v>
      </c>
      <c r="D57" s="82" t="s">
        <v>127</v>
      </c>
      <c r="E57" s="36" t="s">
        <v>280</v>
      </c>
      <c r="F57" s="82" t="s">
        <v>128</v>
      </c>
      <c r="G57" s="36" t="s">
        <v>110</v>
      </c>
      <c r="H57" s="36" t="s">
        <v>18</v>
      </c>
      <c r="I57" s="82" t="s">
        <v>281</v>
      </c>
      <c r="J57" s="36" t="s">
        <v>282</v>
      </c>
      <c r="K57" s="82" t="s">
        <v>281</v>
      </c>
      <c r="L57" s="36" t="s">
        <v>283</v>
      </c>
      <c r="M57" s="36" t="s">
        <v>18</v>
      </c>
      <c r="N57" s="82" t="s">
        <v>284</v>
      </c>
      <c r="O57" s="36" t="s">
        <v>117</v>
      </c>
      <c r="P57" s="82" t="s">
        <v>285</v>
      </c>
      <c r="Q57" s="82" t="s">
        <v>286</v>
      </c>
      <c r="R57" s="36" t="s">
        <v>287</v>
      </c>
      <c r="S57" s="19"/>
      <c r="V57" s="80"/>
    </row>
    <row r="58" spans="2:22" s="6" customFormat="1" ht="36" customHeight="1">
      <c r="B58" s="20"/>
      <c r="D58" s="73" t="s">
        <v>529</v>
      </c>
      <c r="E58" s="73" t="s">
        <v>530</v>
      </c>
      <c r="F58" s="73" t="s">
        <v>531</v>
      </c>
      <c r="G58" s="73" t="s">
        <v>532</v>
      </c>
      <c r="H58" s="73"/>
      <c r="I58" s="73" t="s">
        <v>533</v>
      </c>
      <c r="J58" s="73" t="s">
        <v>534</v>
      </c>
      <c r="K58" s="73" t="s">
        <v>533</v>
      </c>
      <c r="L58" s="73" t="s">
        <v>535</v>
      </c>
      <c r="M58" s="73"/>
      <c r="N58" s="73" t="s">
        <v>536</v>
      </c>
      <c r="O58" s="73" t="s">
        <v>537</v>
      </c>
      <c r="P58" s="73" t="s">
        <v>538</v>
      </c>
      <c r="Q58" s="73" t="s">
        <v>539</v>
      </c>
      <c r="R58" s="73" t="s">
        <v>540</v>
      </c>
      <c r="S58" s="28"/>
      <c r="V58" s="80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0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0"/>
    </row>
    <row r="61" spans="2:22" s="6" customFormat="1" ht="80.099999999999994" customHeight="1">
      <c r="B61" s="18">
        <f>B57+1</f>
        <v>15</v>
      </c>
      <c r="D61" s="36" t="s">
        <v>19</v>
      </c>
      <c r="E61" s="36" t="str">
        <f>CHAR(10)</f>
        <v xml:space="preserve">
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0"/>
    </row>
    <row r="62" spans="2:22" s="6" customFormat="1" ht="36" customHeight="1">
      <c r="B62" s="20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28"/>
      <c r="V62" s="80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0"/>
    </row>
    <row r="64" spans="2:22" s="6" customFormat="1" ht="36" customHeight="1">
      <c r="B64" s="16"/>
      <c r="D64" s="46" t="s">
        <v>434</v>
      </c>
      <c r="E64" s="46" t="s">
        <v>157</v>
      </c>
      <c r="F64" s="46" t="s">
        <v>322</v>
      </c>
      <c r="G64" s="46" t="s">
        <v>435</v>
      </c>
      <c r="H64" s="46"/>
      <c r="I64" s="46" t="s">
        <v>437</v>
      </c>
      <c r="J64" s="46" t="s">
        <v>189</v>
      </c>
      <c r="K64" s="46" t="s">
        <v>135</v>
      </c>
      <c r="L64" s="46" t="s">
        <v>568</v>
      </c>
      <c r="M64" s="46" t="s">
        <v>440</v>
      </c>
      <c r="N64" s="46" t="s">
        <v>441</v>
      </c>
      <c r="O64" s="46"/>
      <c r="P64" s="46"/>
      <c r="Q64" s="46"/>
      <c r="R64" s="46"/>
      <c r="S64" s="17"/>
      <c r="V64" s="80"/>
    </row>
    <row r="65" spans="2:22" s="6" customFormat="1" ht="80.099999999999994" customHeight="1">
      <c r="B65" s="18">
        <f>B61+1</f>
        <v>16</v>
      </c>
      <c r="D65" s="82" t="s">
        <v>288</v>
      </c>
      <c r="E65" s="36" t="s">
        <v>289</v>
      </c>
      <c r="F65" s="82" t="s">
        <v>290</v>
      </c>
      <c r="G65" s="36" t="s">
        <v>291</v>
      </c>
      <c r="H65" s="36" t="s">
        <v>18</v>
      </c>
      <c r="I65" s="82" t="s">
        <v>292</v>
      </c>
      <c r="J65" s="36" t="s">
        <v>130</v>
      </c>
      <c r="K65" s="82" t="s">
        <v>111</v>
      </c>
      <c r="L65" s="36" t="s">
        <v>293</v>
      </c>
      <c r="M65" s="82" t="s">
        <v>294</v>
      </c>
      <c r="N65" s="36" t="s">
        <v>295</v>
      </c>
      <c r="O65" s="36" t="s">
        <v>19</v>
      </c>
      <c r="P65" s="36" t="str">
        <f>CHAR(10)</f>
        <v xml:space="preserve">
</v>
      </c>
      <c r="Q65" s="36"/>
      <c r="R65" s="36"/>
      <c r="S65" s="19"/>
      <c r="V65" s="80"/>
    </row>
    <row r="66" spans="2:22" s="6" customFormat="1" ht="36" customHeight="1">
      <c r="B66" s="20"/>
      <c r="D66" s="73" t="s">
        <v>541</v>
      </c>
      <c r="E66" s="73" t="s">
        <v>542</v>
      </c>
      <c r="F66" s="73" t="s">
        <v>478</v>
      </c>
      <c r="G66" s="73" t="s">
        <v>543</v>
      </c>
      <c r="H66" s="73"/>
      <c r="I66" s="73" t="s">
        <v>544</v>
      </c>
      <c r="J66" s="73" t="s">
        <v>545</v>
      </c>
      <c r="K66" s="73" t="s">
        <v>532</v>
      </c>
      <c r="L66" s="73" t="s">
        <v>569</v>
      </c>
      <c r="M66" s="73" t="s">
        <v>546</v>
      </c>
      <c r="N66" s="73" t="s">
        <v>547</v>
      </c>
      <c r="O66" s="73"/>
      <c r="P66" s="73"/>
      <c r="Q66" s="73"/>
      <c r="R66" s="73"/>
      <c r="S66" s="28"/>
      <c r="V66" s="80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0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0"/>
    </row>
    <row r="69" spans="2:22" s="6" customFormat="1" ht="80.099999999999994" customHeight="1">
      <c r="B69" s="18">
        <f>B65+1</f>
        <v>17</v>
      </c>
      <c r="D69" s="36" t="s">
        <v>20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0"/>
    </row>
    <row r="70" spans="2:22" s="6" customFormat="1" ht="36" customHeight="1">
      <c r="B70" s="20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28"/>
      <c r="V70" s="80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0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0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0"/>
    </row>
    <row r="74" spans="2:22" s="6" customFormat="1" ht="36" customHeight="1">
      <c r="B74" s="20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8"/>
      <c r="V74" s="80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0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0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0"/>
    </row>
    <row r="78" spans="2:22" s="6" customFormat="1" ht="36" customHeight="1">
      <c r="B78" s="20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8"/>
      <c r="V78" s="80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0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0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0"/>
    </row>
    <row r="82" spans="2:22" s="6" customFormat="1" ht="36" customHeight="1">
      <c r="B82" s="20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8"/>
      <c r="V82" s="81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11" priority="3">
      <formula>顯示注音輸入</formula>
    </cfRule>
    <cfRule type="expression" dxfId="10" priority="4">
      <formula>"'= TRUE(顯示注音輸入)"</formula>
    </cfRule>
  </conditionalFormatting>
  <conditionalFormatting sqref="D2267:R2267">
    <cfRule type="expression" dxfId="9" priority="1">
      <formula>顯示注音輸入</formula>
    </cfRule>
    <cfRule type="expression" dxfId="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FE4D-90C2-4A7E-AB05-9DC73812A05B}">
  <dimension ref="A1:V2270"/>
  <sheetViews>
    <sheetView showGridLines="0" zoomScale="50" zoomScaleNormal="50" workbookViewId="0">
      <pane xSplit="3" ySplit="1" topLeftCell="D6" activePane="bottomRight" state="frozen"/>
      <selection pane="topRight" activeCell="D1" sqref="D1"/>
      <selection pane="bottomLeft" activeCell="A2" sqref="A2"/>
      <selection pane="bottomRight" activeCell="M14" sqref="M1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148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79" t="s">
        <v>296</v>
      </c>
    </row>
    <row r="4" spans="1:22" s="6" customFormat="1" ht="36" customHeight="1">
      <c r="B4" s="16"/>
      <c r="D4" s="46"/>
      <c r="E4" s="46" t="s">
        <v>211</v>
      </c>
      <c r="F4" s="46" t="s">
        <v>298</v>
      </c>
      <c r="G4" s="46" t="s">
        <v>299</v>
      </c>
      <c r="H4" s="46"/>
      <c r="I4" s="46" t="s">
        <v>301</v>
      </c>
      <c r="J4" s="46" t="s">
        <v>303</v>
      </c>
      <c r="K4" s="46" t="s">
        <v>304</v>
      </c>
      <c r="L4" s="46" t="s">
        <v>305</v>
      </c>
      <c r="M4" s="46"/>
      <c r="N4" s="46"/>
      <c r="O4" s="46" t="s">
        <v>306</v>
      </c>
      <c r="P4" s="46"/>
      <c r="Q4" s="46" t="s">
        <v>303</v>
      </c>
      <c r="R4" s="46" t="s">
        <v>307</v>
      </c>
      <c r="S4" s="17"/>
      <c r="V4" s="80"/>
    </row>
    <row r="5" spans="1:22" s="6" customFormat="1" ht="80.099999999999994" customHeight="1">
      <c r="B5" s="18">
        <v>1</v>
      </c>
      <c r="D5" s="36" t="s">
        <v>35</v>
      </c>
      <c r="E5" s="82" t="s">
        <v>198</v>
      </c>
      <c r="F5" s="82" t="s">
        <v>225</v>
      </c>
      <c r="G5" s="36" t="s">
        <v>226</v>
      </c>
      <c r="H5" s="36" t="s">
        <v>597</v>
      </c>
      <c r="I5" s="82" t="s">
        <v>228</v>
      </c>
      <c r="J5" s="36" t="s">
        <v>229</v>
      </c>
      <c r="K5" s="82" t="s">
        <v>230</v>
      </c>
      <c r="L5" s="36" t="s">
        <v>231</v>
      </c>
      <c r="M5" s="36" t="s">
        <v>38</v>
      </c>
      <c r="N5" s="36" t="s">
        <v>106</v>
      </c>
      <c r="O5" s="36" t="s">
        <v>232</v>
      </c>
      <c r="P5" s="36" t="s">
        <v>120</v>
      </c>
      <c r="Q5" s="82" t="s">
        <v>233</v>
      </c>
      <c r="R5" s="82" t="s">
        <v>234</v>
      </c>
      <c r="S5" s="19"/>
      <c r="V5" s="80"/>
    </row>
    <row r="6" spans="1:22" s="23" customFormat="1" ht="36" customHeight="1">
      <c r="B6" s="20"/>
      <c r="C6" s="21"/>
      <c r="D6" s="73"/>
      <c r="E6" s="73" t="s">
        <v>463</v>
      </c>
      <c r="F6" s="73" t="s">
        <v>464</v>
      </c>
      <c r="G6" s="73" t="s">
        <v>465</v>
      </c>
      <c r="H6" s="73"/>
      <c r="I6" s="73" t="s">
        <v>466</v>
      </c>
      <c r="J6" s="73" t="s">
        <v>467</v>
      </c>
      <c r="K6" s="73" t="s">
        <v>468</v>
      </c>
      <c r="L6" s="73" t="s">
        <v>469</v>
      </c>
      <c r="M6" s="73"/>
      <c r="N6" s="73"/>
      <c r="O6" s="73" t="s">
        <v>470</v>
      </c>
      <c r="P6" s="73"/>
      <c r="Q6" s="73" t="s">
        <v>467</v>
      </c>
      <c r="R6" s="73" t="s">
        <v>471</v>
      </c>
      <c r="S6" s="22"/>
      <c r="V6" s="80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0"/>
    </row>
    <row r="8" spans="1:22" s="6" customFormat="1" ht="36" customHeight="1">
      <c r="B8" s="16"/>
      <c r="D8" s="46" t="s">
        <v>184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17"/>
      <c r="V8" s="80"/>
    </row>
    <row r="9" spans="1:22" s="6" customFormat="1" ht="80.099999999999994" customHeight="1">
      <c r="B9" s="18">
        <f>B5+1</f>
        <v>2</v>
      </c>
      <c r="D9" s="36" t="s">
        <v>235</v>
      </c>
      <c r="E9" s="36" t="s">
        <v>107</v>
      </c>
      <c r="F9" s="36" t="str">
        <f>CHAR(10)</f>
        <v xml:space="preserve">
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19"/>
      <c r="T9" s="15"/>
      <c r="V9" s="80"/>
    </row>
    <row r="10" spans="1:22" s="6" customFormat="1" ht="36" customHeight="1">
      <c r="B10" s="20"/>
      <c r="D10" s="73" t="s">
        <v>472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8"/>
      <c r="V10" s="80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0"/>
    </row>
    <row r="12" spans="1:22" s="6" customFormat="1" ht="36" customHeight="1">
      <c r="B12" s="16"/>
      <c r="D12" s="46" t="s">
        <v>301</v>
      </c>
      <c r="E12" s="46" t="s">
        <v>303</v>
      </c>
      <c r="F12" s="46" t="s">
        <v>304</v>
      </c>
      <c r="G12" s="46" t="s">
        <v>305</v>
      </c>
      <c r="H12" s="46"/>
      <c r="I12" s="46" t="s">
        <v>160</v>
      </c>
      <c r="J12" s="46" t="s">
        <v>315</v>
      </c>
      <c r="K12" s="46" t="s">
        <v>222</v>
      </c>
      <c r="L12" s="46"/>
      <c r="M12" s="46" t="s">
        <v>317</v>
      </c>
      <c r="N12" s="46" t="s">
        <v>557</v>
      </c>
      <c r="O12" s="46" t="s">
        <v>320</v>
      </c>
      <c r="P12" s="46" t="s">
        <v>322</v>
      </c>
      <c r="Q12" s="46" t="s">
        <v>577</v>
      </c>
      <c r="R12" s="46" t="s">
        <v>145</v>
      </c>
      <c r="S12" s="17"/>
      <c r="V12" s="80"/>
    </row>
    <row r="13" spans="1:22" s="6" customFormat="1" ht="80.099999999999994" customHeight="1">
      <c r="B13" s="18">
        <f>B9+1</f>
        <v>3</v>
      </c>
      <c r="D13" s="82" t="s">
        <v>228</v>
      </c>
      <c r="E13" s="36" t="s">
        <v>229</v>
      </c>
      <c r="F13" s="82" t="s">
        <v>230</v>
      </c>
      <c r="G13" s="36" t="s">
        <v>231</v>
      </c>
      <c r="H13" s="36" t="s">
        <v>18</v>
      </c>
      <c r="I13" s="82" t="s">
        <v>236</v>
      </c>
      <c r="J13" s="82" t="s">
        <v>237</v>
      </c>
      <c r="K13" s="36" t="s">
        <v>202</v>
      </c>
      <c r="L13" s="36" t="s">
        <v>18</v>
      </c>
      <c r="M13" s="82" t="s">
        <v>238</v>
      </c>
      <c r="N13" s="36" t="s">
        <v>239</v>
      </c>
      <c r="O13" s="82" t="s">
        <v>240</v>
      </c>
      <c r="P13" s="36" t="s">
        <v>241</v>
      </c>
      <c r="Q13" s="82" t="s">
        <v>122</v>
      </c>
      <c r="R13" s="36" t="s">
        <v>242</v>
      </c>
      <c r="S13" s="19"/>
      <c r="V13" s="80"/>
    </row>
    <row r="14" spans="1:22" s="6" customFormat="1" ht="36" customHeight="1">
      <c r="B14" s="20"/>
      <c r="D14" s="73" t="s">
        <v>466</v>
      </c>
      <c r="E14" s="73" t="s">
        <v>467</v>
      </c>
      <c r="F14" s="73" t="s">
        <v>468</v>
      </c>
      <c r="G14" s="73" t="s">
        <v>469</v>
      </c>
      <c r="H14" s="73"/>
      <c r="I14" s="73" t="s">
        <v>473</v>
      </c>
      <c r="J14" s="73" t="s">
        <v>474</v>
      </c>
      <c r="K14" s="73" t="s">
        <v>475</v>
      </c>
      <c r="L14" s="73"/>
      <c r="M14" s="73" t="s">
        <v>476</v>
      </c>
      <c r="N14" s="73" t="s">
        <v>558</v>
      </c>
      <c r="O14" s="73" t="s">
        <v>477</v>
      </c>
      <c r="P14" s="73" t="s">
        <v>478</v>
      </c>
      <c r="Q14" s="73" t="s">
        <v>578</v>
      </c>
      <c r="R14" s="73" t="s">
        <v>479</v>
      </c>
      <c r="S14" s="28"/>
      <c r="V14" s="80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0"/>
    </row>
    <row r="16" spans="1:22" s="6" customFormat="1" ht="36" customHeight="1">
      <c r="B16" s="1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80"/>
    </row>
    <row r="17" spans="2:22" s="6" customFormat="1" ht="80.099999999999994" customHeight="1">
      <c r="B17" s="18">
        <f>B13+1</f>
        <v>4</v>
      </c>
      <c r="D17" s="36" t="s">
        <v>19</v>
      </c>
      <c r="E17" s="36" t="str">
        <f>CHAR(10)</f>
        <v xml:space="preserve">
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80"/>
    </row>
    <row r="18" spans="2:22" s="6" customFormat="1" ht="36" customHeight="1">
      <c r="B18" s="20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28"/>
      <c r="V18" s="80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0"/>
    </row>
    <row r="20" spans="2:22" s="6" customFormat="1" ht="36" customHeight="1">
      <c r="B20" s="16"/>
      <c r="D20" s="46" t="s">
        <v>560</v>
      </c>
      <c r="E20" s="46" t="s">
        <v>206</v>
      </c>
      <c r="F20" s="46" t="s">
        <v>141</v>
      </c>
      <c r="G20" s="46" t="s">
        <v>188</v>
      </c>
      <c r="H20" s="46"/>
      <c r="I20" s="46" t="s">
        <v>139</v>
      </c>
      <c r="J20" s="46" t="s">
        <v>223</v>
      </c>
      <c r="K20" s="46" t="s">
        <v>39</v>
      </c>
      <c r="L20" s="46"/>
      <c r="M20" s="46" t="s">
        <v>150</v>
      </c>
      <c r="N20" s="46" t="s">
        <v>182</v>
      </c>
      <c r="O20" s="46" t="s">
        <v>162</v>
      </c>
      <c r="P20" s="46" t="s">
        <v>100</v>
      </c>
      <c r="Q20" s="46" t="s">
        <v>131</v>
      </c>
      <c r="R20" s="46" t="s">
        <v>166</v>
      </c>
      <c r="S20" s="17"/>
      <c r="V20" s="80"/>
    </row>
    <row r="21" spans="2:22" s="6" customFormat="1" ht="80.099999999999994" customHeight="1">
      <c r="B21" s="18">
        <f>B17+1</f>
        <v>5</v>
      </c>
      <c r="D21" s="82" t="s">
        <v>243</v>
      </c>
      <c r="E21" s="36" t="s">
        <v>201</v>
      </c>
      <c r="F21" s="82" t="s">
        <v>244</v>
      </c>
      <c r="G21" s="36" t="s">
        <v>129</v>
      </c>
      <c r="H21" s="36" t="s">
        <v>18</v>
      </c>
      <c r="I21" s="82" t="s">
        <v>115</v>
      </c>
      <c r="J21" s="82" t="s">
        <v>203</v>
      </c>
      <c r="K21" s="36" t="s">
        <v>36</v>
      </c>
      <c r="L21" s="36" t="s">
        <v>18</v>
      </c>
      <c r="M21" s="82" t="s">
        <v>119</v>
      </c>
      <c r="N21" s="36" t="s">
        <v>200</v>
      </c>
      <c r="O21" s="82" t="s">
        <v>121</v>
      </c>
      <c r="P21" s="36" t="s">
        <v>245</v>
      </c>
      <c r="Q21" s="82" t="s">
        <v>108</v>
      </c>
      <c r="R21" s="36" t="s">
        <v>246</v>
      </c>
      <c r="S21" s="19"/>
      <c r="V21" s="80"/>
    </row>
    <row r="22" spans="2:22" s="6" customFormat="1" ht="36" customHeight="1">
      <c r="B22" s="20"/>
      <c r="D22" s="73" t="s">
        <v>561</v>
      </c>
      <c r="E22" s="73" t="s">
        <v>480</v>
      </c>
      <c r="F22" s="73" t="s">
        <v>481</v>
      </c>
      <c r="G22" s="73" t="s">
        <v>482</v>
      </c>
      <c r="H22" s="73"/>
      <c r="I22" s="73" t="s">
        <v>483</v>
      </c>
      <c r="J22" s="73" t="s">
        <v>484</v>
      </c>
      <c r="K22" s="73" t="s">
        <v>485</v>
      </c>
      <c r="L22" s="73"/>
      <c r="M22" s="73" t="s">
        <v>486</v>
      </c>
      <c r="N22" s="73" t="s">
        <v>487</v>
      </c>
      <c r="O22" s="73" t="s">
        <v>488</v>
      </c>
      <c r="P22" s="73" t="s">
        <v>489</v>
      </c>
      <c r="Q22" s="73" t="s">
        <v>490</v>
      </c>
      <c r="R22" s="73" t="s">
        <v>491</v>
      </c>
      <c r="S22" s="28"/>
      <c r="V22" s="80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0"/>
    </row>
    <row r="24" spans="2:22" s="6" customFormat="1" ht="36" customHeight="1">
      <c r="B24" s="1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80"/>
    </row>
    <row r="25" spans="2:22" s="6" customFormat="1" ht="80.099999999999994" customHeight="1">
      <c r="B25" s="18">
        <f>B21+1</f>
        <v>6</v>
      </c>
      <c r="D25" s="36" t="s">
        <v>116</v>
      </c>
      <c r="E25" s="36" t="str">
        <f>CHAR(10)</f>
        <v xml:space="preserve">
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80"/>
    </row>
    <row r="26" spans="2:22" s="6" customFormat="1" ht="36" customHeight="1">
      <c r="B26" s="20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8"/>
      <c r="V26" s="80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0"/>
    </row>
    <row r="28" spans="2:22" s="6" customFormat="1" ht="36" customHeight="1">
      <c r="B28" s="16"/>
      <c r="D28" s="46" t="s">
        <v>103</v>
      </c>
      <c r="E28" s="46" t="s">
        <v>347</v>
      </c>
      <c r="F28" s="46" t="s">
        <v>162</v>
      </c>
      <c r="G28" s="46" t="s">
        <v>102</v>
      </c>
      <c r="H28" s="46"/>
      <c r="I28" s="46" t="s">
        <v>101</v>
      </c>
      <c r="J28" s="46" t="s">
        <v>348</v>
      </c>
      <c r="K28" s="46" t="s">
        <v>158</v>
      </c>
      <c r="L28" s="46" t="s">
        <v>599</v>
      </c>
      <c r="M28" s="46"/>
      <c r="N28" s="46" t="s">
        <v>350</v>
      </c>
      <c r="O28" s="46" t="s">
        <v>97</v>
      </c>
      <c r="P28" s="46" t="s">
        <v>43</v>
      </c>
      <c r="Q28" s="46" t="s">
        <v>352</v>
      </c>
      <c r="R28" s="46" t="s">
        <v>152</v>
      </c>
      <c r="S28" s="17"/>
      <c r="U28" s="32" t="str">
        <f t="shared" si="1"/>
        <v/>
      </c>
      <c r="V28" s="80"/>
    </row>
    <row r="29" spans="2:22" s="6" customFormat="1" ht="80.099999999999994" customHeight="1">
      <c r="B29" s="18">
        <f>B25+1</f>
        <v>7</v>
      </c>
      <c r="D29" s="82" t="s">
        <v>99</v>
      </c>
      <c r="E29" s="36" t="s">
        <v>247</v>
      </c>
      <c r="F29" s="82" t="s">
        <v>199</v>
      </c>
      <c r="G29" s="36" t="s">
        <v>98</v>
      </c>
      <c r="H29" s="36" t="s">
        <v>18</v>
      </c>
      <c r="I29" s="82" t="s">
        <v>248</v>
      </c>
      <c r="J29" s="36" t="s">
        <v>249</v>
      </c>
      <c r="K29" s="82" t="s">
        <v>118</v>
      </c>
      <c r="L29" s="36" t="s">
        <v>113</v>
      </c>
      <c r="M29" s="36" t="s">
        <v>18</v>
      </c>
      <c r="N29" s="82" t="s">
        <v>250</v>
      </c>
      <c r="O29" s="36" t="s">
        <v>96</v>
      </c>
      <c r="P29" s="82" t="s">
        <v>37</v>
      </c>
      <c r="Q29" s="82" t="s">
        <v>251</v>
      </c>
      <c r="R29" s="36" t="s">
        <v>252</v>
      </c>
      <c r="S29" s="19"/>
      <c r="U29" s="32" t="str">
        <f t="shared" si="1"/>
        <v/>
      </c>
      <c r="V29" s="80"/>
    </row>
    <row r="30" spans="2:22" s="6" customFormat="1" ht="36" customHeight="1">
      <c r="B30" s="20"/>
      <c r="D30" s="73" t="s">
        <v>492</v>
      </c>
      <c r="E30" s="73" t="s">
        <v>493</v>
      </c>
      <c r="F30" s="73" t="s">
        <v>488</v>
      </c>
      <c r="G30" s="73" t="s">
        <v>494</v>
      </c>
      <c r="H30" s="73"/>
      <c r="I30" s="73" t="s">
        <v>495</v>
      </c>
      <c r="J30" s="73" t="s">
        <v>496</v>
      </c>
      <c r="K30" s="73" t="s">
        <v>497</v>
      </c>
      <c r="L30" s="73" t="s">
        <v>600</v>
      </c>
      <c r="M30" s="73"/>
      <c r="N30" s="73" t="s">
        <v>499</v>
      </c>
      <c r="O30" s="73" t="s">
        <v>498</v>
      </c>
      <c r="P30" s="73" t="s">
        <v>500</v>
      </c>
      <c r="Q30" s="73" t="s">
        <v>501</v>
      </c>
      <c r="R30" s="73" t="s">
        <v>502</v>
      </c>
      <c r="S30" s="28"/>
      <c r="U30" s="32" t="str">
        <f t="shared" si="1"/>
        <v/>
      </c>
      <c r="V30" s="80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0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0"/>
    </row>
    <row r="33" spans="2:22" s="6" customFormat="1" ht="80.099999999999994" customHeight="1">
      <c r="B33" s="18">
        <f>B29+1</f>
        <v>8</v>
      </c>
      <c r="D33" s="36" t="s">
        <v>19</v>
      </c>
      <c r="E33" s="36" t="str">
        <f>CHAR(10)</f>
        <v xml:space="preserve">
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0"/>
    </row>
    <row r="34" spans="2:22" s="6" customFormat="1" ht="36" customHeight="1">
      <c r="B34" s="20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28"/>
      <c r="V34" s="80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 t="s">
        <v>148</v>
      </c>
      <c r="N35" s="47" t="s">
        <v>145</v>
      </c>
      <c r="O35" s="47"/>
      <c r="P35" s="47"/>
      <c r="Q35" s="47"/>
      <c r="R35" s="47"/>
      <c r="V35" s="80"/>
    </row>
    <row r="36" spans="2:22" s="6" customFormat="1" ht="36" customHeight="1">
      <c r="B36" s="16"/>
      <c r="D36" s="46" t="s">
        <v>364</v>
      </c>
      <c r="E36" s="46" t="s">
        <v>140</v>
      </c>
      <c r="F36" s="46" t="s">
        <v>148</v>
      </c>
      <c r="G36" s="46" t="s">
        <v>366</v>
      </c>
      <c r="H36" s="46"/>
      <c r="I36" s="46" t="s">
        <v>31</v>
      </c>
      <c r="J36" s="46" t="s">
        <v>139</v>
      </c>
      <c r="K36" s="46" t="s">
        <v>585</v>
      </c>
      <c r="L36" s="46" t="s">
        <v>367</v>
      </c>
      <c r="M36" s="46" t="s">
        <v>148</v>
      </c>
      <c r="N36" s="46" t="s">
        <v>145</v>
      </c>
      <c r="O36" s="46"/>
      <c r="P36" s="46"/>
      <c r="Q36" s="46"/>
      <c r="R36" s="46"/>
      <c r="S36" s="17"/>
      <c r="V36" s="80"/>
    </row>
    <row r="37" spans="2:22" s="6" customFormat="1" ht="80.099999999999994" customHeight="1">
      <c r="B37" s="18">
        <f>B33+1</f>
        <v>9</v>
      </c>
      <c r="D37" s="82" t="s">
        <v>253</v>
      </c>
      <c r="E37" s="36" t="s">
        <v>254</v>
      </c>
      <c r="F37" s="82" t="s">
        <v>255</v>
      </c>
      <c r="G37" s="36" t="s">
        <v>256</v>
      </c>
      <c r="H37" s="36" t="s">
        <v>18</v>
      </c>
      <c r="I37" s="82" t="s">
        <v>30</v>
      </c>
      <c r="J37" s="36" t="s">
        <v>115</v>
      </c>
      <c r="K37" s="82" t="s">
        <v>257</v>
      </c>
      <c r="L37" s="36" t="s">
        <v>258</v>
      </c>
      <c r="M37" s="82" t="s">
        <v>259</v>
      </c>
      <c r="N37" s="36" t="s">
        <v>260</v>
      </c>
      <c r="O37" s="36" t="s">
        <v>116</v>
      </c>
      <c r="P37" s="36" t="str">
        <f>CHAR(10)</f>
        <v xml:space="preserve">
</v>
      </c>
      <c r="Q37" s="36"/>
      <c r="R37" s="36"/>
      <c r="S37" s="19"/>
      <c r="V37" s="80"/>
    </row>
    <row r="38" spans="2:22" s="6" customFormat="1" ht="36" customHeight="1">
      <c r="B38" s="20"/>
      <c r="D38" s="73" t="s">
        <v>503</v>
      </c>
      <c r="E38" s="73" t="s">
        <v>504</v>
      </c>
      <c r="F38" s="73" t="s">
        <v>505</v>
      </c>
      <c r="G38" s="73" t="s">
        <v>506</v>
      </c>
      <c r="H38" s="73"/>
      <c r="I38" s="73" t="s">
        <v>507</v>
      </c>
      <c r="J38" s="73" t="s">
        <v>483</v>
      </c>
      <c r="K38" s="73" t="s">
        <v>586</v>
      </c>
      <c r="L38" s="73" t="s">
        <v>508</v>
      </c>
      <c r="M38" s="73" t="s">
        <v>505</v>
      </c>
      <c r="N38" s="73" t="s">
        <v>479</v>
      </c>
      <c r="O38" s="73"/>
      <c r="P38" s="73"/>
      <c r="Q38" s="73"/>
      <c r="R38" s="73"/>
      <c r="S38" s="28"/>
      <c r="V38" s="80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0"/>
    </row>
    <row r="40" spans="2:22" s="6" customFormat="1" ht="36" customHeight="1">
      <c r="B40" s="16"/>
      <c r="D40" s="46" t="s">
        <v>176</v>
      </c>
      <c r="E40" s="46" t="s">
        <v>171</v>
      </c>
      <c r="F40" s="46" t="s">
        <v>592</v>
      </c>
      <c r="G40" s="46" t="s">
        <v>144</v>
      </c>
      <c r="H40" s="46" t="s">
        <v>379</v>
      </c>
      <c r="I40" s="46" t="s">
        <v>381</v>
      </c>
      <c r="J40" s="46"/>
      <c r="K40" s="46" t="s">
        <v>154</v>
      </c>
      <c r="L40" s="46" t="s">
        <v>382</v>
      </c>
      <c r="M40" s="46" t="s">
        <v>168</v>
      </c>
      <c r="N40" s="46" t="s">
        <v>186</v>
      </c>
      <c r="O40" s="46"/>
      <c r="P40" s="46" t="s">
        <v>383</v>
      </c>
      <c r="Q40" s="46" t="s">
        <v>181</v>
      </c>
      <c r="R40" s="46" t="s">
        <v>173</v>
      </c>
      <c r="S40" s="17"/>
      <c r="V40" s="80"/>
    </row>
    <row r="41" spans="2:22" s="6" customFormat="1" ht="80.099999999999994" customHeight="1">
      <c r="B41" s="18">
        <f>B37+1</f>
        <v>10</v>
      </c>
      <c r="D41" s="82" t="s">
        <v>126</v>
      </c>
      <c r="E41" s="36" t="s">
        <v>261</v>
      </c>
      <c r="F41" s="82" t="s">
        <v>262</v>
      </c>
      <c r="G41" s="36" t="s">
        <v>123</v>
      </c>
      <c r="H41" s="82" t="s">
        <v>263</v>
      </c>
      <c r="I41" s="36" t="s">
        <v>264</v>
      </c>
      <c r="J41" s="36" t="s">
        <v>18</v>
      </c>
      <c r="K41" s="82" t="s">
        <v>265</v>
      </c>
      <c r="L41" s="36" t="s">
        <v>266</v>
      </c>
      <c r="M41" s="82" t="s">
        <v>267</v>
      </c>
      <c r="N41" s="36" t="s">
        <v>268</v>
      </c>
      <c r="O41" s="36" t="s">
        <v>18</v>
      </c>
      <c r="P41" s="36" t="s">
        <v>269</v>
      </c>
      <c r="Q41" s="82" t="s">
        <v>270</v>
      </c>
      <c r="R41" s="36" t="s">
        <v>271</v>
      </c>
      <c r="S41" s="19"/>
      <c r="V41" s="80"/>
    </row>
    <row r="42" spans="2:22" s="6" customFormat="1" ht="36" customHeight="1">
      <c r="B42" s="20"/>
      <c r="D42" s="73" t="s">
        <v>509</v>
      </c>
      <c r="E42" s="73" t="s">
        <v>510</v>
      </c>
      <c r="F42" s="73" t="s">
        <v>593</v>
      </c>
      <c r="G42" s="73" t="s">
        <v>511</v>
      </c>
      <c r="H42" s="73" t="s">
        <v>512</v>
      </c>
      <c r="I42" s="73" t="s">
        <v>513</v>
      </c>
      <c r="J42" s="73"/>
      <c r="K42" s="73" t="s">
        <v>514</v>
      </c>
      <c r="L42" s="73" t="s">
        <v>515</v>
      </c>
      <c r="M42" s="73" t="s">
        <v>516</v>
      </c>
      <c r="N42" s="73" t="s">
        <v>517</v>
      </c>
      <c r="O42" s="73"/>
      <c r="P42" s="73" t="s">
        <v>518</v>
      </c>
      <c r="Q42" s="73" t="s">
        <v>519</v>
      </c>
      <c r="R42" s="73" t="s">
        <v>520</v>
      </c>
      <c r="S42" s="28"/>
      <c r="V42" s="80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0"/>
    </row>
    <row r="44" spans="2:22" s="6" customFormat="1" ht="36" customHeight="1">
      <c r="B44" s="16"/>
      <c r="D44" s="46" t="s">
        <v>142</v>
      </c>
      <c r="E44" s="46" t="s">
        <v>398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0"/>
    </row>
    <row r="45" spans="2:22" s="6" customFormat="1" ht="80.099999999999994" customHeight="1">
      <c r="B45" s="18">
        <f>B41+1</f>
        <v>11</v>
      </c>
      <c r="D45" s="82" t="s">
        <v>272</v>
      </c>
      <c r="E45" s="36" t="s">
        <v>273</v>
      </c>
      <c r="F45" s="36" t="s">
        <v>19</v>
      </c>
      <c r="G45" s="36" t="str">
        <f>CHAR(10)</f>
        <v xml:space="preserve">
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0"/>
    </row>
    <row r="46" spans="2:22" s="6" customFormat="1" ht="36" customHeight="1">
      <c r="B46" s="20"/>
      <c r="D46" s="73" t="s">
        <v>521</v>
      </c>
      <c r="E46" s="73" t="s">
        <v>522</v>
      </c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28"/>
      <c r="V46" s="80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0"/>
    </row>
    <row r="48" spans="2:22" s="6" customFormat="1" ht="36" customHeight="1">
      <c r="B48" s="16"/>
      <c r="D48" s="46" t="s">
        <v>402</v>
      </c>
      <c r="E48" s="46" t="s">
        <v>563</v>
      </c>
      <c r="F48" s="46" t="s">
        <v>150</v>
      </c>
      <c r="G48" s="46" t="s">
        <v>565</v>
      </c>
      <c r="H48" s="46"/>
      <c r="I48" s="46" t="s">
        <v>169</v>
      </c>
      <c r="J48" s="46" t="s">
        <v>103</v>
      </c>
      <c r="K48" s="46" t="s">
        <v>347</v>
      </c>
      <c r="L48" s="46"/>
      <c r="M48" s="46" t="s">
        <v>407</v>
      </c>
      <c r="N48" s="46" t="s">
        <v>41</v>
      </c>
      <c r="O48" s="46" t="s">
        <v>408</v>
      </c>
      <c r="P48" s="46" t="s">
        <v>137</v>
      </c>
      <c r="Q48" s="46" t="s">
        <v>595</v>
      </c>
      <c r="R48" s="46" t="s">
        <v>166</v>
      </c>
      <c r="S48" s="17"/>
      <c r="V48" s="80"/>
    </row>
    <row r="49" spans="2:22" s="6" customFormat="1" ht="80.099999999999994" customHeight="1">
      <c r="B49" s="18">
        <f>B45+1</f>
        <v>12</v>
      </c>
      <c r="D49" s="82" t="s">
        <v>274</v>
      </c>
      <c r="E49" s="36" t="s">
        <v>275</v>
      </c>
      <c r="F49" s="82" t="s">
        <v>276</v>
      </c>
      <c r="G49" s="36" t="s">
        <v>277</v>
      </c>
      <c r="H49" s="36" t="s">
        <v>18</v>
      </c>
      <c r="I49" s="82" t="s">
        <v>124</v>
      </c>
      <c r="J49" s="82" t="s">
        <v>99</v>
      </c>
      <c r="K49" s="36" t="s">
        <v>247</v>
      </c>
      <c r="L49" s="36" t="s">
        <v>18</v>
      </c>
      <c r="M49" s="82" t="s">
        <v>278</v>
      </c>
      <c r="N49" s="36" t="s">
        <v>114</v>
      </c>
      <c r="O49" s="82" t="s">
        <v>279</v>
      </c>
      <c r="P49" s="36" t="s">
        <v>112</v>
      </c>
      <c r="Q49" s="82" t="s">
        <v>109</v>
      </c>
      <c r="R49" s="36" t="s">
        <v>125</v>
      </c>
      <c r="S49" s="19"/>
      <c r="V49" s="80"/>
    </row>
    <row r="50" spans="2:22" s="6" customFormat="1" ht="36" customHeight="1">
      <c r="B50" s="20"/>
      <c r="D50" s="73" t="s">
        <v>523</v>
      </c>
      <c r="E50" s="73" t="s">
        <v>564</v>
      </c>
      <c r="F50" s="73" t="s">
        <v>486</v>
      </c>
      <c r="G50" s="73" t="s">
        <v>566</v>
      </c>
      <c r="H50" s="73"/>
      <c r="I50" s="73" t="s">
        <v>524</v>
      </c>
      <c r="J50" s="73" t="s">
        <v>492</v>
      </c>
      <c r="K50" s="73" t="s">
        <v>493</v>
      </c>
      <c r="L50" s="73"/>
      <c r="M50" s="73" t="s">
        <v>525</v>
      </c>
      <c r="N50" s="73" t="s">
        <v>526</v>
      </c>
      <c r="O50" s="73" t="s">
        <v>527</v>
      </c>
      <c r="P50" s="73" t="s">
        <v>528</v>
      </c>
      <c r="Q50" s="73" t="s">
        <v>596</v>
      </c>
      <c r="R50" s="73" t="s">
        <v>491</v>
      </c>
      <c r="S50" s="28"/>
      <c r="V50" s="80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0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0"/>
    </row>
    <row r="53" spans="2:22" s="6" customFormat="1" ht="80.099999999999994" customHeight="1">
      <c r="B53" s="18">
        <f>B49+1</f>
        <v>13</v>
      </c>
      <c r="D53" s="36" t="s">
        <v>19</v>
      </c>
      <c r="E53" s="36" t="str">
        <f>CHAR(10)</f>
        <v xml:space="preserve">
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0"/>
    </row>
    <row r="54" spans="2:22" s="6" customFormat="1" ht="36" customHeight="1">
      <c r="B54" s="20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28"/>
      <c r="V54" s="80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0"/>
    </row>
    <row r="56" spans="2:22" s="6" customFormat="1" ht="36" customHeight="1">
      <c r="B56" s="16"/>
      <c r="D56" s="46" t="s">
        <v>177</v>
      </c>
      <c r="E56" s="46" t="s">
        <v>419</v>
      </c>
      <c r="F56" s="46" t="s">
        <v>179</v>
      </c>
      <c r="G56" s="46" t="s">
        <v>135</v>
      </c>
      <c r="H56" s="46"/>
      <c r="I56" s="46" t="s">
        <v>420</v>
      </c>
      <c r="J56" s="46" t="s">
        <v>224</v>
      </c>
      <c r="K56" s="46" t="s">
        <v>420</v>
      </c>
      <c r="L56" s="46" t="s">
        <v>422</v>
      </c>
      <c r="M56" s="46"/>
      <c r="N56" s="46" t="s">
        <v>424</v>
      </c>
      <c r="O56" s="46" t="s">
        <v>156</v>
      </c>
      <c r="P56" s="46" t="s">
        <v>204</v>
      </c>
      <c r="Q56" s="46" t="s">
        <v>425</v>
      </c>
      <c r="R56" s="46" t="s">
        <v>426</v>
      </c>
      <c r="S56" s="17"/>
      <c r="V56" s="80"/>
    </row>
    <row r="57" spans="2:22" s="6" customFormat="1" ht="80.099999999999994" customHeight="1">
      <c r="B57" s="18">
        <f>B53+1</f>
        <v>14</v>
      </c>
      <c r="D57" s="82" t="s">
        <v>127</v>
      </c>
      <c r="E57" s="36" t="s">
        <v>280</v>
      </c>
      <c r="F57" s="82" t="s">
        <v>128</v>
      </c>
      <c r="G57" s="36" t="s">
        <v>110</v>
      </c>
      <c r="H57" s="36" t="s">
        <v>18</v>
      </c>
      <c r="I57" s="82" t="s">
        <v>281</v>
      </c>
      <c r="J57" s="36" t="s">
        <v>282</v>
      </c>
      <c r="K57" s="82" t="s">
        <v>281</v>
      </c>
      <c r="L57" s="36" t="s">
        <v>283</v>
      </c>
      <c r="M57" s="36" t="s">
        <v>18</v>
      </c>
      <c r="N57" s="82" t="s">
        <v>284</v>
      </c>
      <c r="O57" s="36" t="s">
        <v>117</v>
      </c>
      <c r="P57" s="82" t="s">
        <v>285</v>
      </c>
      <c r="Q57" s="82" t="s">
        <v>286</v>
      </c>
      <c r="R57" s="36" t="s">
        <v>287</v>
      </c>
      <c r="S57" s="19"/>
      <c r="V57" s="80"/>
    </row>
    <row r="58" spans="2:22" s="6" customFormat="1" ht="36" customHeight="1">
      <c r="B58" s="20"/>
      <c r="D58" s="73" t="s">
        <v>529</v>
      </c>
      <c r="E58" s="73" t="s">
        <v>530</v>
      </c>
      <c r="F58" s="73" t="s">
        <v>531</v>
      </c>
      <c r="G58" s="73" t="s">
        <v>532</v>
      </c>
      <c r="H58" s="73"/>
      <c r="I58" s="73" t="s">
        <v>533</v>
      </c>
      <c r="J58" s="73" t="s">
        <v>534</v>
      </c>
      <c r="K58" s="73" t="s">
        <v>533</v>
      </c>
      <c r="L58" s="73" t="s">
        <v>535</v>
      </c>
      <c r="M58" s="73"/>
      <c r="N58" s="73" t="s">
        <v>536</v>
      </c>
      <c r="O58" s="73" t="s">
        <v>537</v>
      </c>
      <c r="P58" s="73" t="s">
        <v>538</v>
      </c>
      <c r="Q58" s="73" t="s">
        <v>539</v>
      </c>
      <c r="R58" s="73" t="s">
        <v>540</v>
      </c>
      <c r="S58" s="28"/>
      <c r="V58" s="80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0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0"/>
    </row>
    <row r="61" spans="2:22" s="6" customFormat="1" ht="80.099999999999994" customHeight="1">
      <c r="B61" s="18">
        <f>B57+1</f>
        <v>15</v>
      </c>
      <c r="D61" s="36" t="s">
        <v>19</v>
      </c>
      <c r="E61" s="36" t="str">
        <f>CHAR(10)</f>
        <v xml:space="preserve">
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0"/>
    </row>
    <row r="62" spans="2:22" s="6" customFormat="1" ht="36" customHeight="1">
      <c r="B62" s="20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28"/>
      <c r="V62" s="80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0"/>
    </row>
    <row r="64" spans="2:22" s="6" customFormat="1" ht="36" customHeight="1">
      <c r="B64" s="16"/>
      <c r="D64" s="46" t="s">
        <v>434</v>
      </c>
      <c r="E64" s="46" t="s">
        <v>157</v>
      </c>
      <c r="F64" s="46" t="s">
        <v>322</v>
      </c>
      <c r="G64" s="46" t="s">
        <v>435</v>
      </c>
      <c r="H64" s="46"/>
      <c r="I64" s="46" t="s">
        <v>437</v>
      </c>
      <c r="J64" s="46" t="s">
        <v>189</v>
      </c>
      <c r="K64" s="46" t="s">
        <v>135</v>
      </c>
      <c r="L64" s="46" t="s">
        <v>568</v>
      </c>
      <c r="M64" s="46" t="s">
        <v>440</v>
      </c>
      <c r="N64" s="46" t="s">
        <v>441</v>
      </c>
      <c r="O64" s="46"/>
      <c r="P64" s="46"/>
      <c r="Q64" s="46"/>
      <c r="R64" s="46"/>
      <c r="S64" s="17"/>
      <c r="V64" s="80"/>
    </row>
    <row r="65" spans="2:22" s="6" customFormat="1" ht="80.099999999999994" customHeight="1">
      <c r="B65" s="18">
        <f>B61+1</f>
        <v>16</v>
      </c>
      <c r="D65" s="82" t="s">
        <v>288</v>
      </c>
      <c r="E65" s="36" t="s">
        <v>289</v>
      </c>
      <c r="F65" s="82" t="s">
        <v>290</v>
      </c>
      <c r="G65" s="36" t="s">
        <v>291</v>
      </c>
      <c r="H65" s="36" t="s">
        <v>18</v>
      </c>
      <c r="I65" s="82" t="s">
        <v>292</v>
      </c>
      <c r="J65" s="36" t="s">
        <v>130</v>
      </c>
      <c r="K65" s="82" t="s">
        <v>111</v>
      </c>
      <c r="L65" s="36" t="s">
        <v>293</v>
      </c>
      <c r="M65" s="82" t="s">
        <v>294</v>
      </c>
      <c r="N65" s="36" t="s">
        <v>295</v>
      </c>
      <c r="O65" s="36" t="s">
        <v>19</v>
      </c>
      <c r="P65" s="36" t="str">
        <f>CHAR(10)</f>
        <v xml:space="preserve">
</v>
      </c>
      <c r="Q65" s="36"/>
      <c r="R65" s="36"/>
      <c r="S65" s="19"/>
      <c r="V65" s="80"/>
    </row>
    <row r="66" spans="2:22" s="6" customFormat="1" ht="36" customHeight="1">
      <c r="B66" s="20"/>
      <c r="D66" s="73" t="s">
        <v>541</v>
      </c>
      <c r="E66" s="73" t="s">
        <v>542</v>
      </c>
      <c r="F66" s="73" t="s">
        <v>478</v>
      </c>
      <c r="G66" s="73" t="s">
        <v>543</v>
      </c>
      <c r="H66" s="73"/>
      <c r="I66" s="73" t="s">
        <v>544</v>
      </c>
      <c r="J66" s="73" t="s">
        <v>545</v>
      </c>
      <c r="K66" s="73" t="s">
        <v>532</v>
      </c>
      <c r="L66" s="73" t="s">
        <v>569</v>
      </c>
      <c r="M66" s="73" t="s">
        <v>546</v>
      </c>
      <c r="N66" s="73" t="s">
        <v>547</v>
      </c>
      <c r="O66" s="73"/>
      <c r="P66" s="73"/>
      <c r="Q66" s="73"/>
      <c r="R66" s="73"/>
      <c r="S66" s="28"/>
      <c r="V66" s="80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0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0"/>
    </row>
    <row r="69" spans="2:22" s="6" customFormat="1" ht="80.099999999999994" customHeight="1">
      <c r="B69" s="18">
        <f>B65+1</f>
        <v>17</v>
      </c>
      <c r="D69" s="36" t="s">
        <v>20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0"/>
    </row>
    <row r="70" spans="2:22" s="6" customFormat="1" ht="36" customHeight="1">
      <c r="B70" s="20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28"/>
      <c r="V70" s="80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0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0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0"/>
    </row>
    <row r="74" spans="2:22" s="6" customFormat="1" ht="36" customHeight="1">
      <c r="B74" s="20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8"/>
      <c r="V74" s="80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0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0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0"/>
    </row>
    <row r="78" spans="2:22" s="6" customFormat="1" ht="36" customHeight="1">
      <c r="B78" s="20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8"/>
      <c r="V78" s="80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0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0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0"/>
    </row>
    <row r="82" spans="2:22" s="6" customFormat="1" ht="36" customHeight="1">
      <c r="B82" s="20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8"/>
      <c r="V82" s="81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3" priority="3">
      <formula>顯示注音輸入</formula>
    </cfRule>
    <cfRule type="expression" dxfId="2" priority="4">
      <formula>"'= TRUE(顯示注音輸入)"</formula>
    </cfRule>
  </conditionalFormatting>
  <conditionalFormatting sqref="D2267:R2267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5615-5400-46AC-898E-962D200A9F97}">
  <dimension ref="A1:V2270"/>
  <sheetViews>
    <sheetView showGridLines="0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69" sqref="D6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148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79" t="s">
        <v>296</v>
      </c>
    </row>
    <row r="4" spans="1:22" s="6" customFormat="1" ht="36" customHeight="1">
      <c r="B4" s="16"/>
      <c r="D4" s="46"/>
      <c r="E4" s="46" t="s">
        <v>211</v>
      </c>
      <c r="F4" s="46" t="s">
        <v>298</v>
      </c>
      <c r="G4" s="46" t="s">
        <v>299</v>
      </c>
      <c r="H4" s="46"/>
      <c r="I4" s="46" t="s">
        <v>301</v>
      </c>
      <c r="J4" s="46" t="s">
        <v>303</v>
      </c>
      <c r="K4" s="46" t="s">
        <v>304</v>
      </c>
      <c r="L4" s="46" t="s">
        <v>305</v>
      </c>
      <c r="M4" s="46"/>
      <c r="N4" s="46"/>
      <c r="O4" s="46" t="s">
        <v>306</v>
      </c>
      <c r="P4" s="46"/>
      <c r="Q4" s="46" t="s">
        <v>303</v>
      </c>
      <c r="R4" s="46" t="s">
        <v>307</v>
      </c>
      <c r="S4" s="17"/>
      <c r="V4" s="80"/>
    </row>
    <row r="5" spans="1:22" s="6" customFormat="1" ht="80.099999999999994" customHeight="1">
      <c r="B5" s="18">
        <v>1</v>
      </c>
      <c r="D5" s="36" t="s">
        <v>35</v>
      </c>
      <c r="E5" s="36" t="s">
        <v>198</v>
      </c>
      <c r="F5" s="36" t="s">
        <v>225</v>
      </c>
      <c r="G5" s="36" t="s">
        <v>226</v>
      </c>
      <c r="H5" s="36" t="s">
        <v>227</v>
      </c>
      <c r="I5" s="36" t="s">
        <v>228</v>
      </c>
      <c r="J5" s="36" t="s">
        <v>229</v>
      </c>
      <c r="K5" s="36" t="s">
        <v>230</v>
      </c>
      <c r="L5" s="36" t="s">
        <v>231</v>
      </c>
      <c r="M5" s="36" t="s">
        <v>38</v>
      </c>
      <c r="N5" s="36" t="s">
        <v>106</v>
      </c>
      <c r="O5" s="36" t="s">
        <v>232</v>
      </c>
      <c r="P5" s="36" t="s">
        <v>120</v>
      </c>
      <c r="Q5" s="36" t="s">
        <v>233</v>
      </c>
      <c r="R5" s="36" t="s">
        <v>234</v>
      </c>
      <c r="S5" s="19"/>
      <c r="V5" s="80"/>
    </row>
    <row r="6" spans="1:22" s="23" customFormat="1" ht="36" customHeight="1">
      <c r="B6" s="20"/>
      <c r="C6" s="21"/>
      <c r="D6" s="73"/>
      <c r="E6" s="73" t="s">
        <v>211</v>
      </c>
      <c r="F6" s="73" t="s">
        <v>298</v>
      </c>
      <c r="G6" s="73" t="s">
        <v>300</v>
      </c>
      <c r="H6" s="73"/>
      <c r="I6" s="73" t="s">
        <v>302</v>
      </c>
      <c r="J6" s="73" t="s">
        <v>303</v>
      </c>
      <c r="K6" s="73" t="s">
        <v>304</v>
      </c>
      <c r="L6" s="73" t="s">
        <v>305</v>
      </c>
      <c r="M6" s="73"/>
      <c r="N6" s="73"/>
      <c r="O6" s="73" t="s">
        <v>306</v>
      </c>
      <c r="P6" s="73"/>
      <c r="Q6" s="73" t="s">
        <v>303</v>
      </c>
      <c r="R6" s="73" t="s">
        <v>308</v>
      </c>
      <c r="S6" s="22"/>
      <c r="V6" s="80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0"/>
    </row>
    <row r="8" spans="1:22" s="6" customFormat="1" ht="36" customHeight="1">
      <c r="B8" s="16"/>
      <c r="D8" s="46" t="s">
        <v>184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17"/>
      <c r="V8" s="80"/>
    </row>
    <row r="9" spans="1:22" s="6" customFormat="1" ht="80.099999999999994" customHeight="1">
      <c r="B9" s="18">
        <f>B5+1</f>
        <v>2</v>
      </c>
      <c r="D9" s="36" t="s">
        <v>235</v>
      </c>
      <c r="E9" s="36" t="s">
        <v>107</v>
      </c>
      <c r="F9" s="36" t="str">
        <f>CHAR(10)</f>
        <v xml:space="preserve">
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19"/>
      <c r="T9" s="15"/>
      <c r="V9" s="80"/>
    </row>
    <row r="10" spans="1:22" s="6" customFormat="1" ht="36" customHeight="1">
      <c r="B10" s="20"/>
      <c r="D10" s="73" t="s">
        <v>185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8"/>
      <c r="V10" s="80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0"/>
    </row>
    <row r="12" spans="1:22" s="6" customFormat="1" ht="36" customHeight="1">
      <c r="B12" s="16"/>
      <c r="D12" s="46" t="s">
        <v>301</v>
      </c>
      <c r="E12" s="46" t="s">
        <v>303</v>
      </c>
      <c r="F12" s="46" t="s">
        <v>304</v>
      </c>
      <c r="G12" s="46" t="s">
        <v>305</v>
      </c>
      <c r="H12" s="46"/>
      <c r="I12" s="46" t="s">
        <v>160</v>
      </c>
      <c r="J12" s="46" t="s">
        <v>315</v>
      </c>
      <c r="K12" s="46" t="s">
        <v>222</v>
      </c>
      <c r="L12" s="46"/>
      <c r="M12" s="46" t="s">
        <v>317</v>
      </c>
      <c r="N12" s="46" t="s">
        <v>318</v>
      </c>
      <c r="O12" s="46" t="s">
        <v>320</v>
      </c>
      <c r="P12" s="46" t="s">
        <v>322</v>
      </c>
      <c r="Q12" s="46" t="s">
        <v>164</v>
      </c>
      <c r="R12" s="46" t="s">
        <v>145</v>
      </c>
      <c r="S12" s="17"/>
      <c r="V12" s="80"/>
    </row>
    <row r="13" spans="1:22" s="6" customFormat="1" ht="80.099999999999994" customHeight="1">
      <c r="B13" s="18">
        <f>B9+1</f>
        <v>3</v>
      </c>
      <c r="D13" s="36" t="s">
        <v>228</v>
      </c>
      <c r="E13" s="36" t="s">
        <v>229</v>
      </c>
      <c r="F13" s="36" t="s">
        <v>230</v>
      </c>
      <c r="G13" s="36" t="s">
        <v>231</v>
      </c>
      <c r="H13" s="36" t="s">
        <v>18</v>
      </c>
      <c r="I13" s="36" t="s">
        <v>236</v>
      </c>
      <c r="J13" s="36" t="s">
        <v>237</v>
      </c>
      <c r="K13" s="36" t="s">
        <v>202</v>
      </c>
      <c r="L13" s="36" t="s">
        <v>18</v>
      </c>
      <c r="M13" s="36" t="s">
        <v>238</v>
      </c>
      <c r="N13" s="36" t="s">
        <v>239</v>
      </c>
      <c r="O13" s="36" t="s">
        <v>240</v>
      </c>
      <c r="P13" s="36" t="s">
        <v>241</v>
      </c>
      <c r="Q13" s="36" t="s">
        <v>122</v>
      </c>
      <c r="R13" s="36" t="s">
        <v>242</v>
      </c>
      <c r="S13" s="19"/>
      <c r="V13" s="80"/>
    </row>
    <row r="14" spans="1:22" s="6" customFormat="1" ht="36" customHeight="1">
      <c r="B14" s="20"/>
      <c r="D14" s="73" t="s">
        <v>302</v>
      </c>
      <c r="E14" s="73" t="s">
        <v>303</v>
      </c>
      <c r="F14" s="73" t="s">
        <v>304</v>
      </c>
      <c r="G14" s="73" t="s">
        <v>305</v>
      </c>
      <c r="H14" s="73"/>
      <c r="I14" s="73" t="s">
        <v>161</v>
      </c>
      <c r="J14" s="73" t="s">
        <v>316</v>
      </c>
      <c r="K14" s="73" t="s">
        <v>140</v>
      </c>
      <c r="L14" s="73"/>
      <c r="M14" s="73" t="s">
        <v>317</v>
      </c>
      <c r="N14" s="73" t="s">
        <v>319</v>
      </c>
      <c r="O14" s="73" t="s">
        <v>321</v>
      </c>
      <c r="P14" s="73" t="s">
        <v>323</v>
      </c>
      <c r="Q14" s="73" t="s">
        <v>165</v>
      </c>
      <c r="R14" s="73" t="s">
        <v>146</v>
      </c>
      <c r="S14" s="28"/>
      <c r="V14" s="80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0"/>
    </row>
    <row r="16" spans="1:22" s="6" customFormat="1" ht="36" customHeight="1">
      <c r="B16" s="1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80"/>
    </row>
    <row r="17" spans="2:22" s="6" customFormat="1" ht="80.099999999999994" customHeight="1">
      <c r="B17" s="18">
        <f>B13+1</f>
        <v>4</v>
      </c>
      <c r="D17" s="36" t="s">
        <v>19</v>
      </c>
      <c r="E17" s="36" t="str">
        <f>CHAR(10)</f>
        <v xml:space="preserve">
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80"/>
    </row>
    <row r="18" spans="2:22" s="6" customFormat="1" ht="36" customHeight="1">
      <c r="B18" s="20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28"/>
      <c r="V18" s="80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0"/>
    </row>
    <row r="20" spans="2:22" s="6" customFormat="1" ht="36" customHeight="1">
      <c r="B20" s="16"/>
      <c r="D20" s="46" t="s">
        <v>336</v>
      </c>
      <c r="E20" s="46" t="s">
        <v>206</v>
      </c>
      <c r="F20" s="46" t="s">
        <v>141</v>
      </c>
      <c r="G20" s="46" t="s">
        <v>188</v>
      </c>
      <c r="H20" s="46"/>
      <c r="I20" s="46" t="s">
        <v>139</v>
      </c>
      <c r="J20" s="46" t="s">
        <v>223</v>
      </c>
      <c r="K20" s="46" t="s">
        <v>39</v>
      </c>
      <c r="L20" s="46"/>
      <c r="M20" s="46" t="s">
        <v>150</v>
      </c>
      <c r="N20" s="46" t="s">
        <v>182</v>
      </c>
      <c r="O20" s="46" t="s">
        <v>162</v>
      </c>
      <c r="P20" s="46" t="s">
        <v>100</v>
      </c>
      <c r="Q20" s="46" t="s">
        <v>131</v>
      </c>
      <c r="R20" s="46" t="s">
        <v>166</v>
      </c>
      <c r="S20" s="17"/>
      <c r="V20" s="80"/>
    </row>
    <row r="21" spans="2:22" s="6" customFormat="1" ht="80.099999999999994" customHeight="1">
      <c r="B21" s="18">
        <f>B17+1</f>
        <v>5</v>
      </c>
      <c r="D21" s="36" t="s">
        <v>243</v>
      </c>
      <c r="E21" s="36" t="s">
        <v>201</v>
      </c>
      <c r="F21" s="36" t="s">
        <v>244</v>
      </c>
      <c r="G21" s="36" t="s">
        <v>129</v>
      </c>
      <c r="H21" s="36" t="s">
        <v>18</v>
      </c>
      <c r="I21" s="36" t="s">
        <v>115</v>
      </c>
      <c r="J21" s="36" t="s">
        <v>203</v>
      </c>
      <c r="K21" s="36" t="s">
        <v>36</v>
      </c>
      <c r="L21" s="36" t="s">
        <v>18</v>
      </c>
      <c r="M21" s="36" t="s">
        <v>119</v>
      </c>
      <c r="N21" s="36" t="s">
        <v>200</v>
      </c>
      <c r="O21" s="36" t="s">
        <v>121</v>
      </c>
      <c r="P21" s="36" t="s">
        <v>245</v>
      </c>
      <c r="Q21" s="36" t="s">
        <v>108</v>
      </c>
      <c r="R21" s="36" t="s">
        <v>246</v>
      </c>
      <c r="S21" s="19"/>
      <c r="V21" s="80"/>
    </row>
    <row r="22" spans="2:22" s="6" customFormat="1" ht="36" customHeight="1">
      <c r="B22" s="20"/>
      <c r="D22" s="73" t="s">
        <v>337</v>
      </c>
      <c r="E22" s="73" t="s">
        <v>206</v>
      </c>
      <c r="F22" s="73" t="s">
        <v>141</v>
      </c>
      <c r="G22" s="73" t="s">
        <v>188</v>
      </c>
      <c r="H22" s="73"/>
      <c r="I22" s="73" t="s">
        <v>139</v>
      </c>
      <c r="J22" s="73" t="s">
        <v>147</v>
      </c>
      <c r="K22" s="73" t="s">
        <v>40</v>
      </c>
      <c r="L22" s="73"/>
      <c r="M22" s="73" t="s">
        <v>151</v>
      </c>
      <c r="N22" s="73" t="s">
        <v>183</v>
      </c>
      <c r="O22" s="73" t="s">
        <v>163</v>
      </c>
      <c r="P22" s="73" t="s">
        <v>100</v>
      </c>
      <c r="Q22" s="73" t="s">
        <v>132</v>
      </c>
      <c r="R22" s="73" t="s">
        <v>167</v>
      </c>
      <c r="S22" s="28"/>
      <c r="V22" s="80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0"/>
    </row>
    <row r="24" spans="2:22" s="6" customFormat="1" ht="36" customHeight="1">
      <c r="B24" s="1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80"/>
    </row>
    <row r="25" spans="2:22" s="6" customFormat="1" ht="80.099999999999994" customHeight="1">
      <c r="B25" s="18">
        <f>B21+1</f>
        <v>6</v>
      </c>
      <c r="D25" s="36" t="s">
        <v>116</v>
      </c>
      <c r="E25" s="36" t="str">
        <f>CHAR(10)</f>
        <v xml:space="preserve">
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80"/>
    </row>
    <row r="26" spans="2:22" s="6" customFormat="1" ht="36" customHeight="1">
      <c r="B26" s="20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8"/>
      <c r="V26" s="80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0"/>
    </row>
    <row r="28" spans="2:22" s="6" customFormat="1" ht="36" customHeight="1">
      <c r="B28" s="16"/>
      <c r="D28" s="46" t="s">
        <v>103</v>
      </c>
      <c r="E28" s="46" t="s">
        <v>347</v>
      </c>
      <c r="F28" s="46" t="s">
        <v>162</v>
      </c>
      <c r="G28" s="46" t="s">
        <v>102</v>
      </c>
      <c r="H28" s="46"/>
      <c r="I28" s="46" t="s">
        <v>101</v>
      </c>
      <c r="J28" s="46" t="s">
        <v>348</v>
      </c>
      <c r="K28" s="46" t="s">
        <v>158</v>
      </c>
      <c r="L28" s="46" t="s">
        <v>97</v>
      </c>
      <c r="M28" s="46"/>
      <c r="N28" s="46" t="s">
        <v>350</v>
      </c>
      <c r="O28" s="46" t="s">
        <v>97</v>
      </c>
      <c r="P28" s="46" t="s">
        <v>43</v>
      </c>
      <c r="Q28" s="46" t="s">
        <v>352</v>
      </c>
      <c r="R28" s="46" t="s">
        <v>152</v>
      </c>
      <c r="S28" s="17"/>
      <c r="U28" s="32" t="str">
        <f t="shared" si="1"/>
        <v/>
      </c>
      <c r="V28" s="80"/>
    </row>
    <row r="29" spans="2:22" s="6" customFormat="1" ht="80.099999999999994" customHeight="1">
      <c r="B29" s="18">
        <f>B25+1</f>
        <v>7</v>
      </c>
      <c r="D29" s="36" t="s">
        <v>99</v>
      </c>
      <c r="E29" s="36" t="s">
        <v>247</v>
      </c>
      <c r="F29" s="36" t="s">
        <v>199</v>
      </c>
      <c r="G29" s="36" t="s">
        <v>98</v>
      </c>
      <c r="H29" s="36" t="s">
        <v>18</v>
      </c>
      <c r="I29" s="36" t="s">
        <v>248</v>
      </c>
      <c r="J29" s="36" t="s">
        <v>249</v>
      </c>
      <c r="K29" s="36" t="s">
        <v>118</v>
      </c>
      <c r="L29" s="36" t="s">
        <v>113</v>
      </c>
      <c r="M29" s="36" t="s">
        <v>18</v>
      </c>
      <c r="N29" s="36" t="s">
        <v>250</v>
      </c>
      <c r="O29" s="36" t="s">
        <v>96</v>
      </c>
      <c r="P29" s="36" t="s">
        <v>37</v>
      </c>
      <c r="Q29" s="36" t="s">
        <v>251</v>
      </c>
      <c r="R29" s="36" t="s">
        <v>252</v>
      </c>
      <c r="S29" s="19"/>
      <c r="U29" s="32" t="str">
        <f t="shared" si="1"/>
        <v/>
      </c>
      <c r="V29" s="80"/>
    </row>
    <row r="30" spans="2:22" s="6" customFormat="1" ht="36" customHeight="1">
      <c r="B30" s="20"/>
      <c r="D30" s="73" t="s">
        <v>105</v>
      </c>
      <c r="E30" s="73" t="s">
        <v>347</v>
      </c>
      <c r="F30" s="73" t="s">
        <v>163</v>
      </c>
      <c r="G30" s="73" t="s">
        <v>104</v>
      </c>
      <c r="H30" s="73"/>
      <c r="I30" s="73" t="s">
        <v>101</v>
      </c>
      <c r="J30" s="73" t="s">
        <v>349</v>
      </c>
      <c r="K30" s="73" t="s">
        <v>159</v>
      </c>
      <c r="L30" s="73" t="s">
        <v>97</v>
      </c>
      <c r="M30" s="73"/>
      <c r="N30" s="73" t="s">
        <v>351</v>
      </c>
      <c r="O30" s="73" t="s">
        <v>97</v>
      </c>
      <c r="P30" s="73" t="s">
        <v>43</v>
      </c>
      <c r="Q30" s="73" t="s">
        <v>352</v>
      </c>
      <c r="R30" s="73" t="s">
        <v>153</v>
      </c>
      <c r="S30" s="28"/>
      <c r="U30" s="32" t="str">
        <f t="shared" si="1"/>
        <v/>
      </c>
      <c r="V30" s="80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0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0"/>
    </row>
    <row r="33" spans="2:22" s="6" customFormat="1" ht="80.099999999999994" customHeight="1">
      <c r="B33" s="18">
        <f>B29+1</f>
        <v>8</v>
      </c>
      <c r="D33" s="36" t="s">
        <v>19</v>
      </c>
      <c r="E33" s="36" t="str">
        <f>CHAR(10)</f>
        <v xml:space="preserve">
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0"/>
    </row>
    <row r="34" spans="2:22" s="6" customFormat="1" ht="36" customHeight="1">
      <c r="B34" s="20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28"/>
      <c r="V34" s="80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V35" s="80"/>
    </row>
    <row r="36" spans="2:22" s="6" customFormat="1" ht="36" customHeight="1">
      <c r="B36" s="16"/>
      <c r="D36" s="46" t="s">
        <v>364</v>
      </c>
      <c r="E36" s="46" t="s">
        <v>140</v>
      </c>
      <c r="F36" s="46" t="s">
        <v>148</v>
      </c>
      <c r="G36" s="46" t="s">
        <v>366</v>
      </c>
      <c r="H36" s="46"/>
      <c r="I36" s="46" t="s">
        <v>31</v>
      </c>
      <c r="J36" s="46" t="s">
        <v>139</v>
      </c>
      <c r="K36" s="46" t="s">
        <v>102</v>
      </c>
      <c r="L36" s="46" t="s">
        <v>367</v>
      </c>
      <c r="M36" s="46"/>
      <c r="N36" s="46"/>
      <c r="O36" s="46"/>
      <c r="P36" s="46"/>
      <c r="Q36" s="46"/>
      <c r="R36" s="46"/>
      <c r="S36" s="17"/>
      <c r="V36" s="80"/>
    </row>
    <row r="37" spans="2:22" s="6" customFormat="1" ht="80.099999999999994" customHeight="1">
      <c r="B37" s="18">
        <f>B33+1</f>
        <v>9</v>
      </c>
      <c r="D37" s="36" t="s">
        <v>253</v>
      </c>
      <c r="E37" s="36" t="s">
        <v>254</v>
      </c>
      <c r="F37" s="36" t="s">
        <v>255</v>
      </c>
      <c r="G37" s="36" t="s">
        <v>256</v>
      </c>
      <c r="H37" s="36" t="s">
        <v>18</v>
      </c>
      <c r="I37" s="36" t="s">
        <v>30</v>
      </c>
      <c r="J37" s="36" t="s">
        <v>115</v>
      </c>
      <c r="K37" s="36" t="s">
        <v>257</v>
      </c>
      <c r="L37" s="36" t="s">
        <v>258</v>
      </c>
      <c r="M37" s="36" t="s">
        <v>259</v>
      </c>
      <c r="N37" s="36" t="s">
        <v>260</v>
      </c>
      <c r="O37" s="36" t="s">
        <v>116</v>
      </c>
      <c r="P37" s="36" t="str">
        <f>CHAR(10)</f>
        <v xml:space="preserve">
</v>
      </c>
      <c r="Q37" s="36"/>
      <c r="R37" s="36"/>
      <c r="S37" s="19"/>
      <c r="V37" s="80"/>
    </row>
    <row r="38" spans="2:22" s="6" customFormat="1" ht="36" customHeight="1">
      <c r="B38" s="20"/>
      <c r="D38" s="73" t="s">
        <v>364</v>
      </c>
      <c r="E38" s="73" t="s">
        <v>365</v>
      </c>
      <c r="F38" s="73" t="s">
        <v>148</v>
      </c>
      <c r="G38" s="73" t="s">
        <v>366</v>
      </c>
      <c r="H38" s="73"/>
      <c r="I38" s="73" t="s">
        <v>31</v>
      </c>
      <c r="J38" s="73" t="s">
        <v>139</v>
      </c>
      <c r="K38" s="73" t="s">
        <v>104</v>
      </c>
      <c r="L38" s="73" t="s">
        <v>368</v>
      </c>
      <c r="M38" s="73"/>
      <c r="N38" s="73"/>
      <c r="O38" s="73"/>
      <c r="P38" s="73"/>
      <c r="Q38" s="73"/>
      <c r="R38" s="73"/>
      <c r="S38" s="28"/>
      <c r="V38" s="80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0"/>
    </row>
    <row r="40" spans="2:22" s="6" customFormat="1" ht="36" customHeight="1">
      <c r="B40" s="16"/>
      <c r="D40" s="46" t="s">
        <v>176</v>
      </c>
      <c r="E40" s="46" t="s">
        <v>171</v>
      </c>
      <c r="F40" s="46" t="s">
        <v>174</v>
      </c>
      <c r="G40" s="46" t="s">
        <v>144</v>
      </c>
      <c r="H40" s="46" t="s">
        <v>379</v>
      </c>
      <c r="I40" s="46" t="s">
        <v>381</v>
      </c>
      <c r="J40" s="46"/>
      <c r="K40" s="46" t="s">
        <v>154</v>
      </c>
      <c r="L40" s="46" t="s">
        <v>382</v>
      </c>
      <c r="M40" s="46" t="s">
        <v>168</v>
      </c>
      <c r="N40" s="46" t="s">
        <v>186</v>
      </c>
      <c r="O40" s="46"/>
      <c r="P40" s="46" t="s">
        <v>383</v>
      </c>
      <c r="Q40" s="46" t="s">
        <v>181</v>
      </c>
      <c r="R40" s="46" t="s">
        <v>173</v>
      </c>
      <c r="S40" s="17"/>
      <c r="V40" s="80"/>
    </row>
    <row r="41" spans="2:22" s="6" customFormat="1" ht="80.099999999999994" customHeight="1">
      <c r="B41" s="18">
        <f>B37+1</f>
        <v>10</v>
      </c>
      <c r="D41" s="36" t="s">
        <v>126</v>
      </c>
      <c r="E41" s="36" t="s">
        <v>261</v>
      </c>
      <c r="F41" s="36" t="s">
        <v>262</v>
      </c>
      <c r="G41" s="36" t="s">
        <v>123</v>
      </c>
      <c r="H41" s="36" t="s">
        <v>263</v>
      </c>
      <c r="I41" s="36" t="s">
        <v>264</v>
      </c>
      <c r="J41" s="36" t="s">
        <v>18</v>
      </c>
      <c r="K41" s="36" t="s">
        <v>265</v>
      </c>
      <c r="L41" s="36" t="s">
        <v>266</v>
      </c>
      <c r="M41" s="36" t="s">
        <v>267</v>
      </c>
      <c r="N41" s="36" t="s">
        <v>268</v>
      </c>
      <c r="O41" s="36" t="s">
        <v>18</v>
      </c>
      <c r="P41" s="36" t="s">
        <v>269</v>
      </c>
      <c r="Q41" s="36" t="s">
        <v>270</v>
      </c>
      <c r="R41" s="36" t="s">
        <v>271</v>
      </c>
      <c r="S41" s="19"/>
      <c r="V41" s="80"/>
    </row>
    <row r="42" spans="2:22" s="6" customFormat="1" ht="36" customHeight="1">
      <c r="B42" s="20"/>
      <c r="D42" s="73" t="s">
        <v>176</v>
      </c>
      <c r="E42" s="73" t="s">
        <v>172</v>
      </c>
      <c r="F42" s="73" t="s">
        <v>175</v>
      </c>
      <c r="G42" s="73" t="s">
        <v>144</v>
      </c>
      <c r="H42" s="73" t="s">
        <v>380</v>
      </c>
      <c r="I42" s="73" t="s">
        <v>381</v>
      </c>
      <c r="J42" s="73"/>
      <c r="K42" s="73" t="s">
        <v>155</v>
      </c>
      <c r="L42" s="73" t="s">
        <v>382</v>
      </c>
      <c r="M42" s="73" t="s">
        <v>168</v>
      </c>
      <c r="N42" s="73" t="s">
        <v>187</v>
      </c>
      <c r="O42" s="73"/>
      <c r="P42" s="73" t="s">
        <v>384</v>
      </c>
      <c r="Q42" s="73" t="s">
        <v>385</v>
      </c>
      <c r="R42" s="73" t="s">
        <v>173</v>
      </c>
      <c r="S42" s="28"/>
      <c r="V42" s="80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0"/>
    </row>
    <row r="44" spans="2:22" s="6" customFormat="1" ht="36" customHeight="1">
      <c r="B44" s="16"/>
      <c r="D44" s="46" t="s">
        <v>142</v>
      </c>
      <c r="E44" s="46" t="s">
        <v>398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0"/>
    </row>
    <row r="45" spans="2:22" s="6" customFormat="1" ht="80.099999999999994" customHeight="1">
      <c r="B45" s="18">
        <f>B41+1</f>
        <v>11</v>
      </c>
      <c r="D45" s="36" t="s">
        <v>272</v>
      </c>
      <c r="E45" s="36" t="s">
        <v>273</v>
      </c>
      <c r="F45" s="36" t="s">
        <v>19</v>
      </c>
      <c r="G45" s="36" t="str">
        <f>CHAR(10)</f>
        <v xml:space="preserve">
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0"/>
    </row>
    <row r="46" spans="2:22" s="6" customFormat="1" ht="36" customHeight="1">
      <c r="B46" s="20"/>
      <c r="D46" s="73" t="s">
        <v>143</v>
      </c>
      <c r="E46" s="73" t="s">
        <v>399</v>
      </c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28"/>
      <c r="V46" s="80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0"/>
    </row>
    <row r="48" spans="2:22" s="6" customFormat="1" ht="36" customHeight="1">
      <c r="B48" s="16"/>
      <c r="D48" s="46" t="s">
        <v>402</v>
      </c>
      <c r="E48" s="46" t="s">
        <v>404</v>
      </c>
      <c r="F48" s="46" t="s">
        <v>150</v>
      </c>
      <c r="G48" s="46" t="s">
        <v>406</v>
      </c>
      <c r="H48" s="46"/>
      <c r="I48" s="46" t="s">
        <v>169</v>
      </c>
      <c r="J48" s="46" t="s">
        <v>103</v>
      </c>
      <c r="K48" s="46" t="s">
        <v>347</v>
      </c>
      <c r="L48" s="46"/>
      <c r="M48" s="46" t="s">
        <v>407</v>
      </c>
      <c r="N48" s="46" t="s">
        <v>41</v>
      </c>
      <c r="O48" s="46" t="s">
        <v>408</v>
      </c>
      <c r="P48" s="46" t="s">
        <v>137</v>
      </c>
      <c r="Q48" s="46" t="s">
        <v>133</v>
      </c>
      <c r="R48" s="46" t="s">
        <v>166</v>
      </c>
      <c r="S48" s="17"/>
      <c r="V48" s="80"/>
    </row>
    <row r="49" spans="2:22" s="6" customFormat="1" ht="80.099999999999994" customHeight="1">
      <c r="B49" s="18">
        <f>B45+1</f>
        <v>12</v>
      </c>
      <c r="D49" s="36" t="s">
        <v>274</v>
      </c>
      <c r="E49" s="36" t="s">
        <v>275</v>
      </c>
      <c r="F49" s="36" t="s">
        <v>276</v>
      </c>
      <c r="G49" s="36" t="s">
        <v>277</v>
      </c>
      <c r="H49" s="36" t="s">
        <v>18</v>
      </c>
      <c r="I49" s="36" t="s">
        <v>124</v>
      </c>
      <c r="J49" s="36" t="s">
        <v>99</v>
      </c>
      <c r="K49" s="36" t="s">
        <v>247</v>
      </c>
      <c r="L49" s="36" t="s">
        <v>18</v>
      </c>
      <c r="M49" s="36" t="s">
        <v>278</v>
      </c>
      <c r="N49" s="36" t="s">
        <v>114</v>
      </c>
      <c r="O49" s="36" t="s">
        <v>279</v>
      </c>
      <c r="P49" s="36" t="s">
        <v>112</v>
      </c>
      <c r="Q49" s="36" t="s">
        <v>109</v>
      </c>
      <c r="R49" s="36" t="s">
        <v>125</v>
      </c>
      <c r="S49" s="19"/>
      <c r="V49" s="80"/>
    </row>
    <row r="50" spans="2:22" s="6" customFormat="1" ht="36" customHeight="1">
      <c r="B50" s="20"/>
      <c r="D50" s="73" t="s">
        <v>403</v>
      </c>
      <c r="E50" s="73" t="s">
        <v>405</v>
      </c>
      <c r="F50" s="73" t="s">
        <v>151</v>
      </c>
      <c r="G50" s="73" t="s">
        <v>406</v>
      </c>
      <c r="H50" s="73"/>
      <c r="I50" s="73" t="s">
        <v>170</v>
      </c>
      <c r="J50" s="73" t="s">
        <v>105</v>
      </c>
      <c r="K50" s="73" t="s">
        <v>347</v>
      </c>
      <c r="L50" s="73"/>
      <c r="M50" s="73" t="s">
        <v>407</v>
      </c>
      <c r="N50" s="73" t="s">
        <v>42</v>
      </c>
      <c r="O50" s="73" t="s">
        <v>408</v>
      </c>
      <c r="P50" s="73" t="s">
        <v>138</v>
      </c>
      <c r="Q50" s="73" t="s">
        <v>134</v>
      </c>
      <c r="R50" s="73" t="s">
        <v>167</v>
      </c>
      <c r="S50" s="28"/>
      <c r="V50" s="80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0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0"/>
    </row>
    <row r="53" spans="2:22" s="6" customFormat="1" ht="80.099999999999994" customHeight="1">
      <c r="B53" s="18">
        <f>B49+1</f>
        <v>13</v>
      </c>
      <c r="D53" s="36" t="s">
        <v>19</v>
      </c>
      <c r="E53" s="36" t="str">
        <f>CHAR(10)</f>
        <v xml:space="preserve">
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0"/>
    </row>
    <row r="54" spans="2:22" s="6" customFormat="1" ht="36" customHeight="1">
      <c r="B54" s="20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28"/>
      <c r="V54" s="80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0"/>
    </row>
    <row r="56" spans="2:22" s="6" customFormat="1" ht="36" customHeight="1">
      <c r="B56" s="16"/>
      <c r="D56" s="46" t="s">
        <v>177</v>
      </c>
      <c r="E56" s="46" t="s">
        <v>419</v>
      </c>
      <c r="F56" s="46" t="s">
        <v>179</v>
      </c>
      <c r="G56" s="46" t="s">
        <v>135</v>
      </c>
      <c r="H56" s="46"/>
      <c r="I56" s="46" t="s">
        <v>420</v>
      </c>
      <c r="J56" s="46" t="s">
        <v>224</v>
      </c>
      <c r="K56" s="46" t="s">
        <v>420</v>
      </c>
      <c r="L56" s="46" t="s">
        <v>422</v>
      </c>
      <c r="M56" s="46"/>
      <c r="N56" s="46" t="s">
        <v>424</v>
      </c>
      <c r="O56" s="46" t="s">
        <v>156</v>
      </c>
      <c r="P56" s="46" t="s">
        <v>204</v>
      </c>
      <c r="Q56" s="46" t="s">
        <v>425</v>
      </c>
      <c r="R56" s="46" t="s">
        <v>426</v>
      </c>
      <c r="S56" s="17"/>
      <c r="V56" s="80"/>
    </row>
    <row r="57" spans="2:22" s="6" customFormat="1" ht="80.099999999999994" customHeight="1">
      <c r="B57" s="18">
        <f>B53+1</f>
        <v>14</v>
      </c>
      <c r="D57" s="36" t="s">
        <v>127</v>
      </c>
      <c r="E57" s="36" t="s">
        <v>280</v>
      </c>
      <c r="F57" s="36" t="s">
        <v>128</v>
      </c>
      <c r="G57" s="36" t="s">
        <v>110</v>
      </c>
      <c r="H57" s="36" t="s">
        <v>18</v>
      </c>
      <c r="I57" s="36" t="s">
        <v>281</v>
      </c>
      <c r="J57" s="36" t="s">
        <v>282</v>
      </c>
      <c r="K57" s="36" t="s">
        <v>281</v>
      </c>
      <c r="L57" s="36" t="s">
        <v>283</v>
      </c>
      <c r="M57" s="36" t="s">
        <v>18</v>
      </c>
      <c r="N57" s="36" t="s">
        <v>284</v>
      </c>
      <c r="O57" s="36" t="s">
        <v>117</v>
      </c>
      <c r="P57" s="36" t="s">
        <v>285</v>
      </c>
      <c r="Q57" s="36" t="s">
        <v>286</v>
      </c>
      <c r="R57" s="36" t="s">
        <v>287</v>
      </c>
      <c r="S57" s="19"/>
      <c r="V57" s="80"/>
    </row>
    <row r="58" spans="2:22" s="6" customFormat="1" ht="36" customHeight="1">
      <c r="B58" s="20"/>
      <c r="D58" s="73" t="s">
        <v>178</v>
      </c>
      <c r="E58" s="73" t="s">
        <v>419</v>
      </c>
      <c r="F58" s="73" t="s">
        <v>180</v>
      </c>
      <c r="G58" s="73" t="s">
        <v>136</v>
      </c>
      <c r="H58" s="73"/>
      <c r="I58" s="73" t="s">
        <v>421</v>
      </c>
      <c r="J58" s="73" t="s">
        <v>224</v>
      </c>
      <c r="K58" s="73" t="s">
        <v>421</v>
      </c>
      <c r="L58" s="73" t="s">
        <v>423</v>
      </c>
      <c r="M58" s="73"/>
      <c r="N58" s="73" t="s">
        <v>424</v>
      </c>
      <c r="O58" s="73" t="s">
        <v>156</v>
      </c>
      <c r="P58" s="73" t="s">
        <v>204</v>
      </c>
      <c r="Q58" s="73" t="s">
        <v>425</v>
      </c>
      <c r="R58" s="73" t="s">
        <v>427</v>
      </c>
      <c r="S58" s="28"/>
      <c r="V58" s="80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0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0"/>
    </row>
    <row r="61" spans="2:22" s="6" customFormat="1" ht="80.099999999999994" customHeight="1">
      <c r="B61" s="18">
        <f>B57+1</f>
        <v>15</v>
      </c>
      <c r="D61" s="36" t="s">
        <v>19</v>
      </c>
      <c r="E61" s="36" t="str">
        <f>CHAR(10)</f>
        <v xml:space="preserve">
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0"/>
    </row>
    <row r="62" spans="2:22" s="6" customFormat="1" ht="36" customHeight="1">
      <c r="B62" s="20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28"/>
      <c r="V62" s="80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0"/>
    </row>
    <row r="64" spans="2:22" s="6" customFormat="1" ht="36" customHeight="1">
      <c r="B64" s="16"/>
      <c r="D64" s="46" t="s">
        <v>434</v>
      </c>
      <c r="E64" s="46" t="s">
        <v>157</v>
      </c>
      <c r="F64" s="46" t="s">
        <v>322</v>
      </c>
      <c r="G64" s="46" t="s">
        <v>435</v>
      </c>
      <c r="H64" s="46"/>
      <c r="I64" s="46" t="s">
        <v>437</v>
      </c>
      <c r="J64" s="46" t="s">
        <v>189</v>
      </c>
      <c r="K64" s="46" t="s">
        <v>135</v>
      </c>
      <c r="L64" s="46" t="s">
        <v>438</v>
      </c>
      <c r="M64" s="46" t="s">
        <v>440</v>
      </c>
      <c r="N64" s="46" t="s">
        <v>441</v>
      </c>
      <c r="O64" s="46"/>
      <c r="P64" s="46"/>
      <c r="Q64" s="46"/>
      <c r="R64" s="46"/>
      <c r="S64" s="17"/>
      <c r="V64" s="80"/>
    </row>
    <row r="65" spans="2:22" s="6" customFormat="1" ht="80.099999999999994" customHeight="1">
      <c r="B65" s="18">
        <f>B61+1</f>
        <v>16</v>
      </c>
      <c r="D65" s="36" t="s">
        <v>288</v>
      </c>
      <c r="E65" s="36" t="s">
        <v>289</v>
      </c>
      <c r="F65" s="36" t="s">
        <v>290</v>
      </c>
      <c r="G65" s="36" t="s">
        <v>291</v>
      </c>
      <c r="H65" s="36" t="s">
        <v>18</v>
      </c>
      <c r="I65" s="36" t="s">
        <v>292</v>
      </c>
      <c r="J65" s="36" t="s">
        <v>130</v>
      </c>
      <c r="K65" s="36" t="s">
        <v>111</v>
      </c>
      <c r="L65" s="36" t="s">
        <v>293</v>
      </c>
      <c r="M65" s="36" t="s">
        <v>294</v>
      </c>
      <c r="N65" s="36" t="s">
        <v>295</v>
      </c>
      <c r="O65" s="36" t="s">
        <v>19</v>
      </c>
      <c r="P65" s="36" t="str">
        <f>CHAR(10)</f>
        <v xml:space="preserve">
</v>
      </c>
      <c r="Q65" s="36"/>
      <c r="R65" s="36"/>
      <c r="S65" s="19"/>
      <c r="V65" s="80"/>
    </row>
    <row r="66" spans="2:22" s="6" customFormat="1" ht="36" customHeight="1">
      <c r="B66" s="20"/>
      <c r="D66" s="73" t="s">
        <v>434</v>
      </c>
      <c r="E66" s="73" t="s">
        <v>157</v>
      </c>
      <c r="F66" s="73" t="s">
        <v>323</v>
      </c>
      <c r="G66" s="73" t="s">
        <v>436</v>
      </c>
      <c r="H66" s="73"/>
      <c r="I66" s="73" t="s">
        <v>437</v>
      </c>
      <c r="J66" s="73" t="s">
        <v>189</v>
      </c>
      <c r="K66" s="73" t="s">
        <v>136</v>
      </c>
      <c r="L66" s="73" t="s">
        <v>439</v>
      </c>
      <c r="M66" s="73" t="s">
        <v>440</v>
      </c>
      <c r="N66" s="73" t="s">
        <v>442</v>
      </c>
      <c r="O66" s="73"/>
      <c r="P66" s="73"/>
      <c r="Q66" s="73"/>
      <c r="R66" s="73"/>
      <c r="S66" s="28"/>
      <c r="V66" s="80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0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0"/>
    </row>
    <row r="69" spans="2:22" s="6" customFormat="1" ht="80.099999999999994" customHeight="1">
      <c r="B69" s="18">
        <f>B65+1</f>
        <v>17</v>
      </c>
      <c r="D69" s="36" t="s">
        <v>20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0"/>
    </row>
    <row r="70" spans="2:22" s="6" customFormat="1" ht="36" customHeight="1">
      <c r="B70" s="20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28"/>
      <c r="V70" s="80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0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0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0"/>
    </row>
    <row r="74" spans="2:22" s="6" customFormat="1" ht="36" customHeight="1">
      <c r="B74" s="20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8"/>
      <c r="V74" s="80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0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0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0"/>
    </row>
    <row r="78" spans="2:22" s="6" customFormat="1" ht="36" customHeight="1">
      <c r="B78" s="20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8"/>
      <c r="V78" s="80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0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0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0"/>
    </row>
    <row r="82" spans="2:22" s="6" customFormat="1" ht="36" customHeight="1">
      <c r="B82" s="20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8"/>
      <c r="V82" s="81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7" priority="3">
      <formula>顯示注音輸入</formula>
    </cfRule>
    <cfRule type="expression" dxfId="6" priority="4">
      <formula>"'= TRUE(顯示注音輸入)"</formula>
    </cfRule>
  </conditionalFormatting>
  <conditionalFormatting sqref="D2267:R2267">
    <cfRule type="expression" dxfId="5" priority="1">
      <formula>顯示注音輸入</formula>
    </cfRule>
    <cfRule type="expression" dxfId="4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DDA74-0008-4619-8A8F-50493166F3E7}">
  <dimension ref="A1:T12"/>
  <sheetViews>
    <sheetView topLeftCell="A8" zoomScale="80" zoomScaleNormal="80" workbookViewId="0">
      <selection activeCell="T12" sqref="A4:T12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142.625" bestFit="1" customWidth="1"/>
  </cols>
  <sheetData>
    <row r="1" spans="1:20">
      <c r="B1" s="56"/>
      <c r="F1" s="63" t="s">
        <v>44</v>
      </c>
      <c r="G1" s="63"/>
      <c r="H1" s="63"/>
      <c r="I1" s="63"/>
      <c r="J1" s="63"/>
      <c r="K1" s="63"/>
      <c r="L1" s="57"/>
      <c r="M1" s="57"/>
      <c r="N1" s="57" t="s">
        <v>45</v>
      </c>
      <c r="O1" s="57"/>
      <c r="P1" s="57"/>
    </row>
    <row r="3" spans="1:20" ht="60">
      <c r="A3" s="54" t="s">
        <v>46</v>
      </c>
      <c r="B3" s="54" t="s">
        <v>47</v>
      </c>
      <c r="C3" s="54" t="s">
        <v>48</v>
      </c>
      <c r="D3" s="59" t="s">
        <v>49</v>
      </c>
      <c r="E3" s="59" t="s">
        <v>50</v>
      </c>
      <c r="F3" s="58" t="s">
        <v>51</v>
      </c>
      <c r="G3" s="58" t="s">
        <v>52</v>
      </c>
      <c r="H3" s="58" t="s">
        <v>33</v>
      </c>
      <c r="I3" s="58" t="s">
        <v>53</v>
      </c>
      <c r="J3" s="58" t="s">
        <v>54</v>
      </c>
      <c r="K3" s="58" t="s">
        <v>55</v>
      </c>
      <c r="L3" s="60" t="s">
        <v>56</v>
      </c>
      <c r="M3" s="57" t="s">
        <v>33</v>
      </c>
      <c r="N3" s="57" t="s">
        <v>53</v>
      </c>
      <c r="O3" s="57" t="s">
        <v>54</v>
      </c>
      <c r="P3" s="57" t="s">
        <v>55</v>
      </c>
      <c r="Q3" s="71" t="s">
        <v>34</v>
      </c>
      <c r="R3" s="71" t="s">
        <v>57</v>
      </c>
      <c r="T3" s="71" t="s">
        <v>95</v>
      </c>
    </row>
    <row r="4" spans="1:20" ht="69">
      <c r="A4" s="55">
        <v>1</v>
      </c>
      <c r="B4" s="64" t="s">
        <v>58</v>
      </c>
      <c r="C4" s="66" t="s">
        <v>59</v>
      </c>
      <c r="D4" s="67">
        <v>20</v>
      </c>
      <c r="E4" s="67">
        <v>25</v>
      </c>
      <c r="F4" s="68">
        <v>0</v>
      </c>
      <c r="G4" s="69">
        <v>25000</v>
      </c>
      <c r="H4" s="70" t="s">
        <v>60</v>
      </c>
      <c r="I4" s="70" t="s">
        <v>60</v>
      </c>
      <c r="J4" s="70" t="s">
        <v>61</v>
      </c>
      <c r="K4" s="70" t="s">
        <v>62</v>
      </c>
      <c r="L4" s="62">
        <v>20000</v>
      </c>
      <c r="M4" s="62" t="s">
        <v>60</v>
      </c>
      <c r="N4" s="62" t="s">
        <v>60</v>
      </c>
      <c r="O4" s="62" t="s">
        <v>63</v>
      </c>
      <c r="P4" s="62" t="s">
        <v>62</v>
      </c>
      <c r="Q4" s="53" t="s">
        <v>601</v>
      </c>
      <c r="R4" s="52" t="s">
        <v>619</v>
      </c>
      <c r="T4" s="75" t="str">
        <f xml:space="preserve"> _xlfn.CONCAT(Q4, CHAR(10), R4)</f>
        <v>《念奴嬌。斷虹霽雨》（宋：黃庭堅）
Liâm lóo giāo. Duàn hóng zè wǔ sòng: hóng díng giān</v>
      </c>
    </row>
    <row r="5" spans="1:20" ht="69">
      <c r="A5" s="55">
        <v>2</v>
      </c>
      <c r="B5" s="65" t="s">
        <v>64</v>
      </c>
      <c r="C5" s="66" t="s">
        <v>65</v>
      </c>
      <c r="D5" s="61">
        <v>2</v>
      </c>
      <c r="E5" s="61">
        <v>5</v>
      </c>
      <c r="F5" s="68">
        <v>25000</v>
      </c>
      <c r="G5" s="69">
        <v>30000</v>
      </c>
      <c r="H5" s="70" t="s">
        <v>60</v>
      </c>
      <c r="I5" s="70" t="s">
        <v>60</v>
      </c>
      <c r="J5" s="70" t="s">
        <v>66</v>
      </c>
      <c r="K5" s="70" t="s">
        <v>62</v>
      </c>
      <c r="L5" s="62">
        <v>27000</v>
      </c>
      <c r="M5" s="62" t="s">
        <v>60</v>
      </c>
      <c r="N5" s="62" t="s">
        <v>60</v>
      </c>
      <c r="O5" s="62" t="s">
        <v>67</v>
      </c>
      <c r="P5" s="62" t="s">
        <v>62</v>
      </c>
      <c r="Q5" s="53" t="s">
        <v>453</v>
      </c>
      <c r="R5" s="52" t="s">
        <v>620</v>
      </c>
      <c r="T5" s="75" t="str">
        <f t="shared" ref="T5:T10" si="0" xml:space="preserve"> _xlfn.CONCAT(Q5, CHAR(10), R5)</f>
        <v>斷虹霽雨，淨秋空，山染修眉新綠。
Duàn hóng zè wǔ, zîng cīu kōng, sān liǎm sīu bbí sīn liók.</v>
      </c>
    </row>
    <row r="6" spans="1:20" ht="69">
      <c r="A6" s="55">
        <v>3</v>
      </c>
      <c r="B6" s="65" t="s">
        <v>68</v>
      </c>
      <c r="C6" s="66" t="s">
        <v>69</v>
      </c>
      <c r="D6" s="61">
        <v>2</v>
      </c>
      <c r="E6" s="61">
        <v>5</v>
      </c>
      <c r="F6" s="68">
        <v>30000</v>
      </c>
      <c r="G6" s="69">
        <v>35000</v>
      </c>
      <c r="H6" s="70" t="s">
        <v>60</v>
      </c>
      <c r="I6" s="70" t="s">
        <v>60</v>
      </c>
      <c r="J6" s="70" t="s">
        <v>70</v>
      </c>
      <c r="K6" s="70" t="s">
        <v>62</v>
      </c>
      <c r="L6" s="62">
        <v>32000</v>
      </c>
      <c r="M6" s="62" t="s">
        <v>60</v>
      </c>
      <c r="N6" s="62" t="s">
        <v>60</v>
      </c>
      <c r="O6" s="62" t="s">
        <v>71</v>
      </c>
      <c r="P6" s="62" t="s">
        <v>62</v>
      </c>
      <c r="Q6" s="53" t="s">
        <v>454</v>
      </c>
      <c r="R6" s="52" t="s">
        <v>570</v>
      </c>
      <c r="T6" s="75" t="str">
        <f t="shared" si="0"/>
        <v>桂影扶疏，誰便道，今夕清輝不足？
Gùi yǐng hú sōo, súi bián dô, gīm sík cīng hūi būt ziōk?</v>
      </c>
    </row>
    <row r="7" spans="1:20" ht="69">
      <c r="A7" s="55">
        <v>4</v>
      </c>
      <c r="B7" s="65" t="s">
        <v>72</v>
      </c>
      <c r="C7" s="66" t="s">
        <v>73</v>
      </c>
      <c r="D7" s="61">
        <v>2</v>
      </c>
      <c r="E7" s="61">
        <v>5</v>
      </c>
      <c r="F7" s="68">
        <v>35000</v>
      </c>
      <c r="G7" s="69">
        <v>40000</v>
      </c>
      <c r="H7" s="70" t="s">
        <v>60</v>
      </c>
      <c r="I7" s="70" t="s">
        <v>60</v>
      </c>
      <c r="J7" s="70" t="s">
        <v>74</v>
      </c>
      <c r="K7" s="70" t="s">
        <v>62</v>
      </c>
      <c r="L7" s="62">
        <v>37000</v>
      </c>
      <c r="M7" s="62" t="s">
        <v>60</v>
      </c>
      <c r="N7" s="62" t="s">
        <v>60</v>
      </c>
      <c r="O7" s="62" t="s">
        <v>75</v>
      </c>
      <c r="P7" s="62" t="s">
        <v>62</v>
      </c>
      <c r="Q7" s="53" t="s">
        <v>455</v>
      </c>
      <c r="R7" s="52" t="s">
        <v>621</v>
      </c>
      <c r="T7" s="75" t="str">
        <f t="shared" si="0"/>
        <v>萬里青天，姮娥何處，駕此一輪玉。
Bbân lǐ cīng tiān, híng ggó hó cù, gà cǔ yīt lún ggiók.</v>
      </c>
    </row>
    <row r="8" spans="1:20" ht="69">
      <c r="A8" s="55">
        <v>5</v>
      </c>
      <c r="B8" s="65" t="s">
        <v>76</v>
      </c>
      <c r="C8" s="66" t="s">
        <v>77</v>
      </c>
      <c r="D8" s="61">
        <v>2</v>
      </c>
      <c r="E8" s="61">
        <v>5</v>
      </c>
      <c r="F8" s="68">
        <v>40000</v>
      </c>
      <c r="G8" s="69">
        <v>45000</v>
      </c>
      <c r="H8" s="70" t="s">
        <v>60</v>
      </c>
      <c r="I8" s="70" t="s">
        <v>60</v>
      </c>
      <c r="J8" s="70" t="s">
        <v>78</v>
      </c>
      <c r="K8" s="70" t="s">
        <v>62</v>
      </c>
      <c r="L8" s="62">
        <v>42000</v>
      </c>
      <c r="M8" s="62" t="s">
        <v>60</v>
      </c>
      <c r="N8" s="62" t="s">
        <v>60</v>
      </c>
      <c r="O8" s="62" t="s">
        <v>79</v>
      </c>
      <c r="P8" s="62" t="s">
        <v>62</v>
      </c>
      <c r="Q8" s="53" t="s">
        <v>456</v>
      </c>
      <c r="R8" s="52" t="s">
        <v>622</v>
      </c>
      <c r="T8" s="75" t="str">
        <f xml:space="preserve"> _xlfn.CONCAT(Q8, CHAR(10), R8)</f>
        <v>寒光零亂，為誰偏照醽醁？
Hán gōng líng luân, wí súi piān ziào líng liók?</v>
      </c>
    </row>
    <row r="9" spans="1:20" ht="69">
      <c r="A9" s="55" t="s">
        <v>80</v>
      </c>
      <c r="B9" s="65" t="s">
        <v>77</v>
      </c>
      <c r="C9" s="66" t="s">
        <v>81</v>
      </c>
      <c r="D9" s="61">
        <v>2</v>
      </c>
      <c r="E9" s="61">
        <v>5</v>
      </c>
      <c r="F9" s="68">
        <v>42000</v>
      </c>
      <c r="G9" s="69">
        <v>47000</v>
      </c>
      <c r="H9" s="70" t="s">
        <v>60</v>
      </c>
      <c r="I9" s="70" t="s">
        <v>60</v>
      </c>
      <c r="J9" s="70" t="s">
        <v>82</v>
      </c>
      <c r="K9" s="70" t="s">
        <v>62</v>
      </c>
      <c r="L9" s="62">
        <v>44000</v>
      </c>
      <c r="M9" s="62" t="s">
        <v>60</v>
      </c>
      <c r="N9" s="62" t="s">
        <v>60</v>
      </c>
      <c r="O9" s="62" t="s">
        <v>83</v>
      </c>
      <c r="P9" s="62" t="s">
        <v>62</v>
      </c>
      <c r="Q9" s="53" t="s">
        <v>457</v>
      </c>
      <c r="R9" s="52" t="s">
        <v>623</v>
      </c>
      <c r="T9" s="75" t="str">
        <f t="shared" si="0"/>
        <v>年少從我追遊，晚涼幽徑，繞張園森木。
Lián siào zióng ggnǒo dūi yú, bbuǎn lióng yū gìng, zziǎo diōng wán sīm bbók.</v>
      </c>
    </row>
    <row r="10" spans="1:20" ht="69">
      <c r="A10" s="55"/>
      <c r="B10" s="65"/>
      <c r="C10" s="66"/>
      <c r="D10" s="61"/>
      <c r="E10" s="61"/>
      <c r="F10" s="68"/>
      <c r="G10" s="69"/>
      <c r="H10" s="70"/>
      <c r="I10" s="70"/>
      <c r="J10" s="70"/>
      <c r="K10" s="70"/>
      <c r="L10" s="62"/>
      <c r="M10" s="62"/>
      <c r="N10" s="62"/>
      <c r="O10" s="62"/>
      <c r="P10" s="62"/>
      <c r="Q10" s="53" t="s">
        <v>458</v>
      </c>
      <c r="R10" s="52" t="s">
        <v>624</v>
      </c>
      <c r="T10" s="52" t="str">
        <f t="shared" si="0"/>
        <v>共倒金荷，家萬里，難得尊前相屬。
Giông dǒ gīm hó, gā bbân lǐ, lán dīk zūn zián siōng ziōk.</v>
      </c>
    </row>
    <row r="11" spans="1:20" ht="69" customHeight="1">
      <c r="A11" s="55"/>
      <c r="B11" s="64"/>
      <c r="C11" s="66"/>
      <c r="D11" s="67"/>
      <c r="E11" s="67"/>
      <c r="F11" s="68"/>
      <c r="G11" s="69"/>
      <c r="H11" s="70"/>
      <c r="I11" s="70"/>
      <c r="J11" s="70"/>
      <c r="K11" s="70"/>
      <c r="L11" s="62"/>
      <c r="M11" s="62"/>
      <c r="N11" s="62"/>
      <c r="O11" s="62"/>
      <c r="P11" s="62"/>
      <c r="Q11" s="53" t="s">
        <v>459</v>
      </c>
      <c r="R11" s="52" t="s">
        <v>549</v>
      </c>
      <c r="T11" s="75" t="str">
        <f xml:space="preserve"> _xlfn.CONCAT(Q11, CHAR(10), R11)</f>
        <v>老子平生，江南江北，最愛臨風笛。
Lǒ zǔ píng sīng, gāng lám gāng bōk, zuè ài lím hōng dík.</v>
      </c>
    </row>
    <row r="12" spans="1:20" ht="69" customHeight="1">
      <c r="A12" s="55"/>
      <c r="B12" s="64"/>
      <c r="C12" s="66"/>
      <c r="D12" s="67"/>
      <c r="E12" s="67"/>
      <c r="F12" s="68"/>
      <c r="G12" s="69"/>
      <c r="H12" s="70"/>
      <c r="I12" s="70"/>
      <c r="J12" s="70"/>
      <c r="K12" s="70"/>
      <c r="L12" s="62"/>
      <c r="M12" s="62"/>
      <c r="N12" s="62"/>
      <c r="O12" s="62"/>
      <c r="P12" s="62"/>
      <c r="Q12" s="53" t="s">
        <v>461</v>
      </c>
      <c r="R12" s="52" t="s">
        <v>571</v>
      </c>
      <c r="T12" s="75" t="str">
        <f xml:space="preserve"> _xlfn.CONCAT(Q12, CHAR(10), R12)</f>
        <v>孫郎微笑，坐來聲噴霜竹。
Sūn lóng bbí ciò, zê lái sīng pùn sōng diōk.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ECD4-9D8B-40D1-B1E4-424A3A2CCDA8}">
  <dimension ref="A1:T12"/>
  <sheetViews>
    <sheetView topLeftCell="S1" workbookViewId="0">
      <selection activeCell="T5" sqref="T5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142.625" bestFit="1" customWidth="1"/>
  </cols>
  <sheetData>
    <row r="1" spans="1:20">
      <c r="B1" s="56"/>
      <c r="F1" s="63" t="s">
        <v>44</v>
      </c>
      <c r="G1" s="63"/>
      <c r="H1" s="63"/>
      <c r="I1" s="63"/>
      <c r="J1" s="63"/>
      <c r="K1" s="63"/>
      <c r="L1" s="57"/>
      <c r="M1" s="57"/>
      <c r="N1" s="57" t="s">
        <v>45</v>
      </c>
      <c r="O1" s="57"/>
      <c r="P1" s="57"/>
    </row>
    <row r="3" spans="1:20" ht="60">
      <c r="A3" s="54" t="s">
        <v>46</v>
      </c>
      <c r="B3" s="54" t="s">
        <v>47</v>
      </c>
      <c r="C3" s="54" t="s">
        <v>48</v>
      </c>
      <c r="D3" s="59" t="s">
        <v>49</v>
      </c>
      <c r="E3" s="59" t="s">
        <v>50</v>
      </c>
      <c r="F3" s="58" t="s">
        <v>51</v>
      </c>
      <c r="G3" s="58" t="s">
        <v>52</v>
      </c>
      <c r="H3" s="58" t="s">
        <v>33</v>
      </c>
      <c r="I3" s="58" t="s">
        <v>53</v>
      </c>
      <c r="J3" s="58" t="s">
        <v>54</v>
      </c>
      <c r="K3" s="58" t="s">
        <v>55</v>
      </c>
      <c r="L3" s="60" t="s">
        <v>56</v>
      </c>
      <c r="M3" s="57" t="s">
        <v>33</v>
      </c>
      <c r="N3" s="57" t="s">
        <v>53</v>
      </c>
      <c r="O3" s="57" t="s">
        <v>54</v>
      </c>
      <c r="P3" s="57" t="s">
        <v>55</v>
      </c>
      <c r="Q3" s="71" t="s">
        <v>34</v>
      </c>
      <c r="R3" s="71" t="s">
        <v>57</v>
      </c>
      <c r="T3" s="71" t="s">
        <v>95</v>
      </c>
    </row>
    <row r="4" spans="1:20" ht="69">
      <c r="A4" s="55">
        <v>1</v>
      </c>
      <c r="B4" s="64" t="s">
        <v>58</v>
      </c>
      <c r="C4" s="66" t="s">
        <v>59</v>
      </c>
      <c r="D4" s="67">
        <v>20</v>
      </c>
      <c r="E4" s="67">
        <v>25</v>
      </c>
      <c r="F4" s="68">
        <v>0</v>
      </c>
      <c r="G4" s="69">
        <v>25000</v>
      </c>
      <c r="H4" s="70" t="s">
        <v>60</v>
      </c>
      <c r="I4" s="70" t="s">
        <v>60</v>
      </c>
      <c r="J4" s="70" t="s">
        <v>61</v>
      </c>
      <c r="K4" s="70" t="s">
        <v>62</v>
      </c>
      <c r="L4" s="62">
        <v>20000</v>
      </c>
      <c r="M4" s="62" t="s">
        <v>60</v>
      </c>
      <c r="N4" s="62" t="s">
        <v>60</v>
      </c>
      <c r="O4" s="62" t="s">
        <v>63</v>
      </c>
      <c r="P4" s="62" t="s">
        <v>62</v>
      </c>
      <c r="Q4" s="53" t="s">
        <v>601</v>
      </c>
      <c r="R4" s="52" t="s">
        <v>619</v>
      </c>
      <c r="T4" s="75" t="str">
        <f xml:space="preserve"> _xlfn.CONCAT(Q4, CHAR(10), R4)</f>
        <v>《念奴嬌。斷虹霽雨》（宋：黃庭堅）
Liâm lóo giāo. Duàn hóng zè wǔ sòng: hóng díng giān</v>
      </c>
    </row>
    <row r="5" spans="1:20" ht="69">
      <c r="A5" s="55">
        <v>2</v>
      </c>
      <c r="B5" s="65" t="s">
        <v>64</v>
      </c>
      <c r="C5" s="66" t="s">
        <v>65</v>
      </c>
      <c r="D5" s="61">
        <v>2</v>
      </c>
      <c r="E5" s="61">
        <v>5</v>
      </c>
      <c r="F5" s="68">
        <v>25000</v>
      </c>
      <c r="G5" s="69">
        <v>30000</v>
      </c>
      <c r="H5" s="70" t="s">
        <v>60</v>
      </c>
      <c r="I5" s="70" t="s">
        <v>60</v>
      </c>
      <c r="J5" s="70" t="s">
        <v>66</v>
      </c>
      <c r="K5" s="70" t="s">
        <v>62</v>
      </c>
      <c r="L5" s="62">
        <v>27000</v>
      </c>
      <c r="M5" s="62" t="s">
        <v>60</v>
      </c>
      <c r="N5" s="62" t="s">
        <v>60</v>
      </c>
      <c r="O5" s="62" t="s">
        <v>67</v>
      </c>
      <c r="P5" s="62" t="s">
        <v>62</v>
      </c>
      <c r="Q5" s="53" t="s">
        <v>453</v>
      </c>
      <c r="R5" s="52" t="s">
        <v>620</v>
      </c>
      <c r="T5" s="75" t="str">
        <f t="shared" ref="T5:T10" si="0" xml:space="preserve"> _xlfn.CONCAT(Q5, CHAR(10), R5)</f>
        <v>斷虹霽雨，淨秋空，山染修眉新綠。
Duàn hóng zè wǔ, zîng cīu kōng, sān liǎm sīu bbí sīn liók.</v>
      </c>
    </row>
    <row r="6" spans="1:20" ht="69">
      <c r="A6" s="55">
        <v>3</v>
      </c>
      <c r="B6" s="65" t="s">
        <v>68</v>
      </c>
      <c r="C6" s="66" t="s">
        <v>69</v>
      </c>
      <c r="D6" s="61">
        <v>2</v>
      </c>
      <c r="E6" s="61">
        <v>5</v>
      </c>
      <c r="F6" s="68">
        <v>30000</v>
      </c>
      <c r="G6" s="69">
        <v>35000</v>
      </c>
      <c r="H6" s="70" t="s">
        <v>60</v>
      </c>
      <c r="I6" s="70" t="s">
        <v>60</v>
      </c>
      <c r="J6" s="70" t="s">
        <v>70</v>
      </c>
      <c r="K6" s="70" t="s">
        <v>62</v>
      </c>
      <c r="L6" s="62">
        <v>32000</v>
      </c>
      <c r="M6" s="62" t="s">
        <v>60</v>
      </c>
      <c r="N6" s="62" t="s">
        <v>60</v>
      </c>
      <c r="O6" s="62" t="s">
        <v>71</v>
      </c>
      <c r="P6" s="62" t="s">
        <v>62</v>
      </c>
      <c r="Q6" s="53" t="s">
        <v>454</v>
      </c>
      <c r="R6" s="52" t="s">
        <v>570</v>
      </c>
      <c r="T6" s="75" t="str">
        <f t="shared" si="0"/>
        <v>桂影扶疏，誰便道，今夕清輝不足？
Gùi yǐng hú sōo, súi bián dô, gīm sík cīng hūi būt ziōk?</v>
      </c>
    </row>
    <row r="7" spans="1:20" ht="69">
      <c r="A7" s="55">
        <v>4</v>
      </c>
      <c r="B7" s="65" t="s">
        <v>72</v>
      </c>
      <c r="C7" s="66" t="s">
        <v>73</v>
      </c>
      <c r="D7" s="61">
        <v>2</v>
      </c>
      <c r="E7" s="61">
        <v>5</v>
      </c>
      <c r="F7" s="68">
        <v>35000</v>
      </c>
      <c r="G7" s="69">
        <v>40000</v>
      </c>
      <c r="H7" s="70" t="s">
        <v>60</v>
      </c>
      <c r="I7" s="70" t="s">
        <v>60</v>
      </c>
      <c r="J7" s="70" t="s">
        <v>74</v>
      </c>
      <c r="K7" s="70" t="s">
        <v>62</v>
      </c>
      <c r="L7" s="62">
        <v>37000</v>
      </c>
      <c r="M7" s="62" t="s">
        <v>60</v>
      </c>
      <c r="N7" s="62" t="s">
        <v>60</v>
      </c>
      <c r="O7" s="62" t="s">
        <v>75</v>
      </c>
      <c r="P7" s="62" t="s">
        <v>62</v>
      </c>
      <c r="Q7" s="53" t="s">
        <v>455</v>
      </c>
      <c r="R7" s="52" t="s">
        <v>621</v>
      </c>
      <c r="T7" s="75" t="str">
        <f t="shared" si="0"/>
        <v>萬里青天，姮娥何處，駕此一輪玉。
Bbân lǐ cīng tiān, híng ggó hó cù, gà cǔ yīt lún ggiók.</v>
      </c>
    </row>
    <row r="8" spans="1:20" ht="69">
      <c r="A8" s="55">
        <v>5</v>
      </c>
      <c r="B8" s="65" t="s">
        <v>76</v>
      </c>
      <c r="C8" s="66" t="s">
        <v>77</v>
      </c>
      <c r="D8" s="61">
        <v>2</v>
      </c>
      <c r="E8" s="61">
        <v>5</v>
      </c>
      <c r="F8" s="68">
        <v>40000</v>
      </c>
      <c r="G8" s="69">
        <v>45000</v>
      </c>
      <c r="H8" s="70" t="s">
        <v>60</v>
      </c>
      <c r="I8" s="70" t="s">
        <v>60</v>
      </c>
      <c r="J8" s="70" t="s">
        <v>78</v>
      </c>
      <c r="K8" s="70" t="s">
        <v>62</v>
      </c>
      <c r="L8" s="62">
        <v>42000</v>
      </c>
      <c r="M8" s="62" t="s">
        <v>60</v>
      </c>
      <c r="N8" s="62" t="s">
        <v>60</v>
      </c>
      <c r="O8" s="62" t="s">
        <v>79</v>
      </c>
      <c r="P8" s="62" t="s">
        <v>62</v>
      </c>
      <c r="Q8" s="53" t="s">
        <v>456</v>
      </c>
      <c r="R8" s="52" t="s">
        <v>622</v>
      </c>
      <c r="T8" s="75" t="str">
        <f xml:space="preserve"> _xlfn.CONCAT(Q8, CHAR(10), R8)</f>
        <v>寒光零亂，為誰偏照醽醁？
Hán gōng líng luân, wí súi piān ziào líng liók?</v>
      </c>
    </row>
    <row r="9" spans="1:20" ht="69">
      <c r="A9" s="55" t="s">
        <v>80</v>
      </c>
      <c r="B9" s="65" t="s">
        <v>77</v>
      </c>
      <c r="C9" s="66" t="s">
        <v>81</v>
      </c>
      <c r="D9" s="61">
        <v>2</v>
      </c>
      <c r="E9" s="61">
        <v>5</v>
      </c>
      <c r="F9" s="68">
        <v>42000</v>
      </c>
      <c r="G9" s="69">
        <v>47000</v>
      </c>
      <c r="H9" s="70" t="s">
        <v>60</v>
      </c>
      <c r="I9" s="70" t="s">
        <v>60</v>
      </c>
      <c r="J9" s="70" t="s">
        <v>82</v>
      </c>
      <c r="K9" s="70" t="s">
        <v>62</v>
      </c>
      <c r="L9" s="62">
        <v>44000</v>
      </c>
      <c r="M9" s="62" t="s">
        <v>60</v>
      </c>
      <c r="N9" s="62" t="s">
        <v>60</v>
      </c>
      <c r="O9" s="62" t="s">
        <v>83</v>
      </c>
      <c r="P9" s="62" t="s">
        <v>62</v>
      </c>
      <c r="Q9" s="53" t="s">
        <v>457</v>
      </c>
      <c r="R9" s="52" t="s">
        <v>623</v>
      </c>
      <c r="T9" s="75" t="str">
        <f t="shared" si="0"/>
        <v>年少從我追遊，晚涼幽徑，繞張園森木。
Lián siào zióng ggnǒo dūi yú, bbuǎn lióng yū gìng, zziǎo diōng wán sīm bbók.</v>
      </c>
    </row>
    <row r="10" spans="1:20" ht="69">
      <c r="A10" s="55"/>
      <c r="B10" s="65"/>
      <c r="C10" s="66"/>
      <c r="D10" s="61"/>
      <c r="E10" s="61"/>
      <c r="F10" s="68"/>
      <c r="G10" s="69"/>
      <c r="H10" s="70"/>
      <c r="I10" s="70"/>
      <c r="J10" s="70"/>
      <c r="K10" s="70"/>
      <c r="L10" s="62"/>
      <c r="M10" s="62"/>
      <c r="N10" s="62"/>
      <c r="O10" s="62"/>
      <c r="P10" s="62"/>
      <c r="Q10" s="53" t="s">
        <v>458</v>
      </c>
      <c r="R10" s="52" t="s">
        <v>624</v>
      </c>
      <c r="T10" s="52" t="str">
        <f t="shared" si="0"/>
        <v>共倒金荷，家萬里，難得尊前相屬。
Giông dǒ gīm hó, gā bbân lǐ, lán dīk zūn zián siōng ziōk.</v>
      </c>
    </row>
    <row r="11" spans="1:20" ht="69">
      <c r="A11" s="55"/>
      <c r="B11" s="64"/>
      <c r="C11" s="66"/>
      <c r="D11" s="67"/>
      <c r="E11" s="67"/>
      <c r="F11" s="68"/>
      <c r="G11" s="69"/>
      <c r="H11" s="70"/>
      <c r="I11" s="70"/>
      <c r="J11" s="70"/>
      <c r="K11" s="70"/>
      <c r="L11" s="62"/>
      <c r="M11" s="62"/>
      <c r="N11" s="62"/>
      <c r="O11" s="62"/>
      <c r="P11" s="62"/>
      <c r="Q11" s="53" t="s">
        <v>459</v>
      </c>
      <c r="R11" s="52" t="s">
        <v>549</v>
      </c>
      <c r="T11" s="75" t="str">
        <f xml:space="preserve"> _xlfn.CONCAT(Q11, CHAR(10), R11)</f>
        <v>老子平生，江南江北，最愛臨風笛。
Lǒ zǔ píng sīng, gāng lám gāng bōk, zuè ài lím hōng dík.</v>
      </c>
    </row>
    <row r="12" spans="1:20" ht="69">
      <c r="A12" s="55"/>
      <c r="B12" s="64"/>
      <c r="C12" s="66"/>
      <c r="D12" s="67"/>
      <c r="E12" s="67"/>
      <c r="F12" s="68"/>
      <c r="G12" s="69"/>
      <c r="H12" s="70"/>
      <c r="I12" s="70"/>
      <c r="J12" s="70"/>
      <c r="K12" s="70"/>
      <c r="L12" s="62"/>
      <c r="M12" s="62"/>
      <c r="N12" s="62"/>
      <c r="O12" s="62"/>
      <c r="P12" s="62"/>
      <c r="Q12" s="53" t="s">
        <v>461</v>
      </c>
      <c r="R12" s="52" t="s">
        <v>571</v>
      </c>
      <c r="T12" s="75" t="str">
        <f xml:space="preserve"> _xlfn.CONCAT(Q12, CHAR(10), R12)</f>
        <v>孫郎微笑，坐來聲噴霜竹。
Sūn lóng bbí ciò, zê lái sīng pùn sōng diōk.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48CB-A633-4CE2-9F4D-CA6FAA8D3BEE}">
  <dimension ref="A1:T12"/>
  <sheetViews>
    <sheetView topLeftCell="S4" workbookViewId="0">
      <selection activeCell="T5" sqref="T5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142.625" bestFit="1" customWidth="1"/>
  </cols>
  <sheetData>
    <row r="1" spans="1:20">
      <c r="B1" s="56"/>
      <c r="F1" s="63" t="s">
        <v>44</v>
      </c>
      <c r="G1" s="63"/>
      <c r="H1" s="63"/>
      <c r="I1" s="63"/>
      <c r="J1" s="63"/>
      <c r="K1" s="63"/>
      <c r="L1" s="57"/>
      <c r="M1" s="57"/>
      <c r="N1" s="57" t="s">
        <v>45</v>
      </c>
      <c r="O1" s="57"/>
      <c r="P1" s="57"/>
    </row>
    <row r="3" spans="1:20" ht="60">
      <c r="A3" s="54" t="s">
        <v>46</v>
      </c>
      <c r="B3" s="54" t="s">
        <v>47</v>
      </c>
      <c r="C3" s="54" t="s">
        <v>48</v>
      </c>
      <c r="D3" s="59" t="s">
        <v>49</v>
      </c>
      <c r="E3" s="59" t="s">
        <v>50</v>
      </c>
      <c r="F3" s="58" t="s">
        <v>51</v>
      </c>
      <c r="G3" s="58" t="s">
        <v>52</v>
      </c>
      <c r="H3" s="58" t="s">
        <v>33</v>
      </c>
      <c r="I3" s="58" t="s">
        <v>53</v>
      </c>
      <c r="J3" s="58" t="s">
        <v>54</v>
      </c>
      <c r="K3" s="58" t="s">
        <v>55</v>
      </c>
      <c r="L3" s="60" t="s">
        <v>56</v>
      </c>
      <c r="M3" s="57" t="s">
        <v>33</v>
      </c>
      <c r="N3" s="57" t="s">
        <v>53</v>
      </c>
      <c r="O3" s="57" t="s">
        <v>54</v>
      </c>
      <c r="P3" s="57" t="s">
        <v>55</v>
      </c>
      <c r="Q3" s="71" t="s">
        <v>34</v>
      </c>
      <c r="R3" s="71" t="s">
        <v>57</v>
      </c>
      <c r="T3" s="71" t="s">
        <v>95</v>
      </c>
    </row>
    <row r="4" spans="1:20" ht="69">
      <c r="A4" s="55">
        <v>1</v>
      </c>
      <c r="B4" s="64" t="s">
        <v>58</v>
      </c>
      <c r="C4" s="66" t="s">
        <v>59</v>
      </c>
      <c r="D4" s="67">
        <v>20</v>
      </c>
      <c r="E4" s="67">
        <v>25</v>
      </c>
      <c r="F4" s="68">
        <v>0</v>
      </c>
      <c r="G4" s="69">
        <v>25000</v>
      </c>
      <c r="H4" s="70" t="s">
        <v>60</v>
      </c>
      <c r="I4" s="70" t="s">
        <v>60</v>
      </c>
      <c r="J4" s="70" t="s">
        <v>61</v>
      </c>
      <c r="K4" s="70" t="s">
        <v>62</v>
      </c>
      <c r="L4" s="62">
        <v>20000</v>
      </c>
      <c r="M4" s="62" t="s">
        <v>60</v>
      </c>
      <c r="N4" s="62" t="s">
        <v>60</v>
      </c>
      <c r="O4" s="62" t="s">
        <v>63</v>
      </c>
      <c r="P4" s="62" t="s">
        <v>62</v>
      </c>
      <c r="Q4" s="53" t="s">
        <v>601</v>
      </c>
      <c r="R4" s="52" t="s">
        <v>614</v>
      </c>
      <c r="T4" s="75" t="str">
        <f xml:space="preserve"> _xlfn.CONCAT(Q4, CHAR(10), R4)</f>
        <v>《念奴嬌。斷虹霽雨》（宋：黃庭堅）
Līam lôo kiau. Tuàn hông tsè ú sòng: hông tîng kian</v>
      </c>
    </row>
    <row r="5" spans="1:20" ht="69">
      <c r="A5" s="55">
        <v>2</v>
      </c>
      <c r="B5" s="65" t="s">
        <v>64</v>
      </c>
      <c r="C5" s="66" t="s">
        <v>65</v>
      </c>
      <c r="D5" s="61">
        <v>2</v>
      </c>
      <c r="E5" s="61">
        <v>5</v>
      </c>
      <c r="F5" s="68">
        <v>25000</v>
      </c>
      <c r="G5" s="69">
        <v>30000</v>
      </c>
      <c r="H5" s="70" t="s">
        <v>60</v>
      </c>
      <c r="I5" s="70" t="s">
        <v>60</v>
      </c>
      <c r="J5" s="70" t="s">
        <v>66</v>
      </c>
      <c r="K5" s="70" t="s">
        <v>62</v>
      </c>
      <c r="L5" s="62">
        <v>27000</v>
      </c>
      <c r="M5" s="62" t="s">
        <v>60</v>
      </c>
      <c r="N5" s="62" t="s">
        <v>60</v>
      </c>
      <c r="O5" s="62" t="s">
        <v>67</v>
      </c>
      <c r="P5" s="62" t="s">
        <v>62</v>
      </c>
      <c r="Q5" s="53" t="s">
        <v>453</v>
      </c>
      <c r="R5" s="52" t="s">
        <v>580</v>
      </c>
      <c r="T5" s="75" t="str">
        <f t="shared" ref="T5:T10" si="0" xml:space="preserve"> _xlfn.CONCAT(Q5, CHAR(10), R5)</f>
        <v>斷虹霽雨，淨秋空，山染修眉新綠。
Tuàn hông tsè ú, tsīng tshiu khong, san líam siu bî sin li̍ok.</v>
      </c>
    </row>
    <row r="6" spans="1:20" ht="69">
      <c r="A6" s="55">
        <v>3</v>
      </c>
      <c r="B6" s="65" t="s">
        <v>68</v>
      </c>
      <c r="C6" s="66" t="s">
        <v>69</v>
      </c>
      <c r="D6" s="61">
        <v>2</v>
      </c>
      <c r="E6" s="61">
        <v>5</v>
      </c>
      <c r="F6" s="68">
        <v>30000</v>
      </c>
      <c r="G6" s="69">
        <v>35000</v>
      </c>
      <c r="H6" s="70" t="s">
        <v>60</v>
      </c>
      <c r="I6" s="70" t="s">
        <v>60</v>
      </c>
      <c r="J6" s="70" t="s">
        <v>70</v>
      </c>
      <c r="K6" s="70" t="s">
        <v>62</v>
      </c>
      <c r="L6" s="62">
        <v>32000</v>
      </c>
      <c r="M6" s="62" t="s">
        <v>60</v>
      </c>
      <c r="N6" s="62" t="s">
        <v>60</v>
      </c>
      <c r="O6" s="62" t="s">
        <v>71</v>
      </c>
      <c r="P6" s="62" t="s">
        <v>62</v>
      </c>
      <c r="Q6" s="53" t="s">
        <v>454</v>
      </c>
      <c r="R6" s="52" t="s">
        <v>581</v>
      </c>
      <c r="T6" s="75" t="str">
        <f t="shared" si="0"/>
        <v>桂影扶疏，誰便道，今夕清輝不足？
Kùi íng hû soo, sûi pîan tō, kim si̍k tshing hui put tsiok?</v>
      </c>
    </row>
    <row r="7" spans="1:20" ht="69">
      <c r="A7" s="55">
        <v>4</v>
      </c>
      <c r="B7" s="65" t="s">
        <v>72</v>
      </c>
      <c r="C7" s="66" t="s">
        <v>73</v>
      </c>
      <c r="D7" s="61">
        <v>2</v>
      </c>
      <c r="E7" s="61">
        <v>5</v>
      </c>
      <c r="F7" s="68">
        <v>35000</v>
      </c>
      <c r="G7" s="69">
        <v>40000</v>
      </c>
      <c r="H7" s="70" t="s">
        <v>60</v>
      </c>
      <c r="I7" s="70" t="s">
        <v>60</v>
      </c>
      <c r="J7" s="70" t="s">
        <v>74</v>
      </c>
      <c r="K7" s="70" t="s">
        <v>62</v>
      </c>
      <c r="L7" s="62">
        <v>37000</v>
      </c>
      <c r="M7" s="62" t="s">
        <v>60</v>
      </c>
      <c r="N7" s="62" t="s">
        <v>60</v>
      </c>
      <c r="O7" s="62" t="s">
        <v>75</v>
      </c>
      <c r="P7" s="62" t="s">
        <v>62</v>
      </c>
      <c r="Q7" s="53" t="s">
        <v>455</v>
      </c>
      <c r="R7" s="52" t="s">
        <v>615</v>
      </c>
      <c r="T7" s="75" t="str">
        <f t="shared" si="0"/>
        <v>萬里青天，姮娥何處，駕此一輪玉。
Bān lí tshing thian, hîng gô hô tshù, kà tshú it lûn gi̍ok.</v>
      </c>
    </row>
    <row r="8" spans="1:20" ht="69">
      <c r="A8" s="55">
        <v>5</v>
      </c>
      <c r="B8" s="65" t="s">
        <v>76</v>
      </c>
      <c r="C8" s="66" t="s">
        <v>77</v>
      </c>
      <c r="D8" s="61">
        <v>2</v>
      </c>
      <c r="E8" s="61">
        <v>5</v>
      </c>
      <c r="F8" s="68">
        <v>40000</v>
      </c>
      <c r="G8" s="69">
        <v>45000</v>
      </c>
      <c r="H8" s="70" t="s">
        <v>60</v>
      </c>
      <c r="I8" s="70" t="s">
        <v>60</v>
      </c>
      <c r="J8" s="70" t="s">
        <v>78</v>
      </c>
      <c r="K8" s="70" t="s">
        <v>62</v>
      </c>
      <c r="L8" s="62">
        <v>42000</v>
      </c>
      <c r="M8" s="62" t="s">
        <v>60</v>
      </c>
      <c r="N8" s="62" t="s">
        <v>60</v>
      </c>
      <c r="O8" s="62" t="s">
        <v>79</v>
      </c>
      <c r="P8" s="62" t="s">
        <v>62</v>
      </c>
      <c r="Q8" s="53" t="s">
        <v>456</v>
      </c>
      <c r="R8" s="52" t="s">
        <v>616</v>
      </c>
      <c r="T8" s="75" t="str">
        <f xml:space="preserve"> _xlfn.CONCAT(Q8, CHAR(10), R8)</f>
        <v>寒光零亂，為誰偏照醽醁？
Hân kong lîng luān, ûi sûi phian tsìau lîng li̍ok?</v>
      </c>
    </row>
    <row r="9" spans="1:20" ht="69">
      <c r="A9" s="55" t="s">
        <v>80</v>
      </c>
      <c r="B9" s="65" t="s">
        <v>77</v>
      </c>
      <c r="C9" s="66" t="s">
        <v>81</v>
      </c>
      <c r="D9" s="61">
        <v>2</v>
      </c>
      <c r="E9" s="61">
        <v>5</v>
      </c>
      <c r="F9" s="68">
        <v>42000</v>
      </c>
      <c r="G9" s="69">
        <v>47000</v>
      </c>
      <c r="H9" s="70" t="s">
        <v>60</v>
      </c>
      <c r="I9" s="70" t="s">
        <v>60</v>
      </c>
      <c r="J9" s="70" t="s">
        <v>82</v>
      </c>
      <c r="K9" s="70" t="s">
        <v>62</v>
      </c>
      <c r="L9" s="62">
        <v>44000</v>
      </c>
      <c r="M9" s="62" t="s">
        <v>60</v>
      </c>
      <c r="N9" s="62" t="s">
        <v>60</v>
      </c>
      <c r="O9" s="62" t="s">
        <v>83</v>
      </c>
      <c r="P9" s="62" t="s">
        <v>62</v>
      </c>
      <c r="Q9" s="53" t="s">
        <v>457</v>
      </c>
      <c r="R9" s="52" t="s">
        <v>617</v>
      </c>
      <c r="T9" s="75" t="str">
        <f t="shared" si="0"/>
        <v>年少從我追遊，晚涼幽徑，繞張園森木。
Lîan sìau tsîong ngóo tui îu, buán lîong iu kìng, jíau tiong uân sim bo̍k.</v>
      </c>
    </row>
    <row r="10" spans="1:20" ht="69">
      <c r="A10" s="55"/>
      <c r="B10" s="65"/>
      <c r="C10" s="66"/>
      <c r="D10" s="61"/>
      <c r="E10" s="61"/>
      <c r="F10" s="68"/>
      <c r="G10" s="69"/>
      <c r="H10" s="70"/>
      <c r="I10" s="70"/>
      <c r="J10" s="70"/>
      <c r="K10" s="70"/>
      <c r="L10" s="62"/>
      <c r="M10" s="62"/>
      <c r="N10" s="62"/>
      <c r="O10" s="62"/>
      <c r="P10" s="62"/>
      <c r="Q10" s="53" t="s">
        <v>458</v>
      </c>
      <c r="R10" s="52" t="s">
        <v>618</v>
      </c>
      <c r="T10" s="52" t="str">
        <f t="shared" si="0"/>
        <v>共倒金荷，家萬里，難得尊前相屬。
Kīong tó kim hô, ka bān lí, lân tik tsun tsîan siong tsiok.</v>
      </c>
    </row>
    <row r="11" spans="1:20" ht="69">
      <c r="A11" s="55"/>
      <c r="B11" s="64"/>
      <c r="C11" s="66"/>
      <c r="D11" s="67"/>
      <c r="E11" s="67"/>
      <c r="F11" s="68"/>
      <c r="G11" s="69"/>
      <c r="H11" s="70"/>
      <c r="I11" s="70"/>
      <c r="J11" s="70"/>
      <c r="K11" s="70"/>
      <c r="L11" s="62"/>
      <c r="M11" s="62"/>
      <c r="N11" s="62"/>
      <c r="O11" s="62"/>
      <c r="P11" s="62"/>
      <c r="Q11" s="53" t="s">
        <v>459</v>
      </c>
      <c r="R11" s="52" t="s">
        <v>582</v>
      </c>
      <c r="T11" s="75" t="str">
        <f xml:space="preserve"> _xlfn.CONCAT(Q11, CHAR(10), R11)</f>
        <v>老子平生，江南江北，最愛臨風笛。
Ló tsú phîng sing, kang lâm kang pok, tsùe ài lîm hong ti̍k.</v>
      </c>
    </row>
    <row r="12" spans="1:20" ht="69">
      <c r="A12" s="55"/>
      <c r="B12" s="64"/>
      <c r="C12" s="66"/>
      <c r="D12" s="67"/>
      <c r="E12" s="67"/>
      <c r="F12" s="68"/>
      <c r="G12" s="69"/>
      <c r="H12" s="70"/>
      <c r="I12" s="70"/>
      <c r="J12" s="70"/>
      <c r="K12" s="70"/>
      <c r="L12" s="62"/>
      <c r="M12" s="62"/>
      <c r="N12" s="62"/>
      <c r="O12" s="62"/>
      <c r="P12" s="62"/>
      <c r="Q12" s="53" t="s">
        <v>461</v>
      </c>
      <c r="R12" s="52" t="s">
        <v>583</v>
      </c>
      <c r="T12" s="75" t="str">
        <f xml:space="preserve"> _xlfn.CONCAT(Q12, CHAR(10), R12)</f>
        <v>孫郎微笑，坐來聲噴霜竹。
Sun lông bî tshìo, tsē lâi sing phùn song tiok.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B119-DEFA-4D76-A56A-E611C4980E86}">
  <dimension ref="A1:T12"/>
  <sheetViews>
    <sheetView topLeftCell="T3" workbookViewId="0">
      <selection activeCell="T5" sqref="T5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142.625" bestFit="1" customWidth="1"/>
  </cols>
  <sheetData>
    <row r="1" spans="1:20">
      <c r="B1" s="56"/>
      <c r="F1" s="63" t="s">
        <v>44</v>
      </c>
      <c r="G1" s="63"/>
      <c r="H1" s="63"/>
      <c r="I1" s="63"/>
      <c r="J1" s="63"/>
      <c r="K1" s="63"/>
      <c r="L1" s="57"/>
      <c r="M1" s="57"/>
      <c r="N1" s="57" t="s">
        <v>45</v>
      </c>
      <c r="O1" s="57"/>
      <c r="P1" s="57"/>
    </row>
    <row r="3" spans="1:20" ht="60">
      <c r="A3" s="54" t="s">
        <v>46</v>
      </c>
      <c r="B3" s="54" t="s">
        <v>47</v>
      </c>
      <c r="C3" s="54" t="s">
        <v>48</v>
      </c>
      <c r="D3" s="59" t="s">
        <v>49</v>
      </c>
      <c r="E3" s="59" t="s">
        <v>50</v>
      </c>
      <c r="F3" s="58" t="s">
        <v>51</v>
      </c>
      <c r="G3" s="58" t="s">
        <v>52</v>
      </c>
      <c r="H3" s="58" t="s">
        <v>33</v>
      </c>
      <c r="I3" s="58" t="s">
        <v>53</v>
      </c>
      <c r="J3" s="58" t="s">
        <v>54</v>
      </c>
      <c r="K3" s="58" t="s">
        <v>55</v>
      </c>
      <c r="L3" s="60" t="s">
        <v>56</v>
      </c>
      <c r="M3" s="57" t="s">
        <v>33</v>
      </c>
      <c r="N3" s="57" t="s">
        <v>53</v>
      </c>
      <c r="O3" s="57" t="s">
        <v>54</v>
      </c>
      <c r="P3" s="57" t="s">
        <v>55</v>
      </c>
      <c r="Q3" s="71" t="s">
        <v>34</v>
      </c>
      <c r="R3" s="71" t="s">
        <v>57</v>
      </c>
      <c r="T3" s="71" t="s">
        <v>95</v>
      </c>
    </row>
    <row r="4" spans="1:20" ht="69">
      <c r="A4" s="55">
        <v>1</v>
      </c>
      <c r="B4" s="64" t="s">
        <v>58</v>
      </c>
      <c r="C4" s="66" t="s">
        <v>59</v>
      </c>
      <c r="D4" s="67">
        <v>20</v>
      </c>
      <c r="E4" s="67">
        <v>25</v>
      </c>
      <c r="F4" s="68">
        <v>0</v>
      </c>
      <c r="G4" s="69">
        <v>25000</v>
      </c>
      <c r="H4" s="70" t="s">
        <v>60</v>
      </c>
      <c r="I4" s="70" t="s">
        <v>60</v>
      </c>
      <c r="J4" s="70" t="s">
        <v>61</v>
      </c>
      <c r="K4" s="70" t="s">
        <v>62</v>
      </c>
      <c r="L4" s="62">
        <v>20000</v>
      </c>
      <c r="M4" s="62" t="s">
        <v>60</v>
      </c>
      <c r="N4" s="62" t="s">
        <v>60</v>
      </c>
      <c r="O4" s="62" t="s">
        <v>63</v>
      </c>
      <c r="P4" s="62" t="s">
        <v>62</v>
      </c>
      <c r="Q4" s="53" t="s">
        <v>601</v>
      </c>
      <c r="R4" s="52" t="s">
        <v>606</v>
      </c>
      <c r="T4" s="75" t="str">
        <f xml:space="preserve"> _xlfn.CONCAT(Q4, CHAR(10), R4)</f>
        <v>《念奴嬌。斷虹霽雨》（宋：黃庭堅）
Liam7 loo5 giau1. Duan3 hong5 ze3 u2 song3: hong5 ding5 gian1</v>
      </c>
    </row>
    <row r="5" spans="1:20" ht="69">
      <c r="A5" s="55">
        <v>2</v>
      </c>
      <c r="B5" s="65" t="s">
        <v>64</v>
      </c>
      <c r="C5" s="66" t="s">
        <v>65</v>
      </c>
      <c r="D5" s="61">
        <v>2</v>
      </c>
      <c r="E5" s="61">
        <v>5</v>
      </c>
      <c r="F5" s="68">
        <v>25000</v>
      </c>
      <c r="G5" s="69">
        <v>30000</v>
      </c>
      <c r="H5" s="70" t="s">
        <v>60</v>
      </c>
      <c r="I5" s="70" t="s">
        <v>60</v>
      </c>
      <c r="J5" s="70" t="s">
        <v>66</v>
      </c>
      <c r="K5" s="70" t="s">
        <v>62</v>
      </c>
      <c r="L5" s="62">
        <v>27000</v>
      </c>
      <c r="M5" s="62" t="s">
        <v>60</v>
      </c>
      <c r="N5" s="62" t="s">
        <v>60</v>
      </c>
      <c r="O5" s="62" t="s">
        <v>67</v>
      </c>
      <c r="P5" s="62" t="s">
        <v>62</v>
      </c>
      <c r="Q5" s="53" t="s">
        <v>453</v>
      </c>
      <c r="R5" s="52" t="s">
        <v>607</v>
      </c>
      <c r="T5" s="75" t="str">
        <f t="shared" ref="T5:T10" si="0" xml:space="preserve"> _xlfn.CONCAT(Q5, CHAR(10), R5)</f>
        <v>斷虹霽雨，淨秋空，山染修眉新綠。
Duan3 hong5 ze3 u2, jing7 chiu1 kong1, san1 liam2 shiu1 bbi5 shin1 liook8.</v>
      </c>
    </row>
    <row r="6" spans="1:20" ht="69">
      <c r="A6" s="55">
        <v>3</v>
      </c>
      <c r="B6" s="65" t="s">
        <v>68</v>
      </c>
      <c r="C6" s="66" t="s">
        <v>69</v>
      </c>
      <c r="D6" s="61">
        <v>2</v>
      </c>
      <c r="E6" s="61">
        <v>5</v>
      </c>
      <c r="F6" s="68">
        <v>30000</v>
      </c>
      <c r="G6" s="69">
        <v>35000</v>
      </c>
      <c r="H6" s="70" t="s">
        <v>60</v>
      </c>
      <c r="I6" s="70" t="s">
        <v>60</v>
      </c>
      <c r="J6" s="70" t="s">
        <v>70</v>
      </c>
      <c r="K6" s="70" t="s">
        <v>62</v>
      </c>
      <c r="L6" s="62">
        <v>32000</v>
      </c>
      <c r="M6" s="62" t="s">
        <v>60</v>
      </c>
      <c r="N6" s="62" t="s">
        <v>60</v>
      </c>
      <c r="O6" s="62" t="s">
        <v>71</v>
      </c>
      <c r="P6" s="62" t="s">
        <v>62</v>
      </c>
      <c r="Q6" s="53" t="s">
        <v>454</v>
      </c>
      <c r="R6" s="52" t="s">
        <v>608</v>
      </c>
      <c r="T6" s="75" t="str">
        <f t="shared" si="0"/>
        <v>桂影扶疏，誰便道，今夕清輝不足？
Gui3 ing2 hu5 soo1, sui5 bian5 dor7, gim1 shiek8 ching1 hui1 but4 jiook4?</v>
      </c>
    </row>
    <row r="7" spans="1:20" ht="69">
      <c r="A7" s="55">
        <v>4</v>
      </c>
      <c r="B7" s="65" t="s">
        <v>72</v>
      </c>
      <c r="C7" s="66" t="s">
        <v>73</v>
      </c>
      <c r="D7" s="61">
        <v>2</v>
      </c>
      <c r="E7" s="61">
        <v>5</v>
      </c>
      <c r="F7" s="68">
        <v>35000</v>
      </c>
      <c r="G7" s="69">
        <v>40000</v>
      </c>
      <c r="H7" s="70" t="s">
        <v>60</v>
      </c>
      <c r="I7" s="70" t="s">
        <v>60</v>
      </c>
      <c r="J7" s="70" t="s">
        <v>74</v>
      </c>
      <c r="K7" s="70" t="s">
        <v>62</v>
      </c>
      <c r="L7" s="62">
        <v>37000</v>
      </c>
      <c r="M7" s="62" t="s">
        <v>60</v>
      </c>
      <c r="N7" s="62" t="s">
        <v>60</v>
      </c>
      <c r="O7" s="62" t="s">
        <v>75</v>
      </c>
      <c r="P7" s="62" t="s">
        <v>62</v>
      </c>
      <c r="Q7" s="53" t="s">
        <v>455</v>
      </c>
      <c r="R7" s="52" t="s">
        <v>609</v>
      </c>
      <c r="T7" s="75" t="str">
        <f t="shared" si="0"/>
        <v>萬里青天，姮娥何處，駕此一輪玉。
Bban7 li2 ching1 tian1, hing5 ggor5 hor5 cu3, ga3 cu2 it4 lun5 ggiook8.</v>
      </c>
    </row>
    <row r="8" spans="1:20" ht="69">
      <c r="A8" s="55">
        <v>5</v>
      </c>
      <c r="B8" s="65" t="s">
        <v>76</v>
      </c>
      <c r="C8" s="66" t="s">
        <v>77</v>
      </c>
      <c r="D8" s="61">
        <v>2</v>
      </c>
      <c r="E8" s="61">
        <v>5</v>
      </c>
      <c r="F8" s="68">
        <v>40000</v>
      </c>
      <c r="G8" s="69">
        <v>45000</v>
      </c>
      <c r="H8" s="70" t="s">
        <v>60</v>
      </c>
      <c r="I8" s="70" t="s">
        <v>60</v>
      </c>
      <c r="J8" s="70" t="s">
        <v>78</v>
      </c>
      <c r="K8" s="70" t="s">
        <v>62</v>
      </c>
      <c r="L8" s="62">
        <v>42000</v>
      </c>
      <c r="M8" s="62" t="s">
        <v>60</v>
      </c>
      <c r="N8" s="62" t="s">
        <v>60</v>
      </c>
      <c r="O8" s="62" t="s">
        <v>79</v>
      </c>
      <c r="P8" s="62" t="s">
        <v>62</v>
      </c>
      <c r="Q8" s="53" t="s">
        <v>456</v>
      </c>
      <c r="R8" s="52" t="s">
        <v>610</v>
      </c>
      <c r="T8" s="75" t="str">
        <f xml:space="preserve"> _xlfn.CONCAT(Q8, CHAR(10), R8)</f>
        <v>寒光零亂，為誰偏照醽醁？
Han5 gong1 ling5 luan7, ui5 sui5 pian1 jiau3 ling5 liook8?</v>
      </c>
    </row>
    <row r="9" spans="1:20" ht="69">
      <c r="A9" s="55" t="s">
        <v>80</v>
      </c>
      <c r="B9" s="65" t="s">
        <v>77</v>
      </c>
      <c r="C9" s="66" t="s">
        <v>81</v>
      </c>
      <c r="D9" s="61">
        <v>2</v>
      </c>
      <c r="E9" s="61">
        <v>5</v>
      </c>
      <c r="F9" s="68">
        <v>42000</v>
      </c>
      <c r="G9" s="69">
        <v>47000</v>
      </c>
      <c r="H9" s="70" t="s">
        <v>60</v>
      </c>
      <c r="I9" s="70" t="s">
        <v>60</v>
      </c>
      <c r="J9" s="70" t="s">
        <v>82</v>
      </c>
      <c r="K9" s="70" t="s">
        <v>62</v>
      </c>
      <c r="L9" s="62">
        <v>44000</v>
      </c>
      <c r="M9" s="62" t="s">
        <v>60</v>
      </c>
      <c r="N9" s="62" t="s">
        <v>60</v>
      </c>
      <c r="O9" s="62" t="s">
        <v>83</v>
      </c>
      <c r="P9" s="62" t="s">
        <v>62</v>
      </c>
      <c r="Q9" s="53" t="s">
        <v>457</v>
      </c>
      <c r="R9" s="52" t="s">
        <v>611</v>
      </c>
      <c r="T9" s="75" t="str">
        <f t="shared" si="0"/>
        <v>年少從我追遊，晚涼幽徑，繞張園森木。
Lian5 shiau3 jiong5 ngoo2 dui1 iu5, bbuan2 liong5 iu1 ging3, jjiau2 diong1 uan5 shim1 bbok8.</v>
      </c>
    </row>
    <row r="10" spans="1:20" ht="69">
      <c r="A10" s="55"/>
      <c r="B10" s="65"/>
      <c r="C10" s="66"/>
      <c r="D10" s="61"/>
      <c r="E10" s="61"/>
      <c r="F10" s="68"/>
      <c r="G10" s="69"/>
      <c r="H10" s="70"/>
      <c r="I10" s="70"/>
      <c r="J10" s="70"/>
      <c r="K10" s="70"/>
      <c r="L10" s="62"/>
      <c r="M10" s="62"/>
      <c r="N10" s="62"/>
      <c r="O10" s="62"/>
      <c r="P10" s="62"/>
      <c r="Q10" s="53" t="s">
        <v>458</v>
      </c>
      <c r="R10" s="52" t="s">
        <v>612</v>
      </c>
      <c r="T10" s="52" t="str">
        <f t="shared" si="0"/>
        <v>共倒金荷，家萬里，難得尊前相屬。
Giong7 dor2 gim1 hor5, ga1 bban7 li2, lan5 diek4 zun1 jian5 shiong1 jiook4.</v>
      </c>
    </row>
    <row r="11" spans="1:20" ht="69">
      <c r="A11" s="55"/>
      <c r="B11" s="64"/>
      <c r="C11" s="66"/>
      <c r="D11" s="67"/>
      <c r="E11" s="67"/>
      <c r="F11" s="68"/>
      <c r="G11" s="69"/>
      <c r="H11" s="70"/>
      <c r="I11" s="70"/>
      <c r="J11" s="70"/>
      <c r="K11" s="70"/>
      <c r="L11" s="62"/>
      <c r="M11" s="62"/>
      <c r="N11" s="62"/>
      <c r="O11" s="62"/>
      <c r="P11" s="62"/>
      <c r="Q11" s="53" t="s">
        <v>459</v>
      </c>
      <c r="R11" s="52" t="s">
        <v>460</v>
      </c>
      <c r="T11" s="75" t="str">
        <f xml:space="preserve"> _xlfn.CONCAT(Q11, CHAR(10), R11)</f>
        <v>老子平生，江南江北，最愛臨風笛。
Lor2 zu2 ping5 shing1, gang1 lam5 gang1 bok4, zue3 ai3 lim5 hong1 diek8.</v>
      </c>
    </row>
    <row r="12" spans="1:20" ht="69">
      <c r="A12" s="55"/>
      <c r="B12" s="64"/>
      <c r="C12" s="66"/>
      <c r="D12" s="67"/>
      <c r="E12" s="67"/>
      <c r="F12" s="68"/>
      <c r="G12" s="69"/>
      <c r="H12" s="70"/>
      <c r="I12" s="70"/>
      <c r="J12" s="70"/>
      <c r="K12" s="70"/>
      <c r="L12" s="62"/>
      <c r="M12" s="62"/>
      <c r="N12" s="62"/>
      <c r="O12" s="62"/>
      <c r="P12" s="62"/>
      <c r="Q12" s="53" t="s">
        <v>461</v>
      </c>
      <c r="R12" s="52" t="s">
        <v>613</v>
      </c>
      <c r="T12" s="75" t="str">
        <f xml:space="preserve"> _xlfn.CONCAT(Q12, CHAR(10), R12)</f>
        <v>孫郎微笑，坐來聲噴霜竹。
Sun1 long5 bbi5 chior3, ze7 lai5 shing1 pun3 song1 diook4.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F829-6616-40B6-9230-FF02075429D4}">
  <dimension ref="A1:T12"/>
  <sheetViews>
    <sheetView topLeftCell="T3" workbookViewId="0">
      <selection activeCell="T5" sqref="T5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142.625" bestFit="1" customWidth="1"/>
  </cols>
  <sheetData>
    <row r="1" spans="1:20">
      <c r="B1" s="56"/>
      <c r="F1" s="63" t="s">
        <v>44</v>
      </c>
      <c r="G1" s="63"/>
      <c r="H1" s="63"/>
      <c r="I1" s="63"/>
      <c r="J1" s="63"/>
      <c r="K1" s="63"/>
      <c r="L1" s="57"/>
      <c r="M1" s="57"/>
      <c r="N1" s="57" t="s">
        <v>45</v>
      </c>
      <c r="O1" s="57"/>
      <c r="P1" s="57"/>
    </row>
    <row r="3" spans="1:20" ht="60">
      <c r="A3" s="54" t="s">
        <v>46</v>
      </c>
      <c r="B3" s="54" t="s">
        <v>47</v>
      </c>
      <c r="C3" s="54" t="s">
        <v>48</v>
      </c>
      <c r="D3" s="59" t="s">
        <v>49</v>
      </c>
      <c r="E3" s="59" t="s">
        <v>50</v>
      </c>
      <c r="F3" s="58" t="s">
        <v>51</v>
      </c>
      <c r="G3" s="58" t="s">
        <v>52</v>
      </c>
      <c r="H3" s="58" t="s">
        <v>33</v>
      </c>
      <c r="I3" s="58" t="s">
        <v>53</v>
      </c>
      <c r="J3" s="58" t="s">
        <v>54</v>
      </c>
      <c r="K3" s="58" t="s">
        <v>55</v>
      </c>
      <c r="L3" s="60" t="s">
        <v>56</v>
      </c>
      <c r="M3" s="57" t="s">
        <v>33</v>
      </c>
      <c r="N3" s="57" t="s">
        <v>53</v>
      </c>
      <c r="O3" s="57" t="s">
        <v>54</v>
      </c>
      <c r="P3" s="57" t="s">
        <v>55</v>
      </c>
      <c r="Q3" s="71" t="s">
        <v>34</v>
      </c>
      <c r="R3" s="71" t="s">
        <v>57</v>
      </c>
      <c r="T3" s="71" t="s">
        <v>95</v>
      </c>
    </row>
    <row r="4" spans="1:20" ht="69">
      <c r="A4" s="55">
        <v>1</v>
      </c>
      <c r="B4" s="64" t="s">
        <v>58</v>
      </c>
      <c r="C4" s="66" t="s">
        <v>59</v>
      </c>
      <c r="D4" s="67">
        <v>20</v>
      </c>
      <c r="E4" s="67">
        <v>25</v>
      </c>
      <c r="F4" s="68">
        <v>0</v>
      </c>
      <c r="G4" s="69">
        <v>25000</v>
      </c>
      <c r="H4" s="70" t="s">
        <v>60</v>
      </c>
      <c r="I4" s="70" t="s">
        <v>60</v>
      </c>
      <c r="J4" s="70" t="s">
        <v>61</v>
      </c>
      <c r="K4" s="70" t="s">
        <v>62</v>
      </c>
      <c r="L4" s="62">
        <v>20000</v>
      </c>
      <c r="M4" s="62" t="s">
        <v>60</v>
      </c>
      <c r="N4" s="62" t="s">
        <v>60</v>
      </c>
      <c r="O4" s="62" t="s">
        <v>63</v>
      </c>
      <c r="P4" s="62" t="s">
        <v>62</v>
      </c>
      <c r="Q4" s="53" t="s">
        <v>601</v>
      </c>
      <c r="R4" s="52" t="s">
        <v>602</v>
      </c>
      <c r="T4" s="75" t="str">
        <f xml:space="preserve"> _xlfn.CONCAT(Q4, CHAR(10), R4)</f>
        <v>《念奴嬌。斷虹霽雨》（宋：黃庭堅）
ㄌㄧㆰ˫ ㄌㆦˊ ㄍㄧㄠ. ㄉㄨㄢ˪ ㄏㆲˊ ㄗㆤ˪ ㄨˋ ㄙㆲ˪: ㄏㆲˊ ㄉㄧㄥˊ ㄍㄧㄢ</v>
      </c>
    </row>
    <row r="5" spans="1:20" ht="69">
      <c r="A5" s="55">
        <v>2</v>
      </c>
      <c r="B5" s="65" t="s">
        <v>64</v>
      </c>
      <c r="C5" s="66" t="s">
        <v>65</v>
      </c>
      <c r="D5" s="61">
        <v>2</v>
      </c>
      <c r="E5" s="61">
        <v>5</v>
      </c>
      <c r="F5" s="68">
        <v>25000</v>
      </c>
      <c r="G5" s="69">
        <v>30000</v>
      </c>
      <c r="H5" s="70" t="s">
        <v>60</v>
      </c>
      <c r="I5" s="70" t="s">
        <v>60</v>
      </c>
      <c r="J5" s="70" t="s">
        <v>66</v>
      </c>
      <c r="K5" s="70" t="s">
        <v>62</v>
      </c>
      <c r="L5" s="62">
        <v>27000</v>
      </c>
      <c r="M5" s="62" t="s">
        <v>60</v>
      </c>
      <c r="N5" s="62" t="s">
        <v>60</v>
      </c>
      <c r="O5" s="62" t="s">
        <v>67</v>
      </c>
      <c r="P5" s="62" t="s">
        <v>62</v>
      </c>
      <c r="Q5" s="53" t="s">
        <v>453</v>
      </c>
      <c r="R5" s="52" t="s">
        <v>579</v>
      </c>
      <c r="T5" s="75" t="str">
        <f t="shared" ref="T5:T10" si="0" xml:space="preserve"> _xlfn.CONCAT(Q5, CHAR(10), R5)</f>
        <v>斷虹霽雨，淨秋空，山染修眉新綠。
ㄉㄨㄢ˪ ㄏㆲˊ ㄗㆤ˪ ㄨˋ, ㄐㄧㄥ˫ ㄑㄧㄨ ㄎㆲ, ㄙㄢ ㄌㄧㆰˋ ㄒㄧㄨ ㆠㄧˊ ㄒㄧㄣ ㄌㄧㆦㆻ˙.</v>
      </c>
    </row>
    <row r="6" spans="1:20" ht="69">
      <c r="A6" s="55">
        <v>3</v>
      </c>
      <c r="B6" s="65" t="s">
        <v>68</v>
      </c>
      <c r="C6" s="66" t="s">
        <v>69</v>
      </c>
      <c r="D6" s="61">
        <v>2</v>
      </c>
      <c r="E6" s="61">
        <v>5</v>
      </c>
      <c r="F6" s="68">
        <v>30000</v>
      </c>
      <c r="G6" s="69">
        <v>35000</v>
      </c>
      <c r="H6" s="70" t="s">
        <v>60</v>
      </c>
      <c r="I6" s="70" t="s">
        <v>60</v>
      </c>
      <c r="J6" s="70" t="s">
        <v>70</v>
      </c>
      <c r="K6" s="70" t="s">
        <v>62</v>
      </c>
      <c r="L6" s="62">
        <v>32000</v>
      </c>
      <c r="M6" s="62" t="s">
        <v>60</v>
      </c>
      <c r="N6" s="62" t="s">
        <v>60</v>
      </c>
      <c r="O6" s="62" t="s">
        <v>71</v>
      </c>
      <c r="P6" s="62" t="s">
        <v>62</v>
      </c>
      <c r="Q6" s="53" t="s">
        <v>454</v>
      </c>
      <c r="R6" s="52" t="s">
        <v>572</v>
      </c>
      <c r="T6" s="75" t="str">
        <f t="shared" si="0"/>
        <v>桂影扶疏，誰便道，今夕清輝不足？
ㄍㄨㄧ˪ ㄧㄥˋ ㄏㄨˊ ㄙㆦ, ㄙㄨㄧˊ ㄅㄧㄢˊ ㄉㄜ˫, ㄍㄧㆬ ㄒㄧㆻ˙ ㄑㄧㄥ ㄏㄨㄧ ㄅㄨㆵ ㄐㄧㆦㆻ?</v>
      </c>
    </row>
    <row r="7" spans="1:20" ht="69">
      <c r="A7" s="55">
        <v>4</v>
      </c>
      <c r="B7" s="65" t="s">
        <v>72</v>
      </c>
      <c r="C7" s="66" t="s">
        <v>73</v>
      </c>
      <c r="D7" s="61">
        <v>2</v>
      </c>
      <c r="E7" s="61">
        <v>5</v>
      </c>
      <c r="F7" s="68">
        <v>35000</v>
      </c>
      <c r="G7" s="69">
        <v>40000</v>
      </c>
      <c r="H7" s="70" t="s">
        <v>60</v>
      </c>
      <c r="I7" s="70" t="s">
        <v>60</v>
      </c>
      <c r="J7" s="70" t="s">
        <v>74</v>
      </c>
      <c r="K7" s="70" t="s">
        <v>62</v>
      </c>
      <c r="L7" s="62">
        <v>37000</v>
      </c>
      <c r="M7" s="62" t="s">
        <v>60</v>
      </c>
      <c r="N7" s="62" t="s">
        <v>60</v>
      </c>
      <c r="O7" s="62" t="s">
        <v>75</v>
      </c>
      <c r="P7" s="62" t="s">
        <v>62</v>
      </c>
      <c r="Q7" s="53" t="s">
        <v>455</v>
      </c>
      <c r="R7" s="52" t="s">
        <v>603</v>
      </c>
      <c r="T7" s="75" t="str">
        <f t="shared" si="0"/>
        <v>萬里青天，姮娥何處，駕此一輪玉。
ㆠㄢ˫ ㄌㄧˋ ㄑㄧㄥ ㄊㄧㄢ, ㄏㄧㄥˊ ㆣㄜˊ ㄏㄜˊ ㄘㄨ˪, ㄍㄚ˪ ㄘㄨˋ ㄧㆵ ㄌㄨㄣˊ ㆣㄧㆦㆻ˙.</v>
      </c>
    </row>
    <row r="8" spans="1:20" ht="69">
      <c r="A8" s="55">
        <v>5</v>
      </c>
      <c r="B8" s="65" t="s">
        <v>76</v>
      </c>
      <c r="C8" s="66" t="s">
        <v>77</v>
      </c>
      <c r="D8" s="61">
        <v>2</v>
      </c>
      <c r="E8" s="61">
        <v>5</v>
      </c>
      <c r="F8" s="68">
        <v>40000</v>
      </c>
      <c r="G8" s="69">
        <v>45000</v>
      </c>
      <c r="H8" s="70" t="s">
        <v>60</v>
      </c>
      <c r="I8" s="70" t="s">
        <v>60</v>
      </c>
      <c r="J8" s="70" t="s">
        <v>78</v>
      </c>
      <c r="K8" s="70" t="s">
        <v>62</v>
      </c>
      <c r="L8" s="62">
        <v>42000</v>
      </c>
      <c r="M8" s="62" t="s">
        <v>60</v>
      </c>
      <c r="N8" s="62" t="s">
        <v>60</v>
      </c>
      <c r="O8" s="62" t="s">
        <v>79</v>
      </c>
      <c r="P8" s="62" t="s">
        <v>62</v>
      </c>
      <c r="Q8" s="53" t="s">
        <v>456</v>
      </c>
      <c r="R8" s="52" t="s">
        <v>587</v>
      </c>
      <c r="T8" s="75" t="str">
        <f xml:space="preserve"> _xlfn.CONCAT(Q8, CHAR(10), R8)</f>
        <v>寒光零亂，為誰偏照醽醁？
ㄏㄢˊ ㄍㆲ ㄌㄧㄥˊ ㄌㄨㄢ˫, ㄨㄧˊ ㄙㄨㄧˊ ㄆㄧㄢ ㄐㄧㄠ˪ ㄌㄧㄥˊ ㄌㄧㆦㆻ˙?</v>
      </c>
    </row>
    <row r="9" spans="1:20" ht="103.5">
      <c r="A9" s="55" t="s">
        <v>80</v>
      </c>
      <c r="B9" s="65" t="s">
        <v>77</v>
      </c>
      <c r="C9" s="66" t="s">
        <v>81</v>
      </c>
      <c r="D9" s="61">
        <v>2</v>
      </c>
      <c r="E9" s="61">
        <v>5</v>
      </c>
      <c r="F9" s="68">
        <v>42000</v>
      </c>
      <c r="G9" s="69">
        <v>47000</v>
      </c>
      <c r="H9" s="70" t="s">
        <v>60</v>
      </c>
      <c r="I9" s="70" t="s">
        <v>60</v>
      </c>
      <c r="J9" s="70" t="s">
        <v>82</v>
      </c>
      <c r="K9" s="70" t="s">
        <v>62</v>
      </c>
      <c r="L9" s="62">
        <v>44000</v>
      </c>
      <c r="M9" s="62" t="s">
        <v>60</v>
      </c>
      <c r="N9" s="62" t="s">
        <v>60</v>
      </c>
      <c r="O9" s="62" t="s">
        <v>83</v>
      </c>
      <c r="P9" s="62" t="s">
        <v>62</v>
      </c>
      <c r="Q9" s="53" t="s">
        <v>457</v>
      </c>
      <c r="R9" s="52" t="s">
        <v>604</v>
      </c>
      <c r="T9" s="75" t="str">
        <f t="shared" si="0"/>
        <v>年少從我追遊，晚涼幽徑，繞張園森木。
ㄌㄧㄢˊ ㄒㄧㄠ˪ ㄐㄧㆲˊ ㄫㆦˋ ㄉㄨㄧ ㄧㄨˊ, ㆠㄨㄢˋ ㄌㄧㆲˊ ㄧㄨ ㄍㄧㄥ˪, ㆢㄧㄠˋ ㄉㄧㆲ ㄨㄢˊ ㄒㄧㆬ ㆠㆦㆻ˙.</v>
      </c>
    </row>
    <row r="10" spans="1:20" ht="69">
      <c r="A10" s="55"/>
      <c r="B10" s="65"/>
      <c r="C10" s="66"/>
      <c r="D10" s="61"/>
      <c r="E10" s="61"/>
      <c r="F10" s="68"/>
      <c r="G10" s="69"/>
      <c r="H10" s="70"/>
      <c r="I10" s="70"/>
      <c r="J10" s="70"/>
      <c r="K10" s="70"/>
      <c r="L10" s="62"/>
      <c r="M10" s="62"/>
      <c r="N10" s="62"/>
      <c r="O10" s="62"/>
      <c r="P10" s="62"/>
      <c r="Q10" s="53" t="s">
        <v>458</v>
      </c>
      <c r="R10" s="52" t="s">
        <v>605</v>
      </c>
      <c r="T10" s="52" t="str">
        <f t="shared" si="0"/>
        <v>共倒金荷，家萬里，難得尊前相屬。
ㄍㄧㆲ˫ ㄉㄜˋ ㄍㄧㆬ ㄏㄜˊ, ㄍㄚ ㆠㄢ˫ ㄌㄧˋ, ㄌㄢˊ ㄉㄧㆻ ㄗㄨㄣ ㄐㄧㄢˊ ㄒㄧㆲ ㄐㄧㆦㆻ.</v>
      </c>
    </row>
    <row r="11" spans="1:20" ht="69">
      <c r="A11" s="55"/>
      <c r="B11" s="64"/>
      <c r="C11" s="66"/>
      <c r="D11" s="67"/>
      <c r="E11" s="67"/>
      <c r="F11" s="68"/>
      <c r="G11" s="69"/>
      <c r="H11" s="70"/>
      <c r="I11" s="70"/>
      <c r="J11" s="70"/>
      <c r="K11" s="70"/>
      <c r="L11" s="62"/>
      <c r="M11" s="62"/>
      <c r="N11" s="62"/>
      <c r="O11" s="62"/>
      <c r="P11" s="62"/>
      <c r="Q11" s="53" t="s">
        <v>459</v>
      </c>
      <c r="R11" s="52" t="s">
        <v>551</v>
      </c>
      <c r="T11" s="75" t="str">
        <f xml:space="preserve"> _xlfn.CONCAT(Q11, CHAR(10), R11)</f>
        <v>老子平生，江南江北，最愛臨風笛。
ㄌㄜˋ ㄗㄨˋ ㄆㄧㄥˊ ㄒㄧㄥ, ㄍㄤ ㄌㆰˊ ㄍㄤ ㄅㆦㆻ, ㄗㄨㆤ˪ ㄞ˪ ㄌㄧㆬˊ ㄏㆲ ㄉㄧㆻ˙.</v>
      </c>
    </row>
    <row r="12" spans="1:20" ht="69">
      <c r="A12" s="55"/>
      <c r="B12" s="64"/>
      <c r="C12" s="66"/>
      <c r="D12" s="67"/>
      <c r="E12" s="67"/>
      <c r="F12" s="68"/>
      <c r="G12" s="69"/>
      <c r="H12" s="70"/>
      <c r="I12" s="70"/>
      <c r="J12" s="70"/>
      <c r="K12" s="70"/>
      <c r="L12" s="62"/>
      <c r="M12" s="62"/>
      <c r="N12" s="62"/>
      <c r="O12" s="62"/>
      <c r="P12" s="62"/>
      <c r="Q12" s="53" t="s">
        <v>461</v>
      </c>
      <c r="R12" s="52" t="s">
        <v>573</v>
      </c>
      <c r="T12" s="75" t="str">
        <f xml:space="preserve"> _xlfn.CONCAT(Q12, CHAR(10), R12)</f>
        <v>孫郎微笑，坐來聲噴霜竹。
ㄙㄨㄣ ㄌㆲˊ ㆠㄧˊ ㄑㄧㄜ˪, ㄗㆤ˫ ㄌㄞˊ ㄒㄧㄥ ㄆㄨㄣ˪ ㄙㆲ ㄉㄧㆦㆻ.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具名範圍</vt:lpstr>
      </vt:variant>
      <vt:variant>
        <vt:i4>24</vt:i4>
      </vt:variant>
    </vt:vector>
  </HeadingPairs>
  <TitlesOfParts>
    <vt:vector size="38" baseType="lpstr">
      <vt:lpstr>env</vt:lpstr>
      <vt:lpstr>操作表</vt:lpstr>
      <vt:lpstr>變調標音格式</vt:lpstr>
      <vt:lpstr>缺字表</vt:lpstr>
      <vt:lpstr>標音字庫</vt:lpstr>
      <vt:lpstr>人工標音字庫</vt:lpstr>
      <vt:lpstr>漢字注音</vt:lpstr>
      <vt:lpstr>漢字注音 (標示變調)</vt:lpstr>
      <vt:lpstr>漢字注音（台語注音二式）</vt:lpstr>
      <vt:lpstr>SRT漢字注音</vt:lpstr>
      <vt:lpstr>SRT漢字注音 (閩拼調符)</vt:lpstr>
      <vt:lpstr>SRT漢字注音 (台羅拼音)</vt:lpstr>
      <vt:lpstr>SRT漢字注音（台語注音二式）</vt:lpstr>
      <vt:lpstr>SRT漢字注音 (方音符號)</vt:lpstr>
      <vt:lpstr>FILE_NAME</vt:lpstr>
      <vt:lpstr>IMAGE_URL</vt:lpstr>
      <vt:lpstr>INPUT_FILE_PATH</vt:lpstr>
      <vt:lpstr>OUTPUT_PATH</vt:lpstr>
      <vt:lpstr>SRT漢字標音</vt:lpstr>
      <vt:lpstr>TITLE</vt:lpstr>
      <vt:lpstr>上邊標音</vt:lpstr>
      <vt:lpstr>文件版本</vt:lpstr>
      <vt:lpstr>右邊標音</vt:lpstr>
      <vt:lpstr>每列總字數</vt:lpstr>
      <vt:lpstr>每頁總列數</vt:lpstr>
      <vt:lpstr>使用變調標音格式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(標示變調)'!覩9</vt:lpstr>
      <vt:lpstr>'漢字注音（台語注音二式）'!覩9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2026-10-25T06:51:49Z</dcterms:modified>
</cp:coreProperties>
</file>