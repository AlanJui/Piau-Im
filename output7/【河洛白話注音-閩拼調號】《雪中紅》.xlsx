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591648A4-F0C2-4535-8261-50AED741972C}" xr6:coauthVersionLast="47" xr6:coauthVersionMax="47" xr10:uidLastSave="{00000000-0000-0000-0000-000000000000}"/>
  <bookViews>
    <workbookView xWindow="67080" yWindow="-105" windowWidth="16440" windowHeight="28320" firstSheet="4" activeTab="6" xr2:uid="{25A76161-EFED-4AC8-8EAA-A42737AE1909}"/>
    <workbookView xWindow="-120" yWindow="-120" windowWidth="29040" windowHeight="15720" activeTab="6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漢字注音 (3)" sheetId="136" r:id="rId6"/>
    <sheet name="打字練習表" sheetId="139" r:id="rId7"/>
    <sheet name="打字練習表（模版）" sheetId="137" r:id="rId8"/>
    <sheet name="打字練習表 (3)" sheetId="138" r:id="rId9"/>
    <sheet name="打字練習表 (2)" sheetId="134" r:id="rId10"/>
    <sheet name="漢字注音 (台語注音二式)" sheetId="131" r:id="rId11"/>
    <sheet name="缺字表 (範例)" sheetId="110" r:id="rId12"/>
    <sheet name="標音字庫 (範例)" sheetId="121" r:id="rId13"/>
    <sheet name="漢字注音 (範例)" sheetId="120" r:id="rId14"/>
  </sheets>
  <externalReferences>
    <externalReference r:id="rId15"/>
  </externalReference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(3)'!$A$5</definedName>
    <definedName name="覩9" localSheetId="10">'漢字注音 (台語注音二式)'!$A$5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8" l="1"/>
  <c r="L45" i="136" l="1"/>
  <c r="H37" i="136"/>
  <c r="H29" i="136"/>
  <c r="M21" i="136"/>
  <c r="O17" i="136"/>
  <c r="K13" i="136"/>
  <c r="B13" i="136"/>
  <c r="B17" i="136" s="1"/>
  <c r="B21" i="136" s="1"/>
  <c r="B25" i="136" s="1"/>
  <c r="B29" i="136" s="1"/>
  <c r="B33" i="136" s="1"/>
  <c r="B37" i="136" s="1"/>
  <c r="B41" i="136" s="1"/>
  <c r="B45" i="136" s="1"/>
  <c r="B49" i="136" s="1"/>
  <c r="B53" i="136" s="1"/>
  <c r="B57" i="136" s="1"/>
  <c r="B61" i="136" s="1"/>
  <c r="B65" i="136" s="1"/>
  <c r="B69" i="136" s="1"/>
  <c r="B73" i="136" s="1"/>
  <c r="B77" i="136" s="1"/>
  <c r="B81" i="136" s="1"/>
  <c r="B85" i="136" s="1"/>
  <c r="B89" i="136" s="1"/>
  <c r="B93" i="136" s="1"/>
  <c r="B97" i="136" s="1"/>
  <c r="B101" i="136" s="1"/>
  <c r="B105" i="136" s="1"/>
  <c r="B109" i="136" s="1"/>
  <c r="B113" i="136" s="1"/>
  <c r="B117" i="136" s="1"/>
  <c r="B121" i="136" s="1"/>
  <c r="B125" i="136" s="1"/>
  <c r="B129" i="136" s="1"/>
  <c r="B133" i="136" s="1"/>
  <c r="B137" i="136" s="1"/>
  <c r="B141" i="136" s="1"/>
  <c r="B145" i="136" s="1"/>
  <c r="B149" i="136" s="1"/>
  <c r="B153" i="136" s="1"/>
  <c r="B157" i="136" s="1"/>
  <c r="B161" i="136" s="1"/>
  <c r="B165" i="136" s="1"/>
  <c r="B169" i="136" s="1"/>
  <c r="B173" i="136" s="1"/>
  <c r="B177" i="136" s="1"/>
  <c r="B181" i="136" s="1"/>
  <c r="B185" i="136" s="1"/>
  <c r="B189" i="136" s="1"/>
  <c r="B193" i="136" s="1"/>
  <c r="B197" i="136" s="1"/>
  <c r="B201" i="136" s="1"/>
  <c r="B205" i="136" s="1"/>
  <c r="B209" i="136" s="1"/>
  <c r="B213" i="136" s="1"/>
  <c r="B217" i="136" s="1"/>
  <c r="B221" i="136" s="1"/>
  <c r="B225" i="136" s="1"/>
  <c r="B229" i="136" s="1"/>
  <c r="B233" i="136" s="1"/>
  <c r="B237" i="136" s="1"/>
  <c r="B241" i="136" s="1"/>
  <c r="B245" i="136" s="1"/>
  <c r="B249" i="136" s="1"/>
  <c r="B253" i="136" s="1"/>
  <c r="B257" i="136" s="1"/>
  <c r="B261" i="136" s="1"/>
  <c r="B265" i="136" s="1"/>
  <c r="B269" i="136" s="1"/>
  <c r="B273" i="136" s="1"/>
  <c r="B277" i="136" s="1"/>
  <c r="B281" i="136" s="1"/>
  <c r="B285" i="136" s="1"/>
  <c r="B289" i="136" s="1"/>
  <c r="B293" i="136" s="1"/>
  <c r="B297" i="136" s="1"/>
  <c r="B301" i="136" s="1"/>
  <c r="B305" i="136" s="1"/>
  <c r="B309" i="136" s="1"/>
  <c r="B313" i="136" s="1"/>
  <c r="B317" i="136" s="1"/>
  <c r="B321" i="136" s="1"/>
  <c r="B325" i="136" s="1"/>
  <c r="B329" i="136" s="1"/>
  <c r="B333" i="136" s="1"/>
  <c r="B337" i="136" s="1"/>
  <c r="B341" i="136" s="1"/>
  <c r="B345" i="136" s="1"/>
  <c r="B349" i="136" s="1"/>
  <c r="B353" i="136" s="1"/>
  <c r="B357" i="136" s="1"/>
  <c r="B361" i="136" s="1"/>
  <c r="B365" i="136" s="1"/>
  <c r="B369" i="136" s="1"/>
  <c r="B373" i="136" s="1"/>
  <c r="B377" i="136" s="1"/>
  <c r="B381" i="136" s="1"/>
  <c r="B385" i="136" s="1"/>
  <c r="B389" i="136" s="1"/>
  <c r="B393" i="136" s="1"/>
  <c r="B397" i="136" s="1"/>
  <c r="B401" i="136" s="1"/>
  <c r="B405" i="136" s="1"/>
  <c r="B409" i="136" s="1"/>
  <c r="B413" i="136" s="1"/>
  <c r="B417" i="136" s="1"/>
  <c r="B421" i="136" s="1"/>
  <c r="B425" i="136" s="1"/>
  <c r="B429" i="136" s="1"/>
  <c r="B433" i="136" s="1"/>
  <c r="B437" i="136" s="1"/>
  <c r="B441" i="136" s="1"/>
  <c r="B445" i="136" s="1"/>
  <c r="B449" i="136" s="1"/>
  <c r="B453" i="136" s="1"/>
  <c r="B457" i="136" s="1"/>
  <c r="B461" i="136" s="1"/>
  <c r="B465" i="136" s="1"/>
  <c r="B469" i="136" s="1"/>
  <c r="B473" i="136" s="1"/>
  <c r="B477" i="136" s="1"/>
  <c r="B481" i="136" s="1"/>
  <c r="B485" i="136" s="1"/>
  <c r="B489" i="136" s="1"/>
  <c r="B493" i="136" s="1"/>
  <c r="B497" i="136" s="1"/>
  <c r="B501" i="136" s="1"/>
  <c r="B505" i="136" s="1"/>
  <c r="B509" i="136" s="1"/>
  <c r="B513" i="136" s="1"/>
  <c r="B517" i="136" s="1"/>
  <c r="B521" i="136" s="1"/>
  <c r="B525" i="136" s="1"/>
  <c r="B529" i="136" s="1"/>
  <c r="B533" i="136" s="1"/>
  <c r="B537" i="136" s="1"/>
  <c r="B541" i="136" s="1"/>
  <c r="B545" i="136" s="1"/>
  <c r="B549" i="136" s="1"/>
  <c r="B553" i="136" s="1"/>
  <c r="B557" i="136" s="1"/>
  <c r="B561" i="136" s="1"/>
  <c r="B565" i="136" s="1"/>
  <c r="B569" i="136" s="1"/>
  <c r="B573" i="136" s="1"/>
  <c r="B577" i="136" s="1"/>
  <c r="B581" i="136" s="1"/>
  <c r="B585" i="136" s="1"/>
  <c r="B589" i="136" s="1"/>
  <c r="B593" i="136" s="1"/>
  <c r="B597" i="136" s="1"/>
  <c r="B601" i="136" s="1"/>
  <c r="B605" i="136" s="1"/>
  <c r="B609" i="136" s="1"/>
  <c r="B613" i="136" s="1"/>
  <c r="B617" i="136" s="1"/>
  <c r="B621" i="136" s="1"/>
  <c r="B625" i="136" s="1"/>
  <c r="B629" i="136" s="1"/>
  <c r="B633" i="136" s="1"/>
  <c r="B637" i="136" s="1"/>
  <c r="B641" i="136" s="1"/>
  <c r="B645" i="136" s="1"/>
  <c r="B649" i="136" s="1"/>
  <c r="B653" i="136" s="1"/>
  <c r="B657" i="136" s="1"/>
  <c r="B661" i="136" s="1"/>
  <c r="B665" i="136" s="1"/>
  <c r="B669" i="136" s="1"/>
  <c r="B673" i="136" s="1"/>
  <c r="B677" i="136" s="1"/>
  <c r="B681" i="136" s="1"/>
  <c r="B685" i="136" s="1"/>
  <c r="B689" i="136" s="1"/>
  <c r="B693" i="136" s="1"/>
  <c r="B697" i="136" s="1"/>
  <c r="B701" i="136" s="1"/>
  <c r="B705" i="136" s="1"/>
  <c r="B709" i="136" s="1"/>
  <c r="B713" i="136" s="1"/>
  <c r="B717" i="136" s="1"/>
  <c r="B721" i="136" s="1"/>
  <c r="B725" i="136" s="1"/>
  <c r="B729" i="136" s="1"/>
  <c r="B733" i="136" s="1"/>
  <c r="B737" i="136" s="1"/>
  <c r="B741" i="136" s="1"/>
  <c r="B745" i="136" s="1"/>
  <c r="B749" i="136" s="1"/>
  <c r="B753" i="136" s="1"/>
  <c r="B757" i="136" s="1"/>
  <c r="B761" i="136" s="1"/>
  <c r="B765" i="136" s="1"/>
  <c r="B769" i="136" s="1"/>
  <c r="B773" i="136" s="1"/>
  <c r="B777" i="136" s="1"/>
  <c r="B781" i="136" s="1"/>
  <c r="B785" i="136" s="1"/>
  <c r="B789" i="136" s="1"/>
  <c r="B793" i="136" s="1"/>
  <c r="B797" i="136" s="1"/>
  <c r="B801" i="136" s="1"/>
  <c r="B805" i="136" s="1"/>
  <c r="B809" i="136" s="1"/>
  <c r="B813" i="136" s="1"/>
  <c r="B817" i="136" s="1"/>
  <c r="B821" i="136" s="1"/>
  <c r="B825" i="136" s="1"/>
  <c r="B829" i="136" s="1"/>
  <c r="B833" i="136" s="1"/>
  <c r="B837" i="136" s="1"/>
  <c r="B841" i="136" s="1"/>
  <c r="B845" i="136" s="1"/>
  <c r="B849" i="136" s="1"/>
  <c r="B853" i="136" s="1"/>
  <c r="B857" i="136" s="1"/>
  <c r="B861" i="136" s="1"/>
  <c r="B865" i="136" s="1"/>
  <c r="B869" i="136" s="1"/>
  <c r="B873" i="136" s="1"/>
  <c r="B877" i="136" s="1"/>
  <c r="B881" i="136" s="1"/>
  <c r="B885" i="136" s="1"/>
  <c r="B889" i="136" s="1"/>
  <c r="B893" i="136" s="1"/>
  <c r="B897" i="136" s="1"/>
  <c r="B901" i="136" s="1"/>
  <c r="B905" i="136" s="1"/>
  <c r="B909" i="136" s="1"/>
  <c r="B913" i="136" s="1"/>
  <c r="B917" i="136" s="1"/>
  <c r="B921" i="136" s="1"/>
  <c r="B925" i="136" s="1"/>
  <c r="B929" i="136" s="1"/>
  <c r="B933" i="136" s="1"/>
  <c r="B937" i="136" s="1"/>
  <c r="B941" i="136" s="1"/>
  <c r="B945" i="136" s="1"/>
  <c r="B949" i="136" s="1"/>
  <c r="B953" i="136" s="1"/>
  <c r="B957" i="136" s="1"/>
  <c r="B961" i="136" s="1"/>
  <c r="B965" i="136" s="1"/>
  <c r="B969" i="136" s="1"/>
  <c r="B973" i="136" s="1"/>
  <c r="B977" i="136" s="1"/>
  <c r="B981" i="136" s="1"/>
  <c r="B985" i="136" s="1"/>
  <c r="B989" i="136" s="1"/>
  <c r="B993" i="136" s="1"/>
  <c r="B997" i="136" s="1"/>
  <c r="B1001" i="136" s="1"/>
  <c r="B1005" i="136" s="1"/>
  <c r="B1009" i="136" s="1"/>
  <c r="B1013" i="136" s="1"/>
  <c r="B1017" i="136" s="1"/>
  <c r="B1021" i="136" s="1"/>
  <c r="B1025" i="136" s="1"/>
  <c r="B1029" i="136" s="1"/>
  <c r="B1033" i="136" s="1"/>
  <c r="B1037" i="136" s="1"/>
  <c r="B1041" i="136" s="1"/>
  <c r="B1045" i="136" s="1"/>
  <c r="B1049" i="136" s="1"/>
  <c r="B1053" i="136" s="1"/>
  <c r="B1057" i="136" s="1"/>
  <c r="B1061" i="136" s="1"/>
  <c r="B1065" i="136" s="1"/>
  <c r="B1069" i="136" s="1"/>
  <c r="B1073" i="136" s="1"/>
  <c r="B1077" i="136" s="1"/>
  <c r="B1081" i="136" s="1"/>
  <c r="B1085" i="136" s="1"/>
  <c r="B1089" i="136" s="1"/>
  <c r="B1093" i="136" s="1"/>
  <c r="B1097" i="136" s="1"/>
  <c r="B1101" i="136" s="1"/>
  <c r="B1105" i="136" s="1"/>
  <c r="B1109" i="136" s="1"/>
  <c r="B1113" i="136" s="1"/>
  <c r="B1117" i="136" s="1"/>
  <c r="B1121" i="136" s="1"/>
  <c r="B1125" i="136" s="1"/>
  <c r="B1129" i="136" s="1"/>
  <c r="B1133" i="136" s="1"/>
  <c r="B1137" i="136" s="1"/>
  <c r="B1141" i="136" s="1"/>
  <c r="B1145" i="136" s="1"/>
  <c r="B1149" i="136" s="1"/>
  <c r="B1153" i="136" s="1"/>
  <c r="B1157" i="136" s="1"/>
  <c r="B1161" i="136" s="1"/>
  <c r="B1165" i="136" s="1"/>
  <c r="B1169" i="136" s="1"/>
  <c r="B1173" i="136" s="1"/>
  <c r="B1177" i="136" s="1"/>
  <c r="B1181" i="136" s="1"/>
  <c r="B1185" i="136" s="1"/>
  <c r="B1189" i="136" s="1"/>
  <c r="B1193" i="136" s="1"/>
  <c r="B1197" i="136" s="1"/>
  <c r="B1201" i="136" s="1"/>
  <c r="B1205" i="136" s="1"/>
  <c r="B1209" i="136" s="1"/>
  <c r="B1213" i="136" s="1"/>
  <c r="B1217" i="136" s="1"/>
  <c r="B1221" i="136" s="1"/>
  <c r="B1225" i="136" s="1"/>
  <c r="B1229" i="136" s="1"/>
  <c r="B1233" i="136" s="1"/>
  <c r="B1237" i="136" s="1"/>
  <c r="B1241" i="136" s="1"/>
  <c r="B1245" i="136" s="1"/>
  <c r="B1249" i="136" s="1"/>
  <c r="B1253" i="136" s="1"/>
  <c r="B1257" i="136" s="1"/>
  <c r="B1261" i="136" s="1"/>
  <c r="B1265" i="136" s="1"/>
  <c r="B1269" i="136" s="1"/>
  <c r="B1273" i="136" s="1"/>
  <c r="B1277" i="136" s="1"/>
  <c r="B1281" i="136" s="1"/>
  <c r="B1285" i="136" s="1"/>
  <c r="B1289" i="136" s="1"/>
  <c r="B1293" i="136" s="1"/>
  <c r="B1297" i="136" s="1"/>
  <c r="B1301" i="136" s="1"/>
  <c r="B1305" i="136" s="1"/>
  <c r="B1309" i="136" s="1"/>
  <c r="B1313" i="136" s="1"/>
  <c r="B1317" i="136" s="1"/>
  <c r="B1321" i="136" s="1"/>
  <c r="B1325" i="136" s="1"/>
  <c r="B1329" i="136" s="1"/>
  <c r="B1333" i="136" s="1"/>
  <c r="B1337" i="136" s="1"/>
  <c r="B1341" i="136" s="1"/>
  <c r="B1345" i="136" s="1"/>
  <c r="B1349" i="136" s="1"/>
  <c r="B1353" i="136" s="1"/>
  <c r="B1357" i="136" s="1"/>
  <c r="B1361" i="136" s="1"/>
  <c r="B1365" i="136" s="1"/>
  <c r="B1369" i="136" s="1"/>
  <c r="B1373" i="136" s="1"/>
  <c r="B1377" i="136" s="1"/>
  <c r="B1381" i="136" s="1"/>
  <c r="B1385" i="136" s="1"/>
  <c r="B1389" i="136" s="1"/>
  <c r="B1393" i="136" s="1"/>
  <c r="B1397" i="136" s="1"/>
  <c r="B1401" i="136" s="1"/>
  <c r="B1405" i="136" s="1"/>
  <c r="B1409" i="136" s="1"/>
  <c r="B1413" i="136" s="1"/>
  <c r="B1417" i="136" s="1"/>
  <c r="B1421" i="136" s="1"/>
  <c r="B1425" i="136" s="1"/>
  <c r="B1429" i="136" s="1"/>
  <c r="B1433" i="136" s="1"/>
  <c r="B1437" i="136" s="1"/>
  <c r="B1441" i="136" s="1"/>
  <c r="B1445" i="136" s="1"/>
  <c r="B1449" i="136" s="1"/>
  <c r="B1453" i="136" s="1"/>
  <c r="B1457" i="136" s="1"/>
  <c r="B1461" i="136" s="1"/>
  <c r="B1465" i="136" s="1"/>
  <c r="B1469" i="136" s="1"/>
  <c r="B1473" i="136" s="1"/>
  <c r="B1477" i="136" s="1"/>
  <c r="B1481" i="136" s="1"/>
  <c r="B1485" i="136" s="1"/>
  <c r="B1489" i="136" s="1"/>
  <c r="B1493" i="136" s="1"/>
  <c r="B1497" i="136" s="1"/>
  <c r="B1501" i="136" s="1"/>
  <c r="B1505" i="136" s="1"/>
  <c r="B1509" i="136" s="1"/>
  <c r="B1513" i="136" s="1"/>
  <c r="B1517" i="136" s="1"/>
  <c r="B1521" i="136" s="1"/>
  <c r="B1525" i="136" s="1"/>
  <c r="B1529" i="136" s="1"/>
  <c r="B1533" i="136" s="1"/>
  <c r="B1537" i="136" s="1"/>
  <c r="B1541" i="136" s="1"/>
  <c r="B1545" i="136" s="1"/>
  <c r="B1549" i="136" s="1"/>
  <c r="B1553" i="136" s="1"/>
  <c r="B1557" i="136" s="1"/>
  <c r="B1561" i="136" s="1"/>
  <c r="B1565" i="136" s="1"/>
  <c r="B1569" i="136" s="1"/>
  <c r="B1573" i="136" s="1"/>
  <c r="B1577" i="136" s="1"/>
  <c r="B1581" i="136" s="1"/>
  <c r="B1585" i="136" s="1"/>
  <c r="B1589" i="136" s="1"/>
  <c r="B1593" i="136" s="1"/>
  <c r="B1597" i="136" s="1"/>
  <c r="B1601" i="136" s="1"/>
  <c r="B1605" i="136" s="1"/>
  <c r="B1609" i="136" s="1"/>
  <c r="B1613" i="136" s="1"/>
  <c r="B1617" i="136" s="1"/>
  <c r="B1621" i="136" s="1"/>
  <c r="B1625" i="136" s="1"/>
  <c r="B1629" i="136" s="1"/>
  <c r="B1633" i="136" s="1"/>
  <c r="B1637" i="136" s="1"/>
  <c r="B1641" i="136" s="1"/>
  <c r="B1645" i="136" s="1"/>
  <c r="B1649" i="136" s="1"/>
  <c r="B1653" i="136" s="1"/>
  <c r="B1657" i="136" s="1"/>
  <c r="B1661" i="136" s="1"/>
  <c r="B1665" i="136" s="1"/>
  <c r="B1669" i="136" s="1"/>
  <c r="B1673" i="136" s="1"/>
  <c r="B1677" i="136" s="1"/>
  <c r="B1681" i="136" s="1"/>
  <c r="B1685" i="136" s="1"/>
  <c r="B1689" i="136" s="1"/>
  <c r="B1693" i="136" s="1"/>
  <c r="B1697" i="136" s="1"/>
  <c r="B1701" i="136" s="1"/>
  <c r="B1705" i="136" s="1"/>
  <c r="B1709" i="136" s="1"/>
  <c r="B1713" i="136" s="1"/>
  <c r="B1717" i="136" s="1"/>
  <c r="B1721" i="136" s="1"/>
  <c r="B1725" i="136" s="1"/>
  <c r="B1729" i="136" s="1"/>
  <c r="B1733" i="136" s="1"/>
  <c r="B1737" i="136" s="1"/>
  <c r="B1741" i="136" s="1"/>
  <c r="B1745" i="136" s="1"/>
  <c r="B1749" i="136" s="1"/>
  <c r="B1753" i="136" s="1"/>
  <c r="B1757" i="136" s="1"/>
  <c r="B1761" i="136" s="1"/>
  <c r="B1765" i="136" s="1"/>
  <c r="B1769" i="136" s="1"/>
  <c r="B1773" i="136" s="1"/>
  <c r="B1777" i="136" s="1"/>
  <c r="B1781" i="136" s="1"/>
  <c r="B1785" i="136" s="1"/>
  <c r="B1789" i="136" s="1"/>
  <c r="B1793" i="136" s="1"/>
  <c r="B1797" i="136" s="1"/>
  <c r="B1801" i="136" s="1"/>
  <c r="B1805" i="136" s="1"/>
  <c r="B1809" i="136" s="1"/>
  <c r="B1813" i="136" s="1"/>
  <c r="B1817" i="136" s="1"/>
  <c r="B1821" i="136" s="1"/>
  <c r="B1825" i="136" s="1"/>
  <c r="B1829" i="136" s="1"/>
  <c r="B1833" i="136" s="1"/>
  <c r="B1837" i="136" s="1"/>
  <c r="B1841" i="136" s="1"/>
  <c r="B1845" i="136" s="1"/>
  <c r="B1849" i="136" s="1"/>
  <c r="B1853" i="136" s="1"/>
  <c r="B1857" i="136" s="1"/>
  <c r="B1861" i="136" s="1"/>
  <c r="B1865" i="136" s="1"/>
  <c r="B1869" i="136" s="1"/>
  <c r="B1873" i="136" s="1"/>
  <c r="B1877" i="136" s="1"/>
  <c r="B1881" i="136" s="1"/>
  <c r="B1885" i="136" s="1"/>
  <c r="B1889" i="136" s="1"/>
  <c r="B1893" i="136" s="1"/>
  <c r="B1897" i="136" s="1"/>
  <c r="B1901" i="136" s="1"/>
  <c r="B1905" i="136" s="1"/>
  <c r="B1909" i="136" s="1"/>
  <c r="B1913" i="136" s="1"/>
  <c r="B1917" i="136" s="1"/>
  <c r="B1921" i="136" s="1"/>
  <c r="B1925" i="136" s="1"/>
  <c r="B1929" i="136" s="1"/>
  <c r="B1933" i="136" s="1"/>
  <c r="B1937" i="136" s="1"/>
  <c r="B1941" i="136" s="1"/>
  <c r="B1945" i="136" s="1"/>
  <c r="B1949" i="136" s="1"/>
  <c r="B1953" i="136" s="1"/>
  <c r="B1957" i="136" s="1"/>
  <c r="B1961" i="136" s="1"/>
  <c r="B1965" i="136" s="1"/>
  <c r="B1969" i="136" s="1"/>
  <c r="B1973" i="136" s="1"/>
  <c r="B1977" i="136" s="1"/>
  <c r="B1981" i="136" s="1"/>
  <c r="B1985" i="136" s="1"/>
  <c r="B1989" i="136" s="1"/>
  <c r="B1993" i="136" s="1"/>
  <c r="B1997" i="136" s="1"/>
  <c r="B2001" i="136" s="1"/>
  <c r="K9" i="136"/>
  <c r="B9" i="136"/>
  <c r="I5" i="136"/>
  <c r="V2" i="136"/>
  <c r="R1" i="136"/>
  <c r="Q1" i="136"/>
  <c r="P1" i="136"/>
  <c r="O1" i="136"/>
  <c r="N1" i="136"/>
  <c r="M1" i="136"/>
  <c r="L1" i="136"/>
  <c r="K1" i="136"/>
  <c r="J1" i="136"/>
  <c r="I1" i="136"/>
  <c r="H1" i="136"/>
  <c r="G1" i="136"/>
  <c r="F1" i="136"/>
  <c r="E1" i="136"/>
  <c r="D1" i="136"/>
  <c r="C1" i="136"/>
  <c r="B1" i="136"/>
  <c r="A1" i="136"/>
  <c r="L45" i="135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I44" i="134"/>
  <c r="I44" i="134" a="1"/>
  <c r="H44" i="134" a="1"/>
  <c r="H44" i="134" s="1"/>
  <c r="D44" i="134"/>
  <c r="M44" i="134" s="1" a="1"/>
  <c r="M44" i="134" s="1"/>
  <c r="K43" i="134" a="1"/>
  <c r="K43" i="134" s="1"/>
  <c r="E43" i="134" a="1"/>
  <c r="E43" i="134" s="1"/>
  <c r="D43" i="134"/>
  <c r="I43" i="134" s="1" a="1"/>
  <c r="I43" i="134" s="1"/>
  <c r="M42" i="134" a="1"/>
  <c r="M42" i="134" s="1"/>
  <c r="I42" i="134" a="1"/>
  <c r="I42" i="134" s="1"/>
  <c r="H42" i="134"/>
  <c r="H42" i="134" a="1"/>
  <c r="G42" i="134" a="1"/>
  <c r="G42" i="134" s="1"/>
  <c r="D42" i="134"/>
  <c r="L42" i="134" s="1" a="1"/>
  <c r="L42" i="134" s="1"/>
  <c r="L41" i="134" a="1"/>
  <c r="L41" i="134" s="1"/>
  <c r="F41" i="134" a="1"/>
  <c r="F41" i="134" s="1"/>
  <c r="D41" i="134"/>
  <c r="J41" i="134" s="1" a="1"/>
  <c r="J41" i="134" s="1"/>
  <c r="J40" i="134" a="1"/>
  <c r="J40" i="134" s="1"/>
  <c r="I40" i="134"/>
  <c r="I40" i="134" a="1"/>
  <c r="H40" i="134" a="1"/>
  <c r="H40" i="134" s="1"/>
  <c r="D40" i="134"/>
  <c r="M40" i="134" s="1" a="1"/>
  <c r="M40" i="134" s="1"/>
  <c r="M39" i="134" a="1"/>
  <c r="M39" i="134" s="1"/>
  <c r="L39" i="134"/>
  <c r="L39" i="134" a="1"/>
  <c r="J39" i="134" a="1"/>
  <c r="J39" i="134" s="1"/>
  <c r="H39" i="134" a="1"/>
  <c r="H39" i="134" s="1"/>
  <c r="G39" i="134" a="1"/>
  <c r="G39" i="134" s="1"/>
  <c r="F39" i="134"/>
  <c r="F39" i="134" a="1"/>
  <c r="D39" i="134"/>
  <c r="K39" i="134" s="1" a="1"/>
  <c r="K39" i="134" s="1"/>
  <c r="D38" i="134"/>
  <c r="H38" i="134" s="1" a="1"/>
  <c r="H38" i="134" s="1"/>
  <c r="M37" i="134"/>
  <c r="M37" i="134" a="1"/>
  <c r="K37" i="134" a="1"/>
  <c r="K37" i="134" s="1"/>
  <c r="I37" i="134" a="1"/>
  <c r="I37" i="134" s="1"/>
  <c r="H37" i="134" a="1"/>
  <c r="H37" i="134" s="1"/>
  <c r="G37" i="134"/>
  <c r="G37" i="134" a="1"/>
  <c r="E37" i="134" a="1"/>
  <c r="E37" i="134" s="1"/>
  <c r="D37" i="134"/>
  <c r="L37" i="134" s="1" a="1"/>
  <c r="L37" i="134" s="1"/>
  <c r="J36" i="134" a="1"/>
  <c r="J36" i="134" s="1"/>
  <c r="D36" i="134"/>
  <c r="I36" i="134" s="1" a="1"/>
  <c r="I36" i="134" s="1"/>
  <c r="M35" i="134" a="1"/>
  <c r="M35" i="134" s="1"/>
  <c r="L35" i="134"/>
  <c r="L35" i="134" a="1"/>
  <c r="J35" i="134" a="1"/>
  <c r="J35" i="134" s="1"/>
  <c r="H35" i="134" a="1"/>
  <c r="H35" i="134" s="1"/>
  <c r="G35" i="134" a="1"/>
  <c r="G35" i="134" s="1"/>
  <c r="F35" i="134"/>
  <c r="F35" i="134" a="1"/>
  <c r="D35" i="134"/>
  <c r="K35" i="134" s="1" a="1"/>
  <c r="K35" i="134" s="1"/>
  <c r="D34" i="134"/>
  <c r="H34" i="134" s="1" a="1"/>
  <c r="H34" i="134" s="1"/>
  <c r="M33" i="134"/>
  <c r="M33" i="134" a="1"/>
  <c r="K33" i="134" a="1"/>
  <c r="K33" i="134" s="1"/>
  <c r="I33" i="134" a="1"/>
  <c r="I33" i="134" s="1"/>
  <c r="H33" i="134" a="1"/>
  <c r="H33" i="134" s="1"/>
  <c r="G33" i="134"/>
  <c r="G33" i="134" a="1"/>
  <c r="E33" i="134" a="1"/>
  <c r="E33" i="134" s="1"/>
  <c r="D33" i="134"/>
  <c r="L33" i="134" s="1" a="1"/>
  <c r="L33" i="134" s="1"/>
  <c r="K32" i="134"/>
  <c r="K32" i="134" a="1"/>
  <c r="J32" i="134" a="1"/>
  <c r="J32" i="134" s="1"/>
  <c r="E32" i="134"/>
  <c r="E32" i="134" a="1"/>
  <c r="D32" i="134"/>
  <c r="I32" i="134" s="1" a="1"/>
  <c r="I32" i="134" s="1"/>
  <c r="L31" i="134" a="1"/>
  <c r="L31" i="134" s="1"/>
  <c r="J31" i="134" a="1"/>
  <c r="J31" i="134" s="1"/>
  <c r="I31" i="134" a="1"/>
  <c r="I31" i="134" s="1"/>
  <c r="H31" i="134"/>
  <c r="H31" i="134" a="1"/>
  <c r="F31" i="134" a="1"/>
  <c r="F31" i="134" s="1"/>
  <c r="D31" i="134"/>
  <c r="M31" i="134" s="1" a="1"/>
  <c r="M31" i="134" s="1"/>
  <c r="M30" i="134"/>
  <c r="M30" i="134" a="1"/>
  <c r="L30" i="134"/>
  <c r="L30" i="134" a="1"/>
  <c r="K30" i="134" a="1"/>
  <c r="K30" i="134" s="1"/>
  <c r="G30" i="134"/>
  <c r="G30" i="134" a="1"/>
  <c r="F30" i="134"/>
  <c r="F30" i="134" a="1"/>
  <c r="E30" i="134" a="1"/>
  <c r="E30" i="134" s="1"/>
  <c r="D30" i="134"/>
  <c r="J30" i="134" s="1" a="1"/>
  <c r="J30" i="134" s="1"/>
  <c r="M29" i="134" a="1"/>
  <c r="M29" i="134" s="1"/>
  <c r="K29" i="134" a="1"/>
  <c r="K29" i="134" s="1"/>
  <c r="J29" i="134" a="1"/>
  <c r="J29" i="134" s="1"/>
  <c r="I29" i="134"/>
  <c r="I29" i="134" a="1"/>
  <c r="G29" i="134" a="1"/>
  <c r="G29" i="134" s="1"/>
  <c r="E29" i="134" a="1"/>
  <c r="E29" i="134" s="1"/>
  <c r="D29" i="134"/>
  <c r="H29" i="134" s="1" a="1"/>
  <c r="H29" i="134" s="1"/>
  <c r="M28" i="134"/>
  <c r="M28" i="134" a="1"/>
  <c r="L28" i="134" a="1"/>
  <c r="L28" i="134" s="1"/>
  <c r="G28" i="134"/>
  <c r="G28" i="134" a="1"/>
  <c r="F28" i="134" a="1"/>
  <c r="F28" i="134" s="1"/>
  <c r="D28" i="134"/>
  <c r="K28" i="134" s="1" a="1"/>
  <c r="K28" i="134" s="1"/>
  <c r="L27" i="134" a="1"/>
  <c r="L27" i="134" s="1"/>
  <c r="K27" i="134" a="1"/>
  <c r="K27" i="134" s="1"/>
  <c r="J27" i="134"/>
  <c r="J27" i="134" a="1"/>
  <c r="H27" i="134" a="1"/>
  <c r="H27" i="134" s="1"/>
  <c r="D27" i="134"/>
  <c r="I27" i="134" s="1" a="1"/>
  <c r="I27" i="134" s="1"/>
  <c r="M26" i="134"/>
  <c r="M26" i="134" a="1"/>
  <c r="L26" i="134"/>
  <c r="L26" i="134" a="1"/>
  <c r="K26" i="134" a="1"/>
  <c r="K26" i="134" s="1"/>
  <c r="H26" i="134" a="1"/>
  <c r="H26" i="134" s="1"/>
  <c r="G26" i="134"/>
  <c r="G26" i="134" a="1"/>
  <c r="F26" i="134"/>
  <c r="F26" i="134" a="1"/>
  <c r="E26" i="134" a="1"/>
  <c r="E26" i="134" s="1"/>
  <c r="D26" i="134"/>
  <c r="J26" i="134" s="1" a="1"/>
  <c r="J26" i="134" s="1"/>
  <c r="M25" i="134" a="1"/>
  <c r="M25" i="134" s="1"/>
  <c r="K25" i="134" a="1"/>
  <c r="K25" i="134" s="1"/>
  <c r="J25" i="134" a="1"/>
  <c r="J25" i="134" s="1"/>
  <c r="I25" i="134"/>
  <c r="I25" i="134" a="1"/>
  <c r="G25" i="134" a="1"/>
  <c r="G25" i="134" s="1"/>
  <c r="E25" i="134" a="1"/>
  <c r="E25" i="134" s="1"/>
  <c r="D25" i="134"/>
  <c r="H25" i="134" s="1" a="1"/>
  <c r="H25" i="134" s="1"/>
  <c r="M24" i="134"/>
  <c r="M24" i="134" a="1"/>
  <c r="L24" i="134" a="1"/>
  <c r="L24" i="134" s="1"/>
  <c r="G24" i="134"/>
  <c r="G24" i="134" a="1"/>
  <c r="F24" i="134" a="1"/>
  <c r="F24" i="134" s="1"/>
  <c r="D24" i="134"/>
  <c r="K24" i="134" s="1" a="1"/>
  <c r="K24" i="134" s="1"/>
  <c r="L23" i="134" a="1"/>
  <c r="L23" i="134" s="1"/>
  <c r="K23" i="134" a="1"/>
  <c r="K23" i="134" s="1"/>
  <c r="F23" i="134" a="1"/>
  <c r="F23" i="134" s="1"/>
  <c r="E23" i="134" a="1"/>
  <c r="E23" i="134" s="1"/>
  <c r="D23" i="134"/>
  <c r="I23" i="134" s="1" a="1"/>
  <c r="I23" i="134" s="1"/>
  <c r="M22" i="134" a="1"/>
  <c r="M22" i="134" s="1"/>
  <c r="J22" i="134" a="1"/>
  <c r="J22" i="134" s="1"/>
  <c r="I22" i="134"/>
  <c r="I22" i="134" a="1"/>
  <c r="H22" i="134"/>
  <c r="H22" i="134" a="1"/>
  <c r="G22" i="134" a="1"/>
  <c r="G22" i="134" s="1"/>
  <c r="D22" i="134"/>
  <c r="L22" i="134" s="1" a="1"/>
  <c r="L22" i="134" s="1"/>
  <c r="M21" i="134" a="1"/>
  <c r="M21" i="134" s="1"/>
  <c r="L21" i="134" a="1"/>
  <c r="L21" i="134" s="1"/>
  <c r="G21" i="134" a="1"/>
  <c r="G21" i="134" s="1"/>
  <c r="F21" i="134" a="1"/>
  <c r="F21" i="134" s="1"/>
  <c r="D21" i="134"/>
  <c r="J21" i="134" s="1" a="1"/>
  <c r="J21" i="134" s="1"/>
  <c r="D20" i="134"/>
  <c r="M20" i="134" s="1" a="1"/>
  <c r="M20" i="134" s="1"/>
  <c r="M19" i="134" a="1"/>
  <c r="M19" i="134" s="1"/>
  <c r="H19" i="134" a="1"/>
  <c r="H19" i="134" s="1"/>
  <c r="G19" i="134" a="1"/>
  <c r="G19" i="134" s="1"/>
  <c r="D19" i="134"/>
  <c r="K19" i="134" s="1" a="1"/>
  <c r="K19" i="134" s="1"/>
  <c r="M18" i="134" a="1"/>
  <c r="M18" i="134" s="1"/>
  <c r="J18" i="134" a="1"/>
  <c r="J18" i="134" s="1"/>
  <c r="I18" i="134"/>
  <c r="I18" i="134" a="1"/>
  <c r="H18" i="134"/>
  <c r="H18" i="134" a="1"/>
  <c r="G18" i="134" a="1"/>
  <c r="G18" i="134" s="1"/>
  <c r="F18" i="134" a="1"/>
  <c r="F18" i="134" s="1"/>
  <c r="E18" i="134"/>
  <c r="E18" i="134" a="1"/>
  <c r="D18" i="134"/>
  <c r="L18" i="134" s="1" a="1"/>
  <c r="L18" i="134" s="1"/>
  <c r="M17" i="134" a="1"/>
  <c r="M17" i="134" s="1"/>
  <c r="L17" i="134" a="1"/>
  <c r="L17" i="134" s="1"/>
  <c r="G17" i="134" a="1"/>
  <c r="G17" i="134" s="1"/>
  <c r="F17" i="134" a="1"/>
  <c r="F17" i="134" s="1"/>
  <c r="D17" i="134"/>
  <c r="J17" i="134" s="1" a="1"/>
  <c r="J17" i="134" s="1"/>
  <c r="D16" i="134"/>
  <c r="M16" i="134" s="1" a="1"/>
  <c r="M16" i="134" s="1"/>
  <c r="M15" i="134" a="1"/>
  <c r="M15" i="134" s="1"/>
  <c r="L15" i="134"/>
  <c r="L15" i="134" a="1"/>
  <c r="J15" i="134" a="1"/>
  <c r="J15" i="134" s="1"/>
  <c r="H15" i="134" a="1"/>
  <c r="H15" i="134" s="1"/>
  <c r="G15" i="134" a="1"/>
  <c r="G15" i="134" s="1"/>
  <c r="F15" i="134" a="1"/>
  <c r="F15" i="134" s="1"/>
  <c r="D15" i="134"/>
  <c r="K15" i="134" s="1" a="1"/>
  <c r="K15" i="134" s="1"/>
  <c r="D14" i="134"/>
  <c r="H14" i="134" s="1" a="1"/>
  <c r="H14" i="134" s="1"/>
  <c r="M13" i="134" a="1"/>
  <c r="M13" i="134" s="1"/>
  <c r="K13" i="134" a="1"/>
  <c r="K13" i="134" s="1"/>
  <c r="I13" i="134" a="1"/>
  <c r="I13" i="134" s="1"/>
  <c r="H13" i="134" a="1"/>
  <c r="H13" i="134" s="1"/>
  <c r="G13" i="134" a="1"/>
  <c r="G13" i="134" s="1"/>
  <c r="E13" i="134" a="1"/>
  <c r="E13" i="134" s="1"/>
  <c r="D13" i="134"/>
  <c r="L13" i="134" s="1" a="1"/>
  <c r="L13" i="134" s="1"/>
  <c r="D12" i="134"/>
  <c r="I12" i="134" s="1" a="1"/>
  <c r="I12" i="134" s="1"/>
  <c r="L11" i="134" a="1"/>
  <c r="L11" i="134" s="1"/>
  <c r="J11" i="134" a="1"/>
  <c r="J11" i="134" s="1"/>
  <c r="I11" i="134" a="1"/>
  <c r="I11" i="134" s="1"/>
  <c r="H11" i="134" a="1"/>
  <c r="H11" i="134" s="1"/>
  <c r="F11" i="134" a="1"/>
  <c r="F11" i="134" s="1"/>
  <c r="D11" i="134"/>
  <c r="M11" i="134" s="1" a="1"/>
  <c r="M11" i="134" s="1"/>
  <c r="M10" i="134"/>
  <c r="M10" i="134" a="1"/>
  <c r="L10" i="134"/>
  <c r="L10" i="134" a="1"/>
  <c r="K10" i="134"/>
  <c r="K10" i="134" a="1"/>
  <c r="J10" i="134" a="1"/>
  <c r="J10" i="134" s="1"/>
  <c r="I10" i="134"/>
  <c r="I10" i="134" a="1"/>
  <c r="H10" i="134" a="1"/>
  <c r="H10" i="134" s="1"/>
  <c r="G10" i="134"/>
  <c r="G10" i="134" a="1"/>
  <c r="F10" i="134"/>
  <c r="F10" i="134" a="1"/>
  <c r="E10" i="134"/>
  <c r="E10" i="134" a="1"/>
  <c r="D10" i="134"/>
  <c r="M9" i="134" a="1"/>
  <c r="M9" i="134" s="1"/>
  <c r="K9" i="134" a="1"/>
  <c r="K9" i="134" s="1"/>
  <c r="J9" i="134" a="1"/>
  <c r="J9" i="134" s="1"/>
  <c r="I9" i="134" a="1"/>
  <c r="I9" i="134" s="1"/>
  <c r="G9" i="134" a="1"/>
  <c r="G9" i="134" s="1"/>
  <c r="E9" i="134" a="1"/>
  <c r="E9" i="134" s="1"/>
  <c r="D9" i="134"/>
  <c r="H9" i="134" s="1" a="1"/>
  <c r="H9" i="134" s="1"/>
  <c r="D8" i="134"/>
  <c r="K8" i="134" s="1" a="1"/>
  <c r="K8" i="134" s="1"/>
  <c r="L7" i="134" a="1"/>
  <c r="L7" i="134" s="1"/>
  <c r="K7" i="134" a="1"/>
  <c r="K7" i="134" s="1"/>
  <c r="J7" i="134" a="1"/>
  <c r="J7" i="134" s="1"/>
  <c r="H7" i="134" a="1"/>
  <c r="H7" i="134" s="1"/>
  <c r="F7" i="134" a="1"/>
  <c r="F7" i="134" s="1"/>
  <c r="E7" i="134" a="1"/>
  <c r="E7" i="134" s="1"/>
  <c r="D7" i="134"/>
  <c r="I7" i="134" s="1" a="1"/>
  <c r="I7" i="134" s="1"/>
  <c r="M6" i="134"/>
  <c r="M6" i="134" a="1"/>
  <c r="L6" i="134" a="1"/>
  <c r="L6" i="134" s="1"/>
  <c r="K6" i="134"/>
  <c r="K6" i="134" a="1"/>
  <c r="J6" i="134" a="1"/>
  <c r="J6" i="134" s="1"/>
  <c r="I6" i="134"/>
  <c r="I6" i="134" a="1"/>
  <c r="H6" i="134"/>
  <c r="H6" i="134" a="1"/>
  <c r="G6" i="134"/>
  <c r="G6" i="134" a="1"/>
  <c r="F6" i="134" a="1"/>
  <c r="F6" i="134" s="1"/>
  <c r="E6" i="134"/>
  <c r="E6" i="134" a="1"/>
  <c r="D6" i="134"/>
  <c r="M5" i="134" a="1"/>
  <c r="M5" i="134" s="1"/>
  <c r="L5" i="134" a="1"/>
  <c r="L5" i="134" s="1"/>
  <c r="K5" i="134" a="1"/>
  <c r="K5" i="134" s="1"/>
  <c r="G5" i="134" a="1"/>
  <c r="G5" i="134" s="1"/>
  <c r="F5" i="134" a="1"/>
  <c r="F5" i="134" s="1"/>
  <c r="E5" i="134" a="1"/>
  <c r="E5" i="134" s="1"/>
  <c r="D5" i="134"/>
  <c r="J5" i="134" s="1" a="1"/>
  <c r="J5" i="134" s="1"/>
  <c r="D4" i="134"/>
  <c r="H4" i="134" s="1" a="1"/>
  <c r="H4" i="134" s="1"/>
  <c r="I4" i="134" l="1" a="1"/>
  <c r="I4" i="134" s="1"/>
  <c r="F8" i="134" a="1"/>
  <c r="F8" i="134" s="1"/>
  <c r="L8" i="134" a="1"/>
  <c r="L8" i="134" s="1"/>
  <c r="J12" i="134" a="1"/>
  <c r="J12" i="134" s="1"/>
  <c r="I14" i="134" a="1"/>
  <c r="I14" i="134" s="1"/>
  <c r="H16" i="134" a="1"/>
  <c r="H16" i="134" s="1"/>
  <c r="H20" i="134" a="1"/>
  <c r="H20" i="134" s="1"/>
  <c r="I34" i="134" a="1"/>
  <c r="I34" i="134" s="1"/>
  <c r="I38" i="134" a="1"/>
  <c r="I38" i="134" s="1"/>
  <c r="E17" i="134" a="1"/>
  <c r="E17" i="134" s="1"/>
  <c r="K17" i="134" a="1"/>
  <c r="K17" i="134" s="1"/>
  <c r="L19" i="134" a="1"/>
  <c r="L19" i="134" s="1"/>
  <c r="E21" i="134" a="1"/>
  <c r="E21" i="134" s="1"/>
  <c r="K21" i="134" a="1"/>
  <c r="K21" i="134" s="1"/>
  <c r="J23" i="134" a="1"/>
  <c r="J23" i="134" s="1"/>
  <c r="E41" i="134" a="1"/>
  <c r="E41" i="134" s="1"/>
  <c r="K41" i="134" a="1"/>
  <c r="K41" i="134" s="1"/>
  <c r="J43" i="134" a="1"/>
  <c r="J43" i="134" s="1"/>
  <c r="J4" i="134" a="1"/>
  <c r="J4" i="134" s="1"/>
  <c r="Q4" i="134" s="1" a="1"/>
  <c r="Q4" i="134" s="1"/>
  <c r="G8" i="134" a="1"/>
  <c r="G8" i="134" s="1"/>
  <c r="M8" i="134" a="1"/>
  <c r="M8" i="134" s="1"/>
  <c r="E12" i="134" a="1"/>
  <c r="E12" i="134" s="1"/>
  <c r="K12" i="134" a="1"/>
  <c r="K12" i="134" s="1"/>
  <c r="J14" i="134" a="1"/>
  <c r="J14" i="134" s="1"/>
  <c r="I16" i="134" a="1"/>
  <c r="I16" i="134" s="1"/>
  <c r="I20" i="134" a="1"/>
  <c r="I20" i="134" s="1"/>
  <c r="J34" i="134" a="1"/>
  <c r="J34" i="134" s="1"/>
  <c r="K36" i="134" a="1"/>
  <c r="K36" i="134" s="1"/>
  <c r="J38" i="134" a="1"/>
  <c r="J38" i="134" s="1"/>
  <c r="E4" i="134" a="1"/>
  <c r="E4" i="134" s="1"/>
  <c r="K4" i="134" a="1"/>
  <c r="K4" i="134" s="1"/>
  <c r="H8" i="134" a="1"/>
  <c r="H8" i="134" s="1"/>
  <c r="F12" i="134" a="1"/>
  <c r="F12" i="134" s="1"/>
  <c r="L12" i="134" a="1"/>
  <c r="L12" i="134" s="1"/>
  <c r="E14" i="134" a="1"/>
  <c r="E14" i="134" s="1"/>
  <c r="K14" i="134" a="1"/>
  <c r="K14" i="134" s="1"/>
  <c r="J16" i="134" a="1"/>
  <c r="J16" i="134" s="1"/>
  <c r="J20" i="134" a="1"/>
  <c r="J20" i="134" s="1"/>
  <c r="H24" i="134" a="1"/>
  <c r="H24" i="134" s="1"/>
  <c r="H28" i="134" a="1"/>
  <c r="H28" i="134" s="1"/>
  <c r="F32" i="134" a="1"/>
  <c r="F32" i="134" s="1"/>
  <c r="L32" i="134" a="1"/>
  <c r="L32" i="134" s="1"/>
  <c r="E34" i="134" a="1"/>
  <c r="E34" i="134" s="1"/>
  <c r="K34" i="134" a="1"/>
  <c r="K34" i="134" s="1"/>
  <c r="L36" i="134" a="1"/>
  <c r="L36" i="134" s="1"/>
  <c r="E38" i="134" a="1"/>
  <c r="E38" i="134" s="1"/>
  <c r="K38" i="134" a="1"/>
  <c r="K38" i="134" s="1"/>
  <c r="J44" i="134" a="1"/>
  <c r="J44" i="134" s="1"/>
  <c r="G41" i="134" a="1"/>
  <c r="G41" i="134" s="1"/>
  <c r="M41" i="134" a="1"/>
  <c r="M41" i="134" s="1"/>
  <c r="F43" i="134" a="1"/>
  <c r="F43" i="134" s="1"/>
  <c r="L43" i="134" a="1"/>
  <c r="L43" i="134" s="1"/>
  <c r="F4" i="134" a="1"/>
  <c r="F4" i="134" s="1"/>
  <c r="L4" i="134" a="1"/>
  <c r="L4" i="134" s="1"/>
  <c r="I8" i="134" a="1"/>
  <c r="I8" i="134" s="1"/>
  <c r="G12" i="134" a="1"/>
  <c r="G12" i="134" s="1"/>
  <c r="M12" i="134" a="1"/>
  <c r="M12" i="134" s="1"/>
  <c r="F14" i="134" a="1"/>
  <c r="F14" i="134" s="1"/>
  <c r="L14" i="134" a="1"/>
  <c r="L14" i="134" s="1"/>
  <c r="E16" i="134" a="1"/>
  <c r="E16" i="134" s="1"/>
  <c r="K16" i="134" a="1"/>
  <c r="K16" i="134" s="1"/>
  <c r="E20" i="134" a="1"/>
  <c r="E20" i="134" s="1"/>
  <c r="K20" i="134" a="1"/>
  <c r="K20" i="134" s="1"/>
  <c r="I24" i="134" a="1"/>
  <c r="I24" i="134" s="1"/>
  <c r="I28" i="134" a="1"/>
  <c r="I28" i="134" s="1"/>
  <c r="H30" i="134" a="1"/>
  <c r="H30" i="134" s="1"/>
  <c r="G32" i="134" a="1"/>
  <c r="G32" i="134" s="1"/>
  <c r="M32" i="134" a="1"/>
  <c r="M32" i="134" s="1"/>
  <c r="F34" i="134" a="1"/>
  <c r="F34" i="134" s="1"/>
  <c r="L34" i="134" a="1"/>
  <c r="L34" i="134" s="1"/>
  <c r="G36" i="134" a="1"/>
  <c r="G36" i="134" s="1"/>
  <c r="M36" i="134" a="1"/>
  <c r="M36" i="134" s="1"/>
  <c r="F38" i="134" a="1"/>
  <c r="F38" i="134" s="1"/>
  <c r="L38" i="134" a="1"/>
  <c r="L38" i="134" s="1"/>
  <c r="E40" i="134" a="1"/>
  <c r="E40" i="134" s="1"/>
  <c r="K40" i="134" a="1"/>
  <c r="K40" i="134" s="1"/>
  <c r="J42" i="134" a="1"/>
  <c r="J42" i="134" s="1"/>
  <c r="K44" i="134" a="1"/>
  <c r="K44" i="134" s="1"/>
  <c r="H5" i="134" a="1"/>
  <c r="H5" i="134" s="1"/>
  <c r="G7" i="134" a="1"/>
  <c r="G7" i="134" s="1"/>
  <c r="M7" i="134" a="1"/>
  <c r="M7" i="134" s="1"/>
  <c r="F9" i="134" a="1"/>
  <c r="F9" i="134" s="1"/>
  <c r="L9" i="134" a="1"/>
  <c r="L9" i="134" s="1"/>
  <c r="E11" i="134" a="1"/>
  <c r="E11" i="134" s="1"/>
  <c r="K11" i="134" a="1"/>
  <c r="K11" i="134" s="1"/>
  <c r="J13" i="134" a="1"/>
  <c r="J13" i="134" s="1"/>
  <c r="I15" i="134" a="1"/>
  <c r="I15" i="134" s="1"/>
  <c r="H17" i="134" a="1"/>
  <c r="H17" i="134" s="1"/>
  <c r="I19" i="134" a="1"/>
  <c r="I19" i="134" s="1"/>
  <c r="H21" i="134" a="1"/>
  <c r="H21" i="134" s="1"/>
  <c r="G23" i="134" a="1"/>
  <c r="G23" i="134" s="1"/>
  <c r="M23" i="134" a="1"/>
  <c r="M23" i="134" s="1"/>
  <c r="F25" i="134" a="1"/>
  <c r="F25" i="134" s="1"/>
  <c r="L25" i="134" a="1"/>
  <c r="L25" i="134" s="1"/>
  <c r="G27" i="134" a="1"/>
  <c r="G27" i="134" s="1"/>
  <c r="M27" i="134" a="1"/>
  <c r="M27" i="134" s="1"/>
  <c r="F29" i="134" a="1"/>
  <c r="F29" i="134" s="1"/>
  <c r="L29" i="134" a="1"/>
  <c r="L29" i="134" s="1"/>
  <c r="E31" i="134" a="1"/>
  <c r="E31" i="134" s="1"/>
  <c r="K31" i="134" a="1"/>
  <c r="K31" i="134" s="1"/>
  <c r="J33" i="134" a="1"/>
  <c r="J33" i="134" s="1"/>
  <c r="I35" i="134" a="1"/>
  <c r="I35" i="134" s="1"/>
  <c r="J37" i="134" a="1"/>
  <c r="J37" i="134" s="1"/>
  <c r="I39" i="134" a="1"/>
  <c r="I39" i="134" s="1"/>
  <c r="H41" i="134" a="1"/>
  <c r="H41" i="134" s="1"/>
  <c r="G43" i="134" a="1"/>
  <c r="G43" i="134" s="1"/>
  <c r="M43" i="134" a="1"/>
  <c r="M43" i="134" s="1"/>
  <c r="G4" i="134" a="1"/>
  <c r="G4" i="134" s="1"/>
  <c r="M4" i="134" a="1"/>
  <c r="M4" i="134" s="1"/>
  <c r="J8" i="134" a="1"/>
  <c r="J8" i="134" s="1"/>
  <c r="H12" i="134" a="1"/>
  <c r="H12" i="134" s="1"/>
  <c r="G14" i="134" a="1"/>
  <c r="G14" i="134" s="1"/>
  <c r="M14" i="134" a="1"/>
  <c r="M14" i="134" s="1"/>
  <c r="F16" i="134" a="1"/>
  <c r="F16" i="134" s="1"/>
  <c r="L16" i="134" a="1"/>
  <c r="L16" i="134" s="1"/>
  <c r="K18" i="134" a="1"/>
  <c r="K18" i="134" s="1"/>
  <c r="F20" i="134" a="1"/>
  <c r="F20" i="134" s="1"/>
  <c r="L20" i="134" a="1"/>
  <c r="L20" i="134" s="1"/>
  <c r="E22" i="134" a="1"/>
  <c r="E22" i="134" s="1"/>
  <c r="K22" i="134" a="1"/>
  <c r="K22" i="134" s="1"/>
  <c r="J24" i="134" a="1"/>
  <c r="J24" i="134" s="1"/>
  <c r="I26" i="134" a="1"/>
  <c r="I26" i="134" s="1"/>
  <c r="J28" i="134" a="1"/>
  <c r="J28" i="134" s="1"/>
  <c r="I30" i="134" a="1"/>
  <c r="I30" i="134" s="1"/>
  <c r="H32" i="134" a="1"/>
  <c r="H32" i="134" s="1"/>
  <c r="G34" i="134" a="1"/>
  <c r="G34" i="134" s="1"/>
  <c r="M34" i="134" a="1"/>
  <c r="M34" i="134" s="1"/>
  <c r="H36" i="134" a="1"/>
  <c r="H36" i="134" s="1"/>
  <c r="G38" i="134" a="1"/>
  <c r="G38" i="134" s="1"/>
  <c r="M38" i="134" a="1"/>
  <c r="M38" i="134" s="1"/>
  <c r="F40" i="134" a="1"/>
  <c r="F40" i="134" s="1"/>
  <c r="L40" i="134" a="1"/>
  <c r="L40" i="134" s="1"/>
  <c r="E42" i="134" a="1"/>
  <c r="E42" i="134" s="1"/>
  <c r="K42" i="134" a="1"/>
  <c r="K42" i="134" s="1"/>
  <c r="L44" i="134" a="1"/>
  <c r="L44" i="134" s="1"/>
  <c r="I17" i="134" a="1"/>
  <c r="I17" i="134" s="1"/>
  <c r="J19" i="134" a="1"/>
  <c r="J19" i="134" s="1"/>
  <c r="I21" i="134" a="1"/>
  <c r="I21" i="134" s="1"/>
  <c r="H23" i="134" a="1"/>
  <c r="H23" i="134" s="1"/>
  <c r="I41" i="134" a="1"/>
  <c r="I41" i="134" s="1"/>
  <c r="H43" i="134" a="1"/>
  <c r="H43" i="134" s="1"/>
  <c r="I5" i="134" a="1"/>
  <c r="I5" i="134" s="1"/>
  <c r="E8" i="134" a="1"/>
  <c r="E8" i="134" s="1"/>
  <c r="G16" i="134" a="1"/>
  <c r="G16" i="134" s="1"/>
  <c r="G20" i="134" a="1"/>
  <c r="G20" i="134" s="1"/>
  <c r="F22" i="134" a="1"/>
  <c r="F22" i="134" s="1"/>
  <c r="E24" i="134" a="1"/>
  <c r="E24" i="134" s="1"/>
  <c r="E28" i="134" a="1"/>
  <c r="E28" i="134" s="1"/>
  <c r="G40" i="134" a="1"/>
  <c r="G40" i="134" s="1"/>
  <c r="F42" i="134" a="1"/>
  <c r="F42" i="134" s="1"/>
  <c r="G44" i="134" a="1"/>
  <c r="G44" i="134" s="1"/>
  <c r="G11" i="134" a="1"/>
  <c r="G11" i="134" s="1"/>
  <c r="F13" i="134" a="1"/>
  <c r="F13" i="134" s="1"/>
  <c r="E15" i="134" a="1"/>
  <c r="E15" i="134" s="1"/>
  <c r="G31" i="134" a="1"/>
  <c r="G31" i="134" s="1"/>
  <c r="F33" i="134" a="1"/>
  <c r="F33" i="134" s="1"/>
  <c r="E35" i="134" a="1"/>
  <c r="E35" i="134" s="1"/>
  <c r="F37" i="134" a="1"/>
  <c r="F37" i="134" s="1"/>
  <c r="E39" i="134" a="1"/>
  <c r="E39" i="134" s="1"/>
  <c r="L45" i="13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<sst xmlns="http://schemas.openxmlformats.org/spreadsheetml/2006/main" count="4703" uniqueCount="1611">
  <si>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</si>
  <si>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</si>
  <si>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</si>
  <si>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</si>
  <si>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</si>
  <si>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</si>
  <si>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</si>
  <si>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</si>
  <si>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</si>
  <si>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</si>
  <si>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</si>
  <si>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</si>
  <si>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</si>
  <si>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</si>
  <si>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</si>
  <si>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</si>
  <si>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</si>
  <si>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</si>
  <si>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</si>
  <si>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</si>
  <si>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</si>
  <si>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</si>
  <si>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</si>
  <si>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</si>
  <si>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</si>
  <si>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</si>
  <si>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</si>
  <si>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</si>
  <si>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</si>
  <si>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</si>
  <si>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</si>
  <si>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</si>
  <si>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</si>
  <si>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</si>
  <si>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</si>
  <si>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</si>
  <si>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</si>
  <si>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</si>
  <si>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</si>
  <si>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</si>
  <si>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</si>
  <si>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</si>
  <si>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</si>
  <si>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</si>
  <si>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</si>
  <si>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</si>
  <si>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</si>
  <si>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</si>
  <si>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</si>
  <si>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</si>
  <si>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</si>
  <si>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</si>
  <si>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</si>
  <si>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</si>
  <si>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</si>
  <si>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</si>
  <si>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</si>
  <si>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</si>
  <si>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</si>
  <si>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</si>
  <si>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</si>
  <si>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</si>
  <si>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</si>
  <si>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</si>
  <si>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</si>
  <si>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</si>
  <si>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</si>
  <si>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</si>
  <si>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</si>
  <si>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</si>
  <si>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</si>
  <si>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</si>
  <si>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</si>
  <si>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</si>
  <si>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</si>
  <si>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</si>
  <si>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</si>
  <si>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</si>
  <si>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</si>
  <si>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</si>
  <si>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</si>
  <si>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</si>
  <si>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</si>
  <si>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</si>
  <si>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</si>
  <si>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</si>
  <si>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</si>
  <si>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</si>
  <si>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</si>
  <si>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</si>
  <si>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</si>
  <si>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</si>
  <si>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</si>
  <si>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</si>
  <si>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</si>
  <si>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</si>
  <si>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</si>
  <si>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</si>
  <si>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</si>
  <si>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</si>
  <si>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</si>
  <si>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</si>
  <si>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</si>
  <si>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</si>
  <si>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</si>
  <si>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</si>
  <si>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</si>
  <si>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</si>
  <si>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</si>
  <si>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</si>
  <si>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</si>
  <si>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</si>
  <si>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</si>
  <si>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</si>
  <si>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</si>
  <si>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</si>
  <si>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</si>
  <si>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</si>
  <si>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</si>
  <si>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</si>
  <si>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</si>
  <si>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</si>
  <si>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</si>
  <si>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</si>
  <si>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</si>
  <si>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</si>
  <si>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</si>
  <si>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</si>
  <si>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</si>
  <si>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</si>
  <si>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</si>
  <si>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</si>
  <si>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</si>
  <si>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</si>
  <si>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</si>
  <si>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</si>
  <si>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</si>
  <si>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</si>
  <si>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</si>
  <si>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</si>
  <si>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</si>
  <si>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</si>
  <si>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</si>
  <si>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</si>
  <si>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</si>
  <si>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</si>
  <si>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</si>
  <si>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</si>
  <si>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</si>
  <si>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</si>
  <si>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</si>
  <si>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</si>
  <si>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</si>
  <si>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</si>
  <si>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</si>
  <si>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</si>
  <si>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</si>
  <si>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</si>
  <si>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</si>
  <si>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</si>
  <si>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</si>
  <si>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</si>
  <si>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</si>
  <si>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</si>
  <si>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</si>
  <si>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</si>
  <si>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</si>
  <si>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</si>
  <si>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</si>
  <si>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</si>
  <si>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</si>
  <si>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</si>
  <si>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</si>
  <si>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</si>
  <si>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</si>
  <si>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</si>
  <si>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</si>
  <si>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</si>
  <si>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</si>
  <si>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</si>
  <si>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</si>
  <si>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</si>
  <si>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</si>
  <si>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</si>
  <si>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</si>
  <si>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</si>
  <si>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</si>
  <si>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</si>
  <si>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</si>
  <si>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</si>
  <si>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</si>
  <si>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</si>
  <si>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</si>
  <si>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</si>
  <si>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</si>
  <si>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</si>
  <si>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</si>
  <si>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</si>
  <si>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</si>
  <si>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</si>
  <si>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</si>
  <si>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</si>
  <si>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</si>
  <si>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</si>
  <si>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</si>
  <si>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</si>
  <si>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</si>
  <si>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</si>
  <si>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</si>
  <si>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</si>
  <si>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</si>
  <si>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</si>
  <si>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</si>
  <si>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</si>
  <si>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</si>
  <si>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</si>
  <si>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</si>
  <si>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</si>
  <si>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</si>
  <si>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</si>
  <si>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</si>
  <si>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</si>
  <si>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</si>
  <si>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</si>
  <si>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</si>
  <si>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</si>
  <si>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</si>
  <si>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</si>
  <si>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</si>
  <si>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</si>
  <si>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</si>
  <si>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</si>
  <si>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</si>
  <si>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</si>
  <si>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</si>
  <si>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</si>
  <si>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</si>
  <si>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</si>
  <si>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</si>
  <si>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</si>
  <si>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</si>
  <si>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</si>
  <si>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</si>
  <si>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</si>
  <si>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</si>
  <si>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</si>
  <si>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</si>
  <si>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</si>
  <si>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</si>
  <si>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</si>
  <si>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</si>
  <si>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</si>
  <si>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</si>
  <si>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</si>
  <si>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</si>
  <si>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</si>
  <si>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</si>
  <si>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</si>
  <si>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</si>
  <si>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</si>
  <si>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</si>
  <si>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</si>
  <si>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</si>
  <si>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</si>
  <si>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</si>
  <si>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</si>
  <si>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</si>
  <si>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</si>
  <si>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</si>
  <si>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</si>
  <si>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</si>
  <si>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</si>
  <si>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</si>
  <si>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</si>
  <si>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</si>
  <si>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</si>
  <si>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</si>
  <si>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</si>
  <si>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</si>
  <si>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</si>
  <si>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</si>
  <si>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</si>
  <si>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</si>
  <si>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</si>
  <si>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</si>
  <si>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</si>
  <si>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</si>
  <si>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</si>
  <si>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</si>
  <si>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</si>
  <si>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</si>
  <si>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</si>
  <si>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</si>
  <si>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</si>
  <si>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</si>
  <si>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</si>
  <si>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</si>
  <si>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</si>
  <si>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</si>
  <si>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</si>
  <si>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</si>
  <si>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</si>
  <si>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</si>
  <si>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</si>
  <si>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</si>
  <si>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</si>
  <si>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</si>
  <si>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</si>
  <si>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</si>
  <si>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</si>
  <si>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</si>
  <si>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</si>
  <si>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</si>
  <si>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</si>
  <si>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</si>
  <si>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</si>
  <si>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</si>
  <si>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</si>
  <si>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</si>
  <si>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</si>
  <si>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</si>
  <si>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</si>
  <si>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</si>
  <si>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</si>
  <si>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</si>
  <si>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</si>
  <si>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</si>
  <si>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</si>
  <si>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</si>
  <si>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</si>
  <si>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</si>
  <si>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</si>
  <si>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</si>
  <si>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</si>
  <si>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</si>
  <si>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</si>
  <si>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</si>
  <si>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</si>
  <si>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</si>
  <si>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</si>
  <si>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</si>
  <si>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</si>
  <si>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</si>
  <si>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</si>
  <si>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</si>
  <si>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</si>
  <si>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</si>
  <si>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</si>
  <si>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</si>
  <si>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</si>
  <si>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</si>
  <si>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</si>
  <si>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</si>
  <si>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</si>
  <si>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</si>
  <si>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</si>
  <si>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</si>
  <si>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</si>
  <si>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</si>
  <si>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</si>
  <si>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</si>
  <si>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</si>
  <si>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</si>
  <si>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</si>
  <si>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</si>
  <si>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</si>
  <si>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</si>
  <si>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</si>
  <si>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</si>
  <si>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</si>
  <si>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</si>
  <si>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</si>
  <si>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</si>
  <si>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</si>
  <si>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</si>
  <si>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</si>
  <si>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</si>
  <si>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</si>
  <si>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</si>
  <si>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</si>
  <si>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</si>
  <si>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</si>
  <si>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</si>
  <si>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</si>
  <si>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</si>
  <si>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</si>
  <si>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</si>
  <si>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</si>
  <si>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</si>
  <si>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</si>
  <si>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</si>
  <si>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</si>
  <si>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</si>
  <si>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</si>
  <si>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</si>
  <si>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</si>
  <si>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</si>
  <si>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</si>
  <si>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</si>
  <si>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</si>
  <si>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</si>
  <si>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</si>
  <si>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</si>
  <si>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</si>
  <si>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</si>
  <si>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</si>
  <si>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</si>
  <si>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</si>
  <si>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</si>
  <si>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</si>
  <si>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</si>
  <si>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</si>
  <si>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</si>
  <si>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</si>
  <si>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</si>
  <si>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</si>
  <si>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</si>
  <si>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</si>
  <si>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</si>
  <si>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</si>
  <si>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</si>
  <si>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</si>
  <si>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</si>
  <si>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</si>
  <si>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</si>
  <si>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</si>
  <si>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</si>
  <si>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</si>
  <si>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</si>
  <si>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</si>
  <si>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</si>
  <si>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</si>
  <si>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</si>
  <si>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</si>
  <si>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</si>
  <si>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</si>
  <si>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</si>
  <si>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</si>
  <si>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</si>
  <si>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</si>
  <si>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</si>
  <si>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</si>
  <si>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</si>
  <si>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</si>
  <si>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</si>
  <si>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</si>
  <si>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</si>
  <si>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</si>
  <si>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</si>
  <si>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</si>
  <si>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</si>
  <si>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</si>
  <si>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</si>
  <si>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</si>
  <si>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</si>
  <si>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</si>
  <si>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</si>
  <si>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</si>
  <si>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</si>
  <si>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</si>
  <si>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</si>
  <si>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</si>
  <si>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</si>
  <si>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</si>
  <si>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</si>
  <si>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</si>
  <si>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</si>
  <si>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</si>
  <si>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</si>
  <si>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</si>
  <si>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</si>
  <si>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</si>
  <si>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</si>
  <si>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</si>
  <si>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</si>
  <si>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</si>
  <si>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</si>
  <si>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</si>
  <si>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</si>
  <si>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</si>
  <si>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</si>
  <si>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</si>
  <si>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</si>
  <si>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</si>
  <si>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</si>
  <si>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</si>
  <si>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</si>
  <si>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</si>
  <si>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</si>
  <si>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</si>
  <si>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</si>
  <si>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</si>
  <si>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</si>
  <si>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</si>
  <si>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</si>
  <si>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</si>
  <si>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</si>
  <si>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</si>
  <si>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</si>
  <si>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</si>
  <si>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</si>
  <si>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</si>
  <si>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</si>
  <si>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</si>
  <si>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</si>
  <si>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</si>
  <si>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</si>
  <si>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</si>
  <si>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</si>
  <si>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</si>
  <si>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</si>
  <si>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</si>
  <si>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</si>
  <si>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</si>
  <si>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</si>
  <si>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</si>
  <si>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</si>
  <si>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</si>
  <si>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</si>
  <si>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</si>
  <si>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</si>
  <si>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</si>
  <si>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</si>
  <si>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</si>
  <si>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</si>
  <si>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</si>
  <si>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</si>
  <si>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</si>
  <si>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</si>
  <si>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</si>
  <si>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</si>
  <si>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</si>
  <si>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</si>
  <si>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</si>
  <si>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</si>
  <si>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</si>
  <si>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</si>
  <si>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</si>
  <si>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</si>
  <si>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</si>
  <si>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</si>
  <si>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</si>
  <si>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</si>
  <si>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</si>
  <si>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</si>
  <si>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</si>
  <si>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</si>
  <si>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</si>
  <si>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</si>
  <si>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</si>
  <si>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</si>
  <si>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</si>
  <si>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</si>
  <si>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</si>
  <si>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</si>
  <si>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</si>
  <si>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</si>
  <si>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</si>
  <si>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</si>
  <si>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</si>
  <si>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</si>
  <si>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</si>
  <si>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</si>
  <si>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</si>
  <si>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</si>
  <si>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</si>
  <si>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</si>
  <si>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</si>
  <si>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</si>
  <si>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</si>
  <si>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</si>
  <si>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</si>
  <si>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</si>
  <si>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</si>
  <si>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</si>
  <si>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</si>
  <si>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</si>
  <si>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</si>
  <si>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</si>
  <si>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</si>
  <si>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</si>
  <si>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</si>
  <si>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</si>
  <si>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</si>
  <si>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</si>
  <si>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</si>
  <si>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</si>
  <si>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</si>
  <si>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</si>
  <si>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</si>
  <si>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</si>
  <si>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</si>
  <si>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</si>
  <si>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</si>
  <si>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</si>
  <si>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</si>
  <si>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</si>
  <si>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</si>
  <si>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</si>
  <si>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</si>
  <si>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</si>
  <si>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</si>
  <si>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</si>
  <si>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</si>
  <si>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</si>
  <si>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</si>
  <si>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</si>
  <si>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</si>
  <si>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</si>
  <si>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</si>
  <si>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</si>
  <si>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</si>
  <si>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</si>
  <si>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</si>
  <si>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</si>
  <si>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</si>
  <si>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</si>
  <si>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</si>
  <si>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</si>
  <si>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</si>
  <si>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</si>
  <si>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</si>
  <si>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</si>
  <si>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</si>
  <si>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</si>
  <si>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</si>
  <si>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</si>
  <si>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</si>
  <si>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</si>
  <si>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</si>
  <si>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</si>
  <si>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</si>
  <si>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</si>
  <si>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</si>
  <si>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</si>
  <si>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</si>
  <si>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</si>
  <si>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</si>
  <si>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</si>
  <si>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</si>
  <si>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</si>
  <si>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</si>
  <si>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</si>
  <si>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</si>
  <si>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</si>
  <si>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</si>
  <si>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</si>
  <si>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</si>
  <si>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</si>
  <si>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</si>
  <si>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</si>
  <si>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</si>
  <si>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</si>
  <si>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</si>
  <si>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</si>
  <si>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</si>
  <si>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</si>
  <si>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</si>
  <si>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</si>
  <si>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</si>
  <si>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</si>
  <si>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</si>
  <si>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</si>
  <si>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</si>
  <si>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</si>
  <si>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</si>
  <si>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</si>
  <si>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</si>
  <si>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</si>
  <si>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</si>
  <si>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</si>
  <si>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</si>
  <si>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</si>
  <si>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</si>
  <si>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</si>
  <si>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</si>
  <si>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</si>
  <si>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</si>
  <si>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</si>
  <si>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</si>
  <si>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</si>
  <si>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</si>
  <si>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</si>
  <si>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</si>
  <si>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</si>
  <si>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</si>
  <si>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</si>
  <si>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</si>
  <si>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</si>
  <si>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</si>
  <si>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</si>
  <si>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</si>
  <si>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</si>
  <si>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</si>
  <si>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</si>
  <si>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</si>
  <si>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</si>
  <si>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</si>
  <si>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</si>
  <si>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</si>
  <si>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</si>
  <si>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</si>
  <si>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</si>
  <si>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</si>
  <si>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</si>
  <si>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</si>
  <si>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</si>
  <si>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</si>
  <si>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</si>
  <si>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</si>
  <si>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</si>
  <si>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</si>
  <si>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</si>
  <si>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</si>
  <si>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</si>
  <si>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</si>
  <si>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</si>
  <si>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</si>
  <si>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</si>
  <si>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</si>
  <si>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</si>
  <si>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</si>
  <si>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</si>
  <si>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</si>
  <si>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</si>
  <si>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</si>
  <si>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</si>
  <si>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</si>
  <si>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</si>
  <si>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</si>
  <si>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</si>
  <si>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</si>
  <si>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</si>
  <si>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</si>
  <si>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</si>
  <si>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</si>
  <si>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</si>
  <si>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</si>
  <si>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</si>
  <si>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</si>
  <si>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</si>
  <si>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</si>
  <si>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</si>
  <si>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</si>
  <si>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</si>
  <si>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</si>
  <si>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</si>
  <si>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</si>
  <si>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</si>
  <si>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</si>
  <si>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</si>
  <si>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</si>
  <si>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</si>
  <si>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</si>
  <si>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</si>
  <si>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</si>
  <si>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</si>
  <si>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</si>
  <si>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</si>
  <si>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</si>
  <si>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</si>
  <si>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</si>
  <si>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</si>
  <si>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</si>
  <si>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</si>
  <si>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</si>
  <si>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</si>
  <si>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</si>
  <si>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</si>
  <si>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</si>
  <si>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</si>
  <si>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</si>
  <si>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</si>
  <si>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</si>
  <si>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</si>
  <si>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</si>
  <si>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</si>
  <si>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</si>
  <si>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</si>
  <si>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</si>
  <si>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</si>
  <si>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</si>
  <si>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</si>
  <si>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</si>
  <si>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</si>
  <si>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</si>
  <si>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</si>
  <si>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</si>
  <si>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</si>
  <si>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</si>
  <si>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</si>
  <si>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</si>
  <si>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</si>
  <si>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</si>
  <si>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</si>
  <si>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</si>
  <si>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</si>
  <si>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</si>
  <si>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</si>
  <si>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</si>
  <si>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</si>
  <si>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</si>
  <si>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</si>
  <si>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</si>
  <si>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</si>
  <si>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</si>
  <si>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</si>
  <si>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</si>
  <si>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</si>
  <si>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</si>
  <si>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</si>
  <si>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</si>
  <si>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</si>
  <si>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</si>
  <si>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</si>
  <si>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</si>
  <si>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</si>
  <si>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</si>
  <si>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</si>
  <si>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</si>
  <si>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</si>
  <si>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</si>
  <si>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</si>
  <si>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</si>
  <si>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</si>
  <si>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</si>
  <si>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</si>
  <si>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</si>
  <si>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</si>
  <si>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</si>
  <si>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</si>
  <si>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</si>
  <si>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</si>
  <si>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</si>
  <si>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</si>
  <si>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</si>
  <si>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</si>
  <si>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</si>
  <si>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</si>
  <si>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</si>
  <si>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</si>
  <si>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</si>
  <si>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</si>
  <si>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</si>
  <si>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</si>
  <si>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</si>
  <si>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</si>
  <si>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</si>
  <si>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</si>
  <si>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</si>
  <si>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</si>
  <si>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</si>
  <si>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</si>
  <si>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</si>
  <si>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</si>
  <si>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</si>
  <si>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</si>
  <si>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</si>
  <si>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</si>
  <si>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</si>
  <si>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</si>
  <si>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</si>
  <si>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</si>
  <si>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</si>
  <si>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</si>
  <si>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</si>
  <si>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</si>
  <si>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</si>
  <si>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</si>
  <si>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</si>
  <si>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</si>
  <si>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</si>
  <si>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</si>
  <si>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</si>
  <si>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</si>
  <si>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</si>
  <si>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</si>
  <si>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</si>
  <si>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</si>
  <si>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</si>
  <si>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</si>
  <si>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</si>
  <si>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</si>
  <si>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</si>
  <si>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</si>
  <si>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</si>
  <si>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</si>
  <si>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</si>
  <si>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</si>
  <si>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</si>
  <si>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</si>
  <si>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</si>
  <si>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</si>
  <si>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</si>
  <si>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</si>
  <si>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</si>
  <si>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</si>
  <si>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</si>
  <si>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</si>
  <si>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</si>
  <si>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</si>
  <si>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</si>
  <si>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</si>
  <si>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</si>
  <si>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</si>
  <si>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</si>
  <si>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</si>
  <si>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</si>
  <si>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</si>
  <si>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</si>
  <si>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</si>
  <si>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</si>
  <si>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</si>
  <si>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</si>
  <si>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</si>
  <si>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</si>
  <si>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</si>
  <si>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</si>
  <si>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</si>
  <si>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</si>
  <si>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</si>
  <si>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</si>
  <si>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</si>
  <si>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</si>
  <si>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</si>
  <si>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</si>
  <si>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</si>
  <si>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</si>
  <si>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</si>
  <si>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</si>
  <si>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</si>
  <si>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</si>
  <si>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</si>
  <si>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</si>
  <si>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</si>
  <si>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</si>
  <si>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</si>
  <si>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</si>
  <si>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</si>
  <si>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</si>
  <si>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</si>
  <si>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</si>
  <si>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</si>
  <si>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</si>
  <si>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</si>
  <si>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</si>
  <si>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</si>
  <si>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</si>
  <si>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</si>
  <si>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</si>
  <si>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</si>
  <si>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</si>
  <si>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</si>
  <si>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</si>
  <si>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</si>
  <si>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</si>
  <si>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</si>
  <si>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</si>
  <si>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</si>
  <si>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</si>
  <si>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</si>
  <si>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</si>
  <si>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</si>
  <si>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</si>
  <si>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</si>
  <si>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</si>
  <si>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</si>
  <si>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</si>
  <si>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</si>
  <si>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</si>
  <si>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</si>
  <si>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</si>
  <si>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</si>
  <si>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</si>
  <si>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</si>
  <si>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</si>
  <si>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</si>
  <si>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</si>
  <si>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</si>
  <si>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</si>
  <si>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</si>
  <si>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</si>
  <si>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</si>
  <si>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</si>
  <si>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</si>
  <si>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</si>
  <si>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</si>
  <si>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</si>
  <si>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</si>
  <si>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</si>
  <si>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</si>
  <si>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</si>
  <si>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</si>
  <si>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</si>
  <si>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</si>
  <si>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</si>
  <si>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</si>
  <si>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</si>
  <si>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</si>
  <si>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</si>
  <si>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</si>
  <si>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</si>
  <si>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</si>
  <si>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</si>
  <si>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</si>
  <si>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</si>
  <si>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</si>
  <si>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</si>
  <si>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</si>
  <si>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</si>
  <si>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</si>
  <si>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</si>
  <si>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</si>
  <si>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</si>
  <si>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</si>
  <si>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</si>
  <si>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</si>
  <si>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</si>
  <si>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</si>
  <si>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</si>
  <si>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</si>
  <si>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</si>
  <si>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</si>
  <si>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</si>
  <si>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</si>
  <si>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</si>
  <si>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</si>
  <si>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</si>
  <si>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</si>
  <si>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</si>
  <si>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</si>
  <si>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</si>
  <si>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</si>
  <si>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</si>
  <si>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</si>
  <si>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</si>
  <si>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</si>
  <si>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</si>
  <si>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</si>
  <si>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</si>
  <si>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</si>
  <si>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</si>
  <si>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</si>
  <si>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</si>
  <si>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</si>
  <si>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</si>
  <si>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</si>
  <si>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</si>
  <si>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</si>
  <si>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</si>
  <si>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</si>
  <si>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</si>
  <si>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</si>
  <si>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</si>
  <si>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</si>
  <si>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</si>
  <si>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</si>
  <si>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</si>
  <si>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</si>
  <si>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</si>
  <si>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</si>
  <si>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</si>
  <si>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</si>
  <si>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</si>
  <si>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</si>
  <si>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</si>
  <si>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</si>
  <si>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</si>
  <si>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</si>
  <si>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</si>
  <si>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</si>
  <si>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</si>
  <si>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</si>
  <si>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</si>
  <si>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</si>
  <si>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</si>
  <si>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</si>
  <si>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</si>
  <si>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</si>
  <si>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</si>
  <si>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</si>
  <si>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</si>
  <si>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</si>
  <si>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</si>
  <si>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</si>
  <si>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</si>
  <si>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</si>
  <si>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</si>
  <si>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</si>
  <si>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</si>
  <si>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</si>
  <si>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</si>
  <si>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</si>
  <si>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</si>
  <si>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</si>
  <si>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</si>
  <si>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</si>
  <si>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</si>
  <si>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</si>
  <si>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</si>
  <si>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</si>
  <si>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</si>
  <si>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</si>
  <si>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</si>
  <si>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</si>
  <si>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</si>
  <si>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</si>
  <si>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</si>
  <si>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</si>
  <si>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</si>
  <si>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</si>
  <si>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</si>
  <si>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</si>
  <si>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</si>
  <si>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</si>
  <si>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</si>
  <si>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</si>
  <si>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</si>
  <si>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</si>
  <si>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</si>
  <si>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</si>
  <si>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</si>
  <si>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</si>
  <si>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</si>
  <si>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</si>
  <si>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</si>
  <si>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</si>
  <si>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</si>
  <si>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</si>
  <si>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</si>
  <si>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</si>
  <si>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</si>
  <si>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</si>
  <si>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</si>
  <si>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</si>
  <si>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</si>
  <si>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</si>
  <si>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</si>
  <si>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</si>
  <si>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</si>
  <si>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</si>
  <si>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</si>
  <si>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</si>
  <si>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</si>
  <si>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</si>
  <si>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</si>
  <si>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</si>
  <si>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</si>
  <si>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</si>
  <si>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</si>
  <si>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</si>
  <si>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</si>
  <si>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</si>
  <si>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</si>
  <si>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</si>
  <si>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</si>
  <si>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</si>
  <si>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</si>
  <si>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</si>
  <si>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</si>
  <si>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</si>
  <si>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</si>
  <si>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</si>
  <si>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</si>
  <si>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</si>
  <si>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</si>
  <si>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</si>
  <si>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</si>
  <si>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</si>
  <si>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</si>
  <si>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</si>
  <si>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</si>
  <si>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</si>
  <si>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</si>
  <si>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</si>
  <si>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</si>
  <si>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</si>
  <si>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</si>
  <si>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</si>
  <si>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</si>
  <si>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</si>
  <si>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</si>
  <si>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</si>
  <si>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</si>
  <si>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</si>
  <si>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</si>
  <si>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</si>
  <si>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</si>
  <si>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</si>
  <si>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</si>
  <si>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</si>
  <si>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</si>
  <si>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</si>
  <si>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</si>
  <si>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</si>
  <si>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</si>
  <si>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</si>
  <si>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</si>
  <si>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</si>
  <si>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</si>
  <si>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</si>
  <si>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</si>
  <si>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</si>
  <si>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</si>
  <si>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</si>
  <si>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</si>
  <si>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</si>
  <si>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</si>
  <si>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</si>
  <si>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</si>
  <si>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</si>
  <si>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</si>
  <si>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</si>
  <si>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</si>
  <si>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</si>
  <si>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</si>
  <si>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</si>
  <si>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</si>
  <si>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</si>
  <si>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</si>
  <si>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</si>
  <si>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</si>
  <si>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</si>
  <si>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</si>
  <si>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</si>
  <si>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</si>
  <si>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</si>
  <si>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</si>
  <si>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</si>
  <si>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</si>
  <si>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</si>
  <si>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</si>
  <si>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</si>
  <si>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</si>
  <si>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</si>
  <si>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</si>
  <si>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</si>
  <si>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</si>
  <si>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</si>
  <si>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</si>
  <si>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</si>
  <si>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</si>
  <si>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</si>
  <si>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</si>
  <si>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</si>
  <si>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</si>
  <si>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</si>
  <si>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</si>
  <si>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</si>
  <si>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</si>
  <si>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</si>
  <si>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</si>
  <si>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</si>
  <si>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</si>
  <si>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</si>
  <si>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</si>
  <si>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</si>
  <si>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</si>
  <si>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</si>
  <si>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</si>
  <si>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</si>
  <si>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</si>
  <si>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</si>
  <si>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</si>
  <si>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</si>
  <si>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</si>
  <si>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</si>
  <si>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</si>
  <si>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</si>
  <si>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</si>
  <si>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</si>
  <si>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</si>
  <si>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</si>
  <si>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</si>
  <si>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</si>
  <si>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</si>
  <si>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</si>
  <si>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</si>
  <si>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</si>
  <si>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</si>
  <si>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</si>
  <si>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</si>
  <si>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</si>
  <si>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</si>
  <si>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</si>
  <si>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</si>
  <si>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</si>
  <si>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</si>
  <si>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</si>
  <si>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</si>
  <si>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</si>
  <si>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</si>
  <si>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</si>
  <si>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</si>
  <si>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</si>
  <si>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</si>
  <si>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</si>
  <si>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</si>
  <si>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</si>
  <si>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</si>
  <si>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</si>
  <si>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</si>
  <si>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</si>
  <si>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</si>
  <si>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</si>
  <si>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</si>
  <si>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</si>
  <si>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</si>
  <si>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</si>
  <si>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</si>
  <si>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</si>
  <si>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</si>
  <si>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</si>
  <si>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</si>
  <si>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</si>
  <si>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</si>
  <si>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</si>
  <si>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</si>
  <si>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</si>
  <si>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</si>
  <si>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</si>
  <si>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</si>
  <si>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</si>
  <si>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</si>
  <si>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</si>
  <si>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</si>
  <si>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</si>
  <si>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</si>
  <si>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</si>
  <si>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</si>
  <si>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</si>
  <si>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</si>
  <si>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</si>
  <si>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</si>
  <si>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</si>
  <si>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</si>
  <si>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</si>
  <si>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</si>
  <si>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</si>
  <si>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</si>
  <si>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</si>
  <si>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</si>
  <si>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</si>
  <si>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</si>
  <si>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</si>
  <si>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</si>
  <si>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</si>
  <si>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</si>
  <si>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</si>
  <si>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</si>
  <si>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</si>
  <si>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</si>
  <si>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</si>
  <si>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</si>
  <si>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</si>
  <si>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</si>
  <si>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</si>
  <si>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</si>
  <si>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</si>
  <si>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</si>
  <si>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</si>
  <si>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</si>
  <si>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</si>
  <si>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</si>
  <si>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</si>
  <si>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閩拼調號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</si>
  <si>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</si>
  <si>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</si>
  <si>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</si>
  <si>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</si>
  <si>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</si>
  <si>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</si>
  <si>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</si>
  <si>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</si>
  <si>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</si>
  <si>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</si>
  <si>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</si>
  <si>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</si>
  <si>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</si>
  <si>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</si>
  <si>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</si>
  <si>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</si>
  <si>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</si>
  <si>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</si>
  <si>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</si>
  <si>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</si>
  <si>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</si>
  <si>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</si>
  <si>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</si>
  <si>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</si>
  <si>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</si>
  <si>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</si>
  <si>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</si>
  <si>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</si>
  <si>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</si>
  <si>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</si>
  <si>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</si>
  <si>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</si>
  <si>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</si>
  <si>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</si>
  <si>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</si>
  <si>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</si>
  <si>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</si>
  <si>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</si>
  <si>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</si>
  <si>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</si>
  <si>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</si>
  <si>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</si>
  <si>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</si>
  <si>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</si>
  <si>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</si>
  <si>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</si>
  <si>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</si>
  <si>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</si>
  <si>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</si>
  <si>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</si>
  <si>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</si>
  <si>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</si>
  <si>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</si>
  <si>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</si>
  <si>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</si>
  <si>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</si>
  <si>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</si>
  <si>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</si>
  <si>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</si>
  <si>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</si>
  <si>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</si>
  <si>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</si>
  <si>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</si>
  <si>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</si>
  <si>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</si>
  <si>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</si>
  <si>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</si>
  <si>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</si>
  <si>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</si>
  <si>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</si>
  <si>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</si>
  <si>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</si>
  <si>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</si>
  <si>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</si>
  <si>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</si>
  <si>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</si>
  <si>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</si>
  <si>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</si>
  <si>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</si>
  <si>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</si>
  <si>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</si>
  <si>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</si>
  <si>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</si>
  <si>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</si>
  <si>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</si>
  <si>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</si>
  <si>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</si>
  <si>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</si>
  <si>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</si>
  <si>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</si>
  <si>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</si>
  <si>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</si>
  <si>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</si>
  <si>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</si>
  <si>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</si>
  <si>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</si>
  <si>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涼</t>
    <phoneticPr fontId="1" type="noConversion"/>
  </si>
  <si>
    <t>liang5</t>
    <phoneticPr fontId="1" type="noConversion"/>
  </si>
  <si>
    <t>州</t>
  </si>
  <si>
    <t>ziu1</t>
  </si>
  <si>
    <t>詞</t>
  </si>
  <si>
    <t>su5</t>
  </si>
  <si>
    <t>王</t>
    <phoneticPr fontId="1" type="noConversion"/>
  </si>
  <si>
    <t>ong5</t>
    <phoneticPr fontId="1" type="noConversion"/>
  </si>
  <si>
    <t>之</t>
    <phoneticPr fontId="1" type="noConversion"/>
  </si>
  <si>
    <t>渙</t>
    <phoneticPr fontId="1" type="noConversion"/>
  </si>
  <si>
    <t>huan3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</si>
  <si>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</si>
  <si>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</si>
  <si>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</si>
  <si>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</si>
  <si>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siong2</t>
    <phoneticPr fontId="1" type="noConversion"/>
  </si>
  <si>
    <t>白</t>
    <phoneticPr fontId="1" type="noConversion"/>
  </si>
  <si>
    <t>pik8</t>
    <phoneticPr fontId="1" type="noConversion"/>
  </si>
  <si>
    <t>雲</t>
    <phoneticPr fontId="1" type="noConversion"/>
  </si>
  <si>
    <t>hun5</t>
    <phoneticPr fontId="1" type="noConversion"/>
  </si>
  <si>
    <t>間</t>
    <phoneticPr fontId="1" type="noConversion"/>
  </si>
  <si>
    <t>kan1</t>
    <phoneticPr fontId="1" type="noConversion"/>
  </si>
  <si>
    <t>，</t>
    <phoneticPr fontId="1" type="noConversion"/>
  </si>
  <si>
    <t>`</t>
    <phoneticPr fontId="1" type="noConversion"/>
  </si>
  <si>
    <t>,</t>
    <phoneticPr fontId="1" type="noConversion"/>
  </si>
  <si>
    <t>一</t>
    <phoneticPr fontId="1" type="noConversion"/>
  </si>
  <si>
    <t>片</t>
    <phoneticPr fontId="1" type="noConversion"/>
  </si>
  <si>
    <t>phian3</t>
    <phoneticPr fontId="1" type="noConversion"/>
  </si>
  <si>
    <t>孤</t>
    <phoneticPr fontId="1" type="noConversion"/>
  </si>
  <si>
    <t>koo1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</si>
  <si>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</si>
  <si>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</si>
  <si>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</si>
  <si>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jin7</t>
    <phoneticPr fontId="1" type="noConversion"/>
  </si>
  <si>
    <t>山</t>
    <phoneticPr fontId="1" type="noConversion"/>
  </si>
  <si>
    <t>。</t>
    <phoneticPr fontId="1" type="noConversion"/>
  </si>
  <si>
    <t>.</t>
    <phoneticPr fontId="1" type="noConversion"/>
  </si>
  <si>
    <t>羌</t>
    <phoneticPr fontId="1" type="noConversion"/>
  </si>
  <si>
    <t>khiang1</t>
    <phoneticPr fontId="1" type="noConversion"/>
  </si>
  <si>
    <t>笛</t>
    <phoneticPr fontId="1" type="noConversion"/>
  </si>
  <si>
    <t>tik8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</si>
  <si>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</si>
  <si>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</si>
  <si>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</si>
  <si>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uan3</t>
    <phoneticPr fontId="1" type="noConversion"/>
  </si>
  <si>
    <t>楊</t>
    <phoneticPr fontId="1" type="noConversion"/>
  </si>
  <si>
    <t>iong5</t>
    <phoneticPr fontId="1" type="noConversion"/>
  </si>
  <si>
    <t>柳</t>
    <phoneticPr fontId="1" type="noConversion"/>
  </si>
  <si>
    <t>liu2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</si>
  <si>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</si>
  <si>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</si>
  <si>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</si>
  <si>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</si>
  <si>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too7</t>
    <phoneticPr fontId="1" type="noConversion"/>
  </si>
  <si>
    <t>玉</t>
    <phoneticPr fontId="1" type="noConversion"/>
  </si>
  <si>
    <t>giok8</t>
    <phoneticPr fontId="1" type="noConversion"/>
  </si>
  <si>
    <t>門</t>
    <phoneticPr fontId="1" type="noConversion"/>
  </si>
  <si>
    <t>關</t>
    <phoneticPr fontId="1" type="noConversion"/>
  </si>
  <si>
    <t>`</t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</si>
  <si>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</si>
  <si>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</si>
  <si>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</si>
  <si>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</si>
  <si>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</si>
  <si>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</si>
  <si>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</si>
  <si>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</si>
  <si>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</si>
  <si>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</si>
  <si>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</si>
  <si>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</si>
  <si>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</si>
  <si>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</si>
  <si>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</si>
  <si>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</si>
  <si>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</si>
  <si>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</si>
  <si>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</si>
  <si>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diong1</t>
    <phoneticPr fontId="1" type="noConversion"/>
  </si>
  <si>
    <t>hoo6</t>
    <phoneticPr fontId="1" type="noConversion"/>
  </si>
  <si>
    <t>zui3</t>
    <phoneticPr fontId="1" type="noConversion"/>
  </si>
  <si>
    <t>ang2</t>
    <phoneticPr fontId="1" type="noConversion"/>
  </si>
  <si>
    <t>tin2</t>
    <phoneticPr fontId="1" type="noConversion"/>
  </si>
  <si>
    <t>m6</t>
    <phoneticPr fontId="1" type="noConversion"/>
  </si>
  <si>
    <t>goh7</t>
    <phoneticPr fontId="1" type="noConversion"/>
  </si>
  <si>
    <t>gong3</t>
    <phoneticPr fontId="1" type="noConversion"/>
  </si>
  <si>
    <t>lang2</t>
    <phoneticPr fontId="1" type="noConversion"/>
  </si>
  <si>
    <t>bbni2</t>
    <phoneticPr fontId="1" type="noConversion"/>
  </si>
  <si>
    <t>c</t>
  </si>
  <si>
    <t>cni3</t>
  </si>
  <si>
    <t>ggua3</t>
  </si>
  <si>
    <t>but7</t>
  </si>
  <si>
    <t>seh4</t>
  </si>
  <si>
    <t>seh4</t>
    <phoneticPr fontId="1" type="noConversion"/>
  </si>
  <si>
    <t>seh7</t>
  </si>
  <si>
    <t>ting3</t>
  </si>
  <si>
    <t>ting3</t>
    <phoneticPr fontId="1" type="noConversion"/>
  </si>
  <si>
    <t>ding5</t>
  </si>
  <si>
    <t>kin1</t>
  </si>
  <si>
    <t>kin1</t>
    <phoneticPr fontId="1" type="noConversion"/>
  </si>
  <si>
    <t>gin1</t>
    <phoneticPr fontId="1" type="noConversion"/>
  </si>
  <si>
    <t>han5</t>
  </si>
  <si>
    <t>han5</t>
    <phoneticPr fontId="1" type="noConversion"/>
  </si>
  <si>
    <t>han2</t>
  </si>
  <si>
    <t>sui2</t>
    <phoneticPr fontId="1" type="noConversion"/>
  </si>
  <si>
    <t>sui3</t>
  </si>
  <si>
    <t>ling3</t>
  </si>
  <si>
    <t>lak4</t>
  </si>
  <si>
    <t>lak4</t>
    <phoneticPr fontId="1" type="noConversion"/>
  </si>
  <si>
    <t>lak7</t>
  </si>
  <si>
    <t>tong1</t>
  </si>
  <si>
    <t>hok8</t>
  </si>
  <si>
    <t>hok8</t>
    <phoneticPr fontId="1" type="noConversion"/>
  </si>
  <si>
    <t>kang2</t>
    <phoneticPr fontId="1" type="noConversion"/>
  </si>
  <si>
    <t>gang3</t>
  </si>
  <si>
    <t>bian5</t>
  </si>
  <si>
    <t>bian5</t>
    <phoneticPr fontId="1" type="noConversion"/>
  </si>
  <si>
    <t>bbian2</t>
  </si>
  <si>
    <t>zing2</t>
  </si>
  <si>
    <t>yi5</t>
  </si>
  <si>
    <t>cenn2</t>
  </si>
  <si>
    <t>cenn2</t>
    <phoneticPr fontId="1" type="noConversion"/>
  </si>
  <si>
    <t>cne3</t>
    <phoneticPr fontId="1" type="noConversion"/>
  </si>
  <si>
    <t>siann5</t>
  </si>
  <si>
    <t>siann5</t>
    <phoneticPr fontId="1" type="noConversion"/>
  </si>
  <si>
    <t>snia2</t>
  </si>
  <si>
    <t>bi7</t>
  </si>
  <si>
    <t>bi7</t>
    <phoneticPr fontId="1" type="noConversion"/>
  </si>
  <si>
    <t>bbi6</t>
  </si>
  <si>
    <t>kinn3</t>
  </si>
  <si>
    <t>kinn3</t>
    <phoneticPr fontId="1" type="noConversion"/>
  </si>
  <si>
    <t>gni5</t>
  </si>
  <si>
    <t>hong2</t>
  </si>
  <si>
    <t>gui5</t>
  </si>
  <si>
    <t>啊</t>
    <phoneticPr fontId="1" type="noConversion"/>
  </si>
  <si>
    <t>(41, 13); (5, 6); (41, 14); (45, 9)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</si>
  <si>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</si>
  <si>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</si>
  <si>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</si>
  <si>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</si>
  <si>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</si>
  <si>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</si>
  <si>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</si>
  <si>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</si>
  <si>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ding5</t>
    <phoneticPr fontId="1" type="noConversion"/>
  </si>
  <si>
    <t>sing2</t>
    <phoneticPr fontId="1" type="noConversion"/>
  </si>
  <si>
    <t>bbue6</t>
    <phoneticPr fontId="1" type="noConversion"/>
  </si>
  <si>
    <t>gian3</t>
    <phoneticPr fontId="1" type="noConversion"/>
  </si>
  <si>
    <t>bbnui2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</si>
</sst>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1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rime-tlpa\docs\&#25171;&#23383;&#32244;&#32722;.xlsx" TargetMode="External"/><Relationship Id="rId1" Type="http://schemas.openxmlformats.org/officeDocument/2006/relationships/externalLinkPath" Target="/work/rime-tlpa/docs/&#25171;&#23383;&#32244;&#3272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打字練習表"/>
      <sheetName val="音調表"/>
    </sheetNames>
    <sheetDataSet>
      <sheetData sheetId="0"/>
      <sheetData sheetId="1">
        <row r="3">
          <cell r="B3">
            <v>1</v>
          </cell>
          <cell r="D3" t="str">
            <v>;</v>
          </cell>
        </row>
        <row r="4">
          <cell r="B4">
            <v>2</v>
          </cell>
          <cell r="D4" t="str">
            <v>\</v>
          </cell>
        </row>
        <row r="5">
          <cell r="B5">
            <v>3</v>
          </cell>
          <cell r="D5" t="str">
            <v>_</v>
          </cell>
        </row>
        <row r="6">
          <cell r="B6">
            <v>4</v>
          </cell>
          <cell r="D6" t="str">
            <v>[</v>
          </cell>
        </row>
        <row r="7">
          <cell r="B7">
            <v>5</v>
          </cell>
          <cell r="D7" t="str">
            <v>/</v>
          </cell>
        </row>
        <row r="8">
          <cell r="B8">
            <v>6</v>
          </cell>
          <cell r="D8" t="str">
            <v>\</v>
          </cell>
        </row>
        <row r="9">
          <cell r="B9">
            <v>7</v>
          </cell>
          <cell r="D9" t="str">
            <v>-</v>
          </cell>
        </row>
        <row r="10">
          <cell r="B10">
            <v>8</v>
          </cell>
          <cell r="D10" t="str">
            <v>]</v>
          </cell>
        </row>
        <row r="11">
          <cell r="B11">
            <v>0</v>
          </cell>
          <cell r="D11" t="str">
            <v>.</v>
          </cell>
        </row>
        <row r="12">
          <cell r="B12">
            <v>0</v>
          </cell>
          <cell r="D12" t="str">
            <v>.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H22" sqref="H22"/>
    </sheetView>
    <sheetView workbookViewId="1">
      <selection activeCell="C11" sqref="C1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1321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1364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1365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3"/>
  <sheetViews>
    <sheetView workbookViewId="0">
      <selection activeCell="F19" sqref="F19"/>
    </sheetView>
    <sheetView workbookViewId="1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1554</v>
      </c>
      <c r="C3" t="s">
        <v>499</v>
      </c>
      <c r="D3" t="s">
        <v>1219</v>
      </c>
    </row>
    <row r="4" spans="1:4">
      <c r="A4" t="s">
        <v>1168</v>
      </c>
      <c r="B4" t="s">
        <v>1426</v>
      </c>
      <c r="C4" t="s">
        <v>499</v>
      </c>
      <c r="D4" t="s">
        <v>1597</v>
      </c>
    </row>
    <row r="5" spans="1:4">
      <c r="A5" t="s">
        <v>1168</v>
      </c>
      <c r="B5" t="s">
        <v>1557</v>
      </c>
      <c r="C5" t="s">
        <v>499</v>
      </c>
      <c r="D5" t="s">
        <v>1601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1560</v>
      </c>
      <c r="C8" t="s">
        <v>499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1324</v>
      </c>
      <c r="C11" t="s">
        <v>499</v>
      </c>
      <c r="D11" t="s">
        <v>1224</v>
      </c>
    </row>
    <row r="12" spans="1:4">
      <c r="A12" t="s">
        <v>1172</v>
      </c>
      <c r="B12" t="s">
        <v>1563</v>
      </c>
      <c r="C12" t="s">
        <v>499</v>
      </c>
      <c r="D12" t="s">
        <v>1224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1173</v>
      </c>
      <c r="B14" t="s">
        <v>1430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499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1374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1569</v>
      </c>
      <c r="C21" t="s">
        <v>499</v>
      </c>
      <c r="D21" t="s">
        <v>1234</v>
      </c>
    </row>
    <row r="22" spans="1:4">
      <c r="A22" t="s">
        <v>1179</v>
      </c>
      <c r="B22" t="s">
        <v>1326</v>
      </c>
      <c r="C22" t="s">
        <v>499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1235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1236</v>
      </c>
      <c r="C26" t="s">
        <v>499</v>
      </c>
      <c r="D26" t="s">
        <v>1237</v>
      </c>
    </row>
    <row r="27" spans="1:4">
      <c r="A27" t="s">
        <v>169</v>
      </c>
      <c r="B27" t="s">
        <v>388</v>
      </c>
      <c r="C27" t="s">
        <v>499</v>
      </c>
      <c r="D27" t="s">
        <v>1238</v>
      </c>
    </row>
    <row r="28" spans="1:4">
      <c r="A28" t="s">
        <v>168</v>
      </c>
      <c r="B28" t="s">
        <v>1328</v>
      </c>
      <c r="C28" t="s">
        <v>499</v>
      </c>
      <c r="D28" t="s">
        <v>1363</v>
      </c>
    </row>
    <row r="29" spans="1:4">
      <c r="A29" t="s">
        <v>168</v>
      </c>
      <c r="B29" t="s">
        <v>387</v>
      </c>
      <c r="C29" t="s">
        <v>499</v>
      </c>
      <c r="D29" t="s">
        <v>1598</v>
      </c>
    </row>
    <row r="30" spans="1:4">
      <c r="A30" t="s">
        <v>81</v>
      </c>
      <c r="B30" t="s">
        <v>1330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499</v>
      </c>
      <c r="D31" t="s">
        <v>959</v>
      </c>
    </row>
    <row r="32" spans="1:4">
      <c r="A32" t="s">
        <v>1183</v>
      </c>
      <c r="B32" t="s">
        <v>1332</v>
      </c>
      <c r="C32" t="s">
        <v>499</v>
      </c>
      <c r="D32" t="s">
        <v>1239</v>
      </c>
    </row>
    <row r="33" spans="1:4">
      <c r="A33" t="s">
        <v>1183</v>
      </c>
      <c r="B33" t="s">
        <v>1573</v>
      </c>
      <c r="C33" t="s">
        <v>499</v>
      </c>
      <c r="D33" t="s">
        <v>1239</v>
      </c>
    </row>
    <row r="34" spans="1:4">
      <c r="A34" t="s">
        <v>1184</v>
      </c>
      <c r="B34" t="s">
        <v>1443</v>
      </c>
      <c r="C34" t="s">
        <v>499</v>
      </c>
      <c r="D34" t="s">
        <v>961</v>
      </c>
    </row>
    <row r="35" spans="1:4">
      <c r="A35" t="s">
        <v>1184</v>
      </c>
      <c r="B35" t="s">
        <v>1240</v>
      </c>
      <c r="C35" t="s">
        <v>499</v>
      </c>
      <c r="D35" t="s">
        <v>961</v>
      </c>
    </row>
    <row r="36" spans="1:4">
      <c r="A36" t="s">
        <v>1185</v>
      </c>
      <c r="B36" t="s">
        <v>1241</v>
      </c>
      <c r="C36" t="s">
        <v>499</v>
      </c>
      <c r="D36" t="s">
        <v>962</v>
      </c>
    </row>
    <row r="37" spans="1:4">
      <c r="A37" t="s">
        <v>1186</v>
      </c>
      <c r="B37" t="s">
        <v>1242</v>
      </c>
      <c r="C37" t="s">
        <v>499</v>
      </c>
      <c r="D37" t="s">
        <v>1243</v>
      </c>
    </row>
    <row r="38" spans="1:4">
      <c r="A38" t="s">
        <v>1187</v>
      </c>
      <c r="B38" t="s">
        <v>1334</v>
      </c>
      <c r="C38" t="s">
        <v>499</v>
      </c>
      <c r="D38" t="s">
        <v>1244</v>
      </c>
    </row>
    <row r="39" spans="1:4">
      <c r="A39" t="s">
        <v>1188</v>
      </c>
      <c r="B39" t="s">
        <v>440</v>
      </c>
      <c r="C39" t="s">
        <v>499</v>
      </c>
      <c r="D39" t="s">
        <v>1245</v>
      </c>
    </row>
    <row r="40" spans="1:4">
      <c r="A40" t="s">
        <v>19</v>
      </c>
      <c r="B40" t="s">
        <v>1336</v>
      </c>
      <c r="C40" t="s">
        <v>499</v>
      </c>
      <c r="D40" t="s">
        <v>1246</v>
      </c>
    </row>
    <row r="41" spans="1:4">
      <c r="A41" t="s">
        <v>1189</v>
      </c>
      <c r="B41" t="s">
        <v>1247</v>
      </c>
      <c r="C41" t="s">
        <v>499</v>
      </c>
      <c r="D41" t="s">
        <v>1248</v>
      </c>
    </row>
    <row r="42" spans="1:4">
      <c r="A42" t="s">
        <v>1190</v>
      </c>
      <c r="B42" t="s">
        <v>1249</v>
      </c>
      <c r="C42" t="s">
        <v>499</v>
      </c>
      <c r="D42" t="s">
        <v>1250</v>
      </c>
    </row>
    <row r="43" spans="1:4">
      <c r="A43" t="s">
        <v>253</v>
      </c>
      <c r="B43" t="s">
        <v>452</v>
      </c>
      <c r="C43" t="s">
        <v>499</v>
      </c>
      <c r="D43" t="s">
        <v>1251</v>
      </c>
    </row>
    <row r="44" spans="1:4">
      <c r="A44" t="s">
        <v>1191</v>
      </c>
      <c r="B44" t="s">
        <v>1252</v>
      </c>
      <c r="C44" t="s">
        <v>499</v>
      </c>
      <c r="D44" t="s">
        <v>1253</v>
      </c>
    </row>
    <row r="45" spans="1:4">
      <c r="A45" t="s">
        <v>296</v>
      </c>
      <c r="B45" t="s">
        <v>481</v>
      </c>
      <c r="C45" t="s">
        <v>499</v>
      </c>
      <c r="D45" t="s">
        <v>1254</v>
      </c>
    </row>
    <row r="46" spans="1:4">
      <c r="A46" t="s">
        <v>20</v>
      </c>
      <c r="B46" t="s">
        <v>1392</v>
      </c>
      <c r="C46" t="s">
        <v>499</v>
      </c>
      <c r="D46" t="s">
        <v>1255</v>
      </c>
    </row>
    <row r="47" spans="1:4">
      <c r="A47" t="s">
        <v>1192</v>
      </c>
      <c r="B47" t="s">
        <v>56</v>
      </c>
      <c r="C47" t="s">
        <v>499</v>
      </c>
      <c r="D47" t="s">
        <v>1256</v>
      </c>
    </row>
    <row r="48" spans="1:4">
      <c r="A48" t="s">
        <v>1193</v>
      </c>
      <c r="B48" t="s">
        <v>1257</v>
      </c>
      <c r="C48" t="s">
        <v>499</v>
      </c>
      <c r="D48" t="s">
        <v>1258</v>
      </c>
    </row>
    <row r="49" spans="1:4">
      <c r="A49" t="s">
        <v>273</v>
      </c>
      <c r="B49" t="s">
        <v>1396</v>
      </c>
      <c r="C49" t="s">
        <v>499</v>
      </c>
      <c r="D49" t="s">
        <v>1259</v>
      </c>
    </row>
    <row r="50" spans="1:4">
      <c r="A50" t="s">
        <v>1194</v>
      </c>
      <c r="B50" t="s">
        <v>399</v>
      </c>
      <c r="C50" t="s">
        <v>499</v>
      </c>
      <c r="D50" t="s">
        <v>1260</v>
      </c>
    </row>
    <row r="51" spans="1:4">
      <c r="A51" t="s">
        <v>31</v>
      </c>
      <c r="B51" t="s">
        <v>1400</v>
      </c>
      <c r="C51" t="s">
        <v>499</v>
      </c>
      <c r="D51" t="s">
        <v>1261</v>
      </c>
    </row>
    <row r="52" spans="1:4">
      <c r="A52" t="s">
        <v>37</v>
      </c>
      <c r="B52" t="s">
        <v>1338</v>
      </c>
      <c r="C52" t="s">
        <v>499</v>
      </c>
      <c r="D52" t="s">
        <v>1262</v>
      </c>
    </row>
    <row r="53" spans="1:4">
      <c r="A53" t="s">
        <v>1195</v>
      </c>
      <c r="B53" t="s">
        <v>1340</v>
      </c>
      <c r="C53" t="s">
        <v>499</v>
      </c>
      <c r="D53" t="s">
        <v>1263</v>
      </c>
    </row>
    <row r="54" spans="1:4">
      <c r="A54" t="s">
        <v>1195</v>
      </c>
      <c r="B54" t="s">
        <v>1577</v>
      </c>
      <c r="C54" t="s">
        <v>499</v>
      </c>
      <c r="D54" t="s">
        <v>1263</v>
      </c>
    </row>
    <row r="55" spans="1:4">
      <c r="A55" t="s">
        <v>157</v>
      </c>
      <c r="B55" t="s">
        <v>380</v>
      </c>
      <c r="C55" t="s">
        <v>499</v>
      </c>
      <c r="D55" t="s">
        <v>1264</v>
      </c>
    </row>
    <row r="56" spans="1:4">
      <c r="A56" t="s">
        <v>1196</v>
      </c>
      <c r="B56" t="s">
        <v>1265</v>
      </c>
      <c r="C56" t="s">
        <v>499</v>
      </c>
      <c r="D56" t="s">
        <v>1266</v>
      </c>
    </row>
    <row r="57" spans="1:4">
      <c r="A57" t="s">
        <v>1197</v>
      </c>
      <c r="B57" t="s">
        <v>1342</v>
      </c>
      <c r="C57" t="s">
        <v>499</v>
      </c>
      <c r="D57" t="s">
        <v>1268</v>
      </c>
    </row>
    <row r="58" spans="1:4">
      <c r="A58" t="s">
        <v>1197</v>
      </c>
      <c r="B58" t="s">
        <v>1582</v>
      </c>
      <c r="C58" t="s">
        <v>499</v>
      </c>
      <c r="D58" t="s">
        <v>1268</v>
      </c>
    </row>
    <row r="59" spans="1:4">
      <c r="A59" t="s">
        <v>1198</v>
      </c>
      <c r="B59" t="s">
        <v>1269</v>
      </c>
      <c r="C59" t="s">
        <v>499</v>
      </c>
      <c r="D59" t="s">
        <v>1270</v>
      </c>
    </row>
    <row r="60" spans="1:4">
      <c r="A60" t="s">
        <v>1199</v>
      </c>
      <c r="B60" t="s">
        <v>1271</v>
      </c>
      <c r="C60" t="s">
        <v>499</v>
      </c>
      <c r="D60" t="s">
        <v>1272</v>
      </c>
    </row>
    <row r="61" spans="1:4">
      <c r="A61" t="s">
        <v>1199</v>
      </c>
      <c r="B61" t="s">
        <v>1585</v>
      </c>
      <c r="C61" t="s">
        <v>499</v>
      </c>
      <c r="D61" t="s">
        <v>1272</v>
      </c>
    </row>
    <row r="62" spans="1:4">
      <c r="A62" t="s">
        <v>176</v>
      </c>
      <c r="B62" t="s">
        <v>1344</v>
      </c>
      <c r="C62" t="s">
        <v>499</v>
      </c>
      <c r="D62" t="s">
        <v>1273</v>
      </c>
    </row>
    <row r="63" spans="1:4">
      <c r="A63" t="s">
        <v>176</v>
      </c>
      <c r="B63" t="s">
        <v>394</v>
      </c>
      <c r="C63" t="s">
        <v>499</v>
      </c>
      <c r="D63" t="s">
        <v>1273</v>
      </c>
    </row>
    <row r="64" spans="1:4">
      <c r="A64" t="s">
        <v>1200</v>
      </c>
      <c r="B64" t="s">
        <v>1274</v>
      </c>
      <c r="C64" t="s">
        <v>499</v>
      </c>
      <c r="D64" t="s">
        <v>1275</v>
      </c>
    </row>
    <row r="65" spans="1:4">
      <c r="A65" t="s">
        <v>1201</v>
      </c>
      <c r="B65" t="s">
        <v>1276</v>
      </c>
      <c r="C65" t="s">
        <v>499</v>
      </c>
      <c r="D65" t="s">
        <v>1277</v>
      </c>
    </row>
    <row r="66" spans="1:4">
      <c r="A66" t="s">
        <v>1202</v>
      </c>
      <c r="B66" t="s">
        <v>1348</v>
      </c>
      <c r="C66" t="s">
        <v>499</v>
      </c>
      <c r="D66" t="s">
        <v>1278</v>
      </c>
    </row>
    <row r="67" spans="1:4">
      <c r="A67" t="s">
        <v>1203</v>
      </c>
      <c r="B67" t="s">
        <v>1408</v>
      </c>
      <c r="C67" t="s">
        <v>499</v>
      </c>
      <c r="D67" t="s">
        <v>1280</v>
      </c>
    </row>
    <row r="68" spans="1:4">
      <c r="A68" t="s">
        <v>1204</v>
      </c>
      <c r="B68" t="s">
        <v>1350</v>
      </c>
      <c r="C68" t="s">
        <v>499</v>
      </c>
      <c r="D68" t="s">
        <v>1281</v>
      </c>
    </row>
    <row r="69" spans="1:4">
      <c r="A69" t="s">
        <v>1204</v>
      </c>
      <c r="B69" t="s">
        <v>1588</v>
      </c>
      <c r="C69" t="s">
        <v>499</v>
      </c>
      <c r="D69" t="s">
        <v>1281</v>
      </c>
    </row>
    <row r="70" spans="1:4">
      <c r="A70" t="s">
        <v>1205</v>
      </c>
      <c r="B70" t="s">
        <v>1411</v>
      </c>
      <c r="C70" t="s">
        <v>499</v>
      </c>
      <c r="D70" t="s">
        <v>1282</v>
      </c>
    </row>
    <row r="71" spans="1:4">
      <c r="A71" t="s">
        <v>1206</v>
      </c>
      <c r="B71" t="s">
        <v>1283</v>
      </c>
      <c r="C71" t="s">
        <v>499</v>
      </c>
      <c r="D71" t="s">
        <v>1284</v>
      </c>
    </row>
    <row r="72" spans="1:4">
      <c r="A72" t="s">
        <v>1207</v>
      </c>
      <c r="B72" t="s">
        <v>1414</v>
      </c>
      <c r="C72" t="s">
        <v>499</v>
      </c>
      <c r="D72" t="s">
        <v>985</v>
      </c>
    </row>
    <row r="73" spans="1:4">
      <c r="A73" t="s">
        <v>245</v>
      </c>
      <c r="B73" t="s">
        <v>1286</v>
      </c>
      <c r="C73" t="s">
        <v>499</v>
      </c>
      <c r="D73" t="s">
        <v>986</v>
      </c>
    </row>
    <row r="74" spans="1:4">
      <c r="A74" t="s">
        <v>87</v>
      </c>
      <c r="B74" t="s">
        <v>1352</v>
      </c>
      <c r="C74" t="s">
        <v>499</v>
      </c>
      <c r="D74" t="s">
        <v>501</v>
      </c>
    </row>
    <row r="75" spans="1:4">
      <c r="A75" t="s">
        <v>1208</v>
      </c>
      <c r="B75" t="s">
        <v>1287</v>
      </c>
      <c r="C75" t="s">
        <v>499</v>
      </c>
      <c r="D75" t="s">
        <v>1602</v>
      </c>
    </row>
    <row r="76" spans="1:4">
      <c r="A76" t="s">
        <v>1210</v>
      </c>
      <c r="B76" t="s">
        <v>1428</v>
      </c>
      <c r="C76" t="s">
        <v>499</v>
      </c>
      <c r="D76" t="s">
        <v>1599</v>
      </c>
    </row>
    <row r="77" spans="1:4">
      <c r="A77" t="s">
        <v>1210</v>
      </c>
      <c r="B77" t="s">
        <v>1591</v>
      </c>
      <c r="C77" t="s">
        <v>499</v>
      </c>
      <c r="D77" t="s">
        <v>1599</v>
      </c>
    </row>
    <row r="78" spans="1:4">
      <c r="A78" t="s">
        <v>1211</v>
      </c>
      <c r="B78" t="s">
        <v>1289</v>
      </c>
      <c r="C78" t="s">
        <v>499</v>
      </c>
      <c r="D78" t="s">
        <v>1603</v>
      </c>
    </row>
    <row r="79" spans="1:4">
      <c r="A79" t="s">
        <v>1212</v>
      </c>
      <c r="B79" t="s">
        <v>1336</v>
      </c>
      <c r="C79" t="s">
        <v>499</v>
      </c>
      <c r="D79" t="s">
        <v>1600</v>
      </c>
    </row>
    <row r="80" spans="1:4">
      <c r="A80" t="s">
        <v>1213</v>
      </c>
      <c r="B80" t="s">
        <v>1290</v>
      </c>
      <c r="C80" t="s">
        <v>499</v>
      </c>
      <c r="D80" t="s">
        <v>1604</v>
      </c>
    </row>
    <row r="81" spans="1:4">
      <c r="A81" t="s">
        <v>1214</v>
      </c>
      <c r="B81" t="s">
        <v>1291</v>
      </c>
      <c r="C81" t="s">
        <v>499</v>
      </c>
      <c r="D81" t="s">
        <v>1605</v>
      </c>
    </row>
    <row r="82" spans="1:4">
      <c r="A82" t="s">
        <v>1215</v>
      </c>
      <c r="B82" t="s">
        <v>1354</v>
      </c>
      <c r="C82" t="s">
        <v>499</v>
      </c>
      <c r="D82" t="s">
        <v>1292</v>
      </c>
    </row>
    <row r="83" spans="1:4">
      <c r="A83" t="s">
        <v>1216</v>
      </c>
      <c r="B83" t="s">
        <v>1293</v>
      </c>
      <c r="C83" t="s">
        <v>499</v>
      </c>
      <c r="D83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  <sheetView workbookViewId="1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28"/>
  <sheetViews>
    <sheetView workbookViewId="0">
      <selection activeCell="A2" sqref="A2:D50"/>
    </sheetView>
    <sheetView workbookViewId="1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1426</v>
      </c>
      <c r="C3" t="s">
        <v>1426</v>
      </c>
      <c r="D3" t="s">
        <v>1601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1324</v>
      </c>
      <c r="C5" t="s">
        <v>1324</v>
      </c>
      <c r="D5" t="s">
        <v>1224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1430</v>
      </c>
      <c r="C7" t="s">
        <v>1430</v>
      </c>
      <c r="D7" t="s">
        <v>1226</v>
      </c>
    </row>
    <row r="8" spans="1:4">
      <c r="A8" t="s">
        <v>1178</v>
      </c>
      <c r="B8" t="s">
        <v>1233</v>
      </c>
      <c r="C8" t="s">
        <v>1233</v>
      </c>
      <c r="D8" t="s">
        <v>1234</v>
      </c>
    </row>
    <row r="9" spans="1:4">
      <c r="A9" t="s">
        <v>1179</v>
      </c>
      <c r="B9" t="s">
        <v>1326</v>
      </c>
      <c r="C9" t="s">
        <v>1326</v>
      </c>
      <c r="D9" t="s">
        <v>947</v>
      </c>
    </row>
    <row r="10" spans="1:4">
      <c r="A10" t="s">
        <v>169</v>
      </c>
      <c r="B10" t="s">
        <v>388</v>
      </c>
      <c r="C10" t="s">
        <v>388</v>
      </c>
      <c r="D10" t="s">
        <v>1238</v>
      </c>
    </row>
    <row r="11" spans="1:4">
      <c r="A11" t="s">
        <v>168</v>
      </c>
      <c r="B11" t="s">
        <v>1328</v>
      </c>
      <c r="C11" t="s">
        <v>1328</v>
      </c>
      <c r="D11" t="s">
        <v>1363</v>
      </c>
    </row>
    <row r="12" spans="1:4">
      <c r="A12" t="s">
        <v>168</v>
      </c>
      <c r="B12" t="s">
        <v>387</v>
      </c>
      <c r="C12" t="s">
        <v>387</v>
      </c>
      <c r="D12" t="s">
        <v>1598</v>
      </c>
    </row>
    <row r="13" spans="1:4">
      <c r="A13" t="s">
        <v>81</v>
      </c>
      <c r="B13" t="s">
        <v>1330</v>
      </c>
      <c r="C13" t="s">
        <v>1330</v>
      </c>
      <c r="D13" t="s">
        <v>959</v>
      </c>
    </row>
    <row r="14" spans="1:4">
      <c r="A14" t="s">
        <v>1183</v>
      </c>
      <c r="B14" t="s">
        <v>1332</v>
      </c>
      <c r="C14" t="s">
        <v>1332</v>
      </c>
      <c r="D14" t="s">
        <v>1239</v>
      </c>
    </row>
    <row r="15" spans="1:4">
      <c r="A15" t="s">
        <v>1184</v>
      </c>
      <c r="B15" t="s">
        <v>1443</v>
      </c>
      <c r="C15" t="s">
        <v>1443</v>
      </c>
      <c r="D15" t="s">
        <v>961</v>
      </c>
    </row>
    <row r="16" spans="1:4">
      <c r="A16" t="s">
        <v>1187</v>
      </c>
      <c r="B16" t="s">
        <v>1334</v>
      </c>
      <c r="C16" t="s">
        <v>1334</v>
      </c>
      <c r="D16" t="s">
        <v>1244</v>
      </c>
    </row>
    <row r="17" spans="1:4">
      <c r="A17" t="s">
        <v>19</v>
      </c>
      <c r="B17" t="s">
        <v>1336</v>
      </c>
      <c r="C17" t="s">
        <v>1336</v>
      </c>
      <c r="D17" t="s">
        <v>1246</v>
      </c>
    </row>
    <row r="18" spans="1:4">
      <c r="A18" t="s">
        <v>1194</v>
      </c>
      <c r="B18" t="s">
        <v>399</v>
      </c>
      <c r="C18" t="s">
        <v>399</v>
      </c>
      <c r="D18" t="s">
        <v>1260</v>
      </c>
    </row>
    <row r="19" spans="1:4">
      <c r="A19" t="s">
        <v>37</v>
      </c>
      <c r="B19" t="s">
        <v>1338</v>
      </c>
      <c r="C19" t="s">
        <v>1338</v>
      </c>
      <c r="D19" t="s">
        <v>1262</v>
      </c>
    </row>
    <row r="20" spans="1:4">
      <c r="A20" t="s">
        <v>1195</v>
      </c>
      <c r="B20" t="s">
        <v>1340</v>
      </c>
      <c r="C20" t="s">
        <v>1340</v>
      </c>
      <c r="D20" t="s">
        <v>1263</v>
      </c>
    </row>
    <row r="21" spans="1:4">
      <c r="A21" t="s">
        <v>1197</v>
      </c>
      <c r="B21" t="s">
        <v>1342</v>
      </c>
      <c r="C21" t="s">
        <v>1342</v>
      </c>
      <c r="D21" t="s">
        <v>1268</v>
      </c>
    </row>
    <row r="22" spans="1:4">
      <c r="A22" t="s">
        <v>1199</v>
      </c>
      <c r="B22" t="s">
        <v>1271</v>
      </c>
      <c r="C22" t="s">
        <v>1271</v>
      </c>
      <c r="D22" t="s">
        <v>1272</v>
      </c>
    </row>
    <row r="23" spans="1:4">
      <c r="A23" t="s">
        <v>176</v>
      </c>
      <c r="B23" t="s">
        <v>1344</v>
      </c>
      <c r="C23" t="s">
        <v>1344</v>
      </c>
      <c r="D23" t="s">
        <v>1273</v>
      </c>
    </row>
    <row r="24" spans="1:4">
      <c r="A24" t="s">
        <v>1202</v>
      </c>
      <c r="B24" t="s">
        <v>1348</v>
      </c>
      <c r="C24" t="s">
        <v>1348</v>
      </c>
      <c r="D24" t="s">
        <v>1278</v>
      </c>
    </row>
    <row r="25" spans="1:4">
      <c r="A25" t="s">
        <v>1204</v>
      </c>
      <c r="B25" t="s">
        <v>1350</v>
      </c>
      <c r="C25" t="s">
        <v>1350</v>
      </c>
      <c r="D25" t="s">
        <v>1281</v>
      </c>
    </row>
    <row r="26" spans="1:4">
      <c r="A26" t="s">
        <v>1210</v>
      </c>
      <c r="B26" t="s">
        <v>1428</v>
      </c>
      <c r="C26" t="s">
        <v>1428</v>
      </c>
      <c r="D26" t="s">
        <v>1599</v>
      </c>
    </row>
    <row r="27" spans="1:4">
      <c r="A27" t="s">
        <v>1212</v>
      </c>
      <c r="B27" t="s">
        <v>1336</v>
      </c>
      <c r="C27" t="s">
        <v>1336</v>
      </c>
      <c r="D27" t="s">
        <v>1600</v>
      </c>
    </row>
    <row r="28" spans="1:4">
      <c r="A28" t="s">
        <v>1215</v>
      </c>
      <c r="B28" t="s">
        <v>1354</v>
      </c>
      <c r="C28" t="s">
        <v>1354</v>
      </c>
      <c r="D28" t="s">
        <v>1292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showGridLines="0" zoomScale="30" zoomScaleNormal="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49" sqref="A49"/>
    </sheetView>
    <sheetView zoomScale="60" zoomScaleNormal="60" workbookViewId="1">
      <selection activeCell="L9" sqref="L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1426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0"/>
      <c r="E4" s="50" t="s">
        <v>1425</v>
      </c>
      <c r="F4" s="50" t="s">
        <v>1427</v>
      </c>
      <c r="G4" s="50" t="s">
        <v>1366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76" t="s">
        <v>1166</v>
      </c>
      <c r="E5" s="56" t="s">
        <v>1167</v>
      </c>
      <c r="F5" s="5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1434</v>
      </c>
      <c r="F6" s="51" t="s">
        <v>1540</v>
      </c>
      <c r="G6" s="51" t="s">
        <v>1543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1325</v>
      </c>
      <c r="H7" s="55" t="s">
        <v>840</v>
      </c>
      <c r="I7" s="55" t="s">
        <v>1431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1325</v>
      </c>
      <c r="H8" s="50" t="s">
        <v>840</v>
      </c>
      <c r="I8" s="50" t="s">
        <v>1431</v>
      </c>
      <c r="J8" s="50" t="s">
        <v>1369</v>
      </c>
      <c r="K8" s="50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56" t="s">
        <v>99</v>
      </c>
      <c r="E9" s="76" t="s">
        <v>1171</v>
      </c>
      <c r="F9" s="76" t="s">
        <v>170</v>
      </c>
      <c r="G9" s="56" t="s">
        <v>1172</v>
      </c>
      <c r="H9" s="56" t="s">
        <v>164</v>
      </c>
      <c r="I9" s="5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1436</v>
      </c>
      <c r="E10" s="51" t="s">
        <v>1368</v>
      </c>
      <c r="F10" s="51" t="s">
        <v>389</v>
      </c>
      <c r="G10" s="51" t="s">
        <v>1323</v>
      </c>
      <c r="H10" s="51" t="s">
        <v>1541</v>
      </c>
      <c r="I10" s="51" t="s">
        <v>1542</v>
      </c>
      <c r="J10" s="51" t="s">
        <v>1568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1432</v>
      </c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1370</v>
      </c>
      <c r="E12" s="54" t="s">
        <v>1372</v>
      </c>
      <c r="F12" s="54" t="s">
        <v>1366</v>
      </c>
      <c r="G12" s="54" t="s">
        <v>1375</v>
      </c>
      <c r="H12" s="54" t="s">
        <v>1432</v>
      </c>
      <c r="I12" s="54" t="s">
        <v>708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56" t="s">
        <v>1178</v>
      </c>
      <c r="I13" s="76" t="s">
        <v>170</v>
      </c>
      <c r="J13" s="5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1371</v>
      </c>
      <c r="E14" s="51" t="s">
        <v>1373</v>
      </c>
      <c r="F14" s="51" t="s">
        <v>1367</v>
      </c>
      <c r="G14" s="51" t="s">
        <v>1374</v>
      </c>
      <c r="H14" s="51" t="s">
        <v>1432</v>
      </c>
      <c r="I14" s="51" t="s">
        <v>389</v>
      </c>
      <c r="J14" s="51" t="s">
        <v>1544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 t="s">
        <v>1444</v>
      </c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1380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1444</v>
      </c>
      <c r="N16" s="54" t="s">
        <v>1382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56" t="s">
        <v>169</v>
      </c>
      <c r="I17" s="76" t="s">
        <v>23</v>
      </c>
      <c r="J17" s="56" t="s">
        <v>168</v>
      </c>
      <c r="K17" s="56" t="s">
        <v>81</v>
      </c>
      <c r="L17" s="56" t="s">
        <v>1183</v>
      </c>
      <c r="M17" s="5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1377</v>
      </c>
      <c r="E18" s="51" t="s">
        <v>1378</v>
      </c>
      <c r="F18" s="51" t="s">
        <v>1379</v>
      </c>
      <c r="G18" s="51" t="s">
        <v>1236</v>
      </c>
      <c r="H18" s="51" t="s">
        <v>916</v>
      </c>
      <c r="I18" s="51"/>
      <c r="J18" s="51" t="s">
        <v>1545</v>
      </c>
      <c r="K18" s="51" t="s">
        <v>1358</v>
      </c>
      <c r="L18" s="51" t="s">
        <v>1546</v>
      </c>
      <c r="M18" s="51" t="s">
        <v>1547</v>
      </c>
      <c r="N18" s="51" t="s">
        <v>337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1383</v>
      </c>
      <c r="E20" s="54" t="s">
        <v>1335</v>
      </c>
      <c r="F20" s="54" t="s">
        <v>820</v>
      </c>
      <c r="G20" s="54" t="s">
        <v>1337</v>
      </c>
      <c r="H20" s="54" t="s">
        <v>1388</v>
      </c>
      <c r="I20" s="54" t="s">
        <v>1389</v>
      </c>
      <c r="J20" s="54" t="s">
        <v>846</v>
      </c>
      <c r="K20" s="54" t="s">
        <v>1390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76" t="s">
        <v>1186</v>
      </c>
      <c r="E21" s="56" t="s">
        <v>1187</v>
      </c>
      <c r="F21" s="76" t="s">
        <v>1188</v>
      </c>
      <c r="G21" s="5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1384</v>
      </c>
      <c r="E22" s="51" t="s">
        <v>1385</v>
      </c>
      <c r="F22" s="51" t="s">
        <v>49</v>
      </c>
      <c r="G22" s="51" t="s">
        <v>1387</v>
      </c>
      <c r="H22" s="51" t="s">
        <v>1303</v>
      </c>
      <c r="I22" s="51" t="s">
        <v>1304</v>
      </c>
      <c r="J22" s="51" t="s">
        <v>452</v>
      </c>
      <c r="K22" s="51" t="s">
        <v>1252</v>
      </c>
      <c r="L22" s="51" t="s">
        <v>1391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1393</v>
      </c>
      <c r="E24" s="54" t="s">
        <v>754</v>
      </c>
      <c r="F24" s="54" t="s">
        <v>657</v>
      </c>
      <c r="G24" s="54" t="s">
        <v>1394</v>
      </c>
      <c r="H24" s="54" t="s">
        <v>1397</v>
      </c>
      <c r="I24" s="54" t="s">
        <v>730</v>
      </c>
      <c r="J24" s="54" t="s">
        <v>1401</v>
      </c>
      <c r="K24" s="54" t="s">
        <v>1339</v>
      </c>
      <c r="L24" s="54"/>
      <c r="M24" s="54" t="s">
        <v>1341</v>
      </c>
      <c r="N24" s="54" t="s">
        <v>1341</v>
      </c>
      <c r="O24" s="54" t="s">
        <v>691</v>
      </c>
      <c r="P24" s="54" t="s">
        <v>1403</v>
      </c>
      <c r="Q24" s="54"/>
      <c r="R24" s="54" t="s">
        <v>1394</v>
      </c>
      <c r="S24" s="18"/>
      <c r="V24" s="5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56" t="s">
        <v>1194</v>
      </c>
      <c r="J25" s="76" t="s">
        <v>31</v>
      </c>
      <c r="K25" s="56" t="s">
        <v>37</v>
      </c>
      <c r="L25" s="76" t="s">
        <v>23</v>
      </c>
      <c r="M25" s="56" t="s">
        <v>1195</v>
      </c>
      <c r="N25" s="5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58"/>
    </row>
    <row r="26" spans="2:22" s="6" customFormat="1" ht="36" customHeight="1">
      <c r="B26" s="21"/>
      <c r="D26" s="51" t="s">
        <v>1393</v>
      </c>
      <c r="E26" s="51" t="s">
        <v>56</v>
      </c>
      <c r="F26" s="51" t="s">
        <v>1368</v>
      </c>
      <c r="G26" s="51" t="s">
        <v>1395</v>
      </c>
      <c r="H26" s="51" t="s">
        <v>1398</v>
      </c>
      <c r="I26" s="51" t="s">
        <v>1399</v>
      </c>
      <c r="J26" s="51" t="s">
        <v>1400</v>
      </c>
      <c r="K26" s="51" t="s">
        <v>1548</v>
      </c>
      <c r="L26" s="51"/>
      <c r="M26" s="51" t="s">
        <v>1549</v>
      </c>
      <c r="N26" s="51" t="s">
        <v>1549</v>
      </c>
      <c r="O26" s="51" t="s">
        <v>1580</v>
      </c>
      <c r="P26" s="51" t="s">
        <v>1581</v>
      </c>
      <c r="Q26" s="51"/>
      <c r="R26" s="51" t="s">
        <v>1395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 t="s">
        <v>1445</v>
      </c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1343</v>
      </c>
      <c r="E28" s="54" t="s">
        <v>1404</v>
      </c>
      <c r="F28" s="54" t="s">
        <v>1445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56" t="s">
        <v>1197</v>
      </c>
      <c r="E29" s="76" t="s">
        <v>1198</v>
      </c>
      <c r="F29" s="56" t="s">
        <v>1199</v>
      </c>
      <c r="G29" s="5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1440</v>
      </c>
      <c r="E30" s="51" t="s">
        <v>1577</v>
      </c>
      <c r="F30" s="51" t="s">
        <v>1607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1405</v>
      </c>
      <c r="E32" s="54" t="s">
        <v>1406</v>
      </c>
      <c r="F32" s="54" t="s">
        <v>730</v>
      </c>
      <c r="G32" s="54" t="s">
        <v>1349</v>
      </c>
      <c r="H32" s="54" t="s">
        <v>1394</v>
      </c>
      <c r="I32" s="54"/>
      <c r="J32" s="54" t="s">
        <v>1409</v>
      </c>
      <c r="K32" s="54" t="s">
        <v>1349</v>
      </c>
      <c r="L32" s="54" t="s">
        <v>846</v>
      </c>
      <c r="M32" s="54" t="s">
        <v>1351</v>
      </c>
      <c r="N32" s="54" t="s">
        <v>1412</v>
      </c>
      <c r="O32" s="54" t="s">
        <v>1413</v>
      </c>
      <c r="P32" s="54"/>
      <c r="Q32" s="54" t="s">
        <v>1397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56" t="s">
        <v>1194</v>
      </c>
      <c r="G33" s="56" t="s">
        <v>1202</v>
      </c>
      <c r="H33" s="76" t="s">
        <v>1193</v>
      </c>
      <c r="I33" s="76" t="s">
        <v>23</v>
      </c>
      <c r="J33" s="76" t="s">
        <v>1203</v>
      </c>
      <c r="K33" s="56" t="s">
        <v>1202</v>
      </c>
      <c r="L33" s="76" t="s">
        <v>253</v>
      </c>
      <c r="M33" s="5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56" t="s">
        <v>1194</v>
      </c>
      <c r="S33" s="20"/>
      <c r="V33" s="58"/>
    </row>
    <row r="34" spans="2:22" s="6" customFormat="1" ht="36" customHeight="1">
      <c r="B34" s="21"/>
      <c r="D34" s="51" t="s">
        <v>1405</v>
      </c>
      <c r="E34" s="51" t="s">
        <v>1407</v>
      </c>
      <c r="F34" s="51" t="s">
        <v>1399</v>
      </c>
      <c r="G34" s="51" t="s">
        <v>1347</v>
      </c>
      <c r="H34" s="51" t="s">
        <v>1395</v>
      </c>
      <c r="I34" s="51"/>
      <c r="J34" s="51" t="s">
        <v>1410</v>
      </c>
      <c r="K34" s="51" t="s">
        <v>1347</v>
      </c>
      <c r="L34" s="51" t="s">
        <v>452</v>
      </c>
      <c r="M34" s="51" t="s">
        <v>1608</v>
      </c>
      <c r="N34" s="51" t="s">
        <v>1560</v>
      </c>
      <c r="O34" s="51" t="s">
        <v>1283</v>
      </c>
      <c r="P34" s="51"/>
      <c r="Q34" s="51" t="s">
        <v>1398</v>
      </c>
      <c r="R34" s="51" t="s">
        <v>1399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1415</v>
      </c>
      <c r="E36" s="54" t="s">
        <v>846</v>
      </c>
      <c r="F36" s="54" t="s">
        <v>1417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1416</v>
      </c>
      <c r="E38" s="51" t="s">
        <v>452</v>
      </c>
      <c r="F38" s="51" t="s">
        <v>1418</v>
      </c>
      <c r="G38" s="51" t="s">
        <v>1419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 t="s">
        <v>387</v>
      </c>
      <c r="M39" s="55" t="s">
        <v>1428</v>
      </c>
      <c r="N39" s="55" t="s">
        <v>1426</v>
      </c>
      <c r="O39" s="55"/>
      <c r="P39" s="55" t="s">
        <v>1336</v>
      </c>
      <c r="Q39" s="55"/>
      <c r="R39" s="55"/>
      <c r="V39" s="58"/>
    </row>
    <row r="40" spans="2:22" s="6" customFormat="1" ht="36" customHeight="1">
      <c r="B40" s="17"/>
      <c r="D40" s="54" t="s">
        <v>1420</v>
      </c>
      <c r="E40" s="54" t="s">
        <v>1420</v>
      </c>
      <c r="F40" s="54"/>
      <c r="G40" s="54"/>
      <c r="H40" s="54"/>
      <c r="I40" s="54"/>
      <c r="J40" s="54"/>
      <c r="K40" s="54"/>
      <c r="L40" s="54" t="s">
        <v>704</v>
      </c>
      <c r="M40" s="54" t="s">
        <v>1429</v>
      </c>
      <c r="N40" s="54" t="s">
        <v>1427</v>
      </c>
      <c r="O40" s="54" t="s">
        <v>1421</v>
      </c>
      <c r="P40" s="54" t="s">
        <v>1337</v>
      </c>
      <c r="Q40" s="54" t="s">
        <v>1422</v>
      </c>
      <c r="R40" s="54" t="s">
        <v>1358</v>
      </c>
      <c r="S40" s="18"/>
      <c r="V40" s="5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1596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76" t="s">
        <v>1209</v>
      </c>
      <c r="L41" s="56" t="s">
        <v>168</v>
      </c>
      <c r="M41" s="56" t="s">
        <v>1210</v>
      </c>
      <c r="N41" s="56" t="s">
        <v>1168</v>
      </c>
      <c r="O41" s="76" t="s">
        <v>1211</v>
      </c>
      <c r="P41" s="56" t="s">
        <v>1212</v>
      </c>
      <c r="Q41" s="76" t="s">
        <v>1213</v>
      </c>
      <c r="R41" s="76" t="s">
        <v>1214</v>
      </c>
      <c r="S41" s="20"/>
      <c r="V41" s="58"/>
    </row>
    <row r="42" spans="2:22" s="6" customFormat="1" ht="36" customHeight="1">
      <c r="B42" s="21"/>
      <c r="D42" s="51" t="s">
        <v>1420</v>
      </c>
      <c r="E42" s="51" t="s">
        <v>1287</v>
      </c>
      <c r="F42" s="51"/>
      <c r="G42" s="51"/>
      <c r="H42" s="51"/>
      <c r="I42" s="51"/>
      <c r="J42" s="51"/>
      <c r="K42" s="51"/>
      <c r="L42" s="51" t="s">
        <v>1442</v>
      </c>
      <c r="M42" s="51" t="s">
        <v>1609</v>
      </c>
      <c r="N42" s="51" t="s">
        <v>1540</v>
      </c>
      <c r="O42" s="51" t="s">
        <v>1289</v>
      </c>
      <c r="P42" s="51" t="s">
        <v>1387</v>
      </c>
      <c r="Q42" s="51" t="s">
        <v>1594</v>
      </c>
      <c r="R42" s="51" t="s">
        <v>1319</v>
      </c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 t="s">
        <v>1425</v>
      </c>
      <c r="I43" s="55" t="s">
        <v>1427</v>
      </c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820</v>
      </c>
      <c r="E44" s="54" t="s">
        <v>1337</v>
      </c>
      <c r="F44" s="54" t="s">
        <v>1355</v>
      </c>
      <c r="G44" s="54" t="s">
        <v>1424</v>
      </c>
      <c r="H44" s="54" t="s">
        <v>1425</v>
      </c>
      <c r="I44" s="54" t="s">
        <v>1427</v>
      </c>
      <c r="J44" s="54" t="s">
        <v>1366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76" t="s">
        <v>1188</v>
      </c>
      <c r="E45" s="56" t="s">
        <v>19</v>
      </c>
      <c r="F45" s="56" t="s">
        <v>1215</v>
      </c>
      <c r="G45" s="76" t="s">
        <v>1216</v>
      </c>
      <c r="H45" s="56" t="s">
        <v>1167</v>
      </c>
      <c r="I45" s="5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784</v>
      </c>
      <c r="E46" s="51" t="s">
        <v>1387</v>
      </c>
      <c r="F46" s="51" t="s">
        <v>1610</v>
      </c>
      <c r="G46" s="51" t="s">
        <v>1595</v>
      </c>
      <c r="H46" s="51" t="s">
        <v>1434</v>
      </c>
      <c r="I46" s="51" t="s">
        <v>1540</v>
      </c>
      <c r="J46" s="51" t="s">
        <v>1367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213" priority="47">
      <formula>顯示注音輸入</formula>
    </cfRule>
    <cfRule type="expression" dxfId="212" priority="48">
      <formula>"'= TRUE(顯示注音輸入)"</formula>
    </cfRule>
  </conditionalFormatting>
  <conditionalFormatting sqref="D7:R7">
    <cfRule type="expression" dxfId="211" priority="45">
      <formula>顯示注音輸入</formula>
    </cfRule>
    <cfRule type="expression" dxfId="210" priority="46">
      <formula>"'= TRUE(顯示注音輸入)"</formula>
    </cfRule>
  </conditionalFormatting>
  <conditionalFormatting sqref="D11:R11">
    <cfRule type="expression" dxfId="209" priority="43">
      <formula>顯示注音輸入</formula>
    </cfRule>
    <cfRule type="expression" dxfId="208" priority="44">
      <formula>"'= TRUE(顯示注音輸入)"</formula>
    </cfRule>
  </conditionalFormatting>
  <conditionalFormatting sqref="D15:R15">
    <cfRule type="expression" dxfId="207" priority="41">
      <formula>顯示注音輸入</formula>
    </cfRule>
    <cfRule type="expression" dxfId="206" priority="42">
      <formula>"'= TRUE(顯示注音輸入)"</formula>
    </cfRule>
  </conditionalFormatting>
  <conditionalFormatting sqref="D19:R19">
    <cfRule type="expression" dxfId="205" priority="39">
      <formula>顯示注音輸入</formula>
    </cfRule>
    <cfRule type="expression" dxfId="204" priority="40">
      <formula>"'= TRUE(顯示注音輸入)"</formula>
    </cfRule>
  </conditionalFormatting>
  <conditionalFormatting sqref="D23:R23">
    <cfRule type="expression" dxfId="203" priority="37">
      <formula>顯示注音輸入</formula>
    </cfRule>
    <cfRule type="expression" dxfId="202" priority="38">
      <formula>"'= TRUE(顯示注音輸入)"</formula>
    </cfRule>
  </conditionalFormatting>
  <conditionalFormatting sqref="D27:R27">
    <cfRule type="expression" dxfId="201" priority="35">
      <formula>顯示注音輸入</formula>
    </cfRule>
    <cfRule type="expression" dxfId="200" priority="36">
      <formula>"'= TRUE(顯示注音輸入)"</formula>
    </cfRule>
  </conditionalFormatting>
  <conditionalFormatting sqref="D31:R31">
    <cfRule type="expression" dxfId="199" priority="33">
      <formula>顯示注音輸入</formula>
    </cfRule>
    <cfRule type="expression" dxfId="198" priority="34">
      <formula>"'= TRUE(顯示注音輸入)"</formula>
    </cfRule>
  </conditionalFormatting>
  <conditionalFormatting sqref="D35:R35">
    <cfRule type="expression" dxfId="197" priority="31">
      <formula>顯示注音輸入</formula>
    </cfRule>
    <cfRule type="expression" dxfId="196" priority="32">
      <formula>"'= TRUE(顯示注音輸入)"</formula>
    </cfRule>
  </conditionalFormatting>
  <conditionalFormatting sqref="D39:R39">
    <cfRule type="expression" dxfId="195" priority="29">
      <formula>顯示注音輸入</formula>
    </cfRule>
    <cfRule type="expression" dxfId="194" priority="30">
      <formula>"'= TRUE(顯示注音輸入)"</formula>
    </cfRule>
  </conditionalFormatting>
  <conditionalFormatting sqref="D43:R43">
    <cfRule type="expression" dxfId="193" priority="1">
      <formula>顯示注音輸入</formula>
    </cfRule>
    <cfRule type="expression" dxfId="192" priority="2">
      <formula>"'= TRUE(顯示注音輸入)"</formula>
    </cfRule>
  </conditionalFormatting>
  <conditionalFormatting sqref="D47:R47">
    <cfRule type="expression" dxfId="191" priority="27">
      <formula>顯示注音輸入</formula>
    </cfRule>
    <cfRule type="expression" dxfId="190" priority="28">
      <formula>"'= TRUE(顯示注音輸入)"</formula>
    </cfRule>
  </conditionalFormatting>
  <conditionalFormatting sqref="D51:R51">
    <cfRule type="expression" dxfId="189" priority="25">
      <formula>顯示注音輸入</formula>
    </cfRule>
    <cfRule type="expression" dxfId="188" priority="26">
      <formula>"'= TRUE(顯示注音輸入)"</formula>
    </cfRule>
  </conditionalFormatting>
  <conditionalFormatting sqref="D55:R55">
    <cfRule type="expression" dxfId="187" priority="23">
      <formula>顯示注音輸入</formula>
    </cfRule>
    <cfRule type="expression" dxfId="186" priority="24">
      <formula>"'= TRUE(顯示注音輸入)"</formula>
    </cfRule>
  </conditionalFormatting>
  <conditionalFormatting sqref="D59:R59">
    <cfRule type="expression" dxfId="185" priority="21">
      <formula>顯示注音輸入</formula>
    </cfRule>
    <cfRule type="expression" dxfId="184" priority="22">
      <formula>"'= TRUE(顯示注音輸入)"</formula>
    </cfRule>
  </conditionalFormatting>
  <conditionalFormatting sqref="D63:R63">
    <cfRule type="expression" dxfId="183" priority="19">
      <formula>顯示注音輸入</formula>
    </cfRule>
    <cfRule type="expression" dxfId="182" priority="20">
      <formula>"'= TRUE(顯示注音輸入)"</formula>
    </cfRule>
  </conditionalFormatting>
  <conditionalFormatting sqref="D67:R67">
    <cfRule type="expression" dxfId="181" priority="17">
      <formula>顯示注音輸入</formula>
    </cfRule>
    <cfRule type="expression" dxfId="180" priority="18">
      <formula>"'= TRUE(顯示注音輸入)"</formula>
    </cfRule>
  </conditionalFormatting>
  <conditionalFormatting sqref="D71:R71">
    <cfRule type="expression" dxfId="179" priority="15">
      <formula>顯示注音輸入</formula>
    </cfRule>
    <cfRule type="expression" dxfId="178" priority="16">
      <formula>"'= TRUE(顯示注音輸入)"</formula>
    </cfRule>
  </conditionalFormatting>
  <conditionalFormatting sqref="D75:R75">
    <cfRule type="expression" dxfId="177" priority="13">
      <formula>顯示注音輸入</formula>
    </cfRule>
    <cfRule type="expression" dxfId="176" priority="14">
      <formula>"'= TRUE(顯示注音輸入)"</formula>
    </cfRule>
  </conditionalFormatting>
  <conditionalFormatting sqref="D79:R79">
    <cfRule type="expression" dxfId="175" priority="11">
      <formula>顯示注音輸入</formula>
    </cfRule>
    <cfRule type="expression" dxfId="174" priority="12">
      <formula>"'= TRUE(顯示注音輸入)"</formula>
    </cfRule>
  </conditionalFormatting>
  <conditionalFormatting sqref="D83:R83">
    <cfRule type="expression" dxfId="173" priority="9">
      <formula>顯示注音輸入</formula>
    </cfRule>
    <cfRule type="expression" dxfId="172" priority="10">
      <formula>"'= TRUE(顯示注音輸入)"</formula>
    </cfRule>
  </conditionalFormatting>
  <conditionalFormatting sqref="D87:R87">
    <cfRule type="expression" dxfId="171" priority="7">
      <formula>顯示注音輸入</formula>
    </cfRule>
    <cfRule type="expression" dxfId="170" priority="8">
      <formula>"'= TRUE(顯示注音輸入)"</formula>
    </cfRule>
  </conditionalFormatting>
  <conditionalFormatting sqref="D91:R91">
    <cfRule type="expression" dxfId="169" priority="5">
      <formula>顯示注音輸入</formula>
    </cfRule>
    <cfRule type="expression" dxfId="168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67" priority="3">
      <formula>顯示注音輸入</formula>
    </cfRule>
    <cfRule type="expression" dxfId="166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DC6C-702A-4EB4-A3B2-754D83E9783A}">
  <dimension ref="A1:V2002"/>
  <sheetViews>
    <sheetView showGridLines="0" zoomScale="30" zoomScaleNormal="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5" sqref="A5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1426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4"/>
      <c r="E4" s="54" t="s">
        <v>1425</v>
      </c>
      <c r="F4" s="54" t="s">
        <v>1558</v>
      </c>
      <c r="G4" s="54" t="s">
        <v>1366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76" t="s">
        <v>1166</v>
      </c>
      <c r="E5" s="56" t="s">
        <v>1167</v>
      </c>
      <c r="F5" s="7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1434</v>
      </c>
      <c r="F6" s="51" t="s">
        <v>1606</v>
      </c>
      <c r="G6" s="51" t="s">
        <v>1543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1325</v>
      </c>
      <c r="H7" s="55" t="s">
        <v>840</v>
      </c>
      <c r="I7" s="55" t="s">
        <v>1431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4" t="s">
        <v>1561</v>
      </c>
      <c r="E8" s="54" t="s">
        <v>657</v>
      </c>
      <c r="F8" s="54" t="s">
        <v>708</v>
      </c>
      <c r="G8" s="54" t="s">
        <v>1564</v>
      </c>
      <c r="H8" s="54" t="s">
        <v>840</v>
      </c>
      <c r="I8" s="54" t="s">
        <v>1566</v>
      </c>
      <c r="J8" s="54" t="s">
        <v>1369</v>
      </c>
      <c r="K8" s="54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1171</v>
      </c>
      <c r="F9" s="76" t="s">
        <v>170</v>
      </c>
      <c r="G9" s="76" t="s">
        <v>1172</v>
      </c>
      <c r="H9" s="76" t="s">
        <v>164</v>
      </c>
      <c r="I9" s="7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1562</v>
      </c>
      <c r="E10" s="51" t="s">
        <v>1368</v>
      </c>
      <c r="F10" s="51" t="s">
        <v>389</v>
      </c>
      <c r="G10" s="51" t="s">
        <v>1565</v>
      </c>
      <c r="H10" s="51" t="s">
        <v>1322</v>
      </c>
      <c r="I10" s="51" t="s">
        <v>1567</v>
      </c>
      <c r="J10" s="51" t="s">
        <v>1568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1432</v>
      </c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1370</v>
      </c>
      <c r="E12" s="54" t="s">
        <v>1372</v>
      </c>
      <c r="F12" s="54" t="s">
        <v>1366</v>
      </c>
      <c r="G12" s="54" t="s">
        <v>1375</v>
      </c>
      <c r="H12" s="54" t="s">
        <v>1570</v>
      </c>
      <c r="I12" s="54" t="s">
        <v>708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76" t="s">
        <v>1178</v>
      </c>
      <c r="I13" s="76" t="s">
        <v>170</v>
      </c>
      <c r="J13" s="7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1371</v>
      </c>
      <c r="E14" s="51" t="s">
        <v>1373</v>
      </c>
      <c r="F14" s="51" t="s">
        <v>1367</v>
      </c>
      <c r="G14" s="51" t="s">
        <v>1374</v>
      </c>
      <c r="H14" s="51" t="s">
        <v>1571</v>
      </c>
      <c r="I14" s="51" t="s">
        <v>389</v>
      </c>
      <c r="J14" s="51" t="s">
        <v>1376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 t="s">
        <v>1444</v>
      </c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1380</v>
      </c>
      <c r="H16" s="54" t="s">
        <v>706</v>
      </c>
      <c r="I16" s="54"/>
      <c r="J16" s="54" t="s">
        <v>1329</v>
      </c>
      <c r="K16" s="54" t="s">
        <v>539</v>
      </c>
      <c r="L16" s="54" t="s">
        <v>1574</v>
      </c>
      <c r="M16" s="54" t="s">
        <v>1575</v>
      </c>
      <c r="N16" s="54" t="s">
        <v>1382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1183</v>
      </c>
      <c r="M17" s="7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1377</v>
      </c>
      <c r="E18" s="51" t="s">
        <v>1378</v>
      </c>
      <c r="F18" s="51" t="s">
        <v>1379</v>
      </c>
      <c r="G18" s="51" t="s">
        <v>1236</v>
      </c>
      <c r="H18" s="51" t="s">
        <v>483</v>
      </c>
      <c r="I18" s="51"/>
      <c r="J18" s="51" t="s">
        <v>1381</v>
      </c>
      <c r="K18" s="51" t="s">
        <v>1572</v>
      </c>
      <c r="L18" s="51" t="s">
        <v>1573</v>
      </c>
      <c r="M18" s="51" t="s">
        <v>1576</v>
      </c>
      <c r="N18" s="51" t="s">
        <v>337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1383</v>
      </c>
      <c r="E20" s="54" t="s">
        <v>1335</v>
      </c>
      <c r="F20" s="54" t="s">
        <v>820</v>
      </c>
      <c r="G20" s="54" t="s">
        <v>1337</v>
      </c>
      <c r="H20" s="54" t="s">
        <v>1388</v>
      </c>
      <c r="I20" s="54" t="s">
        <v>1389</v>
      </c>
      <c r="J20" s="54" t="s">
        <v>846</v>
      </c>
      <c r="K20" s="54" t="s">
        <v>1390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76" t="s">
        <v>1186</v>
      </c>
      <c r="E21" s="76" t="s">
        <v>1187</v>
      </c>
      <c r="F21" s="76" t="s">
        <v>1188</v>
      </c>
      <c r="G21" s="7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1384</v>
      </c>
      <c r="E22" s="51" t="s">
        <v>1538</v>
      </c>
      <c r="F22" s="51" t="s">
        <v>49</v>
      </c>
      <c r="G22" s="51" t="s">
        <v>1386</v>
      </c>
      <c r="H22" s="51" t="s">
        <v>1303</v>
      </c>
      <c r="I22" s="51" t="s">
        <v>1304</v>
      </c>
      <c r="J22" s="51" t="s">
        <v>452</v>
      </c>
      <c r="K22" s="51" t="s">
        <v>1252</v>
      </c>
      <c r="L22" s="51" t="s">
        <v>1391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1393</v>
      </c>
      <c r="E24" s="54" t="s">
        <v>754</v>
      </c>
      <c r="F24" s="54" t="s">
        <v>657</v>
      </c>
      <c r="G24" s="54" t="s">
        <v>1394</v>
      </c>
      <c r="H24" s="54" t="s">
        <v>1397</v>
      </c>
      <c r="I24" s="54" t="s">
        <v>730</v>
      </c>
      <c r="J24" s="54" t="s">
        <v>1401</v>
      </c>
      <c r="K24" s="54" t="s">
        <v>1339</v>
      </c>
      <c r="L24" s="54"/>
      <c r="M24" s="54" t="s">
        <v>1578</v>
      </c>
      <c r="N24" s="54" t="s">
        <v>1578</v>
      </c>
      <c r="O24" s="54" t="s">
        <v>691</v>
      </c>
      <c r="P24" s="54" t="s">
        <v>1403</v>
      </c>
      <c r="Q24" s="54"/>
      <c r="R24" s="54" t="s">
        <v>1394</v>
      </c>
      <c r="S24" s="18"/>
      <c r="V24" s="5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76" t="s">
        <v>1194</v>
      </c>
      <c r="J25" s="76" t="s">
        <v>31</v>
      </c>
      <c r="K25" s="76" t="s">
        <v>37</v>
      </c>
      <c r="L25" s="76" t="s">
        <v>23</v>
      </c>
      <c r="M25" s="76" t="s">
        <v>1195</v>
      </c>
      <c r="N25" s="7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58"/>
    </row>
    <row r="26" spans="2:22" s="6" customFormat="1" ht="36" customHeight="1">
      <c r="B26" s="21"/>
      <c r="D26" s="51" t="s">
        <v>1393</v>
      </c>
      <c r="E26" s="51" t="s">
        <v>56</v>
      </c>
      <c r="F26" s="51" t="s">
        <v>1368</v>
      </c>
      <c r="G26" s="51" t="s">
        <v>1395</v>
      </c>
      <c r="H26" s="51" t="s">
        <v>1398</v>
      </c>
      <c r="I26" s="51" t="s">
        <v>1539</v>
      </c>
      <c r="J26" s="51" t="s">
        <v>1400</v>
      </c>
      <c r="K26" s="51" t="s">
        <v>1402</v>
      </c>
      <c r="L26" s="51"/>
      <c r="M26" s="51" t="s">
        <v>1579</v>
      </c>
      <c r="N26" s="51" t="s">
        <v>1579</v>
      </c>
      <c r="O26" s="51" t="s">
        <v>1580</v>
      </c>
      <c r="P26" s="51" t="s">
        <v>1581</v>
      </c>
      <c r="Q26" s="51"/>
      <c r="R26" s="51" t="s">
        <v>1395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 t="s">
        <v>1445</v>
      </c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1583</v>
      </c>
      <c r="E28" s="54" t="s">
        <v>1404</v>
      </c>
      <c r="F28" s="54" t="s">
        <v>1586</v>
      </c>
      <c r="G28" s="54" t="s">
        <v>718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76" t="s">
        <v>1197</v>
      </c>
      <c r="E29" s="76" t="s">
        <v>1198</v>
      </c>
      <c r="F29" s="76" t="s">
        <v>1199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1584</v>
      </c>
      <c r="E30" s="51" t="s">
        <v>1577</v>
      </c>
      <c r="F30" s="51" t="s">
        <v>1587</v>
      </c>
      <c r="G30" s="51" t="s">
        <v>429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1405</v>
      </c>
      <c r="E32" s="54" t="s">
        <v>1406</v>
      </c>
      <c r="F32" s="54" t="s">
        <v>730</v>
      </c>
      <c r="G32" s="54" t="s">
        <v>1349</v>
      </c>
      <c r="H32" s="54" t="s">
        <v>1394</v>
      </c>
      <c r="I32" s="54"/>
      <c r="J32" s="54" t="s">
        <v>1409</v>
      </c>
      <c r="K32" s="54" t="s">
        <v>1349</v>
      </c>
      <c r="L32" s="54" t="s">
        <v>846</v>
      </c>
      <c r="M32" s="54" t="s">
        <v>1589</v>
      </c>
      <c r="N32" s="54" t="s">
        <v>1412</v>
      </c>
      <c r="O32" s="54" t="s">
        <v>1413</v>
      </c>
      <c r="P32" s="54"/>
      <c r="Q32" s="54" t="s">
        <v>1397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76" t="s">
        <v>1194</v>
      </c>
      <c r="G33" s="76" t="s">
        <v>1202</v>
      </c>
      <c r="H33" s="76" t="s">
        <v>1193</v>
      </c>
      <c r="I33" s="76" t="s">
        <v>23</v>
      </c>
      <c r="J33" s="76" t="s">
        <v>1203</v>
      </c>
      <c r="K33" s="76" t="s">
        <v>1202</v>
      </c>
      <c r="L33" s="76" t="s">
        <v>253</v>
      </c>
      <c r="M33" s="7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76" t="s">
        <v>1194</v>
      </c>
      <c r="S33" s="20"/>
      <c r="V33" s="58"/>
    </row>
    <row r="34" spans="2:22" s="6" customFormat="1" ht="36" customHeight="1">
      <c r="B34" s="21"/>
      <c r="D34" s="51" t="s">
        <v>1405</v>
      </c>
      <c r="E34" s="51" t="s">
        <v>1407</v>
      </c>
      <c r="F34" s="51" t="s">
        <v>1539</v>
      </c>
      <c r="G34" s="51" t="s">
        <v>1346</v>
      </c>
      <c r="H34" s="51" t="s">
        <v>1395</v>
      </c>
      <c r="I34" s="51"/>
      <c r="J34" s="51" t="s">
        <v>1410</v>
      </c>
      <c r="K34" s="51" t="s">
        <v>1346</v>
      </c>
      <c r="L34" s="51" t="s">
        <v>452</v>
      </c>
      <c r="M34" s="51" t="s">
        <v>1590</v>
      </c>
      <c r="N34" s="51" t="s">
        <v>1560</v>
      </c>
      <c r="O34" s="51" t="s">
        <v>1283</v>
      </c>
      <c r="P34" s="51"/>
      <c r="Q34" s="51" t="s">
        <v>1398</v>
      </c>
      <c r="R34" s="51" t="s">
        <v>1539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1415</v>
      </c>
      <c r="E36" s="54" t="s">
        <v>846</v>
      </c>
      <c r="F36" s="54" t="s">
        <v>1417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1416</v>
      </c>
      <c r="E38" s="51" t="s">
        <v>452</v>
      </c>
      <c r="F38" s="51" t="s">
        <v>1418</v>
      </c>
      <c r="G38" s="51" t="s">
        <v>1419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 t="s">
        <v>387</v>
      </c>
      <c r="M39" s="55" t="s">
        <v>1428</v>
      </c>
      <c r="N39" s="55" t="s">
        <v>1426</v>
      </c>
      <c r="O39" s="55"/>
      <c r="P39" s="55" t="s">
        <v>1336</v>
      </c>
      <c r="Q39" s="55"/>
      <c r="R39" s="55"/>
      <c r="V39" s="58"/>
    </row>
    <row r="40" spans="2:22" s="6" customFormat="1" ht="36" customHeight="1">
      <c r="B40" s="17"/>
      <c r="D40" s="54" t="s">
        <v>1420</v>
      </c>
      <c r="E40" s="54" t="s">
        <v>1420</v>
      </c>
      <c r="F40" s="54"/>
      <c r="G40" s="54"/>
      <c r="H40" s="54"/>
      <c r="I40" s="54"/>
      <c r="J40" s="54"/>
      <c r="K40" s="54"/>
      <c r="L40" s="54" t="s">
        <v>1329</v>
      </c>
      <c r="M40" s="54" t="s">
        <v>1592</v>
      </c>
      <c r="N40" s="54" t="s">
        <v>1558</v>
      </c>
      <c r="O40" s="54" t="s">
        <v>1421</v>
      </c>
      <c r="P40" s="54" t="s">
        <v>1337</v>
      </c>
      <c r="Q40" s="54" t="s">
        <v>1422</v>
      </c>
      <c r="R40" s="54" t="s">
        <v>1358</v>
      </c>
      <c r="S40" s="18"/>
      <c r="V40" s="5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1596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76" t="s">
        <v>1209</v>
      </c>
      <c r="L41" s="76" t="s">
        <v>168</v>
      </c>
      <c r="M41" s="76" t="s">
        <v>1210</v>
      </c>
      <c r="N41" s="76" t="s">
        <v>1168</v>
      </c>
      <c r="O41" s="76" t="s">
        <v>1211</v>
      </c>
      <c r="P41" s="76" t="s">
        <v>1212</v>
      </c>
      <c r="Q41" s="76" t="s">
        <v>1213</v>
      </c>
      <c r="R41" s="76" t="s">
        <v>1214</v>
      </c>
      <c r="S41" s="20"/>
      <c r="V41" s="58"/>
    </row>
    <row r="42" spans="2:22" s="6" customFormat="1" ht="36" customHeight="1">
      <c r="B42" s="21"/>
      <c r="D42" s="51" t="s">
        <v>1420</v>
      </c>
      <c r="E42" s="51" t="s">
        <v>1287</v>
      </c>
      <c r="F42" s="51"/>
      <c r="G42" s="51"/>
      <c r="H42" s="51"/>
      <c r="I42" s="51"/>
      <c r="J42" s="51"/>
      <c r="K42" s="51"/>
      <c r="L42" s="51" t="s">
        <v>1545</v>
      </c>
      <c r="M42" s="51" t="s">
        <v>1593</v>
      </c>
      <c r="N42" s="51" t="s">
        <v>1559</v>
      </c>
      <c r="O42" s="51" t="s">
        <v>1289</v>
      </c>
      <c r="P42" s="51" t="s">
        <v>1386</v>
      </c>
      <c r="Q42" s="51" t="s">
        <v>1594</v>
      </c>
      <c r="R42" s="51" t="s">
        <v>1319</v>
      </c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 t="s">
        <v>1425</v>
      </c>
      <c r="I43" s="55" t="s">
        <v>1427</v>
      </c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820</v>
      </c>
      <c r="E44" s="54" t="s">
        <v>1337</v>
      </c>
      <c r="F44" s="54" t="s">
        <v>1355</v>
      </c>
      <c r="G44" s="54" t="s">
        <v>1424</v>
      </c>
      <c r="H44" s="54" t="s">
        <v>1555</v>
      </c>
      <c r="I44" s="54" t="s">
        <v>1558</v>
      </c>
      <c r="J44" s="54" t="s">
        <v>1366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76" t="s">
        <v>1188</v>
      </c>
      <c r="E45" s="76" t="s">
        <v>19</v>
      </c>
      <c r="F45" s="76" t="s">
        <v>1215</v>
      </c>
      <c r="G45" s="76" t="s">
        <v>1216</v>
      </c>
      <c r="H45" s="76" t="s">
        <v>1167</v>
      </c>
      <c r="I45" s="7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784</v>
      </c>
      <c r="E46" s="51" t="s">
        <v>1386</v>
      </c>
      <c r="F46" s="51" t="s">
        <v>1423</v>
      </c>
      <c r="G46" s="51" t="s">
        <v>1595</v>
      </c>
      <c r="H46" s="51" t="s">
        <v>1556</v>
      </c>
      <c r="I46" s="51" t="s">
        <v>1559</v>
      </c>
      <c r="J46" s="51" t="s">
        <v>1367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65" priority="47">
      <formula>顯示注音輸入</formula>
    </cfRule>
    <cfRule type="expression" dxfId="164" priority="48">
      <formula>"'= TRUE(顯示注音輸入)"</formula>
    </cfRule>
  </conditionalFormatting>
  <conditionalFormatting sqref="D7:R7">
    <cfRule type="expression" dxfId="163" priority="45">
      <formula>顯示注音輸入</formula>
    </cfRule>
    <cfRule type="expression" dxfId="162" priority="46">
      <formula>"'= TRUE(顯示注音輸入)"</formula>
    </cfRule>
  </conditionalFormatting>
  <conditionalFormatting sqref="D11:R11">
    <cfRule type="expression" dxfId="161" priority="43">
      <formula>顯示注音輸入</formula>
    </cfRule>
    <cfRule type="expression" dxfId="160" priority="44">
      <formula>"'= TRUE(顯示注音輸入)"</formula>
    </cfRule>
  </conditionalFormatting>
  <conditionalFormatting sqref="D15:R15">
    <cfRule type="expression" dxfId="159" priority="41">
      <formula>顯示注音輸入</formula>
    </cfRule>
    <cfRule type="expression" dxfId="158" priority="42">
      <formula>"'= TRUE(顯示注音輸入)"</formula>
    </cfRule>
  </conditionalFormatting>
  <conditionalFormatting sqref="D19:R19">
    <cfRule type="expression" dxfId="157" priority="39">
      <formula>顯示注音輸入</formula>
    </cfRule>
    <cfRule type="expression" dxfId="156" priority="40">
      <formula>"'= TRUE(顯示注音輸入)"</formula>
    </cfRule>
  </conditionalFormatting>
  <conditionalFormatting sqref="D23:R23">
    <cfRule type="expression" dxfId="155" priority="37">
      <formula>顯示注音輸入</formula>
    </cfRule>
    <cfRule type="expression" dxfId="154" priority="38">
      <formula>"'= TRUE(顯示注音輸入)"</formula>
    </cfRule>
  </conditionalFormatting>
  <conditionalFormatting sqref="D27:R27">
    <cfRule type="expression" dxfId="153" priority="35">
      <formula>顯示注音輸入</formula>
    </cfRule>
    <cfRule type="expression" dxfId="152" priority="36">
      <formula>"'= TRUE(顯示注音輸入)"</formula>
    </cfRule>
  </conditionalFormatting>
  <conditionalFormatting sqref="D31:R31">
    <cfRule type="expression" dxfId="151" priority="33">
      <formula>顯示注音輸入</formula>
    </cfRule>
    <cfRule type="expression" dxfId="150" priority="34">
      <formula>"'= TRUE(顯示注音輸入)"</formula>
    </cfRule>
  </conditionalFormatting>
  <conditionalFormatting sqref="D35:R35">
    <cfRule type="expression" dxfId="149" priority="31">
      <formula>顯示注音輸入</formula>
    </cfRule>
    <cfRule type="expression" dxfId="148" priority="32">
      <formula>"'= TRUE(顯示注音輸入)"</formula>
    </cfRule>
  </conditionalFormatting>
  <conditionalFormatting sqref="D39:R39">
    <cfRule type="expression" dxfId="147" priority="29">
      <formula>顯示注音輸入</formula>
    </cfRule>
    <cfRule type="expression" dxfId="146" priority="30">
      <formula>"'= TRUE(顯示注音輸入)"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7">
      <formula>顯示注音輸入</formula>
    </cfRule>
    <cfRule type="expression" dxfId="142" priority="28">
      <formula>"'= TRUE(顯示注音輸入)"</formula>
    </cfRule>
  </conditionalFormatting>
  <conditionalFormatting sqref="D51:R51">
    <cfRule type="expression" dxfId="141" priority="25">
      <formula>顯示注音輸入</formula>
    </cfRule>
    <cfRule type="expression" dxfId="140" priority="26">
      <formula>"'= TRUE(顯示注音輸入)"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1">
      <formula>顯示注音輸入</formula>
    </cfRule>
    <cfRule type="expression" dxfId="136" priority="22">
      <formula>"'= TRUE(顯示注音輸入)"</formula>
    </cfRule>
  </conditionalFormatting>
  <conditionalFormatting sqref="D63:R63">
    <cfRule type="expression" dxfId="135" priority="19">
      <formula>顯示注音輸入</formula>
    </cfRule>
    <cfRule type="expression" dxfId="134" priority="20">
      <formula>"'= TRUE(顯示注音輸入)"</formula>
    </cfRule>
  </conditionalFormatting>
  <conditionalFormatting sqref="D67:R67">
    <cfRule type="expression" dxfId="133" priority="17">
      <formula>顯示注音輸入</formula>
    </cfRule>
    <cfRule type="expression" dxfId="132" priority="18">
      <formula>"'= TRUE(顯示注音輸入)"</formula>
    </cfRule>
  </conditionalFormatting>
  <conditionalFormatting sqref="D71:R71">
    <cfRule type="expression" dxfId="131" priority="15">
      <formula>顯示注音輸入</formula>
    </cfRule>
    <cfRule type="expression" dxfId="130" priority="16">
      <formula>"'= TRUE(顯示注音輸入)"</formula>
    </cfRule>
  </conditionalFormatting>
  <conditionalFormatting sqref="D75:R75">
    <cfRule type="expression" dxfId="129" priority="13">
      <formula>顯示注音輸入</formula>
    </cfRule>
    <cfRule type="expression" dxfId="128" priority="14">
      <formula>"'= TRUE(顯示注音輸入)"</formula>
    </cfRule>
  </conditionalFormatting>
  <conditionalFormatting sqref="D79:R79">
    <cfRule type="expression" dxfId="127" priority="11">
      <formula>顯示注音輸入</formula>
    </cfRule>
    <cfRule type="expression" dxfId="126" priority="12">
      <formula>"'= TRUE(顯示注音輸入)"</formula>
    </cfRule>
  </conditionalFormatting>
  <conditionalFormatting sqref="D83:R83">
    <cfRule type="expression" dxfId="125" priority="9">
      <formula>顯示注音輸入</formula>
    </cfRule>
    <cfRule type="expression" dxfId="124" priority="10">
      <formula>"'= TRUE(顯示注音輸入)"</formula>
    </cfRule>
  </conditionalFormatting>
  <conditionalFormatting sqref="D87:R87">
    <cfRule type="expression" dxfId="123" priority="7">
      <formula>顯示注音輸入</formula>
    </cfRule>
    <cfRule type="expression" dxfId="122" priority="8">
      <formula>"'= TRUE(顯示注音輸入)"</formula>
    </cfRule>
  </conditionalFormatting>
  <conditionalFormatting sqref="D91:R91">
    <cfRule type="expression" dxfId="121" priority="5">
      <formula>顯示注音輸入</formula>
    </cfRule>
    <cfRule type="expression" dxfId="120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3">
      <formula>顯示注音輸入</formula>
    </cfRule>
    <cfRule type="expression" dxfId="118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tabSelected="1" workbookViewId="0">
      <selection activeCell="B4" sqref="B4:M111"/>
    </sheetView>
    <sheetView tabSelected="1" workbookViewId="1">
      <selection activeCell="P9" sqref="P9"/>
    </sheetView>
  </sheetViews>
  <sheetFormatPr defaultRowHeight="16.5" outlineLevelCol="1"/>
  <cols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66" customFormat="1" ht="39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3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3" ht="39">
      <c r="B4" s="71" t="s">
        <v>1166</v>
      </c>
      <c r="C4" s="72"/>
      <c r="D4" s="73"/>
      <c r="E4" s="74"/>
      <c r="F4" s="74"/>
      <c r="G4" s="74"/>
      <c r="H4" s="74"/>
      <c r="I4" s="74"/>
      <c r="J4" s="74"/>
      <c r="K4" s="74"/>
      <c r="L4" s="74"/>
      <c r="M4" s="75"/>
    </row>
    <row r="5" spans="2:13" ht="39">
      <c r="B5" s="71" t="s">
        <v>1167</v>
      </c>
      <c r="C5" s="72" t="s">
        <v>1433</v>
      </c>
      <c r="D5" s="73"/>
      <c r="E5" s="74" t="s">
        <v>1447</v>
      </c>
      <c r="F5" s="74" t="s">
        <v>1448</v>
      </c>
      <c r="G5" s="74" t="s">
        <v>1449</v>
      </c>
      <c r="H5" s="74" t="s">
        <v>1450</v>
      </c>
      <c r="I5" s="74" t="s">
        <v>1451</v>
      </c>
      <c r="J5" s="74"/>
      <c r="K5" s="74"/>
      <c r="L5" s="74"/>
      <c r="M5" s="75"/>
    </row>
    <row r="6" spans="2:13" ht="39">
      <c r="B6" s="71" t="s">
        <v>1168</v>
      </c>
      <c r="C6" s="72" t="s">
        <v>1435</v>
      </c>
      <c r="D6" s="73"/>
      <c r="E6" s="74" t="s">
        <v>1452</v>
      </c>
      <c r="F6" s="74" t="s">
        <v>1453</v>
      </c>
      <c r="G6" s="74" t="s">
        <v>1454</v>
      </c>
      <c r="H6" s="74" t="s">
        <v>1455</v>
      </c>
      <c r="I6" s="74" t="s">
        <v>1456</v>
      </c>
      <c r="J6" s="74" t="s">
        <v>1457</v>
      </c>
      <c r="K6" s="74"/>
      <c r="L6" s="74"/>
      <c r="M6" s="75"/>
    </row>
    <row r="7" spans="2:13" ht="39">
      <c r="B7" s="71" t="s">
        <v>1169</v>
      </c>
      <c r="C7" s="72" t="s">
        <v>1367</v>
      </c>
      <c r="D7" s="73"/>
      <c r="E7" s="74" t="s">
        <v>1449</v>
      </c>
      <c r="F7" s="74" t="s">
        <v>1455</v>
      </c>
      <c r="G7" s="74" t="s">
        <v>1456</v>
      </c>
      <c r="H7" s="74" t="s">
        <v>1523</v>
      </c>
      <c r="I7" s="74"/>
      <c r="J7" s="74"/>
      <c r="K7" s="74"/>
      <c r="L7" s="74"/>
      <c r="M7" s="75"/>
    </row>
    <row r="8" spans="2:13" ht="39">
      <c r="B8" s="71" t="s">
        <v>1170</v>
      </c>
      <c r="C8" s="72"/>
      <c r="D8" s="73"/>
      <c r="E8" s="74"/>
      <c r="F8" s="74"/>
      <c r="G8" s="74"/>
      <c r="H8" s="74"/>
      <c r="I8" s="74"/>
      <c r="J8" s="74"/>
      <c r="K8" s="74"/>
      <c r="L8" s="74"/>
      <c r="M8" s="75"/>
    </row>
    <row r="9" spans="2:13" ht="39">
      <c r="B9" s="71"/>
      <c r="C9" s="72"/>
      <c r="D9" s="73"/>
      <c r="E9" s="74"/>
      <c r="F9" s="74"/>
      <c r="G9" s="74"/>
      <c r="H9" s="74"/>
      <c r="I9" s="74"/>
      <c r="J9" s="74"/>
      <c r="K9" s="74"/>
      <c r="L9" s="74"/>
      <c r="M9" s="75"/>
    </row>
    <row r="10" spans="2:13" ht="39">
      <c r="B10" s="71" t="s">
        <v>99</v>
      </c>
      <c r="C10" s="72" t="s">
        <v>1295</v>
      </c>
      <c r="D10" s="73"/>
      <c r="E10" s="74" t="s">
        <v>1456</v>
      </c>
      <c r="F10" s="74" t="s">
        <v>1453</v>
      </c>
      <c r="G10" s="74" t="s">
        <v>1521</v>
      </c>
      <c r="H10" s="74" t="s">
        <v>1457</v>
      </c>
      <c r="I10" s="74"/>
      <c r="J10" s="74"/>
      <c r="K10" s="74"/>
      <c r="L10" s="74"/>
      <c r="M10" s="75"/>
    </row>
    <row r="11" spans="2:13" ht="39">
      <c r="B11" s="71" t="s">
        <v>1171</v>
      </c>
      <c r="C11" s="72" t="s">
        <v>1368</v>
      </c>
      <c r="D11" s="73"/>
      <c r="E11" s="74" t="s">
        <v>1535</v>
      </c>
      <c r="F11" s="74" t="s">
        <v>1449</v>
      </c>
      <c r="G11" s="74" t="s">
        <v>1523</v>
      </c>
      <c r="H11" s="74"/>
      <c r="I11" s="74"/>
      <c r="J11" s="74"/>
      <c r="K11" s="74"/>
      <c r="L11" s="74"/>
      <c r="M11" s="75"/>
    </row>
    <row r="12" spans="2:13" ht="39">
      <c r="B12" s="71" t="s">
        <v>170</v>
      </c>
      <c r="C12" s="72" t="s">
        <v>389</v>
      </c>
      <c r="D12" s="73"/>
      <c r="E12" s="74" t="s">
        <v>1524</v>
      </c>
      <c r="F12" s="74" t="s">
        <v>1454</v>
      </c>
      <c r="G12" s="74" t="s">
        <v>1455</v>
      </c>
      <c r="H12" s="74" t="s">
        <v>1456</v>
      </c>
      <c r="I12" s="74" t="s">
        <v>1457</v>
      </c>
      <c r="J12" s="74"/>
      <c r="K12" s="74"/>
      <c r="L12" s="74"/>
      <c r="M12" s="75"/>
    </row>
    <row r="13" spans="2:13" ht="39">
      <c r="B13" s="71" t="s">
        <v>1172</v>
      </c>
      <c r="C13" s="72" t="s">
        <v>1522</v>
      </c>
      <c r="D13" s="73"/>
      <c r="E13" s="74" t="s">
        <v>1456</v>
      </c>
      <c r="F13" s="74" t="s">
        <v>1455</v>
      </c>
      <c r="G13" s="74" t="s">
        <v>1448</v>
      </c>
      <c r="H13" s="74" t="s">
        <v>1449</v>
      </c>
      <c r="I13" s="74" t="s">
        <v>1523</v>
      </c>
      <c r="J13" s="74"/>
      <c r="K13" s="74"/>
      <c r="L13" s="74"/>
      <c r="M13" s="75"/>
    </row>
    <row r="14" spans="2:13" ht="39">
      <c r="B14" s="71" t="s">
        <v>164</v>
      </c>
      <c r="C14" s="72" t="s">
        <v>1322</v>
      </c>
      <c r="D14" s="73"/>
      <c r="E14" s="74" t="s">
        <v>1524</v>
      </c>
      <c r="F14" s="74" t="s">
        <v>1454</v>
      </c>
      <c r="G14" s="74" t="s">
        <v>1454</v>
      </c>
      <c r="H14" s="74" t="s">
        <v>1523</v>
      </c>
      <c r="I14" s="74"/>
      <c r="J14" s="74"/>
      <c r="K14" s="74"/>
      <c r="L14" s="74"/>
      <c r="M14" s="75"/>
    </row>
    <row r="15" spans="2:13" ht="39">
      <c r="B15" s="71" t="s">
        <v>1173</v>
      </c>
      <c r="C15" s="72" t="s">
        <v>1437</v>
      </c>
      <c r="D15" s="73"/>
      <c r="E15" s="74" t="s">
        <v>1525</v>
      </c>
      <c r="F15" s="74" t="s">
        <v>1448</v>
      </c>
      <c r="G15" s="74" t="s">
        <v>1453</v>
      </c>
      <c r="H15" s="74" t="s">
        <v>1526</v>
      </c>
      <c r="I15" s="74"/>
      <c r="J15" s="74"/>
      <c r="K15" s="74"/>
      <c r="L15" s="74"/>
      <c r="M15" s="75"/>
    </row>
    <row r="16" spans="2:13" ht="39">
      <c r="B16" s="71" t="s">
        <v>1174</v>
      </c>
      <c r="C16" s="72" t="s">
        <v>1568</v>
      </c>
      <c r="D16" s="73"/>
      <c r="E16" s="74" t="s">
        <v>1531</v>
      </c>
      <c r="F16" s="74" t="s">
        <v>1453</v>
      </c>
      <c r="G16" s="74" t="s">
        <v>1455</v>
      </c>
      <c r="H16" s="74" t="s">
        <v>1456</v>
      </c>
      <c r="I16" s="74" t="s">
        <v>1526</v>
      </c>
      <c r="J16" s="74"/>
      <c r="K16" s="74"/>
      <c r="L16" s="74"/>
      <c r="M16" s="75"/>
    </row>
    <row r="17" spans="2:13" ht="39">
      <c r="B17" s="71"/>
      <c r="C17" s="72"/>
      <c r="D17" s="73"/>
      <c r="E17" s="74"/>
      <c r="F17" s="74"/>
      <c r="G17" s="74"/>
      <c r="H17" s="74"/>
      <c r="I17" s="74"/>
      <c r="J17" s="74"/>
      <c r="K17" s="74"/>
      <c r="L17" s="74"/>
      <c r="M17" s="75"/>
    </row>
    <row r="18" spans="2:13" ht="39">
      <c r="B18" s="71" t="s">
        <v>1175</v>
      </c>
      <c r="C18" s="72" t="s">
        <v>1527</v>
      </c>
      <c r="D18" s="73"/>
      <c r="E18" s="74" t="s">
        <v>1528</v>
      </c>
      <c r="F18" s="74" t="s">
        <v>1454</v>
      </c>
      <c r="G18" s="74" t="s">
        <v>1526</v>
      </c>
      <c r="H18" s="74"/>
      <c r="I18" s="74"/>
      <c r="J18" s="74"/>
      <c r="K18" s="74"/>
      <c r="L18" s="74"/>
      <c r="M18" s="75"/>
    </row>
    <row r="19" spans="2:13" ht="39">
      <c r="B19" s="71" t="s">
        <v>1176</v>
      </c>
      <c r="C19" s="72" t="s">
        <v>1373</v>
      </c>
      <c r="D19" s="73"/>
      <c r="E19" s="74" t="s">
        <v>1529</v>
      </c>
      <c r="F19" s="74" t="s">
        <v>1453</v>
      </c>
      <c r="G19" s="74" t="s">
        <v>1526</v>
      </c>
      <c r="H19" s="74"/>
      <c r="I19" s="74"/>
      <c r="J19" s="74"/>
      <c r="K19" s="74"/>
      <c r="L19" s="74"/>
      <c r="M19" s="75"/>
    </row>
    <row r="20" spans="2:13" ht="39">
      <c r="B20" s="71" t="s">
        <v>1169</v>
      </c>
      <c r="C20" s="72" t="s">
        <v>1367</v>
      </c>
      <c r="D20" s="73"/>
      <c r="E20" s="74" t="s">
        <v>1449</v>
      </c>
      <c r="F20" s="74" t="s">
        <v>1455</v>
      </c>
      <c r="G20" s="74" t="s">
        <v>1456</v>
      </c>
      <c r="H20" s="74" t="s">
        <v>1523</v>
      </c>
      <c r="I20" s="74"/>
      <c r="J20" s="74"/>
      <c r="K20" s="74"/>
      <c r="L20" s="74"/>
      <c r="M20" s="75"/>
    </row>
    <row r="21" spans="2:13" ht="39">
      <c r="B21" s="71" t="s">
        <v>1177</v>
      </c>
      <c r="C21" s="72" t="s">
        <v>1374</v>
      </c>
      <c r="D21" s="73"/>
      <c r="E21" s="74" t="s">
        <v>1524</v>
      </c>
      <c r="F21" s="74" t="s">
        <v>1448</v>
      </c>
      <c r="G21" s="74" t="s">
        <v>1530</v>
      </c>
      <c r="H21" s="74" t="s">
        <v>1457</v>
      </c>
      <c r="I21" s="74"/>
      <c r="J21" s="74"/>
      <c r="K21" s="74"/>
      <c r="L21" s="74"/>
      <c r="M21" s="75"/>
    </row>
    <row r="22" spans="2:13" ht="39">
      <c r="B22" s="71" t="s">
        <v>1178</v>
      </c>
      <c r="C22" s="72" t="s">
        <v>1233</v>
      </c>
      <c r="D22" s="73"/>
      <c r="E22" s="74" t="s">
        <v>1531</v>
      </c>
      <c r="F22" s="74" t="s">
        <v>1454</v>
      </c>
      <c r="G22" s="74" t="s">
        <v>1528</v>
      </c>
      <c r="H22" s="74" t="s">
        <v>1532</v>
      </c>
      <c r="I22" s="74"/>
      <c r="J22" s="74"/>
      <c r="K22" s="74"/>
      <c r="L22" s="74"/>
      <c r="M22" s="75"/>
    </row>
    <row r="23" spans="2:13" ht="39">
      <c r="B23" s="71" t="s">
        <v>170</v>
      </c>
      <c r="C23" s="72" t="s">
        <v>389</v>
      </c>
      <c r="D23" s="73"/>
      <c r="E23" s="74" t="s">
        <v>1524</v>
      </c>
      <c r="F23" s="74" t="s">
        <v>1454</v>
      </c>
      <c r="G23" s="74" t="s">
        <v>1455</v>
      </c>
      <c r="H23" s="74" t="s">
        <v>1456</v>
      </c>
      <c r="I23" s="74" t="s">
        <v>1457</v>
      </c>
      <c r="J23" s="74"/>
      <c r="K23" s="74"/>
      <c r="L23" s="74"/>
      <c r="M23" s="75"/>
    </row>
    <row r="24" spans="2:13" ht="39">
      <c r="B24" s="71" t="s">
        <v>1179</v>
      </c>
      <c r="C24" s="72" t="s">
        <v>1376</v>
      </c>
      <c r="D24" s="73"/>
      <c r="E24" s="74" t="s">
        <v>1450</v>
      </c>
      <c r="F24" s="74" t="s">
        <v>1453</v>
      </c>
      <c r="G24" s="74" t="s">
        <v>1455</v>
      </c>
      <c r="H24" s="74" t="s">
        <v>1523</v>
      </c>
      <c r="I24" s="74"/>
      <c r="J24" s="74"/>
      <c r="K24" s="74"/>
      <c r="L24" s="74"/>
      <c r="M24" s="75"/>
    </row>
    <row r="25" spans="2:13" ht="39">
      <c r="B25" s="71"/>
      <c r="C25" s="72"/>
      <c r="D25" s="73"/>
      <c r="E25" s="74"/>
      <c r="F25" s="74"/>
      <c r="G25" s="74"/>
      <c r="H25" s="74"/>
      <c r="I25" s="74"/>
      <c r="J25" s="74"/>
      <c r="K25" s="74"/>
      <c r="L25" s="74"/>
      <c r="M25" s="75"/>
    </row>
    <row r="26" spans="2:13" ht="39">
      <c r="B26" s="71" t="s">
        <v>1180</v>
      </c>
      <c r="C26" s="72" t="s">
        <v>1533</v>
      </c>
      <c r="D26" s="73"/>
      <c r="E26" s="74" t="s">
        <v>1456</v>
      </c>
      <c r="F26" s="74" t="s">
        <v>1453</v>
      </c>
      <c r="G26" s="74" t="s">
        <v>1534</v>
      </c>
      <c r="H26" s="74"/>
      <c r="I26" s="74"/>
      <c r="J26" s="74"/>
      <c r="K26" s="74"/>
      <c r="L26" s="74"/>
      <c r="M26" s="75"/>
    </row>
    <row r="27" spans="2:13" ht="39">
      <c r="B27" s="71" t="s">
        <v>143</v>
      </c>
      <c r="C27" s="72" t="s">
        <v>1378</v>
      </c>
      <c r="D27" s="73"/>
      <c r="E27" s="74" t="s">
        <v>1531</v>
      </c>
      <c r="F27" s="74" t="s">
        <v>1453</v>
      </c>
      <c r="G27" s="74" t="s">
        <v>1449</v>
      </c>
      <c r="H27" s="74" t="s">
        <v>1455</v>
      </c>
      <c r="I27" s="74" t="s">
        <v>1523</v>
      </c>
      <c r="J27" s="74"/>
      <c r="K27" s="74"/>
      <c r="L27" s="74"/>
      <c r="M27" s="75"/>
    </row>
    <row r="28" spans="2:13" ht="39">
      <c r="B28" s="71" t="s">
        <v>1181</v>
      </c>
      <c r="C28" s="72" t="s">
        <v>1379</v>
      </c>
      <c r="D28" s="73"/>
      <c r="E28" s="74" t="s">
        <v>1535</v>
      </c>
      <c r="F28" s="74" t="s">
        <v>1453</v>
      </c>
      <c r="G28" s="74" t="s">
        <v>1526</v>
      </c>
      <c r="H28" s="74"/>
      <c r="I28" s="74"/>
      <c r="J28" s="74"/>
      <c r="K28" s="74"/>
      <c r="L28" s="74"/>
      <c r="M28" s="75"/>
    </row>
    <row r="29" spans="2:13" ht="39">
      <c r="B29" s="71" t="s">
        <v>1182</v>
      </c>
      <c r="C29" s="72" t="s">
        <v>1236</v>
      </c>
      <c r="D29" s="73"/>
      <c r="E29" s="74" t="s">
        <v>1524</v>
      </c>
      <c r="F29" s="74" t="s">
        <v>1448</v>
      </c>
      <c r="G29" s="74" t="s">
        <v>1455</v>
      </c>
      <c r="H29" s="74" t="s">
        <v>1457</v>
      </c>
      <c r="I29" s="74"/>
      <c r="J29" s="74"/>
      <c r="K29" s="74"/>
      <c r="L29" s="74"/>
      <c r="M29" s="75"/>
    </row>
    <row r="30" spans="2:13" ht="39">
      <c r="B30" s="71" t="s">
        <v>169</v>
      </c>
      <c r="C30" s="72" t="s">
        <v>483</v>
      </c>
      <c r="D30" s="73"/>
      <c r="E30" s="74" t="s">
        <v>1528</v>
      </c>
      <c r="F30" s="74" t="s">
        <v>1448</v>
      </c>
      <c r="G30" s="74" t="s">
        <v>1453</v>
      </c>
      <c r="H30" s="74" t="s">
        <v>1457</v>
      </c>
      <c r="I30" s="74"/>
      <c r="J30" s="74"/>
      <c r="K30" s="74"/>
      <c r="L30" s="74"/>
      <c r="M30" s="75"/>
    </row>
    <row r="31" spans="2:13" ht="39">
      <c r="B31" s="71" t="s">
        <v>23</v>
      </c>
      <c r="C31" s="72"/>
      <c r="D31" s="73"/>
      <c r="E31" s="74"/>
      <c r="F31" s="74"/>
      <c r="G31" s="74"/>
      <c r="H31" s="74"/>
      <c r="I31" s="74"/>
      <c r="J31" s="74"/>
      <c r="K31" s="74"/>
      <c r="L31" s="74"/>
      <c r="M31" s="75"/>
    </row>
    <row r="32" spans="2:13" ht="39">
      <c r="B32" s="71" t="s">
        <v>168</v>
      </c>
      <c r="C32" s="72" t="s">
        <v>1381</v>
      </c>
      <c r="D32" s="73"/>
      <c r="E32" s="74" t="s">
        <v>1521</v>
      </c>
      <c r="F32" s="74" t="s">
        <v>1523</v>
      </c>
      <c r="G32" s="74"/>
      <c r="H32" s="74"/>
      <c r="I32" s="74"/>
      <c r="J32" s="74"/>
      <c r="K32" s="74"/>
      <c r="L32" s="74"/>
      <c r="M32" s="75"/>
    </row>
    <row r="33" spans="2:13" ht="39">
      <c r="B33" s="71" t="s">
        <v>81</v>
      </c>
      <c r="C33" s="72" t="s">
        <v>1291</v>
      </c>
      <c r="D33" s="73"/>
      <c r="E33" s="74" t="s">
        <v>1450</v>
      </c>
      <c r="F33" s="74" t="s">
        <v>1449</v>
      </c>
      <c r="G33" s="74" t="s">
        <v>1455</v>
      </c>
      <c r="H33" s="74" t="s">
        <v>1456</v>
      </c>
      <c r="I33" s="74" t="s">
        <v>1457</v>
      </c>
      <c r="J33" s="74"/>
      <c r="K33" s="74"/>
      <c r="L33" s="74"/>
      <c r="M33" s="75"/>
    </row>
    <row r="34" spans="2:13" ht="39">
      <c r="B34" s="71" t="s">
        <v>1183</v>
      </c>
      <c r="C34" s="72" t="s">
        <v>1438</v>
      </c>
      <c r="D34" s="73"/>
      <c r="E34" s="74" t="s">
        <v>1456</v>
      </c>
      <c r="F34" s="74" t="s">
        <v>1454</v>
      </c>
      <c r="G34" s="74" t="s">
        <v>1524</v>
      </c>
      <c r="H34" s="74" t="s">
        <v>1451</v>
      </c>
      <c r="I34" s="74"/>
      <c r="J34" s="74"/>
      <c r="K34" s="74"/>
      <c r="L34" s="74"/>
      <c r="M34" s="75"/>
    </row>
    <row r="35" spans="2:13" ht="39">
      <c r="B35" s="71" t="s">
        <v>1184</v>
      </c>
      <c r="C35" s="72" t="s">
        <v>1446</v>
      </c>
      <c r="D35" s="73"/>
      <c r="E35" s="74" t="s">
        <v>1456</v>
      </c>
      <c r="F35" s="74" t="s">
        <v>1454</v>
      </c>
      <c r="G35" s="74" t="s">
        <v>1455</v>
      </c>
      <c r="H35" s="74" t="s">
        <v>1456</v>
      </c>
      <c r="I35" s="74" t="s">
        <v>1526</v>
      </c>
      <c r="J35" s="74"/>
      <c r="K35" s="74"/>
      <c r="L35" s="74"/>
      <c r="M35" s="75"/>
    </row>
    <row r="36" spans="2:13" ht="39">
      <c r="B36" s="71" t="s">
        <v>1185</v>
      </c>
      <c r="C36" s="72" t="s">
        <v>337</v>
      </c>
      <c r="D36" s="73"/>
      <c r="E36" s="74" t="s">
        <v>1528</v>
      </c>
      <c r="F36" s="74" t="s">
        <v>1453</v>
      </c>
      <c r="G36" s="74" t="s">
        <v>1526</v>
      </c>
      <c r="H36" s="74"/>
      <c r="I36" s="74"/>
      <c r="J36" s="74"/>
      <c r="K36" s="74"/>
      <c r="L36" s="74"/>
      <c r="M36" s="75"/>
    </row>
    <row r="37" spans="2:13" ht="39">
      <c r="B37" s="71"/>
      <c r="C37" s="72"/>
      <c r="D37" s="73"/>
      <c r="E37" s="74"/>
      <c r="F37" s="74"/>
      <c r="G37" s="74"/>
      <c r="H37" s="74"/>
      <c r="I37" s="74"/>
      <c r="J37" s="74"/>
      <c r="K37" s="74"/>
      <c r="L37" s="74"/>
      <c r="M37" s="75"/>
    </row>
    <row r="38" spans="2:13" ht="39">
      <c r="B38" s="71" t="s">
        <v>1186</v>
      </c>
      <c r="C38" s="72" t="s">
        <v>1536</v>
      </c>
      <c r="D38" s="73"/>
      <c r="E38" s="74" t="s">
        <v>1537</v>
      </c>
      <c r="F38" s="74" t="s">
        <v>1449</v>
      </c>
      <c r="G38" s="74" t="s">
        <v>1450</v>
      </c>
      <c r="H38" s="74" t="s">
        <v>1451</v>
      </c>
      <c r="I38" s="74"/>
      <c r="J38" s="74"/>
      <c r="K38" s="74"/>
      <c r="L38" s="74"/>
      <c r="M38" s="75"/>
    </row>
    <row r="39" spans="2:13" ht="39">
      <c r="B39" s="71" t="s">
        <v>1187</v>
      </c>
      <c r="C39" s="72" t="s">
        <v>1538</v>
      </c>
      <c r="D39" s="73"/>
      <c r="E39" s="74" t="s">
        <v>1450</v>
      </c>
      <c r="F39" s="74" t="s">
        <v>1449</v>
      </c>
      <c r="G39" s="74" t="s">
        <v>1454</v>
      </c>
      <c r="H39" s="74" t="s">
        <v>1523</v>
      </c>
      <c r="I39" s="74"/>
      <c r="J39" s="74"/>
      <c r="K39" s="74"/>
      <c r="L39" s="74"/>
      <c r="M39" s="75"/>
    </row>
    <row r="40" spans="2:13" ht="39">
      <c r="B40" s="71" t="s">
        <v>1188</v>
      </c>
      <c r="C40" s="72" t="s">
        <v>49</v>
      </c>
      <c r="D40" s="73"/>
      <c r="E40" s="74" t="s">
        <v>1525</v>
      </c>
      <c r="F40" s="74" t="s">
        <v>1453</v>
      </c>
      <c r="G40" s="74" t="s">
        <v>1526</v>
      </c>
      <c r="H40" s="74"/>
      <c r="I40" s="74"/>
      <c r="J40" s="74"/>
      <c r="K40" s="74"/>
      <c r="L40" s="74"/>
      <c r="M40" s="75"/>
    </row>
    <row r="41" spans="2:13" ht="39">
      <c r="B41" s="71" t="s">
        <v>19</v>
      </c>
      <c r="C41" s="72" t="s">
        <v>1386</v>
      </c>
      <c r="D41" s="73"/>
      <c r="E41" s="74" t="s">
        <v>1537</v>
      </c>
      <c r="F41" s="74" t="s">
        <v>1448</v>
      </c>
      <c r="G41" s="74" t="s">
        <v>1523</v>
      </c>
      <c r="H41" s="74"/>
      <c r="I41" s="74"/>
      <c r="J41" s="74"/>
      <c r="K41" s="74"/>
      <c r="L41" s="74"/>
      <c r="M41" s="75"/>
    </row>
    <row r="42" spans="2:13" ht="39">
      <c r="B42" s="71" t="s">
        <v>1189</v>
      </c>
      <c r="C42" s="72" t="s">
        <v>1303</v>
      </c>
      <c r="D42" s="73"/>
      <c r="E42" s="74" t="s">
        <v>1456</v>
      </c>
      <c r="F42" s="74" t="s">
        <v>1449</v>
      </c>
      <c r="G42" s="74" t="s">
        <v>1457</v>
      </c>
      <c r="H42" s="74"/>
      <c r="I42" s="74"/>
      <c r="J42" s="74"/>
      <c r="K42" s="74"/>
      <c r="L42" s="74"/>
      <c r="M42" s="75"/>
    </row>
    <row r="43" spans="2:13" ht="39">
      <c r="B43" s="71" t="s">
        <v>1190</v>
      </c>
      <c r="C43" s="72" t="s">
        <v>1304</v>
      </c>
      <c r="D43" s="73"/>
      <c r="E43" s="74" t="s">
        <v>1450</v>
      </c>
      <c r="F43" s="74" t="s">
        <v>1453</v>
      </c>
      <c r="G43" s="74" t="s">
        <v>1449</v>
      </c>
      <c r="H43" s="74" t="s">
        <v>1521</v>
      </c>
      <c r="I43" s="74" t="s">
        <v>1457</v>
      </c>
      <c r="J43" s="74"/>
      <c r="K43" s="74"/>
      <c r="L43" s="74"/>
      <c r="M43" s="75"/>
    </row>
    <row r="44" spans="2:13" ht="39">
      <c r="B44" s="71" t="s">
        <v>253</v>
      </c>
      <c r="C44" s="72" t="s">
        <v>452</v>
      </c>
      <c r="D44" s="73"/>
      <c r="E44" s="74" t="s">
        <v>1447</v>
      </c>
      <c r="F44" s="74" t="s">
        <v>1453</v>
      </c>
      <c r="G44" s="74" t="s">
        <v>1521</v>
      </c>
      <c r="H44" s="74" t="s">
        <v>1457</v>
      </c>
      <c r="I44" s="74"/>
      <c r="J44" s="74"/>
      <c r="K44" s="74"/>
      <c r="L44" s="74"/>
      <c r="M44" s="75"/>
    </row>
    <row r="45" spans="2:13" ht="39">
      <c r="B45" s="71" t="s">
        <v>1191</v>
      </c>
      <c r="C45" s="72" t="s">
        <v>1252</v>
      </c>
      <c r="D45" s="73"/>
      <c r="E45" s="74" t="s">
        <v>1524</v>
      </c>
      <c r="F45" s="74" t="s">
        <v>1453</v>
      </c>
      <c r="G45" s="74" t="s">
        <v>1457</v>
      </c>
      <c r="H45" s="74"/>
      <c r="I45" s="74"/>
      <c r="J45" s="74"/>
      <c r="K45" s="74"/>
      <c r="L45" s="74"/>
      <c r="M45" s="75"/>
    </row>
    <row r="46" spans="2:13" ht="39">
      <c r="B46" s="71" t="s">
        <v>296</v>
      </c>
      <c r="C46" s="72" t="s">
        <v>1391</v>
      </c>
      <c r="D46" s="73"/>
      <c r="E46" s="74" t="s">
        <v>1529</v>
      </c>
      <c r="F46" s="74" t="s">
        <v>1529</v>
      </c>
      <c r="G46" s="74" t="s">
        <v>1453</v>
      </c>
      <c r="H46" s="74" t="s">
        <v>1523</v>
      </c>
      <c r="I46" s="74"/>
      <c r="J46" s="74"/>
      <c r="K46" s="74"/>
      <c r="L46" s="74"/>
      <c r="M46" s="75"/>
    </row>
    <row r="47" spans="2:13" ht="39">
      <c r="B47" s="71"/>
      <c r="C47" s="72"/>
      <c r="D47" s="73"/>
      <c r="E47" s="74"/>
      <c r="F47" s="74"/>
      <c r="G47" s="74"/>
      <c r="H47" s="74"/>
      <c r="I47" s="74"/>
      <c r="J47" s="74"/>
      <c r="K47" s="74"/>
      <c r="L47" s="74"/>
      <c r="M47" s="75"/>
    </row>
    <row r="48" spans="2:13" ht="39">
      <c r="B48" s="71" t="s">
        <v>20</v>
      </c>
      <c r="C48" s="72" t="s">
        <v>1392</v>
      </c>
      <c r="D48" s="73"/>
      <c r="E48" s="74" t="s">
        <v>1531</v>
      </c>
      <c r="F48" s="74" t="s">
        <v>1453</v>
      </c>
      <c r="G48" s="74" t="s">
        <v>1450</v>
      </c>
      <c r="H48" s="74" t="s">
        <v>1532</v>
      </c>
      <c r="I48" s="74"/>
      <c r="J48" s="74"/>
      <c r="K48" s="74"/>
      <c r="L48" s="74"/>
      <c r="M48" s="75"/>
    </row>
    <row r="49" spans="2:13" ht="39">
      <c r="B49" s="71" t="s">
        <v>1192</v>
      </c>
      <c r="C49" s="72" t="s">
        <v>56</v>
      </c>
      <c r="D49" s="73"/>
      <c r="E49" s="74" t="s">
        <v>1447</v>
      </c>
      <c r="F49" s="74" t="s">
        <v>1448</v>
      </c>
      <c r="G49" s="74" t="s">
        <v>1457</v>
      </c>
      <c r="H49" s="74"/>
      <c r="I49" s="74"/>
      <c r="J49" s="74"/>
      <c r="K49" s="74"/>
      <c r="L49" s="74"/>
      <c r="M49" s="75"/>
    </row>
    <row r="50" spans="2:13" ht="39">
      <c r="B50" s="71" t="s">
        <v>1171</v>
      </c>
      <c r="C50" s="72" t="s">
        <v>1368</v>
      </c>
      <c r="D50" s="73"/>
      <c r="E50" s="74" t="s">
        <v>1535</v>
      </c>
      <c r="F50" s="74" t="s">
        <v>1449</v>
      </c>
      <c r="G50" s="74" t="s">
        <v>1523</v>
      </c>
      <c r="H50" s="74"/>
      <c r="I50" s="74"/>
      <c r="J50" s="74"/>
      <c r="K50" s="74"/>
      <c r="L50" s="74"/>
      <c r="M50" s="75"/>
    </row>
    <row r="51" spans="2:13" ht="39">
      <c r="B51" s="71" t="s">
        <v>1193</v>
      </c>
      <c r="C51" s="72" t="s">
        <v>1395</v>
      </c>
      <c r="D51" s="73"/>
      <c r="E51" s="74" t="s">
        <v>1529</v>
      </c>
      <c r="F51" s="74" t="s">
        <v>1529</v>
      </c>
      <c r="G51" s="74" t="s">
        <v>1449</v>
      </c>
      <c r="H51" s="74" t="s">
        <v>1455</v>
      </c>
      <c r="I51" s="74" t="s">
        <v>1456</v>
      </c>
      <c r="J51" s="74" t="s">
        <v>1523</v>
      </c>
      <c r="K51" s="74"/>
      <c r="L51" s="74"/>
      <c r="M51" s="75"/>
    </row>
    <row r="52" spans="2:13" ht="39">
      <c r="B52" s="71" t="s">
        <v>273</v>
      </c>
      <c r="C52" s="72" t="s">
        <v>1398</v>
      </c>
      <c r="D52" s="73"/>
      <c r="E52" s="74" t="s">
        <v>1537</v>
      </c>
      <c r="F52" s="74" t="s">
        <v>1453</v>
      </c>
      <c r="G52" s="74" t="s">
        <v>1523</v>
      </c>
      <c r="H52" s="74"/>
      <c r="I52" s="74"/>
      <c r="J52" s="74"/>
      <c r="K52" s="74"/>
      <c r="L52" s="74"/>
      <c r="M52" s="75"/>
    </row>
    <row r="53" spans="2:13" ht="39">
      <c r="B53" s="71" t="s">
        <v>1194</v>
      </c>
      <c r="C53" s="72" t="s">
        <v>1539</v>
      </c>
      <c r="D53" s="73"/>
      <c r="E53" s="74" t="s">
        <v>1531</v>
      </c>
      <c r="F53" s="74" t="s">
        <v>1453</v>
      </c>
      <c r="G53" s="74" t="s">
        <v>1526</v>
      </c>
      <c r="H53" s="74"/>
      <c r="I53" s="74"/>
      <c r="J53" s="74"/>
      <c r="K53" s="74"/>
      <c r="L53" s="74"/>
      <c r="M53" s="75"/>
    </row>
    <row r="54" spans="2:13" ht="39">
      <c r="B54" s="71" t="s">
        <v>31</v>
      </c>
      <c r="C54" s="72" t="s">
        <v>1400</v>
      </c>
      <c r="D54" s="73"/>
      <c r="E54" s="74" t="s">
        <v>1525</v>
      </c>
      <c r="F54" s="74" t="s">
        <v>1453</v>
      </c>
      <c r="G54" s="74" t="s">
        <v>1450</v>
      </c>
      <c r="H54" s="74" t="s">
        <v>1532</v>
      </c>
      <c r="I54" s="74"/>
      <c r="J54" s="74"/>
      <c r="K54" s="74"/>
      <c r="L54" s="74"/>
      <c r="M54" s="75"/>
    </row>
    <row r="55" spans="2:13" ht="39">
      <c r="B55" s="71" t="s">
        <v>37</v>
      </c>
      <c r="C55" s="72" t="s">
        <v>1402</v>
      </c>
      <c r="D55" s="73"/>
      <c r="E55" s="74" t="s">
        <v>1531</v>
      </c>
      <c r="F55" s="74" t="s">
        <v>1449</v>
      </c>
      <c r="G55" s="74" t="s">
        <v>1455</v>
      </c>
      <c r="H55" s="74" t="s">
        <v>1456</v>
      </c>
      <c r="I55" s="74" t="s">
        <v>1523</v>
      </c>
      <c r="J55" s="74"/>
      <c r="K55" s="74"/>
      <c r="L55" s="74"/>
      <c r="M55" s="75"/>
    </row>
    <row r="56" spans="2:13" ht="39">
      <c r="B56" s="71" t="s">
        <v>23</v>
      </c>
      <c r="C56" s="72"/>
      <c r="D56" s="73"/>
      <c r="E56" s="74"/>
      <c r="F56" s="74"/>
      <c r="G56" s="74"/>
      <c r="H56" s="74"/>
      <c r="I56" s="74"/>
      <c r="J56" s="74"/>
      <c r="K56" s="74"/>
      <c r="L56" s="74"/>
      <c r="M56" s="75"/>
    </row>
    <row r="57" spans="2:13" ht="39">
      <c r="B57" s="71" t="s">
        <v>1195</v>
      </c>
      <c r="C57" s="72" t="s">
        <v>1439</v>
      </c>
      <c r="D57" s="73"/>
      <c r="E57" s="74" t="s">
        <v>1529</v>
      </c>
      <c r="F57" s="74" t="s">
        <v>1529</v>
      </c>
      <c r="G57" s="74" t="s">
        <v>1455</v>
      </c>
      <c r="H57" s="74" t="s">
        <v>1453</v>
      </c>
      <c r="I57" s="74" t="s">
        <v>1523</v>
      </c>
      <c r="J57" s="74"/>
      <c r="K57" s="74"/>
      <c r="L57" s="74"/>
      <c r="M57" s="75"/>
    </row>
    <row r="58" spans="2:13" ht="39">
      <c r="B58" s="71" t="s">
        <v>1195</v>
      </c>
      <c r="C58" s="72" t="s">
        <v>1439</v>
      </c>
      <c r="D58" s="73"/>
      <c r="E58" s="74" t="s">
        <v>1529</v>
      </c>
      <c r="F58" s="74" t="s">
        <v>1529</v>
      </c>
      <c r="G58" s="74" t="s">
        <v>1455</v>
      </c>
      <c r="H58" s="74" t="s">
        <v>1453</v>
      </c>
      <c r="I58" s="74" t="s">
        <v>1523</v>
      </c>
      <c r="J58" s="74"/>
      <c r="K58" s="74"/>
      <c r="L58" s="74"/>
      <c r="M58" s="75"/>
    </row>
    <row r="59" spans="2:13" ht="39">
      <c r="B59" s="71" t="s">
        <v>157</v>
      </c>
      <c r="C59" s="72" t="s">
        <v>1580</v>
      </c>
      <c r="D59" s="73"/>
      <c r="E59" s="74" t="s">
        <v>1525</v>
      </c>
      <c r="F59" s="74" t="s">
        <v>1453</v>
      </c>
      <c r="G59" s="74" t="s">
        <v>1455</v>
      </c>
      <c r="H59" s="74" t="s">
        <v>1456</v>
      </c>
      <c r="I59" s="74" t="s">
        <v>1523</v>
      </c>
      <c r="J59" s="74"/>
      <c r="K59" s="74"/>
      <c r="L59" s="74"/>
      <c r="M59" s="75"/>
    </row>
    <row r="60" spans="2:13" ht="39">
      <c r="B60" s="71" t="s">
        <v>1196</v>
      </c>
      <c r="C60" s="72" t="s">
        <v>1581</v>
      </c>
      <c r="D60" s="73"/>
      <c r="E60" s="74" t="s">
        <v>1535</v>
      </c>
      <c r="F60" s="74" t="s">
        <v>1453</v>
      </c>
      <c r="G60" s="74" t="s">
        <v>1534</v>
      </c>
      <c r="H60" s="74"/>
      <c r="I60" s="74"/>
      <c r="J60" s="74"/>
      <c r="K60" s="74"/>
      <c r="L60" s="74"/>
      <c r="M60" s="75"/>
    </row>
    <row r="61" spans="2:13" ht="39">
      <c r="B61" s="71" t="s">
        <v>23</v>
      </c>
      <c r="C61" s="72"/>
      <c r="D61" s="73"/>
      <c r="E61" s="74"/>
      <c r="F61" s="74"/>
      <c r="G61" s="74"/>
      <c r="H61" s="74"/>
      <c r="I61" s="74"/>
      <c r="J61" s="74"/>
      <c r="K61" s="74"/>
      <c r="L61" s="74"/>
      <c r="M61" s="75"/>
    </row>
    <row r="62" spans="2:13" ht="39">
      <c r="B62" s="71" t="s">
        <v>1193</v>
      </c>
      <c r="C62" s="72" t="s">
        <v>1395</v>
      </c>
      <c r="D62" s="73"/>
      <c r="E62" s="74" t="s">
        <v>1529</v>
      </c>
      <c r="F62" s="74" t="s">
        <v>1529</v>
      </c>
      <c r="G62" s="74" t="s">
        <v>1449</v>
      </c>
      <c r="H62" s="74" t="s">
        <v>1455</v>
      </c>
      <c r="I62" s="74" t="s">
        <v>1456</v>
      </c>
      <c r="J62" s="74" t="s">
        <v>1523</v>
      </c>
      <c r="K62" s="74"/>
      <c r="L62" s="74"/>
      <c r="M62" s="75"/>
    </row>
    <row r="63" spans="2:13" ht="39">
      <c r="B63" s="71" t="s">
        <v>1197</v>
      </c>
      <c r="C63" s="72" t="s">
        <v>1551</v>
      </c>
      <c r="D63" s="73"/>
      <c r="E63" s="74" t="s">
        <v>1550</v>
      </c>
      <c r="F63" s="74" t="s">
        <v>1455</v>
      </c>
      <c r="G63" s="74" t="s">
        <v>1453</v>
      </c>
      <c r="H63" s="74" t="s">
        <v>1526</v>
      </c>
      <c r="I63" s="74"/>
      <c r="J63" s="74"/>
      <c r="K63" s="74"/>
      <c r="L63" s="74"/>
      <c r="M63" s="75"/>
    </row>
    <row r="64" spans="2:13" ht="39">
      <c r="B64" s="71" t="s">
        <v>1198</v>
      </c>
      <c r="C64" s="72" t="s">
        <v>1577</v>
      </c>
      <c r="D64" s="73"/>
      <c r="E64" s="74" t="s">
        <v>1529</v>
      </c>
      <c r="F64" s="74" t="s">
        <v>1453</v>
      </c>
      <c r="G64" s="74" t="s">
        <v>1449</v>
      </c>
      <c r="H64" s="74" t="s">
        <v>1455</v>
      </c>
      <c r="I64" s="74" t="s">
        <v>1534</v>
      </c>
      <c r="J64" s="74"/>
      <c r="K64" s="74"/>
      <c r="L64" s="74"/>
      <c r="M64" s="75"/>
    </row>
    <row r="65" spans="2:13" ht="39">
      <c r="B65" s="71" t="s">
        <v>1199</v>
      </c>
      <c r="C65" s="72" t="s">
        <v>1267</v>
      </c>
      <c r="D65" s="73"/>
      <c r="E65" s="74" t="s">
        <v>1447</v>
      </c>
      <c r="F65" s="74" t="s">
        <v>1453</v>
      </c>
      <c r="G65" s="74" t="s">
        <v>1455</v>
      </c>
      <c r="H65" s="74" t="s">
        <v>1456</v>
      </c>
      <c r="I65" s="74" t="s">
        <v>1523</v>
      </c>
      <c r="J65" s="74"/>
      <c r="K65" s="74"/>
      <c r="L65" s="74"/>
      <c r="M65" s="75"/>
    </row>
    <row r="66" spans="2:13" ht="39">
      <c r="B66" s="71" t="s">
        <v>176</v>
      </c>
      <c r="C66" s="72" t="s">
        <v>351</v>
      </c>
      <c r="D66" s="73"/>
      <c r="E66" s="74" t="s">
        <v>1528</v>
      </c>
      <c r="F66" s="74" t="s">
        <v>1449</v>
      </c>
      <c r="G66" s="74" t="s">
        <v>1455</v>
      </c>
      <c r="H66" s="74" t="s">
        <v>1456</v>
      </c>
      <c r="I66" s="74" t="s">
        <v>1457</v>
      </c>
      <c r="J66" s="74"/>
      <c r="K66" s="74"/>
      <c r="L66" s="74"/>
      <c r="M66" s="75"/>
    </row>
    <row r="67" spans="2:13" ht="39">
      <c r="B67" s="71"/>
      <c r="C67" s="72"/>
      <c r="D67" s="73"/>
      <c r="E67" s="74"/>
      <c r="F67" s="74"/>
      <c r="G67" s="74"/>
      <c r="H67" s="74"/>
      <c r="I67" s="74"/>
      <c r="J67" s="74"/>
      <c r="K67" s="74"/>
      <c r="L67" s="74"/>
      <c r="M67" s="75"/>
    </row>
    <row r="68" spans="2:13" ht="39">
      <c r="B68" s="71" t="s">
        <v>1200</v>
      </c>
      <c r="C68" s="72" t="s">
        <v>1274</v>
      </c>
      <c r="D68" s="73"/>
      <c r="E68" s="74" t="s">
        <v>1550</v>
      </c>
      <c r="F68" s="74" t="s">
        <v>1453</v>
      </c>
      <c r="G68" s="74" t="s">
        <v>1455</v>
      </c>
      <c r="H68" s="74" t="s">
        <v>1457</v>
      </c>
      <c r="I68" s="74"/>
      <c r="J68" s="74"/>
      <c r="K68" s="74"/>
      <c r="L68" s="74"/>
      <c r="M68" s="75"/>
    </row>
    <row r="69" spans="2:13" ht="39">
      <c r="B69" s="71" t="s">
        <v>1201</v>
      </c>
      <c r="C69" s="72" t="s">
        <v>1407</v>
      </c>
      <c r="D69" s="73"/>
      <c r="E69" s="74" t="s">
        <v>1550</v>
      </c>
      <c r="F69" s="74" t="s">
        <v>1455</v>
      </c>
      <c r="G69" s="74" t="s">
        <v>1453</v>
      </c>
      <c r="H69" s="74" t="s">
        <v>1448</v>
      </c>
      <c r="I69" s="74" t="s">
        <v>1523</v>
      </c>
      <c r="J69" s="74"/>
      <c r="K69" s="74"/>
      <c r="L69" s="74"/>
      <c r="M69" s="75"/>
    </row>
    <row r="70" spans="2:13" ht="39">
      <c r="B70" s="71" t="s">
        <v>1194</v>
      </c>
      <c r="C70" s="72" t="s">
        <v>1539</v>
      </c>
      <c r="D70" s="73"/>
      <c r="E70" s="74" t="s">
        <v>1531</v>
      </c>
      <c r="F70" s="74" t="s">
        <v>1453</v>
      </c>
      <c r="G70" s="74" t="s">
        <v>1526</v>
      </c>
      <c r="H70" s="74"/>
      <c r="I70" s="74"/>
      <c r="J70" s="74"/>
      <c r="K70" s="74"/>
      <c r="L70" s="74"/>
      <c r="M70" s="75"/>
    </row>
    <row r="71" spans="2:13" ht="39">
      <c r="B71" s="71" t="s">
        <v>1202</v>
      </c>
      <c r="C71" s="72" t="s">
        <v>1346</v>
      </c>
      <c r="D71" s="73"/>
      <c r="E71" s="74" t="s">
        <v>1530</v>
      </c>
      <c r="F71" s="74" t="s">
        <v>1523</v>
      </c>
      <c r="G71" s="74"/>
      <c r="H71" s="74"/>
      <c r="I71" s="74"/>
      <c r="J71" s="74"/>
      <c r="K71" s="74"/>
      <c r="L71" s="74"/>
      <c r="M71" s="75"/>
    </row>
    <row r="72" spans="2:13" ht="39">
      <c r="B72" s="71" t="s">
        <v>1193</v>
      </c>
      <c r="C72" s="72" t="s">
        <v>1395</v>
      </c>
      <c r="D72" s="73"/>
      <c r="E72" s="74" t="s">
        <v>1529</v>
      </c>
      <c r="F72" s="74" t="s">
        <v>1529</v>
      </c>
      <c r="G72" s="74" t="s">
        <v>1449</v>
      </c>
      <c r="H72" s="74" t="s">
        <v>1455</v>
      </c>
      <c r="I72" s="74" t="s">
        <v>1456</v>
      </c>
      <c r="J72" s="74" t="s">
        <v>1523</v>
      </c>
      <c r="K72" s="74"/>
      <c r="L72" s="74"/>
      <c r="M72" s="75"/>
    </row>
    <row r="73" spans="2:13" ht="39">
      <c r="B73" s="71" t="s">
        <v>23</v>
      </c>
      <c r="C73" s="72"/>
      <c r="D73" s="73"/>
      <c r="E73" s="74"/>
      <c r="F73" s="74"/>
      <c r="G73" s="74"/>
      <c r="H73" s="74"/>
      <c r="I73" s="74"/>
      <c r="J73" s="74"/>
      <c r="K73" s="74"/>
      <c r="L73" s="74"/>
      <c r="M73" s="75"/>
    </row>
    <row r="74" spans="2:13" ht="39">
      <c r="B74" s="71" t="s">
        <v>1203</v>
      </c>
      <c r="C74" s="72" t="s">
        <v>1410</v>
      </c>
      <c r="D74" s="73"/>
      <c r="E74" s="74" t="s">
        <v>1456</v>
      </c>
      <c r="F74" s="74" t="s">
        <v>1456</v>
      </c>
      <c r="G74" s="74" t="s">
        <v>1448</v>
      </c>
      <c r="H74" s="74" t="s">
        <v>1455</v>
      </c>
      <c r="I74" s="74" t="s">
        <v>1526</v>
      </c>
      <c r="J74" s="74"/>
      <c r="K74" s="74"/>
      <c r="L74" s="74"/>
      <c r="M74" s="75"/>
    </row>
    <row r="75" spans="2:13" ht="39">
      <c r="B75" s="71" t="s">
        <v>1202</v>
      </c>
      <c r="C75" s="72" t="s">
        <v>1346</v>
      </c>
      <c r="D75" s="73"/>
      <c r="E75" s="74" t="s">
        <v>1530</v>
      </c>
      <c r="F75" s="74" t="s">
        <v>1523</v>
      </c>
      <c r="G75" s="74"/>
      <c r="H75" s="74"/>
      <c r="I75" s="74"/>
      <c r="J75" s="74"/>
      <c r="K75" s="74"/>
      <c r="L75" s="74"/>
      <c r="M75" s="75"/>
    </row>
    <row r="76" spans="2:13" ht="39">
      <c r="B76" s="71" t="s">
        <v>253</v>
      </c>
      <c r="C76" s="72" t="s">
        <v>452</v>
      </c>
      <c r="D76" s="73"/>
      <c r="E76" s="74" t="s">
        <v>1447</v>
      </c>
      <c r="F76" s="74" t="s">
        <v>1453</v>
      </c>
      <c r="G76" s="74" t="s">
        <v>1521</v>
      </c>
      <c r="H76" s="74" t="s">
        <v>1457</v>
      </c>
      <c r="I76" s="74"/>
      <c r="J76" s="74"/>
      <c r="K76" s="74"/>
      <c r="L76" s="74"/>
      <c r="M76" s="75"/>
    </row>
    <row r="77" spans="2:13" ht="39">
      <c r="B77" s="71" t="s">
        <v>1204</v>
      </c>
      <c r="C77" s="72" t="s">
        <v>1441</v>
      </c>
      <c r="D77" s="73"/>
      <c r="E77" s="74" t="s">
        <v>1529</v>
      </c>
      <c r="F77" s="74" t="s">
        <v>1529</v>
      </c>
      <c r="G77" s="74" t="s">
        <v>1448</v>
      </c>
      <c r="H77" s="74" t="s">
        <v>1530</v>
      </c>
      <c r="I77" s="74" t="s">
        <v>1523</v>
      </c>
      <c r="J77" s="74"/>
      <c r="K77" s="74"/>
      <c r="L77" s="74"/>
      <c r="M77" s="75"/>
    </row>
    <row r="78" spans="2:13" ht="39">
      <c r="B78" s="71" t="s">
        <v>1205</v>
      </c>
      <c r="C78" s="72" t="s">
        <v>1560</v>
      </c>
      <c r="D78" s="73"/>
      <c r="E78" s="74" t="s">
        <v>1528</v>
      </c>
      <c r="F78" s="74" t="s">
        <v>1453</v>
      </c>
      <c r="G78" s="74" t="s">
        <v>1455</v>
      </c>
      <c r="H78" s="74" t="s">
        <v>1457</v>
      </c>
      <c r="I78" s="74"/>
      <c r="J78" s="74"/>
      <c r="K78" s="74"/>
      <c r="L78" s="74"/>
      <c r="M78" s="75"/>
    </row>
    <row r="79" spans="2:13" ht="39">
      <c r="B79" s="71" t="s">
        <v>1206</v>
      </c>
      <c r="C79" s="72" t="s">
        <v>1283</v>
      </c>
      <c r="D79" s="73"/>
      <c r="E79" s="74" t="s">
        <v>1447</v>
      </c>
      <c r="F79" s="74" t="s">
        <v>1449</v>
      </c>
      <c r="G79" s="74" t="s">
        <v>1455</v>
      </c>
      <c r="H79" s="74" t="s">
        <v>1456</v>
      </c>
      <c r="I79" s="74" t="s">
        <v>1457</v>
      </c>
      <c r="J79" s="74"/>
      <c r="K79" s="74"/>
      <c r="L79" s="74"/>
      <c r="M79" s="75"/>
    </row>
    <row r="80" spans="2:13" ht="39">
      <c r="B80" s="71" t="s">
        <v>23</v>
      </c>
      <c r="C80" s="72"/>
      <c r="D80" s="73"/>
      <c r="E80" s="74"/>
      <c r="F80" s="74"/>
      <c r="G80" s="74"/>
      <c r="H80" s="74"/>
      <c r="I80" s="74"/>
      <c r="J80" s="74"/>
      <c r="K80" s="74"/>
      <c r="L80" s="74"/>
      <c r="M80" s="75"/>
    </row>
    <row r="81" spans="2:13" ht="39">
      <c r="B81" s="71" t="s">
        <v>273</v>
      </c>
      <c r="C81" s="72" t="s">
        <v>1398</v>
      </c>
      <c r="D81" s="73"/>
      <c r="E81" s="74" t="s">
        <v>1537</v>
      </c>
      <c r="F81" s="74" t="s">
        <v>1453</v>
      </c>
      <c r="G81" s="74" t="s">
        <v>1523</v>
      </c>
      <c r="H81" s="74"/>
      <c r="I81" s="74"/>
      <c r="J81" s="74"/>
      <c r="K81" s="74"/>
      <c r="L81" s="74"/>
      <c r="M81" s="75"/>
    </row>
    <row r="82" spans="2:13" ht="39">
      <c r="B82" s="71" t="s">
        <v>1194</v>
      </c>
      <c r="C82" s="72" t="s">
        <v>1539</v>
      </c>
      <c r="D82" s="73"/>
      <c r="E82" s="74" t="s">
        <v>1531</v>
      </c>
      <c r="F82" s="74" t="s">
        <v>1453</v>
      </c>
      <c r="G82" s="74" t="s">
        <v>1526</v>
      </c>
      <c r="H82" s="74"/>
      <c r="I82" s="74"/>
      <c r="J82" s="74"/>
      <c r="K82" s="74"/>
      <c r="L82" s="74"/>
      <c r="M82" s="75"/>
    </row>
    <row r="83" spans="2:13" ht="39">
      <c r="B83" s="71" t="s">
        <v>1207</v>
      </c>
      <c r="C83" s="72" t="s">
        <v>1552</v>
      </c>
      <c r="D83" s="73"/>
      <c r="E83" s="74" t="s">
        <v>1456</v>
      </c>
      <c r="F83" s="74" t="s">
        <v>1456</v>
      </c>
      <c r="G83" s="74" t="s">
        <v>1448</v>
      </c>
      <c r="H83" s="74" t="s">
        <v>1449</v>
      </c>
      <c r="I83" s="74" t="s">
        <v>1526</v>
      </c>
      <c r="J83" s="74"/>
      <c r="K83" s="74"/>
      <c r="L83" s="74"/>
      <c r="M83" s="75"/>
    </row>
    <row r="84" spans="2:13" ht="39">
      <c r="B84" s="71" t="s">
        <v>253</v>
      </c>
      <c r="C84" s="72" t="s">
        <v>452</v>
      </c>
      <c r="D84" s="73"/>
      <c r="E84" s="74" t="s">
        <v>1447</v>
      </c>
      <c r="F84" s="74" t="s">
        <v>1453</v>
      </c>
      <c r="G84" s="74" t="s">
        <v>1521</v>
      </c>
      <c r="H84" s="74" t="s">
        <v>1457</v>
      </c>
      <c r="I84" s="74"/>
      <c r="J84" s="74"/>
      <c r="K84" s="74"/>
      <c r="L84" s="74"/>
      <c r="M84" s="75"/>
    </row>
    <row r="85" spans="2:13" ht="39">
      <c r="B85" s="71" t="s">
        <v>245</v>
      </c>
      <c r="C85" s="72" t="s">
        <v>1418</v>
      </c>
      <c r="D85" s="73"/>
      <c r="E85" s="74" t="s">
        <v>1452</v>
      </c>
      <c r="F85" s="74" t="s">
        <v>1453</v>
      </c>
      <c r="G85" s="74" t="s">
        <v>1521</v>
      </c>
      <c r="H85" s="74" t="s">
        <v>1523</v>
      </c>
      <c r="I85" s="74"/>
      <c r="J85" s="74"/>
      <c r="K85" s="74"/>
      <c r="L85" s="74"/>
      <c r="M85" s="75"/>
    </row>
    <row r="86" spans="2:13" ht="39">
      <c r="B86" s="71" t="s">
        <v>87</v>
      </c>
      <c r="C86" s="72" t="s">
        <v>1419</v>
      </c>
      <c r="D86" s="73"/>
      <c r="E86" s="74" t="s">
        <v>1452</v>
      </c>
      <c r="F86" s="74" t="s">
        <v>1449</v>
      </c>
      <c r="G86" s="74" t="s">
        <v>1455</v>
      </c>
      <c r="H86" s="74" t="s">
        <v>1456</v>
      </c>
      <c r="I86" s="74" t="s">
        <v>1523</v>
      </c>
      <c r="J86" s="74"/>
      <c r="K86" s="74"/>
      <c r="L86" s="74"/>
      <c r="M86" s="75"/>
    </row>
    <row r="87" spans="2:13" ht="39">
      <c r="B87" s="71"/>
      <c r="C87" s="72"/>
      <c r="D87" s="73"/>
      <c r="E87" s="74"/>
      <c r="F87" s="74"/>
      <c r="G87" s="74"/>
      <c r="H87" s="74"/>
      <c r="I87" s="74"/>
      <c r="J87" s="74"/>
      <c r="K87" s="74"/>
      <c r="L87" s="74"/>
      <c r="M87" s="75"/>
    </row>
    <row r="88" spans="2:13" ht="39">
      <c r="B88" s="71" t="s">
        <v>1208</v>
      </c>
      <c r="C88" s="72" t="s">
        <v>1287</v>
      </c>
      <c r="D88" s="73"/>
      <c r="E88" s="74" t="s">
        <v>1449</v>
      </c>
      <c r="F88" s="74">
        <v>0</v>
      </c>
      <c r="G88" s="74"/>
      <c r="H88" s="74"/>
      <c r="I88" s="74"/>
      <c r="J88" s="74"/>
      <c r="K88" s="74"/>
      <c r="L88" s="74"/>
      <c r="M88" s="75"/>
    </row>
    <row r="89" spans="2:13" ht="39">
      <c r="B89" s="71" t="s">
        <v>1208</v>
      </c>
      <c r="C89" s="72" t="s">
        <v>1287</v>
      </c>
      <c r="D89" s="73"/>
      <c r="E89" s="74" t="s">
        <v>1449</v>
      </c>
      <c r="F89" s="74">
        <v>0</v>
      </c>
      <c r="G89" s="74"/>
      <c r="H89" s="74"/>
      <c r="I89" s="74"/>
      <c r="J89" s="74"/>
      <c r="K89" s="74"/>
      <c r="L89" s="74"/>
      <c r="M89" s="75"/>
    </row>
    <row r="90" spans="2:13" ht="39">
      <c r="B90" s="71" t="s">
        <v>1209</v>
      </c>
      <c r="C90" s="72"/>
      <c r="D90" s="73"/>
      <c r="E90" s="74"/>
      <c r="F90" s="74"/>
      <c r="G90" s="74"/>
      <c r="H90" s="74"/>
      <c r="I90" s="74"/>
      <c r="J90" s="74"/>
      <c r="K90" s="74"/>
      <c r="L90" s="74"/>
      <c r="M90" s="75"/>
    </row>
    <row r="91" spans="2:13" ht="39">
      <c r="B91" s="71" t="s">
        <v>1209</v>
      </c>
      <c r="C91" s="72"/>
      <c r="D91" s="73"/>
      <c r="E91" s="74"/>
      <c r="F91" s="74"/>
      <c r="G91" s="74"/>
      <c r="H91" s="74"/>
      <c r="I91" s="74"/>
      <c r="J91" s="74"/>
      <c r="K91" s="74"/>
      <c r="L91" s="74"/>
      <c r="M91" s="75"/>
    </row>
    <row r="92" spans="2:13" ht="39">
      <c r="B92" s="71" t="s">
        <v>1209</v>
      </c>
      <c r="C92" s="72"/>
      <c r="D92" s="73"/>
      <c r="E92" s="74"/>
      <c r="F92" s="74"/>
      <c r="G92" s="74"/>
      <c r="H92" s="74"/>
      <c r="I92" s="74"/>
      <c r="J92" s="74"/>
      <c r="K92" s="74"/>
      <c r="L92" s="74"/>
      <c r="M92" s="75"/>
    </row>
    <row r="93" spans="2:13" ht="39">
      <c r="B93" s="71" t="s">
        <v>1209</v>
      </c>
      <c r="C93" s="72"/>
      <c r="D93" s="73"/>
      <c r="E93" s="74"/>
      <c r="F93" s="74"/>
      <c r="G93" s="74"/>
      <c r="H93" s="74"/>
      <c r="I93" s="74"/>
      <c r="J93" s="74"/>
      <c r="K93" s="74"/>
      <c r="L93" s="74"/>
      <c r="M93" s="75"/>
    </row>
    <row r="94" spans="2:13" ht="39">
      <c r="B94" s="71" t="s">
        <v>1209</v>
      </c>
      <c r="C94" s="72"/>
      <c r="D94" s="73"/>
      <c r="E94" s="74"/>
      <c r="F94" s="74"/>
      <c r="G94" s="74"/>
      <c r="H94" s="74"/>
      <c r="I94" s="74"/>
      <c r="J94" s="74"/>
      <c r="K94" s="74"/>
      <c r="L94" s="74"/>
      <c r="M94" s="75"/>
    </row>
    <row r="95" spans="2:13" ht="39">
      <c r="B95" s="71" t="s">
        <v>1209</v>
      </c>
      <c r="C95" s="72"/>
      <c r="D95" s="73"/>
      <c r="E95" s="74"/>
      <c r="F95" s="74"/>
      <c r="G95" s="74"/>
      <c r="H95" s="74"/>
      <c r="I95" s="74"/>
      <c r="J95" s="74"/>
      <c r="K95" s="74"/>
      <c r="L95" s="74"/>
      <c r="M95" s="75"/>
    </row>
    <row r="96" spans="2:13" ht="39">
      <c r="B96" s="71" t="s">
        <v>168</v>
      </c>
      <c r="C96" s="72" t="s">
        <v>1553</v>
      </c>
      <c r="D96" s="73"/>
      <c r="E96" s="74" t="s">
        <v>1529</v>
      </c>
      <c r="F96" s="74" t="s">
        <v>1448</v>
      </c>
      <c r="G96" s="74" t="s">
        <v>1450</v>
      </c>
      <c r="H96" s="74" t="s">
        <v>1451</v>
      </c>
      <c r="I96" s="74"/>
      <c r="J96" s="74"/>
      <c r="K96" s="74"/>
      <c r="L96" s="74"/>
      <c r="M96" s="75"/>
    </row>
    <row r="97" spans="2:13" ht="39">
      <c r="B97" s="71" t="s">
        <v>1210</v>
      </c>
      <c r="C97" s="72" t="s">
        <v>1317</v>
      </c>
      <c r="D97" s="73"/>
      <c r="E97" s="74" t="s">
        <v>1456</v>
      </c>
      <c r="F97" s="74" t="s">
        <v>1453</v>
      </c>
      <c r="G97" s="74" t="s">
        <v>1449</v>
      </c>
      <c r="H97" s="74" t="s">
        <v>1455</v>
      </c>
      <c r="I97" s="74" t="s">
        <v>1526</v>
      </c>
      <c r="J97" s="74"/>
      <c r="K97" s="74"/>
      <c r="L97" s="74"/>
      <c r="M97" s="75"/>
    </row>
    <row r="98" spans="2:13" ht="39">
      <c r="B98" s="71" t="s">
        <v>1168</v>
      </c>
      <c r="C98" s="72" t="s">
        <v>1435</v>
      </c>
      <c r="D98" s="73"/>
      <c r="E98" s="74" t="s">
        <v>1452</v>
      </c>
      <c r="F98" s="74" t="s">
        <v>1453</v>
      </c>
      <c r="G98" s="74" t="s">
        <v>1454</v>
      </c>
      <c r="H98" s="74" t="s">
        <v>1455</v>
      </c>
      <c r="I98" s="74" t="s">
        <v>1456</v>
      </c>
      <c r="J98" s="74" t="s">
        <v>1457</v>
      </c>
      <c r="K98" s="74"/>
      <c r="L98" s="74"/>
      <c r="M98" s="75"/>
    </row>
    <row r="99" spans="2:13" ht="39">
      <c r="B99" s="71" t="s">
        <v>1211</v>
      </c>
      <c r="C99" s="72" t="s">
        <v>1289</v>
      </c>
      <c r="D99" s="73"/>
      <c r="E99" s="74" t="s">
        <v>1550</v>
      </c>
      <c r="F99" s="74" t="s">
        <v>1453</v>
      </c>
      <c r="G99" s="74" t="s">
        <v>1448</v>
      </c>
      <c r="H99" s="74" t="s">
        <v>1457</v>
      </c>
      <c r="I99" s="74"/>
      <c r="J99" s="74"/>
      <c r="K99" s="74"/>
      <c r="L99" s="74"/>
      <c r="M99" s="75"/>
    </row>
    <row r="100" spans="2:13" ht="39">
      <c r="B100" s="71" t="s">
        <v>1212</v>
      </c>
      <c r="C100" s="72" t="s">
        <v>1386</v>
      </c>
      <c r="D100" s="73"/>
      <c r="E100" s="74" t="s">
        <v>1537</v>
      </c>
      <c r="F100" s="74" t="s">
        <v>1448</v>
      </c>
      <c r="G100" s="74" t="s">
        <v>1523</v>
      </c>
      <c r="H100" s="74"/>
      <c r="I100" s="74"/>
      <c r="J100" s="74"/>
      <c r="K100" s="74"/>
      <c r="L100" s="74"/>
      <c r="M100" s="75"/>
    </row>
    <row r="101" spans="2:13" ht="39">
      <c r="B101" s="71" t="s">
        <v>1213</v>
      </c>
      <c r="C101" s="72" t="s">
        <v>1594</v>
      </c>
      <c r="D101" s="73"/>
      <c r="E101" s="74" t="s">
        <v>1524</v>
      </c>
      <c r="F101" s="74" t="s">
        <v>1454</v>
      </c>
      <c r="G101" s="74" t="s">
        <v>1455</v>
      </c>
      <c r="H101" s="74" t="s">
        <v>1456</v>
      </c>
      <c r="I101" s="74" t="s">
        <v>1523</v>
      </c>
      <c r="J101" s="74"/>
      <c r="K101" s="74"/>
      <c r="L101" s="74"/>
      <c r="M101" s="75"/>
    </row>
    <row r="102" spans="2:13" ht="39">
      <c r="B102" s="71" t="s">
        <v>1214</v>
      </c>
      <c r="C102" s="72" t="s">
        <v>1319</v>
      </c>
      <c r="D102" s="73"/>
      <c r="E102" s="74" t="s">
        <v>1452</v>
      </c>
      <c r="F102" s="74" t="s">
        <v>1449</v>
      </c>
      <c r="G102" s="74" t="s">
        <v>1455</v>
      </c>
      <c r="H102" s="74" t="s">
        <v>1456</v>
      </c>
      <c r="I102" s="74" t="s">
        <v>1457</v>
      </c>
      <c r="J102" s="74"/>
      <c r="K102" s="74"/>
      <c r="L102" s="74"/>
      <c r="M102" s="75"/>
    </row>
    <row r="103" spans="2:13" ht="39">
      <c r="B103" s="71" t="s">
        <v>1188</v>
      </c>
      <c r="C103" s="72" t="s">
        <v>49</v>
      </c>
      <c r="D103" s="73"/>
      <c r="E103" s="74" t="s">
        <v>1525</v>
      </c>
      <c r="F103" s="74" t="s">
        <v>1453</v>
      </c>
      <c r="G103" s="74" t="s">
        <v>1526</v>
      </c>
      <c r="H103" s="74"/>
      <c r="I103" s="74"/>
      <c r="J103" s="74"/>
      <c r="K103" s="74"/>
      <c r="L103" s="74"/>
      <c r="M103" s="75"/>
    </row>
    <row r="104" spans="2:13" ht="39">
      <c r="B104" s="71" t="s">
        <v>19</v>
      </c>
      <c r="C104" s="72" t="s">
        <v>1386</v>
      </c>
      <c r="D104" s="73"/>
      <c r="E104" s="74" t="s">
        <v>1537</v>
      </c>
      <c r="F104" s="74" t="s">
        <v>1448</v>
      </c>
      <c r="G104" s="74" t="s">
        <v>1523</v>
      </c>
      <c r="H104" s="74"/>
      <c r="I104" s="74"/>
      <c r="J104" s="74"/>
      <c r="K104" s="74"/>
      <c r="L104" s="74"/>
      <c r="M104" s="75"/>
    </row>
    <row r="105" spans="2:13" ht="39">
      <c r="B105" s="71" t="s">
        <v>1215</v>
      </c>
      <c r="C105" s="72" t="s">
        <v>1423</v>
      </c>
      <c r="D105" s="73"/>
      <c r="E105" s="74" t="s">
        <v>1529</v>
      </c>
      <c r="F105" s="74" t="s">
        <v>1529</v>
      </c>
      <c r="G105" s="74" t="s">
        <v>1455</v>
      </c>
      <c r="H105" s="74" t="s">
        <v>1448</v>
      </c>
      <c r="I105" s="74" t="s">
        <v>1453</v>
      </c>
      <c r="J105" s="74" t="s">
        <v>1523</v>
      </c>
      <c r="K105" s="74"/>
      <c r="L105" s="74"/>
      <c r="M105" s="75"/>
    </row>
    <row r="106" spans="2:13" ht="39">
      <c r="B106" s="71" t="s">
        <v>1216</v>
      </c>
      <c r="C106" s="72" t="s">
        <v>1595</v>
      </c>
      <c r="D106" s="73"/>
      <c r="E106" s="74" t="s">
        <v>1456</v>
      </c>
      <c r="F106" s="74" t="s">
        <v>1448</v>
      </c>
      <c r="G106" s="74" t="s">
        <v>1453</v>
      </c>
      <c r="H106" s="74" t="s">
        <v>1534</v>
      </c>
      <c r="I106" s="74"/>
      <c r="J106" s="74"/>
      <c r="K106" s="74"/>
      <c r="L106" s="74"/>
      <c r="M106" s="75"/>
    </row>
    <row r="107" spans="2:13" ht="39">
      <c r="B107" s="71" t="s">
        <v>1167</v>
      </c>
      <c r="C107" s="72" t="s">
        <v>1433</v>
      </c>
      <c r="D107" s="73"/>
      <c r="E107" s="74" t="s">
        <v>1447</v>
      </c>
      <c r="F107" s="74" t="s">
        <v>1448</v>
      </c>
      <c r="G107" s="74" t="s">
        <v>1449</v>
      </c>
      <c r="H107" s="74" t="s">
        <v>1450</v>
      </c>
      <c r="I107" s="74" t="s">
        <v>1451</v>
      </c>
      <c r="J107" s="74"/>
      <c r="K107" s="74"/>
      <c r="L107" s="74"/>
      <c r="M107" s="75"/>
    </row>
    <row r="108" spans="2:13" ht="39">
      <c r="B108" s="71" t="s">
        <v>1168</v>
      </c>
      <c r="C108" s="72" t="s">
        <v>1435</v>
      </c>
      <c r="D108" s="73"/>
      <c r="E108" s="74" t="s">
        <v>1452</v>
      </c>
      <c r="F108" s="74" t="s">
        <v>1453</v>
      </c>
      <c r="G108" s="74" t="s">
        <v>1454</v>
      </c>
      <c r="H108" s="74" t="s">
        <v>1455</v>
      </c>
      <c r="I108" s="74" t="s">
        <v>1456</v>
      </c>
      <c r="J108" s="74" t="s">
        <v>1457</v>
      </c>
      <c r="K108" s="74"/>
      <c r="L108" s="74"/>
      <c r="M108" s="75"/>
    </row>
    <row r="109" spans="2:13" ht="39">
      <c r="B109" s="71" t="s">
        <v>1169</v>
      </c>
      <c r="C109" s="72" t="s">
        <v>1367</v>
      </c>
      <c r="D109" s="73"/>
      <c r="E109" s="74" t="s">
        <v>1449</v>
      </c>
      <c r="F109" s="74" t="s">
        <v>1455</v>
      </c>
      <c r="G109" s="74" t="s">
        <v>1456</v>
      </c>
      <c r="H109" s="74" t="s">
        <v>1523</v>
      </c>
      <c r="I109" s="74"/>
      <c r="J109" s="74"/>
      <c r="K109" s="74"/>
      <c r="L109" s="74"/>
      <c r="M109" s="75"/>
    </row>
    <row r="110" spans="2:13" ht="39">
      <c r="B110" s="71" t="s">
        <v>30</v>
      </c>
      <c r="C110" s="72"/>
      <c r="D110" s="73"/>
      <c r="E110" s="74"/>
      <c r="F110" s="74"/>
      <c r="G110" s="74"/>
      <c r="H110" s="74"/>
      <c r="I110" s="74"/>
      <c r="J110" s="74"/>
      <c r="K110" s="74"/>
      <c r="L110" s="74"/>
      <c r="M110" s="75"/>
    </row>
    <row r="111" spans="2:13" ht="39">
      <c r="B111" s="71"/>
      <c r="C111" s="72"/>
      <c r="D111" s="73"/>
      <c r="E111" s="74"/>
      <c r="F111" s="74"/>
      <c r="G111" s="74"/>
      <c r="H111" s="74"/>
      <c r="I111" s="74"/>
      <c r="J111" s="74"/>
      <c r="K111" s="74"/>
      <c r="L111" s="74"/>
      <c r="M111" s="75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showGridLines="0" zoomScale="90" zoomScaleNormal="90" workbookViewId="0">
      <selection activeCell="I54" sqref="I54"/>
    </sheetView>
    <sheetView workbookViewId="1">
      <selection activeCell="K8" sqref="K8"/>
    </sheetView>
  </sheetViews>
  <sheetFormatPr defaultRowHeight="39" outlineLevelCol="1"/>
  <cols>
    <col min="1" max="1" width="4.25" style="66" customWidth="1"/>
    <col min="2" max="2" width="10.625" style="66" customWidth="1"/>
    <col min="3" max="3" width="21.75" style="66" bestFit="1" customWidth="1"/>
    <col min="4" max="4" width="10.625" style="66" hidden="1" customWidth="1" outlineLevel="1"/>
    <col min="5" max="5" width="10.625" style="66" customWidth="1" collapsed="1"/>
    <col min="6" max="13" width="10.625" style="66" customWidth="1"/>
    <col min="14" max="15" width="9" style="66"/>
    <col min="16" max="16" width="15.75" style="66" bestFit="1" customWidth="1"/>
    <col min="17" max="17" width="14.25" style="66" bestFit="1" customWidth="1"/>
    <col min="18" max="21" width="9" style="66"/>
    <col min="22" max="26" width="11.5" style="66" customWidth="1"/>
    <col min="27" max="16384" width="9" style="66"/>
  </cols>
  <sheetData>
    <row r="2" spans="2:16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6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6">
      <c r="B4" s="71"/>
      <c r="C4" s="72"/>
      <c r="D4" s="73"/>
      <c r="E4" s="74"/>
      <c r="F4" s="74"/>
      <c r="G4" s="74"/>
      <c r="H4" s="74"/>
      <c r="I4" s="74"/>
      <c r="J4" s="74"/>
      <c r="K4" s="74"/>
      <c r="L4" s="74"/>
      <c r="M4" s="75"/>
      <c r="O4" s="70"/>
      <c r="P4" s="70"/>
    </row>
    <row r="5" spans="2:16">
      <c r="B5" s="71"/>
      <c r="C5" s="72"/>
      <c r="D5" s="73"/>
      <c r="E5" s="74"/>
      <c r="F5" s="74"/>
      <c r="G5" s="74"/>
      <c r="H5" s="74"/>
      <c r="I5" s="74"/>
      <c r="J5" s="74"/>
      <c r="K5" s="74"/>
      <c r="L5" s="74"/>
      <c r="M5" s="75"/>
      <c r="O5" s="70"/>
      <c r="P5" s="70"/>
    </row>
    <row r="6" spans="2:16">
      <c r="B6" s="71"/>
      <c r="C6" s="72"/>
      <c r="D6" s="73"/>
      <c r="E6" s="74"/>
      <c r="F6" s="74"/>
      <c r="G6" s="74"/>
      <c r="H6" s="74"/>
      <c r="I6" s="74"/>
      <c r="J6" s="74"/>
      <c r="K6" s="74"/>
      <c r="L6" s="74"/>
      <c r="M6" s="75"/>
      <c r="O6" s="70"/>
      <c r="P6" s="70"/>
    </row>
    <row r="7" spans="2:16">
      <c r="B7" s="71"/>
      <c r="C7" s="72"/>
      <c r="D7" s="73"/>
      <c r="E7" s="74"/>
      <c r="F7" s="74"/>
      <c r="G7" s="74"/>
      <c r="H7" s="74"/>
      <c r="I7" s="74"/>
      <c r="J7" s="74"/>
      <c r="K7" s="74"/>
      <c r="L7" s="74"/>
      <c r="M7" s="75"/>
      <c r="O7" s="70"/>
      <c r="P7" s="70"/>
    </row>
    <row r="8" spans="2:16">
      <c r="B8" s="71"/>
      <c r="C8" s="72"/>
      <c r="D8" s="73"/>
      <c r="E8" s="74"/>
      <c r="F8" s="74"/>
      <c r="G8" s="74"/>
      <c r="H8" s="74"/>
      <c r="I8" s="74"/>
      <c r="J8" s="74"/>
      <c r="K8" s="74"/>
      <c r="L8" s="74"/>
      <c r="M8" s="75"/>
      <c r="O8" s="70"/>
      <c r="P8" s="70"/>
    </row>
    <row r="9" spans="2:16">
      <c r="B9" s="71"/>
      <c r="C9" s="72"/>
      <c r="D9" s="73"/>
      <c r="E9" s="74"/>
      <c r="F9" s="74"/>
      <c r="G9" s="74"/>
      <c r="H9" s="74"/>
      <c r="I9" s="74"/>
      <c r="J9" s="74"/>
      <c r="K9" s="74"/>
      <c r="L9" s="74"/>
      <c r="M9" s="75"/>
      <c r="O9" s="70"/>
      <c r="P9" s="70"/>
    </row>
    <row r="10" spans="2:16">
      <c r="B10" s="71"/>
      <c r="C10" s="72"/>
      <c r="D10" s="73"/>
      <c r="E10" s="74"/>
      <c r="F10" s="74"/>
      <c r="G10" s="74"/>
      <c r="H10" s="74"/>
      <c r="I10" s="74"/>
      <c r="J10" s="74"/>
      <c r="K10" s="74"/>
      <c r="L10" s="74"/>
      <c r="M10" s="75"/>
      <c r="O10" s="70"/>
      <c r="P10" s="70"/>
    </row>
    <row r="11" spans="2:16">
      <c r="B11" s="71"/>
      <c r="C11" s="72"/>
      <c r="D11" s="73"/>
      <c r="E11" s="74"/>
      <c r="F11" s="74"/>
      <c r="G11" s="74"/>
      <c r="H11" s="74"/>
      <c r="I11" s="74"/>
      <c r="J11" s="74"/>
      <c r="K11" s="74"/>
      <c r="L11" s="74"/>
      <c r="M11" s="75"/>
      <c r="O11" s="70"/>
      <c r="P11" s="70"/>
    </row>
    <row r="12" spans="2:16">
      <c r="B12" s="71"/>
      <c r="C12" s="72"/>
      <c r="D12" s="73"/>
      <c r="E12" s="74"/>
      <c r="F12" s="74"/>
      <c r="G12" s="74"/>
      <c r="H12" s="74"/>
      <c r="I12" s="74"/>
      <c r="J12" s="74"/>
      <c r="K12" s="74"/>
      <c r="L12" s="74"/>
      <c r="M12" s="75"/>
      <c r="O12" s="70"/>
      <c r="P12" s="70"/>
    </row>
    <row r="13" spans="2:16">
      <c r="B13" s="71"/>
      <c r="C13" s="72"/>
      <c r="D13" s="73"/>
      <c r="E13" s="74"/>
      <c r="F13" s="74"/>
      <c r="G13" s="74"/>
      <c r="H13" s="74"/>
      <c r="I13" s="74"/>
      <c r="J13" s="74"/>
      <c r="K13" s="74"/>
      <c r="L13" s="74"/>
      <c r="M13" s="75"/>
      <c r="O13" s="70"/>
      <c r="P13" s="70"/>
    </row>
    <row r="14" spans="2:16">
      <c r="B14" s="71"/>
      <c r="C14" s="72"/>
      <c r="D14" s="73"/>
      <c r="E14" s="74"/>
      <c r="F14" s="74"/>
      <c r="G14" s="74"/>
      <c r="H14" s="74"/>
      <c r="I14" s="74"/>
      <c r="J14" s="74"/>
      <c r="K14" s="74"/>
      <c r="L14" s="74"/>
      <c r="M14" s="75"/>
      <c r="O14" s="70"/>
      <c r="P14" s="70"/>
    </row>
    <row r="15" spans="2:16">
      <c r="B15" s="71"/>
      <c r="C15" s="72"/>
      <c r="D15" s="73"/>
      <c r="E15" s="74"/>
      <c r="F15" s="74"/>
      <c r="G15" s="74"/>
      <c r="H15" s="74"/>
      <c r="I15" s="74"/>
      <c r="J15" s="74"/>
      <c r="K15" s="74"/>
      <c r="L15" s="74"/>
      <c r="M15" s="75"/>
      <c r="O15" s="70"/>
      <c r="P15" s="70"/>
    </row>
    <row r="16" spans="2:16">
      <c r="B16" s="71"/>
      <c r="C16" s="72"/>
      <c r="D16" s="73"/>
      <c r="E16" s="74"/>
      <c r="F16" s="74"/>
      <c r="G16" s="74"/>
      <c r="H16" s="74"/>
      <c r="I16" s="74"/>
      <c r="J16" s="74"/>
      <c r="K16" s="74"/>
      <c r="L16" s="74"/>
      <c r="M16" s="75"/>
      <c r="O16" s="70"/>
      <c r="P16" s="70"/>
    </row>
    <row r="17" spans="2:16">
      <c r="B17" s="71"/>
      <c r="C17" s="72"/>
      <c r="D17" s="73"/>
      <c r="E17" s="74"/>
      <c r="F17" s="74"/>
      <c r="G17" s="74"/>
      <c r="H17" s="74"/>
      <c r="I17" s="74"/>
      <c r="J17" s="74"/>
      <c r="K17" s="74"/>
      <c r="L17" s="74"/>
      <c r="M17" s="75"/>
      <c r="O17" s="70"/>
      <c r="P17" s="70"/>
    </row>
    <row r="18" spans="2:16">
      <c r="B18" s="71"/>
      <c r="C18" s="72"/>
      <c r="D18" s="73"/>
      <c r="E18" s="74"/>
      <c r="F18" s="74"/>
      <c r="G18" s="74"/>
      <c r="H18" s="74"/>
      <c r="I18" s="74"/>
      <c r="J18" s="74"/>
      <c r="K18" s="74"/>
      <c r="L18" s="74"/>
      <c r="M18" s="75"/>
      <c r="O18" s="70"/>
      <c r="P18" s="70"/>
    </row>
    <row r="19" spans="2:16">
      <c r="B19" s="71"/>
      <c r="C19" s="72"/>
      <c r="D19" s="73"/>
      <c r="E19" s="74"/>
      <c r="F19" s="74"/>
      <c r="G19" s="74"/>
      <c r="H19" s="74"/>
      <c r="I19" s="74"/>
      <c r="J19" s="74"/>
      <c r="K19" s="74"/>
      <c r="L19" s="74"/>
      <c r="M19" s="75"/>
      <c r="O19" s="70"/>
      <c r="P19" s="70"/>
    </row>
    <row r="20" spans="2:16">
      <c r="B20" s="71"/>
      <c r="C20" s="72"/>
      <c r="D20" s="73"/>
      <c r="E20" s="74"/>
      <c r="F20" s="74"/>
      <c r="G20" s="74"/>
      <c r="H20" s="74"/>
      <c r="I20" s="74"/>
      <c r="J20" s="74"/>
      <c r="K20" s="74"/>
      <c r="L20" s="74"/>
      <c r="M20" s="75"/>
      <c r="O20" s="70"/>
      <c r="P20" s="70"/>
    </row>
    <row r="21" spans="2:16">
      <c r="B21" s="71"/>
      <c r="C21" s="72"/>
      <c r="D21" s="73"/>
      <c r="E21" s="74"/>
      <c r="F21" s="74"/>
      <c r="G21" s="74"/>
      <c r="H21" s="74"/>
      <c r="I21" s="74"/>
      <c r="J21" s="74"/>
      <c r="K21" s="74"/>
      <c r="L21" s="74"/>
      <c r="M21" s="75"/>
      <c r="O21" s="70"/>
      <c r="P21" s="70"/>
    </row>
    <row r="22" spans="2:16">
      <c r="B22" s="71"/>
      <c r="C22" s="72"/>
      <c r="D22" s="73"/>
      <c r="E22" s="74"/>
      <c r="F22" s="74"/>
      <c r="G22" s="74"/>
      <c r="H22" s="74"/>
      <c r="I22" s="74"/>
      <c r="J22" s="74"/>
      <c r="K22" s="74"/>
      <c r="L22" s="74"/>
      <c r="M22" s="75"/>
      <c r="O22" s="70"/>
      <c r="P22" s="70"/>
    </row>
    <row r="23" spans="2:16">
      <c r="B23" s="71"/>
      <c r="C23" s="72"/>
      <c r="D23" s="73"/>
      <c r="E23" s="74"/>
      <c r="F23" s="74"/>
      <c r="G23" s="74"/>
      <c r="H23" s="74"/>
      <c r="I23" s="74"/>
      <c r="J23" s="74"/>
      <c r="K23" s="74"/>
      <c r="L23" s="74"/>
      <c r="M23" s="75"/>
      <c r="O23" s="70"/>
      <c r="P23" s="70"/>
    </row>
    <row r="24" spans="2:16">
      <c r="B24" s="71"/>
      <c r="C24" s="72"/>
      <c r="D24" s="73"/>
      <c r="E24" s="74"/>
      <c r="F24" s="74"/>
      <c r="G24" s="74"/>
      <c r="H24" s="74"/>
      <c r="I24" s="74"/>
      <c r="J24" s="74"/>
      <c r="K24" s="74"/>
      <c r="L24" s="74"/>
      <c r="M24" s="75"/>
      <c r="O24" s="70"/>
      <c r="P24" s="70"/>
    </row>
    <row r="25" spans="2:16">
      <c r="B25" s="71"/>
      <c r="C25" s="72"/>
      <c r="D25" s="73"/>
      <c r="E25" s="74"/>
      <c r="F25" s="74"/>
      <c r="G25" s="74"/>
      <c r="H25" s="74"/>
      <c r="I25" s="74"/>
      <c r="J25" s="74"/>
      <c r="K25" s="74"/>
      <c r="L25" s="74"/>
      <c r="M25" s="75"/>
      <c r="O25" s="70"/>
      <c r="P25" s="70"/>
    </row>
    <row r="26" spans="2:16">
      <c r="B26" s="71"/>
      <c r="C26" s="72"/>
      <c r="D26" s="73"/>
      <c r="E26" s="74"/>
      <c r="F26" s="74"/>
      <c r="G26" s="74"/>
      <c r="H26" s="74"/>
      <c r="I26" s="74"/>
      <c r="J26" s="74"/>
      <c r="K26" s="74"/>
      <c r="L26" s="74"/>
      <c r="M26" s="75"/>
      <c r="O26" s="70"/>
      <c r="P26" s="70"/>
    </row>
    <row r="27" spans="2:16">
      <c r="B27" s="71"/>
      <c r="C27" s="72"/>
      <c r="D27" s="73"/>
      <c r="E27" s="74"/>
      <c r="F27" s="74"/>
      <c r="G27" s="74"/>
      <c r="H27" s="74"/>
      <c r="I27" s="74"/>
      <c r="J27" s="74"/>
      <c r="K27" s="74"/>
      <c r="L27" s="74"/>
      <c r="M27" s="75"/>
      <c r="O27" s="70"/>
      <c r="P27" s="70"/>
    </row>
    <row r="28" spans="2:16">
      <c r="B28" s="71"/>
      <c r="C28" s="72"/>
      <c r="D28" s="73"/>
      <c r="E28" s="74"/>
      <c r="F28" s="74"/>
      <c r="G28" s="74"/>
      <c r="H28" s="74"/>
      <c r="I28" s="74"/>
      <c r="J28" s="74"/>
      <c r="K28" s="74"/>
      <c r="L28" s="74"/>
      <c r="M28" s="75"/>
    </row>
    <row r="29" spans="2:16">
      <c r="B29" s="71"/>
      <c r="C29" s="72"/>
      <c r="D29" s="73"/>
      <c r="E29" s="74"/>
      <c r="F29" s="74"/>
      <c r="G29" s="74"/>
      <c r="H29" s="74"/>
      <c r="I29" s="74"/>
      <c r="J29" s="74"/>
      <c r="K29" s="74"/>
      <c r="L29" s="74"/>
      <c r="M29" s="75"/>
      <c r="O29" s="70"/>
      <c r="P29" s="70"/>
    </row>
    <row r="30" spans="2:16">
      <c r="B30" s="71"/>
      <c r="C30" s="72"/>
      <c r="D30" s="73"/>
      <c r="E30" s="74"/>
      <c r="F30" s="74"/>
      <c r="G30" s="74"/>
      <c r="H30" s="74"/>
      <c r="I30" s="74"/>
      <c r="J30" s="74"/>
      <c r="K30" s="74"/>
      <c r="L30" s="74"/>
      <c r="M30" s="75"/>
      <c r="O30" s="70"/>
      <c r="P30" s="70"/>
    </row>
    <row r="31" spans="2:16">
      <c r="B31" s="71"/>
      <c r="C31" s="72"/>
      <c r="D31" s="73"/>
      <c r="E31" s="74"/>
      <c r="F31" s="74"/>
      <c r="G31" s="74"/>
      <c r="H31" s="74"/>
      <c r="I31" s="74"/>
      <c r="J31" s="74"/>
      <c r="K31" s="74"/>
      <c r="L31" s="74"/>
      <c r="M31" s="75"/>
      <c r="O31" s="70"/>
      <c r="P31" s="70"/>
    </row>
    <row r="32" spans="2:16">
      <c r="B32" s="71"/>
      <c r="C32" s="72"/>
      <c r="D32" s="73"/>
      <c r="E32" s="74"/>
      <c r="F32" s="74"/>
      <c r="G32" s="74"/>
      <c r="H32" s="74"/>
      <c r="I32" s="74"/>
      <c r="J32" s="74"/>
      <c r="K32" s="74"/>
      <c r="L32" s="74"/>
      <c r="M32" s="75"/>
      <c r="O32" s="70"/>
      <c r="P32" s="70"/>
    </row>
    <row r="33" spans="2:16">
      <c r="B33" s="71"/>
      <c r="C33" s="72"/>
      <c r="D33" s="73"/>
      <c r="E33" s="74"/>
      <c r="F33" s="74"/>
      <c r="G33" s="74"/>
      <c r="H33" s="74"/>
      <c r="I33" s="74"/>
      <c r="J33" s="74"/>
      <c r="K33" s="74"/>
      <c r="L33" s="74"/>
      <c r="M33" s="75"/>
      <c r="O33" s="70"/>
      <c r="P33" s="70"/>
    </row>
    <row r="34" spans="2:16">
      <c r="B34" s="71"/>
      <c r="C34" s="72"/>
      <c r="D34" s="73"/>
      <c r="E34" s="74"/>
      <c r="F34" s="74"/>
      <c r="G34" s="74"/>
      <c r="H34" s="74"/>
      <c r="I34" s="74"/>
      <c r="J34" s="74"/>
      <c r="K34" s="74"/>
      <c r="L34" s="74"/>
      <c r="M34" s="75"/>
      <c r="O34" s="70"/>
      <c r="P34" s="70"/>
    </row>
    <row r="35" spans="2:16">
      <c r="B35" s="71"/>
      <c r="C35" s="72"/>
      <c r="D35" s="73"/>
      <c r="E35" s="74"/>
      <c r="F35" s="74"/>
      <c r="G35" s="74"/>
      <c r="H35" s="74"/>
      <c r="I35" s="74"/>
      <c r="J35" s="74"/>
      <c r="K35" s="74"/>
      <c r="L35" s="74"/>
      <c r="M35" s="75"/>
      <c r="O35" s="70"/>
      <c r="P35" s="70"/>
    </row>
    <row r="36" spans="2:16">
      <c r="B36" s="71"/>
      <c r="C36" s="72"/>
      <c r="D36" s="73"/>
      <c r="E36" s="74"/>
      <c r="F36" s="74"/>
      <c r="G36" s="74"/>
      <c r="H36" s="74"/>
      <c r="I36" s="74"/>
      <c r="J36" s="74"/>
      <c r="K36" s="74"/>
      <c r="L36" s="74"/>
      <c r="M36" s="75"/>
      <c r="O36" s="70"/>
      <c r="P36" s="70"/>
    </row>
    <row r="37" spans="2:16">
      <c r="B37" s="71"/>
      <c r="C37" s="72"/>
      <c r="D37" s="73"/>
      <c r="E37" s="74"/>
      <c r="F37" s="74"/>
      <c r="G37" s="74"/>
      <c r="H37" s="74"/>
      <c r="I37" s="74"/>
      <c r="J37" s="74"/>
      <c r="K37" s="74"/>
      <c r="L37" s="74"/>
      <c r="M37" s="75"/>
      <c r="O37" s="70"/>
      <c r="P37" s="70"/>
    </row>
    <row r="38" spans="2:16">
      <c r="B38" s="71"/>
      <c r="C38" s="72"/>
      <c r="D38" s="73"/>
      <c r="E38" s="74"/>
      <c r="F38" s="74"/>
      <c r="G38" s="74"/>
      <c r="H38" s="74"/>
      <c r="I38" s="74"/>
      <c r="J38" s="74"/>
      <c r="K38" s="74"/>
      <c r="L38" s="74"/>
      <c r="M38" s="75"/>
      <c r="O38" s="70"/>
      <c r="P38" s="70"/>
    </row>
    <row r="39" spans="2:16">
      <c r="B39" s="71"/>
      <c r="C39" s="72"/>
      <c r="D39" s="73"/>
      <c r="E39" s="74"/>
      <c r="F39" s="74"/>
      <c r="G39" s="74"/>
      <c r="H39" s="74"/>
      <c r="I39" s="74"/>
      <c r="J39" s="74"/>
      <c r="K39" s="74"/>
      <c r="L39" s="74"/>
      <c r="M39" s="75"/>
      <c r="O39" s="70"/>
      <c r="P39" s="70"/>
    </row>
    <row r="40" spans="2:16">
      <c r="B40" s="71"/>
      <c r="C40" s="72"/>
      <c r="D40" s="73"/>
      <c r="E40" s="74"/>
      <c r="F40" s="74"/>
      <c r="G40" s="74"/>
      <c r="H40" s="74"/>
      <c r="I40" s="74"/>
      <c r="J40" s="74"/>
      <c r="K40" s="74"/>
      <c r="L40" s="74"/>
      <c r="M40" s="75"/>
      <c r="O40" s="70"/>
      <c r="P40" s="70"/>
    </row>
    <row r="41" spans="2:16">
      <c r="B41" s="71"/>
      <c r="C41" s="72"/>
      <c r="D41" s="73"/>
      <c r="E41" s="74"/>
      <c r="F41" s="74"/>
      <c r="G41" s="74"/>
      <c r="H41" s="74"/>
      <c r="I41" s="74"/>
      <c r="J41" s="74"/>
      <c r="K41" s="74"/>
      <c r="L41" s="74"/>
      <c r="M41" s="75"/>
      <c r="O41" s="70"/>
      <c r="P41" s="70"/>
    </row>
    <row r="42" spans="2:16">
      <c r="B42" s="71"/>
      <c r="C42" s="72"/>
      <c r="D42" s="73"/>
      <c r="E42" s="74"/>
      <c r="F42" s="74"/>
      <c r="G42" s="74"/>
      <c r="H42" s="74"/>
      <c r="I42" s="74"/>
      <c r="J42" s="74"/>
      <c r="K42" s="74"/>
      <c r="L42" s="74"/>
      <c r="M42" s="75"/>
      <c r="O42" s="70"/>
      <c r="P42" s="70"/>
    </row>
    <row r="43" spans="2:16">
      <c r="B43" s="71"/>
      <c r="C43" s="72"/>
      <c r="D43" s="73"/>
      <c r="E43" s="74"/>
      <c r="F43" s="74"/>
      <c r="G43" s="74"/>
      <c r="H43" s="74"/>
      <c r="I43" s="74"/>
      <c r="J43" s="74"/>
      <c r="K43" s="74"/>
      <c r="L43" s="74"/>
      <c r="M43" s="75"/>
      <c r="O43" s="70"/>
      <c r="P43" s="70"/>
    </row>
    <row r="44" spans="2:16">
      <c r="B44" s="71"/>
      <c r="C44" s="72"/>
      <c r="D44" s="73"/>
      <c r="E44" s="74"/>
      <c r="F44" s="74"/>
      <c r="G44" s="74"/>
      <c r="H44" s="74"/>
      <c r="I44" s="74"/>
      <c r="J44" s="74"/>
      <c r="K44" s="74"/>
      <c r="L44" s="74"/>
      <c r="M44" s="75"/>
      <c r="O44" s="70"/>
      <c r="P44" s="70"/>
    </row>
    <row r="45" spans="2:16">
      <c r="B45" s="71"/>
      <c r="C45" s="72"/>
      <c r="D45" s="73"/>
      <c r="E45" s="74"/>
      <c r="F45" s="74"/>
      <c r="G45" s="74"/>
      <c r="H45" s="74"/>
      <c r="I45" s="74"/>
      <c r="J45" s="74"/>
      <c r="K45" s="74"/>
      <c r="L45" s="74"/>
      <c r="M45" s="75"/>
    </row>
    <row r="46" spans="2:16">
      <c r="B46" s="71"/>
      <c r="C46" s="72"/>
      <c r="D46" s="73"/>
      <c r="E46" s="74"/>
      <c r="F46" s="74"/>
      <c r="G46" s="74"/>
      <c r="H46" s="74"/>
      <c r="I46" s="74"/>
      <c r="J46" s="74"/>
      <c r="K46" s="74"/>
      <c r="L46" s="74"/>
      <c r="M46" s="75"/>
    </row>
    <row r="47" spans="2:16">
      <c r="B47" s="71"/>
      <c r="C47" s="72"/>
      <c r="D47" s="73"/>
      <c r="E47" s="74"/>
      <c r="F47" s="74"/>
      <c r="G47" s="74"/>
      <c r="H47" s="74"/>
      <c r="I47" s="74"/>
      <c r="J47" s="74"/>
      <c r="K47" s="74"/>
      <c r="L47" s="74"/>
      <c r="M47" s="75"/>
    </row>
    <row r="48" spans="2:16">
      <c r="B48" s="71"/>
      <c r="C48" s="72"/>
      <c r="D48" s="73"/>
      <c r="E48" s="74"/>
      <c r="F48" s="74"/>
      <c r="G48" s="74"/>
      <c r="H48" s="74"/>
      <c r="I48" s="74"/>
      <c r="J48" s="74"/>
      <c r="K48" s="74"/>
      <c r="L48" s="74"/>
      <c r="M48" s="75"/>
    </row>
    <row r="49" spans="2:13">
      <c r="B49" s="71"/>
      <c r="C49" s="72"/>
      <c r="D49" s="73"/>
      <c r="E49" s="74"/>
      <c r="F49" s="74"/>
      <c r="G49" s="74"/>
      <c r="H49" s="74"/>
      <c r="I49" s="74"/>
      <c r="J49" s="74"/>
      <c r="K49" s="74"/>
      <c r="L49" s="74"/>
      <c r="M49" s="75"/>
    </row>
    <row r="50" spans="2:13">
      <c r="B50" s="71"/>
      <c r="C50" s="72"/>
      <c r="D50" s="73"/>
      <c r="E50" s="74"/>
      <c r="F50" s="74"/>
      <c r="G50" s="74"/>
      <c r="H50" s="74"/>
      <c r="I50" s="74"/>
      <c r="J50" s="74"/>
      <c r="K50" s="74"/>
      <c r="L50" s="74"/>
      <c r="M50" s="75"/>
    </row>
    <row r="51" spans="2:13">
      <c r="B51" s="71"/>
      <c r="C51" s="72"/>
      <c r="D51" s="73"/>
      <c r="E51" s="74"/>
      <c r="F51" s="74"/>
      <c r="G51" s="74"/>
      <c r="H51" s="74"/>
      <c r="I51" s="74"/>
      <c r="J51" s="74"/>
      <c r="K51" s="74"/>
      <c r="L51" s="74"/>
      <c r="M51" s="75"/>
    </row>
    <row r="52" spans="2:13">
      <c r="B52" s="71"/>
      <c r="C52" s="72"/>
      <c r="D52" s="73"/>
      <c r="E52" s="74"/>
      <c r="F52" s="74"/>
      <c r="G52" s="74"/>
      <c r="H52" s="74"/>
      <c r="I52" s="74"/>
      <c r="J52" s="74"/>
      <c r="K52" s="74"/>
      <c r="L52" s="74"/>
      <c r="M52" s="75"/>
    </row>
    <row r="53" spans="2:13">
      <c r="B53" s="71"/>
      <c r="C53" s="72"/>
      <c r="D53" s="73"/>
      <c r="E53" s="74"/>
      <c r="F53" s="74"/>
      <c r="G53" s="74"/>
      <c r="H53" s="74"/>
      <c r="I53" s="74"/>
      <c r="J53" s="74"/>
      <c r="K53" s="74"/>
      <c r="L53" s="74"/>
      <c r="M53" s="75"/>
    </row>
    <row r="54" spans="2:13">
      <c r="B54" s="71"/>
      <c r="C54" s="72"/>
      <c r="D54" s="73"/>
      <c r="E54" s="74"/>
      <c r="F54" s="74"/>
      <c r="G54" s="74"/>
      <c r="H54" s="74"/>
      <c r="I54" s="74"/>
      <c r="J54" s="74"/>
      <c r="K54" s="74"/>
      <c r="L54" s="74"/>
      <c r="M54" s="75"/>
    </row>
    <row r="55" spans="2:13">
      <c r="B55" s="71"/>
      <c r="C55" s="72"/>
      <c r="D55" s="73"/>
      <c r="E55" s="74"/>
      <c r="F55" s="74"/>
      <c r="G55" s="74"/>
      <c r="H55" s="74"/>
      <c r="I55" s="74"/>
      <c r="J55" s="74"/>
      <c r="K55" s="74"/>
      <c r="L55" s="74"/>
      <c r="M55" s="75"/>
    </row>
    <row r="56" spans="2:13">
      <c r="B56" s="71"/>
      <c r="C56" s="72"/>
      <c r="D56" s="73"/>
      <c r="E56" s="74"/>
      <c r="F56" s="74"/>
      <c r="G56" s="74"/>
      <c r="H56" s="74"/>
      <c r="I56" s="74"/>
      <c r="J56" s="74"/>
      <c r="K56" s="74"/>
      <c r="L56" s="74"/>
      <c r="M56" s="75"/>
    </row>
    <row r="57" spans="2:13">
      <c r="B57" s="71"/>
      <c r="C57" s="72"/>
      <c r="D57" s="73"/>
      <c r="E57" s="74"/>
      <c r="F57" s="74"/>
      <c r="G57" s="74"/>
      <c r="H57" s="74"/>
      <c r="I57" s="74"/>
      <c r="J57" s="74"/>
      <c r="K57" s="74"/>
      <c r="L57" s="74"/>
      <c r="M57" s="75"/>
    </row>
    <row r="58" spans="2:13">
      <c r="B58" s="71"/>
      <c r="C58" s="72"/>
      <c r="D58" s="73"/>
      <c r="E58" s="74"/>
      <c r="F58" s="74"/>
      <c r="G58" s="74"/>
      <c r="H58" s="74"/>
      <c r="I58" s="74"/>
      <c r="J58" s="74"/>
      <c r="K58" s="74"/>
      <c r="L58" s="74"/>
      <c r="M58" s="75"/>
    </row>
    <row r="59" spans="2:13">
      <c r="B59" s="71"/>
      <c r="C59" s="72"/>
      <c r="D59" s="73"/>
      <c r="E59" s="74"/>
      <c r="F59" s="74"/>
      <c r="G59" s="74"/>
      <c r="H59" s="74"/>
      <c r="I59" s="74"/>
      <c r="J59" s="74"/>
      <c r="K59" s="74"/>
      <c r="L59" s="74"/>
      <c r="M59" s="75"/>
    </row>
    <row r="60" spans="2:13">
      <c r="B60" s="71"/>
      <c r="C60" s="72"/>
      <c r="D60" s="73"/>
      <c r="E60" s="74"/>
      <c r="F60" s="74"/>
      <c r="G60" s="74"/>
      <c r="H60" s="74"/>
      <c r="I60" s="74"/>
      <c r="J60" s="74"/>
      <c r="K60" s="74"/>
      <c r="L60" s="74"/>
      <c r="M60" s="75"/>
    </row>
    <row r="61" spans="2:13">
      <c r="B61" s="71"/>
      <c r="C61" s="72"/>
      <c r="D61" s="73"/>
      <c r="E61" s="74"/>
      <c r="F61" s="74"/>
      <c r="G61" s="74"/>
      <c r="H61" s="74"/>
      <c r="I61" s="74"/>
      <c r="J61" s="74"/>
      <c r="K61" s="74"/>
      <c r="L61" s="74"/>
      <c r="M61" s="75"/>
    </row>
    <row r="62" spans="2:13">
      <c r="B62" s="71"/>
      <c r="C62" s="72"/>
      <c r="D62" s="73"/>
      <c r="E62" s="74"/>
      <c r="F62" s="74"/>
      <c r="G62" s="74"/>
      <c r="H62" s="74"/>
      <c r="I62" s="74"/>
      <c r="J62" s="74"/>
      <c r="K62" s="74"/>
      <c r="L62" s="74"/>
      <c r="M62" s="75"/>
    </row>
    <row r="63" spans="2:13">
      <c r="B63" s="71"/>
      <c r="C63" s="72"/>
      <c r="D63" s="73"/>
      <c r="E63" s="74"/>
      <c r="F63" s="74"/>
      <c r="G63" s="74"/>
      <c r="H63" s="74"/>
      <c r="I63" s="74"/>
      <c r="J63" s="74"/>
      <c r="K63" s="74"/>
      <c r="L63" s="74"/>
      <c r="M63" s="75"/>
    </row>
    <row r="64" spans="2:13">
      <c r="B64" s="71"/>
      <c r="C64" s="72"/>
      <c r="D64" s="73"/>
      <c r="E64" s="74"/>
      <c r="F64" s="74"/>
      <c r="G64" s="74"/>
      <c r="H64" s="74"/>
      <c r="I64" s="74"/>
      <c r="J64" s="74"/>
      <c r="K64" s="74"/>
      <c r="L64" s="74"/>
      <c r="M64" s="75"/>
    </row>
    <row r="65" spans="2:13">
      <c r="B65" s="71"/>
      <c r="C65" s="72"/>
      <c r="D65" s="73"/>
      <c r="E65" s="74"/>
      <c r="F65" s="74"/>
      <c r="G65" s="74"/>
      <c r="H65" s="74"/>
      <c r="I65" s="74"/>
      <c r="J65" s="74"/>
      <c r="K65" s="74"/>
      <c r="L65" s="74"/>
      <c r="M65" s="75"/>
    </row>
    <row r="66" spans="2:13">
      <c r="B66" s="71"/>
      <c r="C66" s="72"/>
      <c r="D66" s="73"/>
      <c r="E66" s="74"/>
      <c r="F66" s="74"/>
      <c r="G66" s="74"/>
      <c r="H66" s="74"/>
      <c r="I66" s="74"/>
      <c r="J66" s="74"/>
      <c r="K66" s="74"/>
      <c r="L66" s="74"/>
      <c r="M66" s="75"/>
    </row>
    <row r="67" spans="2:13">
      <c r="B67" s="71"/>
      <c r="C67" s="72"/>
      <c r="D67" s="73"/>
      <c r="E67" s="74"/>
      <c r="F67" s="74"/>
      <c r="G67" s="74"/>
      <c r="H67" s="74"/>
      <c r="I67" s="74"/>
      <c r="J67" s="74"/>
      <c r="K67" s="74"/>
      <c r="L67" s="74"/>
      <c r="M67" s="75"/>
    </row>
    <row r="68" spans="2:13">
      <c r="B68" s="71"/>
      <c r="C68" s="72"/>
      <c r="D68" s="73"/>
      <c r="E68" s="74"/>
      <c r="F68" s="74"/>
      <c r="G68" s="74"/>
      <c r="H68" s="74"/>
      <c r="I68" s="74"/>
      <c r="J68" s="74"/>
      <c r="K68" s="74"/>
      <c r="L68" s="74"/>
      <c r="M68" s="75"/>
    </row>
    <row r="69" spans="2:13">
      <c r="B69" s="71"/>
      <c r="C69" s="72"/>
      <c r="D69" s="73"/>
      <c r="E69" s="74"/>
      <c r="F69" s="74"/>
      <c r="G69" s="74"/>
      <c r="H69" s="74"/>
      <c r="I69" s="74"/>
      <c r="J69" s="74"/>
      <c r="K69" s="74"/>
      <c r="L69" s="74"/>
      <c r="M69" s="75"/>
    </row>
    <row r="70" spans="2:13">
      <c r="B70" s="71"/>
      <c r="C70" s="72"/>
      <c r="D70" s="73"/>
      <c r="E70" s="74"/>
      <c r="F70" s="74"/>
      <c r="G70" s="74"/>
      <c r="H70" s="74"/>
      <c r="I70" s="74"/>
      <c r="J70" s="74"/>
      <c r="K70" s="74"/>
      <c r="L70" s="74"/>
      <c r="M70" s="75"/>
    </row>
    <row r="71" spans="2:13">
      <c r="B71" s="71"/>
      <c r="C71" s="72"/>
      <c r="D71" s="73"/>
      <c r="E71" s="74"/>
      <c r="F71" s="74"/>
      <c r="G71" s="74"/>
      <c r="H71" s="74"/>
      <c r="I71" s="74"/>
      <c r="J71" s="74"/>
      <c r="K71" s="74"/>
      <c r="L71" s="74"/>
      <c r="M71" s="75"/>
    </row>
    <row r="72" spans="2:13">
      <c r="B72" s="71"/>
      <c r="C72" s="72"/>
      <c r="D72" s="73"/>
      <c r="E72" s="74"/>
      <c r="F72" s="74"/>
      <c r="G72" s="74"/>
      <c r="H72" s="74"/>
      <c r="I72" s="74"/>
      <c r="J72" s="74"/>
      <c r="K72" s="74"/>
      <c r="L72" s="74"/>
      <c r="M72" s="75"/>
    </row>
    <row r="73" spans="2:13">
      <c r="B73" s="71"/>
      <c r="C73" s="72"/>
      <c r="D73" s="73"/>
      <c r="E73" s="74"/>
      <c r="F73" s="74"/>
      <c r="G73" s="74"/>
      <c r="H73" s="74"/>
      <c r="I73" s="74"/>
      <c r="J73" s="74"/>
      <c r="K73" s="74"/>
      <c r="L73" s="74"/>
      <c r="M73" s="75"/>
    </row>
    <row r="74" spans="2:13">
      <c r="B74" s="71"/>
      <c r="C74" s="72"/>
      <c r="D74" s="73"/>
      <c r="E74" s="74"/>
      <c r="F74" s="74"/>
      <c r="G74" s="74"/>
      <c r="H74" s="74"/>
      <c r="I74" s="74"/>
      <c r="J74" s="74"/>
      <c r="K74" s="74"/>
      <c r="L74" s="74"/>
      <c r="M74" s="75"/>
    </row>
    <row r="75" spans="2:13">
      <c r="B75" s="71"/>
      <c r="C75" s="72"/>
      <c r="D75" s="73"/>
      <c r="E75" s="74"/>
      <c r="F75" s="74"/>
      <c r="G75" s="74"/>
      <c r="H75" s="74"/>
      <c r="I75" s="74"/>
      <c r="J75" s="74"/>
      <c r="K75" s="74"/>
      <c r="L75" s="74"/>
      <c r="M75" s="75"/>
    </row>
    <row r="76" spans="2:13">
      <c r="B76" s="71"/>
      <c r="C76" s="72"/>
      <c r="D76" s="73"/>
      <c r="E76" s="74"/>
      <c r="F76" s="74"/>
      <c r="G76" s="74"/>
      <c r="H76" s="74"/>
      <c r="I76" s="74"/>
      <c r="J76" s="74"/>
      <c r="K76" s="74"/>
      <c r="L76" s="74"/>
      <c r="M76" s="75"/>
    </row>
    <row r="77" spans="2:13">
      <c r="B77" s="71"/>
      <c r="C77" s="72"/>
      <c r="D77" s="73"/>
      <c r="E77" s="74"/>
      <c r="F77" s="74"/>
      <c r="G77" s="74"/>
      <c r="H77" s="74"/>
      <c r="I77" s="74"/>
      <c r="J77" s="74"/>
      <c r="K77" s="74"/>
      <c r="L77" s="74"/>
      <c r="M77" s="75"/>
    </row>
    <row r="78" spans="2:13">
      <c r="B78" s="71"/>
      <c r="C78" s="72"/>
      <c r="D78" s="73"/>
      <c r="E78" s="74"/>
      <c r="F78" s="74"/>
      <c r="G78" s="74"/>
      <c r="H78" s="74"/>
      <c r="I78" s="74"/>
      <c r="J78" s="74"/>
      <c r="K78" s="74"/>
      <c r="L78" s="74"/>
      <c r="M78" s="75"/>
    </row>
    <row r="79" spans="2:13">
      <c r="B79" s="71"/>
      <c r="C79" s="72"/>
      <c r="D79" s="73"/>
      <c r="E79" s="74"/>
      <c r="F79" s="74"/>
      <c r="G79" s="74"/>
      <c r="H79" s="74"/>
      <c r="I79" s="74"/>
      <c r="J79" s="74"/>
      <c r="K79" s="74"/>
      <c r="L79" s="74"/>
      <c r="M79" s="75"/>
    </row>
    <row r="80" spans="2:13">
      <c r="B80" s="71"/>
      <c r="C80" s="72"/>
      <c r="D80" s="73"/>
      <c r="E80" s="74"/>
      <c r="F80" s="74"/>
      <c r="G80" s="74"/>
      <c r="H80" s="74"/>
      <c r="I80" s="74"/>
      <c r="J80" s="74"/>
      <c r="K80" s="74"/>
      <c r="L80" s="74"/>
      <c r="M80" s="75"/>
    </row>
    <row r="81" spans="2:13">
      <c r="B81" s="71"/>
      <c r="C81" s="72"/>
      <c r="D81" s="73"/>
      <c r="E81" s="74"/>
      <c r="F81" s="74"/>
      <c r="G81" s="74"/>
      <c r="H81" s="74"/>
      <c r="I81" s="74"/>
      <c r="J81" s="74"/>
      <c r="K81" s="74"/>
      <c r="L81" s="74"/>
      <c r="M81" s="75"/>
    </row>
    <row r="82" spans="2:13">
      <c r="B82" s="71"/>
      <c r="C82" s="72"/>
      <c r="D82" s="73"/>
      <c r="E82" s="74"/>
      <c r="F82" s="74"/>
      <c r="G82" s="74"/>
      <c r="H82" s="74"/>
      <c r="I82" s="74"/>
      <c r="J82" s="74"/>
      <c r="K82" s="74"/>
      <c r="L82" s="74"/>
      <c r="M82" s="75"/>
    </row>
    <row r="83" spans="2:13">
      <c r="B83" s="71"/>
      <c r="C83" s="72"/>
      <c r="D83" s="73"/>
      <c r="E83" s="74"/>
      <c r="F83" s="74"/>
      <c r="G83" s="74"/>
      <c r="H83" s="74"/>
      <c r="I83" s="74"/>
      <c r="J83" s="74"/>
      <c r="K83" s="74"/>
      <c r="L83" s="74"/>
      <c r="M83" s="75"/>
    </row>
    <row r="84" spans="2:13">
      <c r="B84" s="71"/>
      <c r="C84" s="72"/>
      <c r="D84" s="73"/>
      <c r="E84" s="74"/>
      <c r="F84" s="74"/>
      <c r="G84" s="74"/>
      <c r="H84" s="74"/>
      <c r="I84" s="74"/>
      <c r="J84" s="74"/>
      <c r="K84" s="74"/>
      <c r="L84" s="74"/>
      <c r="M84" s="75"/>
    </row>
    <row r="85" spans="2:13">
      <c r="B85" s="71"/>
      <c r="C85" s="72"/>
      <c r="D85" s="73"/>
      <c r="E85" s="74"/>
      <c r="F85" s="74"/>
      <c r="G85" s="74"/>
      <c r="H85" s="74"/>
      <c r="I85" s="74"/>
      <c r="J85" s="74"/>
      <c r="K85" s="74"/>
      <c r="L85" s="74"/>
      <c r="M85" s="75"/>
    </row>
    <row r="86" spans="2:13">
      <c r="B86" s="71"/>
      <c r="C86" s="72"/>
      <c r="D86" s="73"/>
      <c r="E86" s="74"/>
      <c r="F86" s="74"/>
      <c r="G86" s="74"/>
      <c r="H86" s="74"/>
      <c r="I86" s="74"/>
      <c r="J86" s="74"/>
      <c r="K86" s="74"/>
      <c r="L86" s="74"/>
      <c r="M86" s="75"/>
    </row>
    <row r="87" spans="2:13">
      <c r="B87" s="71"/>
      <c r="C87" s="72"/>
      <c r="D87" s="73"/>
      <c r="E87" s="74"/>
      <c r="F87" s="74"/>
      <c r="G87" s="74"/>
      <c r="H87" s="74"/>
      <c r="I87" s="74"/>
      <c r="J87" s="74"/>
      <c r="K87" s="74"/>
      <c r="L87" s="74"/>
      <c r="M87" s="75"/>
    </row>
    <row r="88" spans="2:13">
      <c r="B88" s="71"/>
      <c r="C88" s="72"/>
      <c r="D88" s="73"/>
      <c r="E88" s="74"/>
      <c r="F88" s="74"/>
      <c r="G88" s="74"/>
      <c r="H88" s="74"/>
      <c r="I88" s="74"/>
      <c r="J88" s="74"/>
      <c r="K88" s="74"/>
      <c r="L88" s="74"/>
      <c r="M88" s="75"/>
    </row>
    <row r="89" spans="2:13">
      <c r="B89" s="71"/>
      <c r="C89" s="72"/>
      <c r="D89" s="73"/>
      <c r="E89" s="74"/>
      <c r="F89" s="74"/>
      <c r="G89" s="74"/>
      <c r="H89" s="74"/>
      <c r="I89" s="74"/>
      <c r="J89" s="74"/>
      <c r="K89" s="74"/>
      <c r="L89" s="74"/>
      <c r="M89" s="75"/>
    </row>
    <row r="90" spans="2:13">
      <c r="B90" s="71"/>
      <c r="C90" s="72"/>
      <c r="D90" s="73"/>
      <c r="E90" s="74"/>
      <c r="F90" s="74"/>
      <c r="G90" s="74"/>
      <c r="H90" s="74"/>
      <c r="I90" s="74"/>
      <c r="J90" s="74"/>
      <c r="K90" s="74"/>
      <c r="L90" s="74"/>
      <c r="M90" s="75"/>
    </row>
    <row r="91" spans="2:13">
      <c r="B91" s="71"/>
      <c r="C91" s="72"/>
      <c r="D91" s="73"/>
      <c r="E91" s="74"/>
      <c r="F91" s="74"/>
      <c r="G91" s="74"/>
      <c r="H91" s="74"/>
      <c r="I91" s="74"/>
      <c r="J91" s="74"/>
      <c r="K91" s="74"/>
      <c r="L91" s="74"/>
      <c r="M91" s="75"/>
    </row>
    <row r="92" spans="2:13">
      <c r="B92" s="71"/>
      <c r="C92" s="72"/>
      <c r="D92" s="73"/>
      <c r="E92" s="74"/>
      <c r="F92" s="74"/>
      <c r="G92" s="74"/>
      <c r="H92" s="74"/>
      <c r="I92" s="74"/>
      <c r="J92" s="74"/>
      <c r="K92" s="74"/>
      <c r="L92" s="74"/>
      <c r="M92" s="75"/>
    </row>
    <row r="93" spans="2:13">
      <c r="B93" s="71"/>
      <c r="C93" s="72"/>
      <c r="D93" s="73"/>
      <c r="E93" s="74"/>
      <c r="F93" s="74"/>
      <c r="G93" s="74"/>
      <c r="H93" s="74"/>
      <c r="I93" s="74"/>
      <c r="J93" s="74"/>
      <c r="K93" s="74"/>
      <c r="L93" s="74"/>
      <c r="M93" s="75"/>
    </row>
    <row r="94" spans="2:13">
      <c r="B94" s="71"/>
      <c r="C94" s="72"/>
      <c r="D94" s="73"/>
      <c r="E94" s="74"/>
      <c r="F94" s="74"/>
      <c r="G94" s="74"/>
      <c r="H94" s="74"/>
      <c r="I94" s="74"/>
      <c r="J94" s="74"/>
      <c r="K94" s="74"/>
      <c r="L94" s="74"/>
      <c r="M94" s="75"/>
    </row>
    <row r="95" spans="2:13">
      <c r="B95" s="71"/>
      <c r="C95" s="72"/>
      <c r="D95" s="73"/>
      <c r="E95" s="74"/>
      <c r="F95" s="74"/>
      <c r="G95" s="74"/>
      <c r="H95" s="74"/>
      <c r="I95" s="74"/>
      <c r="J95" s="74"/>
      <c r="K95" s="74"/>
      <c r="L95" s="74"/>
      <c r="M95" s="75"/>
    </row>
    <row r="96" spans="2:13">
      <c r="B96" s="71"/>
      <c r="C96" s="72"/>
      <c r="D96" s="73"/>
      <c r="E96" s="74"/>
      <c r="F96" s="74"/>
      <c r="G96" s="74"/>
      <c r="H96" s="74"/>
      <c r="I96" s="74"/>
      <c r="J96" s="74"/>
      <c r="K96" s="74"/>
      <c r="L96" s="74"/>
      <c r="M96" s="75"/>
    </row>
    <row r="97" spans="2:13">
      <c r="B97" s="71"/>
      <c r="C97" s="72"/>
      <c r="D97" s="73"/>
      <c r="E97" s="74"/>
      <c r="F97" s="74"/>
      <c r="G97" s="74"/>
      <c r="H97" s="74"/>
      <c r="I97" s="74"/>
      <c r="J97" s="74"/>
      <c r="K97" s="74"/>
      <c r="L97" s="74"/>
      <c r="M97" s="75"/>
    </row>
    <row r="98" spans="2:13">
      <c r="B98" s="71"/>
      <c r="C98" s="72"/>
      <c r="D98" s="73"/>
      <c r="E98" s="74"/>
      <c r="F98" s="74"/>
      <c r="G98" s="74"/>
      <c r="H98" s="74"/>
      <c r="I98" s="74"/>
      <c r="J98" s="74"/>
      <c r="K98" s="74"/>
      <c r="L98" s="74"/>
      <c r="M98" s="75"/>
    </row>
    <row r="99" spans="2:13">
      <c r="B99" s="71"/>
      <c r="C99" s="72"/>
      <c r="D99" s="73"/>
      <c r="E99" s="74"/>
      <c r="F99" s="74"/>
      <c r="G99" s="74"/>
      <c r="H99" s="74"/>
      <c r="I99" s="74"/>
      <c r="J99" s="74"/>
      <c r="K99" s="74"/>
      <c r="L99" s="74"/>
      <c r="M99" s="75"/>
    </row>
    <row r="100" spans="2:13">
      <c r="B100" s="71"/>
      <c r="C100" s="72"/>
      <c r="D100" s="73"/>
      <c r="E100" s="74"/>
      <c r="F100" s="74"/>
      <c r="G100" s="74"/>
      <c r="H100" s="74"/>
      <c r="I100" s="74"/>
      <c r="J100" s="74"/>
      <c r="K100" s="74"/>
      <c r="L100" s="74"/>
      <c r="M100" s="75"/>
    </row>
    <row r="101" spans="2:13">
      <c r="B101" s="71"/>
      <c r="C101" s="72"/>
      <c r="D101" s="73"/>
      <c r="E101" s="74"/>
      <c r="F101" s="74"/>
      <c r="G101" s="74"/>
      <c r="H101" s="74"/>
      <c r="I101" s="74"/>
      <c r="J101" s="74"/>
      <c r="K101" s="74"/>
      <c r="L101" s="74"/>
      <c r="M101" s="75"/>
    </row>
    <row r="102" spans="2:13">
      <c r="B102" s="71"/>
      <c r="C102" s="72"/>
      <c r="D102" s="73"/>
      <c r="E102" s="74"/>
      <c r="F102" s="74"/>
      <c r="G102" s="74"/>
      <c r="H102" s="74"/>
      <c r="I102" s="74"/>
      <c r="J102" s="74"/>
      <c r="K102" s="74"/>
      <c r="L102" s="74"/>
      <c r="M102" s="75"/>
    </row>
    <row r="103" spans="2:13">
      <c r="B103" s="71"/>
      <c r="C103" s="72"/>
      <c r="D103" s="73"/>
      <c r="E103" s="74"/>
      <c r="F103" s="74"/>
      <c r="G103" s="74"/>
      <c r="H103" s="74"/>
      <c r="I103" s="74"/>
      <c r="J103" s="74"/>
      <c r="K103" s="74"/>
      <c r="L103" s="74"/>
      <c r="M103" s="75"/>
    </row>
    <row r="104" spans="2:13">
      <c r="B104" s="71"/>
      <c r="C104" s="72"/>
      <c r="D104" s="73"/>
      <c r="E104" s="74"/>
      <c r="F104" s="74"/>
      <c r="G104" s="74"/>
      <c r="H104" s="74"/>
      <c r="I104" s="74"/>
      <c r="J104" s="74"/>
      <c r="K104" s="74"/>
      <c r="L104" s="74"/>
      <c r="M104" s="75"/>
    </row>
    <row r="105" spans="2:13">
      <c r="B105" s="71"/>
      <c r="C105" s="72"/>
      <c r="D105" s="73"/>
      <c r="E105" s="74"/>
      <c r="F105" s="74"/>
      <c r="G105" s="74"/>
      <c r="H105" s="74"/>
      <c r="I105" s="74"/>
      <c r="J105" s="74"/>
      <c r="K105" s="74"/>
      <c r="L105" s="74"/>
      <c r="M105" s="75"/>
    </row>
    <row r="106" spans="2:13">
      <c r="B106" s="71"/>
      <c r="C106" s="72"/>
      <c r="D106" s="73"/>
      <c r="E106" s="74"/>
      <c r="F106" s="74"/>
      <c r="G106" s="74"/>
      <c r="H106" s="74"/>
      <c r="I106" s="74"/>
      <c r="J106" s="74"/>
      <c r="K106" s="74"/>
      <c r="L106" s="74"/>
      <c r="M106" s="75"/>
    </row>
    <row r="107" spans="2:13">
      <c r="B107" s="71"/>
      <c r="C107" s="72"/>
      <c r="D107" s="73"/>
      <c r="E107" s="74"/>
      <c r="F107" s="74"/>
      <c r="G107" s="74"/>
      <c r="H107" s="74"/>
      <c r="I107" s="74"/>
      <c r="J107" s="74"/>
      <c r="K107" s="74"/>
      <c r="L107" s="74"/>
      <c r="M107" s="75"/>
    </row>
    <row r="108" spans="2:13">
      <c r="B108" s="71"/>
      <c r="C108" s="72"/>
      <c r="D108" s="73"/>
      <c r="E108" s="74"/>
      <c r="F108" s="74"/>
      <c r="G108" s="74"/>
      <c r="H108" s="74"/>
      <c r="I108" s="74"/>
      <c r="J108" s="74"/>
      <c r="K108" s="74"/>
      <c r="L108" s="74"/>
      <c r="M108" s="75"/>
    </row>
    <row r="109" spans="2:13">
      <c r="B109" s="71"/>
      <c r="C109" s="72"/>
      <c r="D109" s="73"/>
      <c r="E109" s="74"/>
      <c r="F109" s="74"/>
      <c r="G109" s="74"/>
      <c r="H109" s="74"/>
      <c r="I109" s="74"/>
      <c r="J109" s="74"/>
      <c r="K109" s="74"/>
      <c r="L109" s="74"/>
      <c r="M109" s="75"/>
    </row>
    <row r="110" spans="2:13">
      <c r="B110" s="71"/>
      <c r="C110" s="72"/>
      <c r="D110" s="73"/>
      <c r="E110" s="74"/>
      <c r="F110" s="74"/>
      <c r="G110" s="74"/>
      <c r="H110" s="74"/>
      <c r="I110" s="74"/>
      <c r="J110" s="74"/>
      <c r="K110" s="74"/>
      <c r="L110" s="74"/>
      <c r="M110" s="75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A8F5-D4D2-48E1-9CAF-0587C0650649}">
  <dimension ref="B2:P2000"/>
  <sheetViews>
    <sheetView showGridLines="0" zoomScale="90" zoomScaleNormal="90" workbookViewId="0">
      <selection activeCell="I54" sqref="I54"/>
    </sheetView>
    <sheetView workbookViewId="1">
      <selection activeCell="A2" sqref="A2:XFD3"/>
    </sheetView>
  </sheetViews>
  <sheetFormatPr defaultRowHeight="39" outlineLevelCol="1"/>
  <cols>
    <col min="1" max="1" width="4.25" style="66" customWidth="1"/>
    <col min="2" max="2" width="10.625" style="66" customWidth="1"/>
    <col min="3" max="3" width="21.75" style="66" bestFit="1" customWidth="1"/>
    <col min="4" max="4" width="10.625" style="66" hidden="1" customWidth="1" outlineLevel="1"/>
    <col min="5" max="5" width="10.625" style="66" customWidth="1" collapsed="1"/>
    <col min="6" max="13" width="10.625" style="66" customWidth="1"/>
    <col min="14" max="15" width="9" style="66"/>
    <col min="16" max="16" width="15.75" style="66" bestFit="1" customWidth="1"/>
    <col min="17" max="17" width="14.25" style="66" bestFit="1" customWidth="1"/>
    <col min="18" max="21" width="9" style="66"/>
    <col min="22" max="26" width="11.5" style="66" customWidth="1"/>
    <col min="27" max="16384" width="9" style="66"/>
  </cols>
  <sheetData>
    <row r="2" spans="2:16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6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6">
      <c r="B4" s="71" t="s">
        <v>1166</v>
      </c>
      <c r="C4" s="72"/>
      <c r="D4" s="73"/>
      <c r="E4" s="74"/>
      <c r="F4" s="74"/>
      <c r="G4" s="74"/>
      <c r="H4" s="74"/>
      <c r="I4" s="74"/>
      <c r="J4" s="74"/>
      <c r="K4" s="74"/>
      <c r="L4" s="74"/>
      <c r="M4" s="75"/>
      <c r="O4" s="70"/>
      <c r="P4" s="70"/>
    </row>
    <row r="5" spans="2:16">
      <c r="B5" s="71" t="s">
        <v>1167</v>
      </c>
      <c r="C5" s="72" t="s">
        <v>1433</v>
      </c>
      <c r="D5" s="73"/>
      <c r="E5" s="74" t="s">
        <v>1447</v>
      </c>
      <c r="F5" s="74" t="s">
        <v>1448</v>
      </c>
      <c r="G5" s="74" t="s">
        <v>1449</v>
      </c>
      <c r="H5" s="74" t="s">
        <v>1450</v>
      </c>
      <c r="I5" s="74" t="s">
        <v>1451</v>
      </c>
      <c r="J5" s="74"/>
      <c r="K5" s="74"/>
      <c r="L5" s="74"/>
      <c r="M5" s="75"/>
      <c r="O5" s="70"/>
      <c r="P5" s="70"/>
    </row>
    <row r="6" spans="2:16">
      <c r="B6" s="71" t="s">
        <v>1168</v>
      </c>
      <c r="C6" s="72" t="s">
        <v>1435</v>
      </c>
      <c r="D6" s="73"/>
      <c r="E6" s="74" t="s">
        <v>1452</v>
      </c>
      <c r="F6" s="74" t="s">
        <v>1453</v>
      </c>
      <c r="G6" s="74" t="s">
        <v>1454</v>
      </c>
      <c r="H6" s="74" t="s">
        <v>1455</v>
      </c>
      <c r="I6" s="74" t="s">
        <v>1456</v>
      </c>
      <c r="J6" s="74" t="s">
        <v>1457</v>
      </c>
      <c r="K6" s="74"/>
      <c r="L6" s="74"/>
      <c r="M6" s="75"/>
      <c r="O6" s="70"/>
      <c r="P6" s="70"/>
    </row>
    <row r="7" spans="2:16">
      <c r="B7" s="71" t="s">
        <v>1169</v>
      </c>
      <c r="C7" s="72" t="s">
        <v>1367</v>
      </c>
      <c r="D7" s="73"/>
      <c r="E7" s="74" t="s">
        <v>1449</v>
      </c>
      <c r="F7" s="74" t="s">
        <v>1455</v>
      </c>
      <c r="G7" s="74" t="s">
        <v>1456</v>
      </c>
      <c r="H7" s="74" t="s">
        <v>1523</v>
      </c>
      <c r="I7" s="74"/>
      <c r="J7" s="74"/>
      <c r="K7" s="74"/>
      <c r="L7" s="74"/>
      <c r="M7" s="75"/>
      <c r="O7" s="70"/>
      <c r="P7" s="70"/>
    </row>
    <row r="8" spans="2:16">
      <c r="B8" s="71" t="s">
        <v>1170</v>
      </c>
      <c r="C8" s="72"/>
      <c r="D8" s="73"/>
      <c r="E8" s="74"/>
      <c r="F8" s="74"/>
      <c r="G8" s="74"/>
      <c r="H8" s="74"/>
      <c r="I8" s="74"/>
      <c r="J8" s="74"/>
      <c r="K8" s="74"/>
      <c r="L8" s="74"/>
      <c r="M8" s="75"/>
      <c r="O8" s="70"/>
      <c r="P8" s="70"/>
    </row>
    <row r="9" spans="2:16">
      <c r="B9" s="71"/>
      <c r="C9" s="72"/>
      <c r="D9" s="73"/>
      <c r="E9" s="74"/>
      <c r="F9" s="74"/>
      <c r="G9" s="74"/>
      <c r="H9" s="74"/>
      <c r="I9" s="74"/>
      <c r="J9" s="74"/>
      <c r="K9" s="74"/>
      <c r="L9" s="74"/>
      <c r="M9" s="75"/>
      <c r="O9" s="70"/>
      <c r="P9" s="70"/>
    </row>
    <row r="10" spans="2:16">
      <c r="B10" s="71" t="s">
        <v>99</v>
      </c>
      <c r="C10" s="72" t="s">
        <v>1295</v>
      </c>
      <c r="D10" s="73"/>
      <c r="E10" s="74" t="s">
        <v>1456</v>
      </c>
      <c r="F10" s="74" t="s">
        <v>1453</v>
      </c>
      <c r="G10" s="74" t="s">
        <v>1521</v>
      </c>
      <c r="H10" s="74" t="s">
        <v>1457</v>
      </c>
      <c r="I10" s="74"/>
      <c r="J10" s="74"/>
      <c r="K10" s="74"/>
      <c r="L10" s="74"/>
      <c r="M10" s="75"/>
      <c r="O10" s="70"/>
      <c r="P10" s="70"/>
    </row>
    <row r="11" spans="2:16">
      <c r="B11" s="71" t="s">
        <v>1171</v>
      </c>
      <c r="C11" s="72" t="s">
        <v>1368</v>
      </c>
      <c r="D11" s="73"/>
      <c r="E11" s="74" t="s">
        <v>1535</v>
      </c>
      <c r="F11" s="74" t="s">
        <v>1449</v>
      </c>
      <c r="G11" s="74" t="s">
        <v>1523</v>
      </c>
      <c r="H11" s="74"/>
      <c r="I11" s="74"/>
      <c r="J11" s="74"/>
      <c r="K11" s="74"/>
      <c r="L11" s="74"/>
      <c r="M11" s="75"/>
      <c r="O11" s="70"/>
      <c r="P11" s="70"/>
    </row>
    <row r="12" spans="2:16">
      <c r="B12" s="71" t="s">
        <v>170</v>
      </c>
      <c r="C12" s="72" t="s">
        <v>389</v>
      </c>
      <c r="D12" s="73"/>
      <c r="E12" s="74" t="s">
        <v>1524</v>
      </c>
      <c r="F12" s="74" t="s">
        <v>1454</v>
      </c>
      <c r="G12" s="74" t="s">
        <v>1455</v>
      </c>
      <c r="H12" s="74" t="s">
        <v>1456</v>
      </c>
      <c r="I12" s="74" t="s">
        <v>1457</v>
      </c>
      <c r="J12" s="74"/>
      <c r="K12" s="74"/>
      <c r="L12" s="74"/>
      <c r="M12" s="75"/>
      <c r="O12" s="70"/>
      <c r="P12" s="70"/>
    </row>
    <row r="13" spans="2:16">
      <c r="B13" s="71" t="s">
        <v>1172</v>
      </c>
      <c r="C13" s="72" t="s">
        <v>1522</v>
      </c>
      <c r="D13" s="73"/>
      <c r="E13" s="74" t="s">
        <v>1456</v>
      </c>
      <c r="F13" s="74" t="s">
        <v>1455</v>
      </c>
      <c r="G13" s="74" t="s">
        <v>1448</v>
      </c>
      <c r="H13" s="74" t="s">
        <v>1449</v>
      </c>
      <c r="I13" s="74" t="s">
        <v>1523</v>
      </c>
      <c r="J13" s="74"/>
      <c r="K13" s="74"/>
      <c r="L13" s="74"/>
      <c r="M13" s="75"/>
      <c r="O13" s="70"/>
      <c r="P13" s="70"/>
    </row>
    <row r="14" spans="2:16">
      <c r="B14" s="71" t="s">
        <v>164</v>
      </c>
      <c r="C14" s="72" t="s">
        <v>1322</v>
      </c>
      <c r="D14" s="73"/>
      <c r="E14" s="74" t="s">
        <v>1524</v>
      </c>
      <c r="F14" s="74" t="s">
        <v>1454</v>
      </c>
      <c r="G14" s="74" t="s">
        <v>1454</v>
      </c>
      <c r="H14" s="74" t="s">
        <v>1523</v>
      </c>
      <c r="I14" s="74"/>
      <c r="J14" s="74"/>
      <c r="K14" s="74"/>
      <c r="L14" s="74"/>
      <c r="M14" s="75"/>
      <c r="O14" s="70"/>
      <c r="P14" s="70"/>
    </row>
    <row r="15" spans="2:16">
      <c r="B15" s="71" t="s">
        <v>1173</v>
      </c>
      <c r="C15" s="72" t="s">
        <v>1437</v>
      </c>
      <c r="D15" s="73"/>
      <c r="E15" s="74" t="s">
        <v>1525</v>
      </c>
      <c r="F15" s="74" t="s">
        <v>1448</v>
      </c>
      <c r="G15" s="74" t="s">
        <v>1453</v>
      </c>
      <c r="H15" s="74" t="s">
        <v>1526</v>
      </c>
      <c r="I15" s="74"/>
      <c r="J15" s="74"/>
      <c r="K15" s="74"/>
      <c r="L15" s="74"/>
      <c r="M15" s="75"/>
      <c r="O15" s="70"/>
      <c r="P15" s="70"/>
    </row>
    <row r="16" spans="2:16">
      <c r="B16" s="71" t="s">
        <v>1174</v>
      </c>
      <c r="C16" s="72" t="s">
        <v>1568</v>
      </c>
      <c r="D16" s="73"/>
      <c r="E16" s="74" t="s">
        <v>1531</v>
      </c>
      <c r="F16" s="74" t="s">
        <v>1453</v>
      </c>
      <c r="G16" s="74" t="s">
        <v>1455</v>
      </c>
      <c r="H16" s="74" t="s">
        <v>1456</v>
      </c>
      <c r="I16" s="74" t="s">
        <v>1526</v>
      </c>
      <c r="J16" s="74"/>
      <c r="K16" s="74"/>
      <c r="L16" s="74"/>
      <c r="M16" s="75"/>
      <c r="O16" s="70"/>
      <c r="P16" s="70"/>
    </row>
    <row r="17" spans="2:16">
      <c r="B17" s="71"/>
      <c r="C17" s="72"/>
      <c r="D17" s="73"/>
      <c r="E17" s="74"/>
      <c r="F17" s="74"/>
      <c r="G17" s="74"/>
      <c r="H17" s="74"/>
      <c r="I17" s="74"/>
      <c r="J17" s="74"/>
      <c r="K17" s="74"/>
      <c r="L17" s="74"/>
      <c r="M17" s="75"/>
      <c r="O17" s="70"/>
      <c r="P17" s="70"/>
    </row>
    <row r="18" spans="2:16">
      <c r="B18" s="71" t="s">
        <v>1175</v>
      </c>
      <c r="C18" s="72" t="s">
        <v>1527</v>
      </c>
      <c r="D18" s="73"/>
      <c r="E18" s="74" t="s">
        <v>1528</v>
      </c>
      <c r="F18" s="74" t="s">
        <v>1454</v>
      </c>
      <c r="G18" s="74" t="s">
        <v>1526</v>
      </c>
      <c r="H18" s="74"/>
      <c r="I18" s="74"/>
      <c r="J18" s="74"/>
      <c r="K18" s="74"/>
      <c r="L18" s="74"/>
      <c r="M18" s="75"/>
      <c r="O18" s="70"/>
      <c r="P18" s="70"/>
    </row>
    <row r="19" spans="2:16">
      <c r="B19" s="71" t="s">
        <v>1176</v>
      </c>
      <c r="C19" s="72" t="s">
        <v>1373</v>
      </c>
      <c r="D19" s="73"/>
      <c r="E19" s="74" t="s">
        <v>1529</v>
      </c>
      <c r="F19" s="74" t="s">
        <v>1453</v>
      </c>
      <c r="G19" s="74" t="s">
        <v>1526</v>
      </c>
      <c r="H19" s="74"/>
      <c r="I19" s="74"/>
      <c r="J19" s="74"/>
      <c r="K19" s="74"/>
      <c r="L19" s="74"/>
      <c r="M19" s="75"/>
      <c r="O19" s="70"/>
      <c r="P19" s="70"/>
    </row>
    <row r="20" spans="2:16">
      <c r="B20" s="71" t="s">
        <v>1169</v>
      </c>
      <c r="C20" s="72" t="s">
        <v>1367</v>
      </c>
      <c r="D20" s="73"/>
      <c r="E20" s="74" t="s">
        <v>1449</v>
      </c>
      <c r="F20" s="74" t="s">
        <v>1455</v>
      </c>
      <c r="G20" s="74" t="s">
        <v>1456</v>
      </c>
      <c r="H20" s="74" t="s">
        <v>1523</v>
      </c>
      <c r="I20" s="74"/>
      <c r="J20" s="74"/>
      <c r="K20" s="74"/>
      <c r="L20" s="74"/>
      <c r="M20" s="75"/>
      <c r="O20" s="70"/>
      <c r="P20" s="70"/>
    </row>
    <row r="21" spans="2:16">
      <c r="B21" s="71" t="s">
        <v>1177</v>
      </c>
      <c r="C21" s="72" t="s">
        <v>1374</v>
      </c>
      <c r="D21" s="73"/>
      <c r="E21" s="74" t="s">
        <v>1524</v>
      </c>
      <c r="F21" s="74" t="s">
        <v>1448</v>
      </c>
      <c r="G21" s="74" t="s">
        <v>1530</v>
      </c>
      <c r="H21" s="74" t="s">
        <v>1457</v>
      </c>
      <c r="I21" s="74"/>
      <c r="J21" s="74"/>
      <c r="K21" s="74"/>
      <c r="L21" s="74"/>
      <c r="M21" s="75"/>
      <c r="O21" s="70"/>
      <c r="P21" s="70"/>
    </row>
    <row r="22" spans="2:16">
      <c r="B22" s="71" t="s">
        <v>1178</v>
      </c>
      <c r="C22" s="72" t="s">
        <v>1233</v>
      </c>
      <c r="D22" s="73"/>
      <c r="E22" s="74" t="s">
        <v>1531</v>
      </c>
      <c r="F22" s="74" t="s">
        <v>1454</v>
      </c>
      <c r="G22" s="74" t="s">
        <v>1528</v>
      </c>
      <c r="H22" s="74" t="s">
        <v>1532</v>
      </c>
      <c r="I22" s="74"/>
      <c r="J22" s="74"/>
      <c r="K22" s="74"/>
      <c r="L22" s="74"/>
      <c r="M22" s="75"/>
      <c r="O22" s="70"/>
      <c r="P22" s="70"/>
    </row>
    <row r="23" spans="2:16">
      <c r="B23" s="71" t="s">
        <v>170</v>
      </c>
      <c r="C23" s="72" t="s">
        <v>389</v>
      </c>
      <c r="D23" s="73"/>
      <c r="E23" s="74" t="s">
        <v>1524</v>
      </c>
      <c r="F23" s="74" t="s">
        <v>1454</v>
      </c>
      <c r="G23" s="74" t="s">
        <v>1455</v>
      </c>
      <c r="H23" s="74" t="s">
        <v>1456</v>
      </c>
      <c r="I23" s="74" t="s">
        <v>1457</v>
      </c>
      <c r="J23" s="74"/>
      <c r="K23" s="74"/>
      <c r="L23" s="74"/>
      <c r="M23" s="75"/>
      <c r="O23" s="70"/>
      <c r="P23" s="70"/>
    </row>
    <row r="24" spans="2:16">
      <c r="B24" s="71" t="s">
        <v>1179</v>
      </c>
      <c r="C24" s="72" t="s">
        <v>1376</v>
      </c>
      <c r="D24" s="73"/>
      <c r="E24" s="74" t="s">
        <v>1450</v>
      </c>
      <c r="F24" s="74" t="s">
        <v>1453</v>
      </c>
      <c r="G24" s="74" t="s">
        <v>1455</v>
      </c>
      <c r="H24" s="74" t="s">
        <v>1523</v>
      </c>
      <c r="I24" s="74"/>
      <c r="J24" s="74"/>
      <c r="K24" s="74"/>
      <c r="L24" s="74"/>
      <c r="M24" s="75"/>
      <c r="O24" s="70"/>
      <c r="P24" s="70"/>
    </row>
    <row r="25" spans="2:16">
      <c r="B25" s="71"/>
      <c r="C25" s="72"/>
      <c r="D25" s="73"/>
      <c r="E25" s="74"/>
      <c r="F25" s="74"/>
      <c r="G25" s="74"/>
      <c r="H25" s="74"/>
      <c r="I25" s="74"/>
      <c r="J25" s="74"/>
      <c r="K25" s="74"/>
      <c r="L25" s="74"/>
      <c r="M25" s="75"/>
      <c r="O25" s="70"/>
      <c r="P25" s="70"/>
    </row>
    <row r="26" spans="2:16">
      <c r="B26" s="71" t="s">
        <v>1180</v>
      </c>
      <c r="C26" s="72" t="s">
        <v>1533</v>
      </c>
      <c r="D26" s="73"/>
      <c r="E26" s="74" t="s">
        <v>1456</v>
      </c>
      <c r="F26" s="74" t="s">
        <v>1453</v>
      </c>
      <c r="G26" s="74" t="s">
        <v>1534</v>
      </c>
      <c r="H26" s="74"/>
      <c r="I26" s="74"/>
      <c r="J26" s="74"/>
      <c r="K26" s="74"/>
      <c r="L26" s="74"/>
      <c r="M26" s="75"/>
      <c r="O26" s="70"/>
      <c r="P26" s="70"/>
    </row>
    <row r="27" spans="2:16">
      <c r="B27" s="71" t="s">
        <v>143</v>
      </c>
      <c r="C27" s="72" t="s">
        <v>1378</v>
      </c>
      <c r="D27" s="73"/>
      <c r="E27" s="74" t="s">
        <v>1531</v>
      </c>
      <c r="F27" s="74" t="s">
        <v>1453</v>
      </c>
      <c r="G27" s="74" t="s">
        <v>1449</v>
      </c>
      <c r="H27" s="74" t="s">
        <v>1455</v>
      </c>
      <c r="I27" s="74" t="s">
        <v>1523</v>
      </c>
      <c r="J27" s="74"/>
      <c r="K27" s="74"/>
      <c r="L27" s="74"/>
      <c r="M27" s="75"/>
      <c r="O27" s="70"/>
      <c r="P27" s="70"/>
    </row>
    <row r="28" spans="2:16">
      <c r="B28" s="71" t="s">
        <v>1181</v>
      </c>
      <c r="C28" s="72" t="s">
        <v>1379</v>
      </c>
      <c r="D28" s="73"/>
      <c r="E28" s="74" t="s">
        <v>1535</v>
      </c>
      <c r="F28" s="74" t="s">
        <v>1453</v>
      </c>
      <c r="G28" s="74" t="s">
        <v>1526</v>
      </c>
      <c r="H28" s="74"/>
      <c r="I28" s="74"/>
      <c r="J28" s="74"/>
      <c r="K28" s="74"/>
      <c r="L28" s="74"/>
      <c r="M28" s="75"/>
    </row>
    <row r="29" spans="2:16">
      <c r="B29" s="71" t="s">
        <v>1182</v>
      </c>
      <c r="C29" s="72" t="s">
        <v>1236</v>
      </c>
      <c r="D29" s="73"/>
      <c r="E29" s="74" t="s">
        <v>1524</v>
      </c>
      <c r="F29" s="74" t="s">
        <v>1448</v>
      </c>
      <c r="G29" s="74" t="s">
        <v>1455</v>
      </c>
      <c r="H29" s="74" t="s">
        <v>1457</v>
      </c>
      <c r="I29" s="74"/>
      <c r="J29" s="74"/>
      <c r="K29" s="74"/>
      <c r="L29" s="74"/>
      <c r="M29" s="75"/>
      <c r="O29" s="70"/>
      <c r="P29" s="70"/>
    </row>
    <row r="30" spans="2:16">
      <c r="B30" s="71" t="s">
        <v>169</v>
      </c>
      <c r="C30" s="72" t="s">
        <v>483</v>
      </c>
      <c r="D30" s="73"/>
      <c r="E30" s="74" t="s">
        <v>1528</v>
      </c>
      <c r="F30" s="74" t="s">
        <v>1448</v>
      </c>
      <c r="G30" s="74" t="s">
        <v>1453</v>
      </c>
      <c r="H30" s="74" t="s">
        <v>1457</v>
      </c>
      <c r="I30" s="74"/>
      <c r="J30" s="74"/>
      <c r="K30" s="74"/>
      <c r="L30" s="74"/>
      <c r="M30" s="75"/>
      <c r="O30" s="70"/>
      <c r="P30" s="70"/>
    </row>
    <row r="31" spans="2:16">
      <c r="B31" s="71" t="s">
        <v>23</v>
      </c>
      <c r="C31" s="72"/>
      <c r="D31" s="73"/>
      <c r="E31" s="74"/>
      <c r="F31" s="74"/>
      <c r="G31" s="74"/>
      <c r="H31" s="74"/>
      <c r="I31" s="74"/>
      <c r="J31" s="74"/>
      <c r="K31" s="74"/>
      <c r="L31" s="74"/>
      <c r="M31" s="75"/>
      <c r="O31" s="70"/>
      <c r="P31" s="70"/>
    </row>
    <row r="32" spans="2:16">
      <c r="B32" s="71" t="s">
        <v>168</v>
      </c>
      <c r="C32" s="72" t="s">
        <v>1381</v>
      </c>
      <c r="D32" s="73"/>
      <c r="E32" s="74" t="s">
        <v>1521</v>
      </c>
      <c r="F32" s="74" t="s">
        <v>1523</v>
      </c>
      <c r="G32" s="74"/>
      <c r="H32" s="74"/>
      <c r="I32" s="74"/>
      <c r="J32" s="74"/>
      <c r="K32" s="74"/>
      <c r="L32" s="74"/>
      <c r="M32" s="75"/>
      <c r="O32" s="70"/>
      <c r="P32" s="70"/>
    </row>
    <row r="33" spans="2:16">
      <c r="B33" s="71" t="s">
        <v>81</v>
      </c>
      <c r="C33" s="72" t="s">
        <v>1291</v>
      </c>
      <c r="D33" s="73"/>
      <c r="E33" s="74" t="s">
        <v>1450</v>
      </c>
      <c r="F33" s="74" t="s">
        <v>1449</v>
      </c>
      <c r="G33" s="74" t="s">
        <v>1455</v>
      </c>
      <c r="H33" s="74" t="s">
        <v>1456</v>
      </c>
      <c r="I33" s="74" t="s">
        <v>1457</v>
      </c>
      <c r="J33" s="74"/>
      <c r="K33" s="74"/>
      <c r="L33" s="74"/>
      <c r="M33" s="75"/>
      <c r="O33" s="70"/>
      <c r="P33" s="70"/>
    </row>
    <row r="34" spans="2:16">
      <c r="B34" s="71" t="s">
        <v>1183</v>
      </c>
      <c r="C34" s="72" t="s">
        <v>1438</v>
      </c>
      <c r="D34" s="73"/>
      <c r="E34" s="74" t="s">
        <v>1456</v>
      </c>
      <c r="F34" s="74" t="s">
        <v>1454</v>
      </c>
      <c r="G34" s="74" t="s">
        <v>1524</v>
      </c>
      <c r="H34" s="74" t="s">
        <v>1451</v>
      </c>
      <c r="I34" s="74"/>
      <c r="J34" s="74"/>
      <c r="K34" s="74"/>
      <c r="L34" s="74"/>
      <c r="M34" s="75"/>
      <c r="O34" s="70"/>
      <c r="P34" s="70"/>
    </row>
    <row r="35" spans="2:16">
      <c r="B35" s="71" t="s">
        <v>1184</v>
      </c>
      <c r="C35" s="72" t="s">
        <v>1446</v>
      </c>
      <c r="D35" s="73"/>
      <c r="E35" s="74" t="s">
        <v>1456</v>
      </c>
      <c r="F35" s="74" t="s">
        <v>1454</v>
      </c>
      <c r="G35" s="74" t="s">
        <v>1455</v>
      </c>
      <c r="H35" s="74" t="s">
        <v>1456</v>
      </c>
      <c r="I35" s="74" t="s">
        <v>1526</v>
      </c>
      <c r="J35" s="74"/>
      <c r="K35" s="74"/>
      <c r="L35" s="74"/>
      <c r="M35" s="75"/>
      <c r="O35" s="70"/>
      <c r="P35" s="70"/>
    </row>
    <row r="36" spans="2:16">
      <c r="B36" s="71" t="s">
        <v>1185</v>
      </c>
      <c r="C36" s="72" t="s">
        <v>337</v>
      </c>
      <c r="D36" s="73"/>
      <c r="E36" s="74" t="s">
        <v>1528</v>
      </c>
      <c r="F36" s="74" t="s">
        <v>1453</v>
      </c>
      <c r="G36" s="74" t="s">
        <v>1526</v>
      </c>
      <c r="H36" s="74"/>
      <c r="I36" s="74"/>
      <c r="J36" s="74"/>
      <c r="K36" s="74"/>
      <c r="L36" s="74"/>
      <c r="M36" s="75"/>
      <c r="O36" s="70"/>
      <c r="P36" s="70"/>
    </row>
    <row r="37" spans="2:16">
      <c r="B37" s="71"/>
      <c r="C37" s="72"/>
      <c r="D37" s="73"/>
      <c r="E37" s="74"/>
      <c r="F37" s="74"/>
      <c r="G37" s="74"/>
      <c r="H37" s="74"/>
      <c r="I37" s="74"/>
      <c r="J37" s="74"/>
      <c r="K37" s="74"/>
      <c r="L37" s="74"/>
      <c r="M37" s="75"/>
      <c r="O37" s="70"/>
      <c r="P37" s="70"/>
    </row>
    <row r="38" spans="2:16">
      <c r="B38" s="71" t="s">
        <v>1186</v>
      </c>
      <c r="C38" s="72" t="s">
        <v>1536</v>
      </c>
      <c r="D38" s="73"/>
      <c r="E38" s="74" t="s">
        <v>1537</v>
      </c>
      <c r="F38" s="74" t="s">
        <v>1449</v>
      </c>
      <c r="G38" s="74" t="s">
        <v>1450</v>
      </c>
      <c r="H38" s="74" t="s">
        <v>1451</v>
      </c>
      <c r="I38" s="74"/>
      <c r="J38" s="74"/>
      <c r="K38" s="74"/>
      <c r="L38" s="74"/>
      <c r="M38" s="75"/>
      <c r="O38" s="70"/>
      <c r="P38" s="70"/>
    </row>
    <row r="39" spans="2:16">
      <c r="B39" s="71" t="s">
        <v>1187</v>
      </c>
      <c r="C39" s="72" t="s">
        <v>1538</v>
      </c>
      <c r="D39" s="73"/>
      <c r="E39" s="74" t="s">
        <v>1450</v>
      </c>
      <c r="F39" s="74" t="s">
        <v>1449</v>
      </c>
      <c r="G39" s="74" t="s">
        <v>1454</v>
      </c>
      <c r="H39" s="74" t="s">
        <v>1523</v>
      </c>
      <c r="I39" s="74"/>
      <c r="J39" s="74"/>
      <c r="K39" s="74"/>
      <c r="L39" s="74"/>
      <c r="M39" s="75"/>
      <c r="O39" s="70"/>
      <c r="P39" s="70"/>
    </row>
    <row r="40" spans="2:16">
      <c r="B40" s="71" t="s">
        <v>1188</v>
      </c>
      <c r="C40" s="72" t="s">
        <v>49</v>
      </c>
      <c r="D40" s="73"/>
      <c r="E40" s="74" t="s">
        <v>1525</v>
      </c>
      <c r="F40" s="74" t="s">
        <v>1453</v>
      </c>
      <c r="G40" s="74" t="s">
        <v>1526</v>
      </c>
      <c r="H40" s="74"/>
      <c r="I40" s="74"/>
      <c r="J40" s="74"/>
      <c r="K40" s="74"/>
      <c r="L40" s="74"/>
      <c r="M40" s="75"/>
      <c r="O40" s="70"/>
      <c r="P40" s="70"/>
    </row>
    <row r="41" spans="2:16">
      <c r="B41" s="71" t="s">
        <v>19</v>
      </c>
      <c r="C41" s="72" t="s">
        <v>1386</v>
      </c>
      <c r="D41" s="73"/>
      <c r="E41" s="74" t="s">
        <v>1537</v>
      </c>
      <c r="F41" s="74" t="s">
        <v>1448</v>
      </c>
      <c r="G41" s="74" t="s">
        <v>1523</v>
      </c>
      <c r="H41" s="74"/>
      <c r="I41" s="74"/>
      <c r="J41" s="74"/>
      <c r="K41" s="74"/>
      <c r="L41" s="74"/>
      <c r="M41" s="75"/>
      <c r="O41" s="70"/>
      <c r="P41" s="70"/>
    </row>
    <row r="42" spans="2:16">
      <c r="B42" s="71" t="s">
        <v>1189</v>
      </c>
      <c r="C42" s="72" t="s">
        <v>1303</v>
      </c>
      <c r="D42" s="73"/>
      <c r="E42" s="74" t="s">
        <v>1456</v>
      </c>
      <c r="F42" s="74" t="s">
        <v>1449</v>
      </c>
      <c r="G42" s="74" t="s">
        <v>1457</v>
      </c>
      <c r="H42" s="74"/>
      <c r="I42" s="74"/>
      <c r="J42" s="74"/>
      <c r="K42" s="74"/>
      <c r="L42" s="74"/>
      <c r="M42" s="75"/>
      <c r="O42" s="70"/>
      <c r="P42" s="70"/>
    </row>
    <row r="43" spans="2:16">
      <c r="B43" s="71" t="s">
        <v>1190</v>
      </c>
      <c r="C43" s="72" t="s">
        <v>1304</v>
      </c>
      <c r="D43" s="73"/>
      <c r="E43" s="74" t="s">
        <v>1450</v>
      </c>
      <c r="F43" s="74" t="s">
        <v>1453</v>
      </c>
      <c r="G43" s="74" t="s">
        <v>1449</v>
      </c>
      <c r="H43" s="74" t="s">
        <v>1521</v>
      </c>
      <c r="I43" s="74" t="s">
        <v>1457</v>
      </c>
      <c r="J43" s="74"/>
      <c r="K43" s="74"/>
      <c r="L43" s="74"/>
      <c r="M43" s="75"/>
      <c r="O43" s="70"/>
      <c r="P43" s="70"/>
    </row>
    <row r="44" spans="2:16">
      <c r="B44" s="71" t="s">
        <v>253</v>
      </c>
      <c r="C44" s="72" t="s">
        <v>452</v>
      </c>
      <c r="D44" s="73"/>
      <c r="E44" s="74" t="s">
        <v>1447</v>
      </c>
      <c r="F44" s="74" t="s">
        <v>1453</v>
      </c>
      <c r="G44" s="74" t="s">
        <v>1521</v>
      </c>
      <c r="H44" s="74" t="s">
        <v>1457</v>
      </c>
      <c r="I44" s="74"/>
      <c r="J44" s="74"/>
      <c r="K44" s="74"/>
      <c r="L44" s="74"/>
      <c r="M44" s="75"/>
      <c r="O44" s="70"/>
      <c r="P44" s="70"/>
    </row>
    <row r="45" spans="2:16">
      <c r="B45" s="71" t="s">
        <v>1191</v>
      </c>
      <c r="C45" s="72" t="s">
        <v>1252</v>
      </c>
      <c r="D45" s="73"/>
      <c r="E45" s="74" t="s">
        <v>1524</v>
      </c>
      <c r="F45" s="74" t="s">
        <v>1453</v>
      </c>
      <c r="G45" s="74" t="s">
        <v>1457</v>
      </c>
      <c r="H45" s="74"/>
      <c r="I45" s="74"/>
      <c r="J45" s="74"/>
      <c r="K45" s="74"/>
      <c r="L45" s="74"/>
      <c r="M45" s="75"/>
    </row>
    <row r="46" spans="2:16">
      <c r="B46" s="71" t="s">
        <v>296</v>
      </c>
      <c r="C46" s="72" t="s">
        <v>1391</v>
      </c>
      <c r="D46" s="73"/>
      <c r="E46" s="74" t="s">
        <v>1529</v>
      </c>
      <c r="F46" s="74" t="s">
        <v>1529</v>
      </c>
      <c r="G46" s="74" t="s">
        <v>1453</v>
      </c>
      <c r="H46" s="74" t="s">
        <v>1523</v>
      </c>
      <c r="I46" s="74"/>
      <c r="J46" s="74"/>
      <c r="K46" s="74"/>
      <c r="L46" s="74"/>
      <c r="M46" s="75"/>
    </row>
    <row r="47" spans="2:16">
      <c r="B47" s="71"/>
      <c r="C47" s="72"/>
      <c r="D47" s="73"/>
      <c r="E47" s="74"/>
      <c r="F47" s="74"/>
      <c r="G47" s="74"/>
      <c r="H47" s="74"/>
      <c r="I47" s="74"/>
      <c r="J47" s="74"/>
      <c r="K47" s="74"/>
      <c r="L47" s="74"/>
      <c r="M47" s="75"/>
    </row>
    <row r="48" spans="2:16">
      <c r="B48" s="71" t="s">
        <v>20</v>
      </c>
      <c r="C48" s="72" t="s">
        <v>1392</v>
      </c>
      <c r="D48" s="73"/>
      <c r="E48" s="74" t="s">
        <v>1531</v>
      </c>
      <c r="F48" s="74" t="s">
        <v>1453</v>
      </c>
      <c r="G48" s="74" t="s">
        <v>1450</v>
      </c>
      <c r="H48" s="74" t="s">
        <v>1532</v>
      </c>
      <c r="I48" s="74"/>
      <c r="J48" s="74"/>
      <c r="K48" s="74"/>
      <c r="L48" s="74"/>
      <c r="M48" s="75"/>
    </row>
    <row r="49" spans="2:13">
      <c r="B49" s="71" t="s">
        <v>1192</v>
      </c>
      <c r="C49" s="72" t="s">
        <v>56</v>
      </c>
      <c r="D49" s="73"/>
      <c r="E49" s="74" t="s">
        <v>1447</v>
      </c>
      <c r="F49" s="74" t="s">
        <v>1448</v>
      </c>
      <c r="G49" s="74" t="s">
        <v>1457</v>
      </c>
      <c r="H49" s="74"/>
      <c r="I49" s="74"/>
      <c r="J49" s="74"/>
      <c r="K49" s="74"/>
      <c r="L49" s="74"/>
      <c r="M49" s="75"/>
    </row>
    <row r="50" spans="2:13">
      <c r="B50" s="71" t="s">
        <v>1171</v>
      </c>
      <c r="C50" s="72" t="s">
        <v>1368</v>
      </c>
      <c r="D50" s="73"/>
      <c r="E50" s="74" t="s">
        <v>1535</v>
      </c>
      <c r="F50" s="74" t="s">
        <v>1449</v>
      </c>
      <c r="G50" s="74" t="s">
        <v>1523</v>
      </c>
      <c r="H50" s="74"/>
      <c r="I50" s="74"/>
      <c r="J50" s="74"/>
      <c r="K50" s="74"/>
      <c r="L50" s="74"/>
      <c r="M50" s="75"/>
    </row>
    <row r="51" spans="2:13">
      <c r="B51" s="71" t="s">
        <v>1193</v>
      </c>
      <c r="C51" s="72" t="s">
        <v>1395</v>
      </c>
      <c r="D51" s="73"/>
      <c r="E51" s="74" t="s">
        <v>1529</v>
      </c>
      <c r="F51" s="74" t="s">
        <v>1529</v>
      </c>
      <c r="G51" s="74" t="s">
        <v>1449</v>
      </c>
      <c r="H51" s="74" t="s">
        <v>1455</v>
      </c>
      <c r="I51" s="74" t="s">
        <v>1456</v>
      </c>
      <c r="J51" s="74" t="s">
        <v>1523</v>
      </c>
      <c r="K51" s="74"/>
      <c r="L51" s="74"/>
      <c r="M51" s="75"/>
    </row>
    <row r="52" spans="2:13">
      <c r="B52" s="71" t="s">
        <v>273</v>
      </c>
      <c r="C52" s="72" t="s">
        <v>1398</v>
      </c>
      <c r="D52" s="73"/>
      <c r="E52" s="74" t="s">
        <v>1537</v>
      </c>
      <c r="F52" s="74" t="s">
        <v>1453</v>
      </c>
      <c r="G52" s="74" t="s">
        <v>1523</v>
      </c>
      <c r="H52" s="74"/>
      <c r="I52" s="74"/>
      <c r="J52" s="74"/>
      <c r="K52" s="74"/>
      <c r="L52" s="74"/>
      <c r="M52" s="75"/>
    </row>
    <row r="53" spans="2:13">
      <c r="B53" s="71" t="s">
        <v>1194</v>
      </c>
      <c r="C53" s="72" t="s">
        <v>1539</v>
      </c>
      <c r="D53" s="73"/>
      <c r="E53" s="74" t="s">
        <v>1531</v>
      </c>
      <c r="F53" s="74" t="s">
        <v>1453</v>
      </c>
      <c r="G53" s="74" t="s">
        <v>1526</v>
      </c>
      <c r="H53" s="74"/>
      <c r="I53" s="74"/>
      <c r="J53" s="74"/>
      <c r="K53" s="74"/>
      <c r="L53" s="74"/>
      <c r="M53" s="75"/>
    </row>
    <row r="54" spans="2:13">
      <c r="B54" s="71" t="s">
        <v>31</v>
      </c>
      <c r="C54" s="72" t="s">
        <v>1400</v>
      </c>
      <c r="D54" s="73"/>
      <c r="E54" s="74" t="s">
        <v>1525</v>
      </c>
      <c r="F54" s="74" t="s">
        <v>1453</v>
      </c>
      <c r="G54" s="74" t="s">
        <v>1450</v>
      </c>
      <c r="H54" s="74" t="s">
        <v>1532</v>
      </c>
      <c r="I54" s="74"/>
      <c r="J54" s="74"/>
      <c r="K54" s="74"/>
      <c r="L54" s="74"/>
      <c r="M54" s="75"/>
    </row>
    <row r="55" spans="2:13">
      <c r="B55" s="71" t="s">
        <v>37</v>
      </c>
      <c r="C55" s="72" t="s">
        <v>1402</v>
      </c>
      <c r="D55" s="73"/>
      <c r="E55" s="74" t="s">
        <v>1531</v>
      </c>
      <c r="F55" s="74" t="s">
        <v>1449</v>
      </c>
      <c r="G55" s="74" t="s">
        <v>1455</v>
      </c>
      <c r="H55" s="74" t="s">
        <v>1456</v>
      </c>
      <c r="I55" s="74" t="s">
        <v>1523</v>
      </c>
      <c r="J55" s="74"/>
      <c r="K55" s="74"/>
      <c r="L55" s="74"/>
      <c r="M55" s="75"/>
    </row>
    <row r="56" spans="2:13">
      <c r="B56" s="71" t="s">
        <v>23</v>
      </c>
      <c r="C56" s="72"/>
      <c r="D56" s="73"/>
      <c r="E56" s="74"/>
      <c r="F56" s="74"/>
      <c r="G56" s="74"/>
      <c r="H56" s="74"/>
      <c r="I56" s="74"/>
      <c r="J56" s="74"/>
      <c r="K56" s="74"/>
      <c r="L56" s="74"/>
      <c r="M56" s="75"/>
    </row>
    <row r="57" spans="2:13">
      <c r="B57" s="71" t="s">
        <v>1195</v>
      </c>
      <c r="C57" s="72" t="s">
        <v>1439</v>
      </c>
      <c r="D57" s="73"/>
      <c r="E57" s="74" t="s">
        <v>1529</v>
      </c>
      <c r="F57" s="74" t="s">
        <v>1529</v>
      </c>
      <c r="G57" s="74" t="s">
        <v>1455</v>
      </c>
      <c r="H57" s="74" t="s">
        <v>1453</v>
      </c>
      <c r="I57" s="74" t="s">
        <v>1523</v>
      </c>
      <c r="J57" s="74"/>
      <c r="K57" s="74"/>
      <c r="L57" s="74"/>
      <c r="M57" s="75"/>
    </row>
    <row r="58" spans="2:13">
      <c r="B58" s="71" t="s">
        <v>1195</v>
      </c>
      <c r="C58" s="72" t="s">
        <v>1439</v>
      </c>
      <c r="D58" s="73"/>
      <c r="E58" s="74" t="s">
        <v>1529</v>
      </c>
      <c r="F58" s="74" t="s">
        <v>1529</v>
      </c>
      <c r="G58" s="74" t="s">
        <v>1455</v>
      </c>
      <c r="H58" s="74" t="s">
        <v>1453</v>
      </c>
      <c r="I58" s="74" t="s">
        <v>1523</v>
      </c>
      <c r="J58" s="74"/>
      <c r="K58" s="74"/>
      <c r="L58" s="74"/>
      <c r="M58" s="75"/>
    </row>
    <row r="59" spans="2:13">
      <c r="B59" s="71" t="s">
        <v>157</v>
      </c>
      <c r="C59" s="72" t="s">
        <v>1580</v>
      </c>
      <c r="D59" s="73"/>
      <c r="E59" s="74" t="s">
        <v>1525</v>
      </c>
      <c r="F59" s="74" t="s">
        <v>1453</v>
      </c>
      <c r="G59" s="74" t="s">
        <v>1455</v>
      </c>
      <c r="H59" s="74" t="s">
        <v>1456</v>
      </c>
      <c r="I59" s="74" t="s">
        <v>1523</v>
      </c>
      <c r="J59" s="74"/>
      <c r="K59" s="74"/>
      <c r="L59" s="74"/>
      <c r="M59" s="75"/>
    </row>
    <row r="60" spans="2:13">
      <c r="B60" s="71" t="s">
        <v>1196</v>
      </c>
      <c r="C60" s="72" t="s">
        <v>1581</v>
      </c>
      <c r="D60" s="73"/>
      <c r="E60" s="74" t="s">
        <v>1535</v>
      </c>
      <c r="F60" s="74" t="s">
        <v>1453</v>
      </c>
      <c r="G60" s="74" t="s">
        <v>1534</v>
      </c>
      <c r="H60" s="74"/>
      <c r="I60" s="74"/>
      <c r="J60" s="74"/>
      <c r="K60" s="74"/>
      <c r="L60" s="74"/>
      <c r="M60" s="75"/>
    </row>
    <row r="61" spans="2:13">
      <c r="B61" s="71" t="s">
        <v>23</v>
      </c>
      <c r="C61" s="72"/>
      <c r="D61" s="73"/>
      <c r="E61" s="74"/>
      <c r="F61" s="74"/>
      <c r="G61" s="74"/>
      <c r="H61" s="74"/>
      <c r="I61" s="74"/>
      <c r="J61" s="74"/>
      <c r="K61" s="74"/>
      <c r="L61" s="74"/>
      <c r="M61" s="75"/>
    </row>
    <row r="62" spans="2:13">
      <c r="B62" s="71" t="s">
        <v>1193</v>
      </c>
      <c r="C62" s="72" t="s">
        <v>1395</v>
      </c>
      <c r="D62" s="73"/>
      <c r="E62" s="74" t="s">
        <v>1529</v>
      </c>
      <c r="F62" s="74" t="s">
        <v>1529</v>
      </c>
      <c r="G62" s="74" t="s">
        <v>1449</v>
      </c>
      <c r="H62" s="74" t="s">
        <v>1455</v>
      </c>
      <c r="I62" s="74" t="s">
        <v>1456</v>
      </c>
      <c r="J62" s="74" t="s">
        <v>1523</v>
      </c>
      <c r="K62" s="74"/>
      <c r="L62" s="74"/>
      <c r="M62" s="75"/>
    </row>
    <row r="63" spans="2:13">
      <c r="B63" s="71" t="s">
        <v>1197</v>
      </c>
      <c r="C63" s="72" t="s">
        <v>1551</v>
      </c>
      <c r="D63" s="73"/>
      <c r="E63" s="74" t="s">
        <v>1550</v>
      </c>
      <c r="F63" s="74" t="s">
        <v>1455</v>
      </c>
      <c r="G63" s="74" t="s">
        <v>1453</v>
      </c>
      <c r="H63" s="74" t="s">
        <v>1526</v>
      </c>
      <c r="I63" s="74"/>
      <c r="J63" s="74"/>
      <c r="K63" s="74"/>
      <c r="L63" s="74"/>
      <c r="M63" s="75"/>
    </row>
    <row r="64" spans="2:13">
      <c r="B64" s="71" t="s">
        <v>1198</v>
      </c>
      <c r="C64" s="72" t="s">
        <v>1577</v>
      </c>
      <c r="D64" s="73"/>
      <c r="E64" s="74" t="s">
        <v>1529</v>
      </c>
      <c r="F64" s="74" t="s">
        <v>1453</v>
      </c>
      <c r="G64" s="74" t="s">
        <v>1449</v>
      </c>
      <c r="H64" s="74" t="s">
        <v>1455</v>
      </c>
      <c r="I64" s="74" t="s">
        <v>1534</v>
      </c>
      <c r="J64" s="74"/>
      <c r="K64" s="74"/>
      <c r="L64" s="74"/>
      <c r="M64" s="75"/>
    </row>
    <row r="65" spans="2:13">
      <c r="B65" s="71" t="s">
        <v>1199</v>
      </c>
      <c r="C65" s="72" t="s">
        <v>1267</v>
      </c>
      <c r="D65" s="73"/>
      <c r="E65" s="74" t="s">
        <v>1447</v>
      </c>
      <c r="F65" s="74" t="s">
        <v>1453</v>
      </c>
      <c r="G65" s="74" t="s">
        <v>1455</v>
      </c>
      <c r="H65" s="74" t="s">
        <v>1456</v>
      </c>
      <c r="I65" s="74" t="s">
        <v>1523</v>
      </c>
      <c r="J65" s="74"/>
      <c r="K65" s="74"/>
      <c r="L65" s="74"/>
      <c r="M65" s="75"/>
    </row>
    <row r="66" spans="2:13">
      <c r="B66" s="71" t="s">
        <v>176</v>
      </c>
      <c r="C66" s="72" t="s">
        <v>351</v>
      </c>
      <c r="D66" s="73"/>
      <c r="E66" s="74" t="s">
        <v>1528</v>
      </c>
      <c r="F66" s="74" t="s">
        <v>1449</v>
      </c>
      <c r="G66" s="74" t="s">
        <v>1455</v>
      </c>
      <c r="H66" s="74" t="s">
        <v>1456</v>
      </c>
      <c r="I66" s="74" t="s">
        <v>1457</v>
      </c>
      <c r="J66" s="74"/>
      <c r="K66" s="74"/>
      <c r="L66" s="74"/>
      <c r="M66" s="75"/>
    </row>
    <row r="67" spans="2:13">
      <c r="B67" s="71"/>
      <c r="C67" s="72"/>
      <c r="D67" s="73"/>
      <c r="E67" s="74"/>
      <c r="F67" s="74"/>
      <c r="G67" s="74"/>
      <c r="H67" s="74"/>
      <c r="I67" s="74"/>
      <c r="J67" s="74"/>
      <c r="K67" s="74"/>
      <c r="L67" s="74"/>
      <c r="M67" s="75"/>
    </row>
    <row r="68" spans="2:13">
      <c r="B68" s="71" t="s">
        <v>1200</v>
      </c>
      <c r="C68" s="72" t="s">
        <v>1274</v>
      </c>
      <c r="D68" s="73"/>
      <c r="E68" s="74" t="s">
        <v>1550</v>
      </c>
      <c r="F68" s="74" t="s">
        <v>1453</v>
      </c>
      <c r="G68" s="74" t="s">
        <v>1455</v>
      </c>
      <c r="H68" s="74" t="s">
        <v>1457</v>
      </c>
      <c r="I68" s="74"/>
      <c r="J68" s="74"/>
      <c r="K68" s="74"/>
      <c r="L68" s="74"/>
      <c r="M68" s="75"/>
    </row>
    <row r="69" spans="2:13">
      <c r="B69" s="71" t="s">
        <v>1201</v>
      </c>
      <c r="C69" s="72" t="s">
        <v>1407</v>
      </c>
      <c r="D69" s="73"/>
      <c r="E69" s="74" t="s">
        <v>1550</v>
      </c>
      <c r="F69" s="74" t="s">
        <v>1455</v>
      </c>
      <c r="G69" s="74" t="s">
        <v>1453</v>
      </c>
      <c r="H69" s="74" t="s">
        <v>1448</v>
      </c>
      <c r="I69" s="74" t="s">
        <v>1523</v>
      </c>
      <c r="J69" s="74"/>
      <c r="K69" s="74"/>
      <c r="L69" s="74"/>
      <c r="M69" s="75"/>
    </row>
    <row r="70" spans="2:13">
      <c r="B70" s="71" t="s">
        <v>1194</v>
      </c>
      <c r="C70" s="72" t="s">
        <v>1539</v>
      </c>
      <c r="D70" s="73"/>
      <c r="E70" s="74" t="s">
        <v>1531</v>
      </c>
      <c r="F70" s="74" t="s">
        <v>1453</v>
      </c>
      <c r="G70" s="74" t="s">
        <v>1526</v>
      </c>
      <c r="H70" s="74"/>
      <c r="I70" s="74"/>
      <c r="J70" s="74"/>
      <c r="K70" s="74"/>
      <c r="L70" s="74"/>
      <c r="M70" s="75"/>
    </row>
    <row r="71" spans="2:13">
      <c r="B71" s="71" t="s">
        <v>1202</v>
      </c>
      <c r="C71" s="72" t="s">
        <v>1346</v>
      </c>
      <c r="D71" s="73"/>
      <c r="E71" s="74" t="s">
        <v>1530</v>
      </c>
      <c r="F71" s="74" t="s">
        <v>1523</v>
      </c>
      <c r="G71" s="74"/>
      <c r="H71" s="74"/>
      <c r="I71" s="74"/>
      <c r="J71" s="74"/>
      <c r="K71" s="74"/>
      <c r="L71" s="74"/>
      <c r="M71" s="75"/>
    </row>
    <row r="72" spans="2:13">
      <c r="B72" s="71" t="s">
        <v>1193</v>
      </c>
      <c r="C72" s="72" t="s">
        <v>1395</v>
      </c>
      <c r="D72" s="73"/>
      <c r="E72" s="74" t="s">
        <v>1529</v>
      </c>
      <c r="F72" s="74" t="s">
        <v>1529</v>
      </c>
      <c r="G72" s="74" t="s">
        <v>1449</v>
      </c>
      <c r="H72" s="74" t="s">
        <v>1455</v>
      </c>
      <c r="I72" s="74" t="s">
        <v>1456</v>
      </c>
      <c r="J72" s="74" t="s">
        <v>1523</v>
      </c>
      <c r="K72" s="74"/>
      <c r="L72" s="74"/>
      <c r="M72" s="75"/>
    </row>
    <row r="73" spans="2:13">
      <c r="B73" s="71" t="s">
        <v>23</v>
      </c>
      <c r="C73" s="72"/>
      <c r="D73" s="73"/>
      <c r="E73" s="74"/>
      <c r="F73" s="74"/>
      <c r="G73" s="74"/>
      <c r="H73" s="74"/>
      <c r="I73" s="74"/>
      <c r="J73" s="74"/>
      <c r="K73" s="74"/>
      <c r="L73" s="74"/>
      <c r="M73" s="75"/>
    </row>
    <row r="74" spans="2:13">
      <c r="B74" s="71" t="s">
        <v>1203</v>
      </c>
      <c r="C74" s="72" t="s">
        <v>1410</v>
      </c>
      <c r="D74" s="73"/>
      <c r="E74" s="74" t="s">
        <v>1456</v>
      </c>
      <c r="F74" s="74" t="s">
        <v>1456</v>
      </c>
      <c r="G74" s="74" t="s">
        <v>1448</v>
      </c>
      <c r="H74" s="74" t="s">
        <v>1455</v>
      </c>
      <c r="I74" s="74" t="s">
        <v>1526</v>
      </c>
      <c r="J74" s="74"/>
      <c r="K74" s="74"/>
      <c r="L74" s="74"/>
      <c r="M74" s="75"/>
    </row>
    <row r="75" spans="2:13">
      <c r="B75" s="71" t="s">
        <v>1202</v>
      </c>
      <c r="C75" s="72" t="s">
        <v>1346</v>
      </c>
      <c r="D75" s="73"/>
      <c r="E75" s="74" t="s">
        <v>1530</v>
      </c>
      <c r="F75" s="74" t="s">
        <v>1523</v>
      </c>
      <c r="G75" s="74"/>
      <c r="H75" s="74"/>
      <c r="I75" s="74"/>
      <c r="J75" s="74"/>
      <c r="K75" s="74"/>
      <c r="L75" s="74"/>
      <c r="M75" s="75"/>
    </row>
    <row r="76" spans="2:13">
      <c r="B76" s="71" t="s">
        <v>253</v>
      </c>
      <c r="C76" s="72" t="s">
        <v>452</v>
      </c>
      <c r="D76" s="73"/>
      <c r="E76" s="74" t="s">
        <v>1447</v>
      </c>
      <c r="F76" s="74" t="s">
        <v>1453</v>
      </c>
      <c r="G76" s="74" t="s">
        <v>1521</v>
      </c>
      <c r="H76" s="74" t="s">
        <v>1457</v>
      </c>
      <c r="I76" s="74"/>
      <c r="J76" s="74"/>
      <c r="K76" s="74"/>
      <c r="L76" s="74"/>
      <c r="M76" s="75"/>
    </row>
    <row r="77" spans="2:13">
      <c r="B77" s="71" t="s">
        <v>1204</v>
      </c>
      <c r="C77" s="72" t="s">
        <v>1441</v>
      </c>
      <c r="D77" s="73"/>
      <c r="E77" s="74" t="s">
        <v>1529</v>
      </c>
      <c r="F77" s="74" t="s">
        <v>1529</v>
      </c>
      <c r="G77" s="74" t="s">
        <v>1448</v>
      </c>
      <c r="H77" s="74" t="s">
        <v>1530</v>
      </c>
      <c r="I77" s="74" t="s">
        <v>1523</v>
      </c>
      <c r="J77" s="74"/>
      <c r="K77" s="74"/>
      <c r="L77" s="74"/>
      <c r="M77" s="75"/>
    </row>
    <row r="78" spans="2:13">
      <c r="B78" s="71" t="s">
        <v>1205</v>
      </c>
      <c r="C78" s="72" t="s">
        <v>1560</v>
      </c>
      <c r="D78" s="73"/>
      <c r="E78" s="74" t="s">
        <v>1528</v>
      </c>
      <c r="F78" s="74" t="s">
        <v>1453</v>
      </c>
      <c r="G78" s="74" t="s">
        <v>1455</v>
      </c>
      <c r="H78" s="74" t="s">
        <v>1457</v>
      </c>
      <c r="I78" s="74"/>
      <c r="J78" s="74"/>
      <c r="K78" s="74"/>
      <c r="L78" s="74"/>
      <c r="M78" s="75"/>
    </row>
    <row r="79" spans="2:13">
      <c r="B79" s="71" t="s">
        <v>1206</v>
      </c>
      <c r="C79" s="72" t="s">
        <v>1283</v>
      </c>
      <c r="D79" s="73"/>
      <c r="E79" s="74" t="s">
        <v>1447</v>
      </c>
      <c r="F79" s="74" t="s">
        <v>1449</v>
      </c>
      <c r="G79" s="74" t="s">
        <v>1455</v>
      </c>
      <c r="H79" s="74" t="s">
        <v>1456</v>
      </c>
      <c r="I79" s="74" t="s">
        <v>1457</v>
      </c>
      <c r="J79" s="74"/>
      <c r="K79" s="74"/>
      <c r="L79" s="74"/>
      <c r="M79" s="75"/>
    </row>
    <row r="80" spans="2:13">
      <c r="B80" s="71" t="s">
        <v>23</v>
      </c>
      <c r="C80" s="72"/>
      <c r="D80" s="73"/>
      <c r="E80" s="74"/>
      <c r="F80" s="74"/>
      <c r="G80" s="74"/>
      <c r="H80" s="74"/>
      <c r="I80" s="74"/>
      <c r="J80" s="74"/>
      <c r="K80" s="74"/>
      <c r="L80" s="74"/>
      <c r="M80" s="75"/>
    </row>
    <row r="81" spans="2:13">
      <c r="B81" s="71" t="s">
        <v>273</v>
      </c>
      <c r="C81" s="72" t="s">
        <v>1398</v>
      </c>
      <c r="D81" s="73"/>
      <c r="E81" s="74" t="s">
        <v>1537</v>
      </c>
      <c r="F81" s="74" t="s">
        <v>1453</v>
      </c>
      <c r="G81" s="74" t="s">
        <v>1523</v>
      </c>
      <c r="H81" s="74"/>
      <c r="I81" s="74"/>
      <c r="J81" s="74"/>
      <c r="K81" s="74"/>
      <c r="L81" s="74"/>
      <c r="M81" s="75"/>
    </row>
    <row r="82" spans="2:13">
      <c r="B82" s="71" t="s">
        <v>1194</v>
      </c>
      <c r="C82" s="72" t="s">
        <v>1539</v>
      </c>
      <c r="D82" s="73"/>
      <c r="E82" s="74" t="s">
        <v>1531</v>
      </c>
      <c r="F82" s="74" t="s">
        <v>1453</v>
      </c>
      <c r="G82" s="74" t="s">
        <v>1526</v>
      </c>
      <c r="H82" s="74"/>
      <c r="I82" s="74"/>
      <c r="J82" s="74"/>
      <c r="K82" s="74"/>
      <c r="L82" s="74"/>
      <c r="M82" s="75"/>
    </row>
    <row r="83" spans="2:13">
      <c r="B83" s="71" t="s">
        <v>1207</v>
      </c>
      <c r="C83" s="72" t="s">
        <v>1552</v>
      </c>
      <c r="D83" s="73"/>
      <c r="E83" s="74" t="s">
        <v>1456</v>
      </c>
      <c r="F83" s="74" t="s">
        <v>1456</v>
      </c>
      <c r="G83" s="74" t="s">
        <v>1448</v>
      </c>
      <c r="H83" s="74" t="s">
        <v>1449</v>
      </c>
      <c r="I83" s="74" t="s">
        <v>1526</v>
      </c>
      <c r="J83" s="74"/>
      <c r="K83" s="74"/>
      <c r="L83" s="74"/>
      <c r="M83" s="75"/>
    </row>
    <row r="84" spans="2:13">
      <c r="B84" s="71" t="s">
        <v>253</v>
      </c>
      <c r="C84" s="72" t="s">
        <v>452</v>
      </c>
      <c r="D84" s="73"/>
      <c r="E84" s="74" t="s">
        <v>1447</v>
      </c>
      <c r="F84" s="74" t="s">
        <v>1453</v>
      </c>
      <c r="G84" s="74" t="s">
        <v>1521</v>
      </c>
      <c r="H84" s="74" t="s">
        <v>1457</v>
      </c>
      <c r="I84" s="74"/>
      <c r="J84" s="74"/>
      <c r="K84" s="74"/>
      <c r="L84" s="74"/>
      <c r="M84" s="75"/>
    </row>
    <row r="85" spans="2:13">
      <c r="B85" s="71" t="s">
        <v>245</v>
      </c>
      <c r="C85" s="72" t="s">
        <v>1418</v>
      </c>
      <c r="D85" s="73"/>
      <c r="E85" s="74" t="s">
        <v>1452</v>
      </c>
      <c r="F85" s="74" t="s">
        <v>1453</v>
      </c>
      <c r="G85" s="74" t="s">
        <v>1521</v>
      </c>
      <c r="H85" s="74" t="s">
        <v>1523</v>
      </c>
      <c r="I85" s="74"/>
      <c r="J85" s="74"/>
      <c r="K85" s="74"/>
      <c r="L85" s="74"/>
      <c r="M85" s="75"/>
    </row>
    <row r="86" spans="2:13">
      <c r="B86" s="71" t="s">
        <v>87</v>
      </c>
      <c r="C86" s="72" t="s">
        <v>1419</v>
      </c>
      <c r="D86" s="73"/>
      <c r="E86" s="74" t="s">
        <v>1452</v>
      </c>
      <c r="F86" s="74" t="s">
        <v>1449</v>
      </c>
      <c r="G86" s="74" t="s">
        <v>1455</v>
      </c>
      <c r="H86" s="74" t="s">
        <v>1456</v>
      </c>
      <c r="I86" s="74" t="s">
        <v>1523</v>
      </c>
      <c r="J86" s="74"/>
      <c r="K86" s="74"/>
      <c r="L86" s="74"/>
      <c r="M86" s="75"/>
    </row>
    <row r="87" spans="2:13">
      <c r="B87" s="71"/>
      <c r="C87" s="72"/>
      <c r="D87" s="73"/>
      <c r="E87" s="74"/>
      <c r="F87" s="74"/>
      <c r="G87" s="74"/>
      <c r="H87" s="74"/>
      <c r="I87" s="74"/>
      <c r="J87" s="74"/>
      <c r="K87" s="74"/>
      <c r="L87" s="74"/>
      <c r="M87" s="75"/>
    </row>
    <row r="88" spans="2:13">
      <c r="B88" s="71" t="s">
        <v>1208</v>
      </c>
      <c r="C88" s="72" t="s">
        <v>1287</v>
      </c>
      <c r="D88" s="73"/>
      <c r="E88" s="74" t="s">
        <v>1449</v>
      </c>
      <c r="F88" s="74">
        <v>0</v>
      </c>
      <c r="G88" s="74"/>
      <c r="H88" s="74"/>
      <c r="I88" s="74"/>
      <c r="J88" s="74"/>
      <c r="K88" s="74"/>
      <c r="L88" s="74"/>
      <c r="M88" s="75"/>
    </row>
    <row r="89" spans="2:13">
      <c r="B89" s="71" t="s">
        <v>1208</v>
      </c>
      <c r="C89" s="72" t="s">
        <v>1287</v>
      </c>
      <c r="D89" s="73"/>
      <c r="E89" s="74" t="s">
        <v>1449</v>
      </c>
      <c r="F89" s="74">
        <v>0</v>
      </c>
      <c r="G89" s="74"/>
      <c r="H89" s="74"/>
      <c r="I89" s="74"/>
      <c r="J89" s="74"/>
      <c r="K89" s="74"/>
      <c r="L89" s="74"/>
      <c r="M89" s="75"/>
    </row>
    <row r="90" spans="2:13">
      <c r="B90" s="71" t="s">
        <v>1209</v>
      </c>
      <c r="C90" s="72"/>
      <c r="D90" s="73"/>
      <c r="E90" s="74"/>
      <c r="F90" s="74"/>
      <c r="G90" s="74"/>
      <c r="H90" s="74"/>
      <c r="I90" s="74"/>
      <c r="J90" s="74"/>
      <c r="K90" s="74"/>
      <c r="L90" s="74"/>
      <c r="M90" s="75"/>
    </row>
    <row r="91" spans="2:13">
      <c r="B91" s="71" t="s">
        <v>1209</v>
      </c>
      <c r="C91" s="72"/>
      <c r="D91" s="73"/>
      <c r="E91" s="74"/>
      <c r="F91" s="74"/>
      <c r="G91" s="74"/>
      <c r="H91" s="74"/>
      <c r="I91" s="74"/>
      <c r="J91" s="74"/>
      <c r="K91" s="74"/>
      <c r="L91" s="74"/>
      <c r="M91" s="75"/>
    </row>
    <row r="92" spans="2:13">
      <c r="B92" s="71" t="s">
        <v>1209</v>
      </c>
      <c r="C92" s="72"/>
      <c r="D92" s="73"/>
      <c r="E92" s="74"/>
      <c r="F92" s="74"/>
      <c r="G92" s="74"/>
      <c r="H92" s="74"/>
      <c r="I92" s="74"/>
      <c r="J92" s="74"/>
      <c r="K92" s="74"/>
      <c r="L92" s="74"/>
      <c r="M92" s="75"/>
    </row>
    <row r="93" spans="2:13">
      <c r="B93" s="71" t="s">
        <v>1209</v>
      </c>
      <c r="C93" s="72"/>
      <c r="D93" s="73"/>
      <c r="E93" s="74"/>
      <c r="F93" s="74"/>
      <c r="G93" s="74"/>
      <c r="H93" s="74"/>
      <c r="I93" s="74"/>
      <c r="J93" s="74"/>
      <c r="K93" s="74"/>
      <c r="L93" s="74"/>
      <c r="M93" s="75"/>
    </row>
    <row r="94" spans="2:13">
      <c r="B94" s="71" t="s">
        <v>1209</v>
      </c>
      <c r="C94" s="72"/>
      <c r="D94" s="73"/>
      <c r="E94" s="74"/>
      <c r="F94" s="74"/>
      <c r="G94" s="74"/>
      <c r="H94" s="74"/>
      <c r="I94" s="74"/>
      <c r="J94" s="74"/>
      <c r="K94" s="74"/>
      <c r="L94" s="74"/>
      <c r="M94" s="75"/>
    </row>
    <row r="95" spans="2:13">
      <c r="B95" s="71" t="s">
        <v>1209</v>
      </c>
      <c r="C95" s="72"/>
      <c r="D95" s="73"/>
      <c r="E95" s="74"/>
      <c r="F95" s="74"/>
      <c r="G95" s="74"/>
      <c r="H95" s="74"/>
      <c r="I95" s="74"/>
      <c r="J95" s="74"/>
      <c r="K95" s="74"/>
      <c r="L95" s="74"/>
      <c r="M95" s="75"/>
    </row>
    <row r="96" spans="2:13">
      <c r="B96" s="71" t="s">
        <v>168</v>
      </c>
      <c r="C96" s="72" t="s">
        <v>1553</v>
      </c>
      <c r="D96" s="73"/>
      <c r="E96" s="74" t="s">
        <v>1529</v>
      </c>
      <c r="F96" s="74" t="s">
        <v>1448</v>
      </c>
      <c r="G96" s="74" t="s">
        <v>1450</v>
      </c>
      <c r="H96" s="74" t="s">
        <v>1451</v>
      </c>
      <c r="I96" s="74"/>
      <c r="J96" s="74"/>
      <c r="K96" s="74"/>
      <c r="L96" s="74"/>
      <c r="M96" s="75"/>
    </row>
    <row r="97" spans="2:13">
      <c r="B97" s="71" t="s">
        <v>1210</v>
      </c>
      <c r="C97" s="72" t="s">
        <v>1317</v>
      </c>
      <c r="D97" s="73"/>
      <c r="E97" s="74" t="s">
        <v>1456</v>
      </c>
      <c r="F97" s="74" t="s">
        <v>1453</v>
      </c>
      <c r="G97" s="74" t="s">
        <v>1449</v>
      </c>
      <c r="H97" s="74" t="s">
        <v>1455</v>
      </c>
      <c r="I97" s="74" t="s">
        <v>1526</v>
      </c>
      <c r="J97" s="74"/>
      <c r="K97" s="74"/>
      <c r="L97" s="74"/>
      <c r="M97" s="75"/>
    </row>
    <row r="98" spans="2:13">
      <c r="B98" s="71" t="s">
        <v>1168</v>
      </c>
      <c r="C98" s="72" t="s">
        <v>1435</v>
      </c>
      <c r="D98" s="73"/>
      <c r="E98" s="74" t="s">
        <v>1452</v>
      </c>
      <c r="F98" s="74" t="s">
        <v>1453</v>
      </c>
      <c r="G98" s="74" t="s">
        <v>1454</v>
      </c>
      <c r="H98" s="74" t="s">
        <v>1455</v>
      </c>
      <c r="I98" s="74" t="s">
        <v>1456</v>
      </c>
      <c r="J98" s="74" t="s">
        <v>1457</v>
      </c>
      <c r="K98" s="74"/>
      <c r="L98" s="74"/>
      <c r="M98" s="75"/>
    </row>
    <row r="99" spans="2:13">
      <c r="B99" s="71" t="s">
        <v>1211</v>
      </c>
      <c r="C99" s="72" t="s">
        <v>1289</v>
      </c>
      <c r="D99" s="73"/>
      <c r="E99" s="74" t="s">
        <v>1550</v>
      </c>
      <c r="F99" s="74" t="s">
        <v>1453</v>
      </c>
      <c r="G99" s="74" t="s">
        <v>1448</v>
      </c>
      <c r="H99" s="74" t="s">
        <v>1457</v>
      </c>
      <c r="I99" s="74"/>
      <c r="J99" s="74"/>
      <c r="K99" s="74"/>
      <c r="L99" s="74"/>
      <c r="M99" s="75"/>
    </row>
    <row r="100" spans="2:13">
      <c r="B100" s="71" t="s">
        <v>1212</v>
      </c>
      <c r="C100" s="72" t="s">
        <v>1386</v>
      </c>
      <c r="D100" s="73"/>
      <c r="E100" s="74" t="s">
        <v>1537</v>
      </c>
      <c r="F100" s="74" t="s">
        <v>1448</v>
      </c>
      <c r="G100" s="74" t="s">
        <v>1523</v>
      </c>
      <c r="H100" s="74"/>
      <c r="I100" s="74"/>
      <c r="J100" s="74"/>
      <c r="K100" s="74"/>
      <c r="L100" s="74"/>
      <c r="M100" s="75"/>
    </row>
    <row r="101" spans="2:13">
      <c r="B101" s="71" t="s">
        <v>1213</v>
      </c>
      <c r="C101" s="72" t="s">
        <v>1594</v>
      </c>
      <c r="D101" s="73"/>
      <c r="E101" s="74" t="s">
        <v>1524</v>
      </c>
      <c r="F101" s="74" t="s">
        <v>1454</v>
      </c>
      <c r="G101" s="74" t="s">
        <v>1455</v>
      </c>
      <c r="H101" s="74" t="s">
        <v>1456</v>
      </c>
      <c r="I101" s="74" t="s">
        <v>1523</v>
      </c>
      <c r="J101" s="74"/>
      <c r="K101" s="74"/>
      <c r="L101" s="74"/>
      <c r="M101" s="75"/>
    </row>
    <row r="102" spans="2:13">
      <c r="B102" s="71" t="s">
        <v>1214</v>
      </c>
      <c r="C102" s="72" t="s">
        <v>1319</v>
      </c>
      <c r="D102" s="73"/>
      <c r="E102" s="74" t="s">
        <v>1452</v>
      </c>
      <c r="F102" s="74" t="s">
        <v>1449</v>
      </c>
      <c r="G102" s="74" t="s">
        <v>1455</v>
      </c>
      <c r="H102" s="74" t="s">
        <v>1456</v>
      </c>
      <c r="I102" s="74" t="s">
        <v>1457</v>
      </c>
      <c r="J102" s="74"/>
      <c r="K102" s="74"/>
      <c r="L102" s="74"/>
      <c r="M102" s="75"/>
    </row>
    <row r="103" spans="2:13">
      <c r="B103" s="71" t="s">
        <v>1188</v>
      </c>
      <c r="C103" s="72" t="s">
        <v>49</v>
      </c>
      <c r="D103" s="73"/>
      <c r="E103" s="74" t="s">
        <v>1525</v>
      </c>
      <c r="F103" s="74" t="s">
        <v>1453</v>
      </c>
      <c r="G103" s="74" t="s">
        <v>1526</v>
      </c>
      <c r="H103" s="74"/>
      <c r="I103" s="74"/>
      <c r="J103" s="74"/>
      <c r="K103" s="74"/>
      <c r="L103" s="74"/>
      <c r="M103" s="75"/>
    </row>
    <row r="104" spans="2:13">
      <c r="B104" s="71" t="s">
        <v>19</v>
      </c>
      <c r="C104" s="72" t="s">
        <v>1386</v>
      </c>
      <c r="D104" s="73"/>
      <c r="E104" s="74" t="s">
        <v>1537</v>
      </c>
      <c r="F104" s="74" t="s">
        <v>1448</v>
      </c>
      <c r="G104" s="74" t="s">
        <v>1523</v>
      </c>
      <c r="H104" s="74"/>
      <c r="I104" s="74"/>
      <c r="J104" s="74"/>
      <c r="K104" s="74"/>
      <c r="L104" s="74"/>
      <c r="M104" s="75"/>
    </row>
    <row r="105" spans="2:13">
      <c r="B105" s="71" t="s">
        <v>1215</v>
      </c>
      <c r="C105" s="72" t="s">
        <v>1423</v>
      </c>
      <c r="D105" s="73"/>
      <c r="E105" s="74" t="s">
        <v>1529</v>
      </c>
      <c r="F105" s="74" t="s">
        <v>1529</v>
      </c>
      <c r="G105" s="74" t="s">
        <v>1455</v>
      </c>
      <c r="H105" s="74" t="s">
        <v>1448</v>
      </c>
      <c r="I105" s="74" t="s">
        <v>1453</v>
      </c>
      <c r="J105" s="74" t="s">
        <v>1523</v>
      </c>
      <c r="K105" s="74"/>
      <c r="L105" s="74"/>
      <c r="M105" s="75"/>
    </row>
    <row r="106" spans="2:13">
      <c r="B106" s="71" t="s">
        <v>1216</v>
      </c>
      <c r="C106" s="72" t="s">
        <v>1595</v>
      </c>
      <c r="D106" s="73"/>
      <c r="E106" s="74" t="s">
        <v>1456</v>
      </c>
      <c r="F106" s="74" t="s">
        <v>1448</v>
      </c>
      <c r="G106" s="74" t="s">
        <v>1453</v>
      </c>
      <c r="H106" s="74" t="s">
        <v>1534</v>
      </c>
      <c r="I106" s="74"/>
      <c r="J106" s="74"/>
      <c r="K106" s="74"/>
      <c r="L106" s="74"/>
      <c r="M106" s="75"/>
    </row>
    <row r="107" spans="2:13">
      <c r="B107" s="71" t="s">
        <v>1167</v>
      </c>
      <c r="C107" s="72" t="s">
        <v>1433</v>
      </c>
      <c r="D107" s="73"/>
      <c r="E107" s="74" t="s">
        <v>1447</v>
      </c>
      <c r="F107" s="74" t="s">
        <v>1448</v>
      </c>
      <c r="G107" s="74" t="s">
        <v>1449</v>
      </c>
      <c r="H107" s="74" t="s">
        <v>1450</v>
      </c>
      <c r="I107" s="74" t="s">
        <v>1451</v>
      </c>
      <c r="J107" s="74"/>
      <c r="K107" s="74"/>
      <c r="L107" s="74"/>
      <c r="M107" s="75"/>
    </row>
    <row r="108" spans="2:13">
      <c r="B108" s="71" t="s">
        <v>1168</v>
      </c>
      <c r="C108" s="72" t="s">
        <v>1435</v>
      </c>
      <c r="D108" s="73"/>
      <c r="E108" s="74" t="s">
        <v>1452</v>
      </c>
      <c r="F108" s="74" t="s">
        <v>1453</v>
      </c>
      <c r="G108" s="74" t="s">
        <v>1454</v>
      </c>
      <c r="H108" s="74" t="s">
        <v>1455</v>
      </c>
      <c r="I108" s="74" t="s">
        <v>1456</v>
      </c>
      <c r="J108" s="74" t="s">
        <v>1457</v>
      </c>
      <c r="K108" s="74"/>
      <c r="L108" s="74"/>
      <c r="M108" s="75"/>
    </row>
    <row r="109" spans="2:13">
      <c r="B109" s="71" t="s">
        <v>1169</v>
      </c>
      <c r="C109" s="72" t="s">
        <v>1367</v>
      </c>
      <c r="D109" s="73"/>
      <c r="E109" s="74" t="s">
        <v>1449</v>
      </c>
      <c r="F109" s="74" t="s">
        <v>1455</v>
      </c>
      <c r="G109" s="74" t="s">
        <v>1456</v>
      </c>
      <c r="H109" s="74" t="s">
        <v>1523</v>
      </c>
      <c r="I109" s="74"/>
      <c r="J109" s="74"/>
      <c r="K109" s="74"/>
      <c r="L109" s="74"/>
      <c r="M109" s="75"/>
    </row>
    <row r="110" spans="2:13">
      <c r="B110" s="71" t="s">
        <v>30</v>
      </c>
      <c r="C110" s="72"/>
      <c r="D110" s="73"/>
      <c r="E110" s="74"/>
      <c r="F110" s="74"/>
      <c r="G110" s="74"/>
      <c r="H110" s="74"/>
      <c r="I110" s="74"/>
      <c r="J110" s="74"/>
      <c r="K110" s="74"/>
      <c r="L110" s="74"/>
      <c r="M110" s="75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F3A9E-1F4D-4E8D-9E86-A71BC02F6C6E}">
  <dimension ref="B2:Q44"/>
  <sheetViews>
    <sheetView showGridLines="0" workbookViewId="0">
      <selection activeCell="B4" sqref="B4:M44"/>
    </sheetView>
    <sheetView workbookViewId="1"/>
  </sheetViews>
  <sheetFormatPr defaultRowHeight="39" outlineLevelCol="1"/>
  <cols>
    <col min="1" max="1" width="4.25" style="66" customWidth="1"/>
    <col min="2" max="2" width="9" style="66"/>
    <col min="3" max="3" width="21.125" style="66" customWidth="1"/>
    <col min="4" max="4" width="9" style="66" hidden="1" customWidth="1" outlineLevel="1"/>
    <col min="5" max="5" width="9" style="66" collapsed="1"/>
    <col min="6" max="15" width="9" style="66"/>
    <col min="16" max="16" width="15.75" style="66" bestFit="1" customWidth="1"/>
    <col min="17" max="17" width="14.25" style="66" bestFit="1" customWidth="1"/>
    <col min="18" max="21" width="9" style="66"/>
    <col min="22" max="26" width="11.5" style="66" customWidth="1"/>
    <col min="27" max="16384" width="9" style="66"/>
  </cols>
  <sheetData>
    <row r="2" spans="2:17">
      <c r="B2" s="62" t="s">
        <v>1458</v>
      </c>
      <c r="C2" s="62" t="s">
        <v>1459</v>
      </c>
      <c r="D2" s="62" t="s">
        <v>1460</v>
      </c>
      <c r="E2" s="63" t="s">
        <v>1461</v>
      </c>
      <c r="F2" s="64"/>
      <c r="G2" s="64"/>
      <c r="H2" s="64"/>
      <c r="I2" s="64"/>
      <c r="J2" s="64"/>
      <c r="K2" s="64"/>
      <c r="L2" s="64"/>
      <c r="M2" s="65"/>
    </row>
    <row r="3" spans="2:17" s="70" customFormat="1" ht="30">
      <c r="B3" s="62"/>
      <c r="C3" s="62"/>
      <c r="D3" s="62"/>
      <c r="E3" s="67">
        <v>1</v>
      </c>
      <c r="F3" s="68">
        <v>2</v>
      </c>
      <c r="G3" s="68">
        <v>3</v>
      </c>
      <c r="H3" s="68">
        <v>4</v>
      </c>
      <c r="I3" s="68">
        <v>5</v>
      </c>
      <c r="J3" s="68">
        <v>6</v>
      </c>
      <c r="K3" s="68">
        <v>7</v>
      </c>
      <c r="L3" s="68">
        <v>8</v>
      </c>
      <c r="M3" s="69">
        <v>9</v>
      </c>
    </row>
    <row r="4" spans="2:17">
      <c r="B4" s="71" t="s">
        <v>1462</v>
      </c>
      <c r="C4" s="72" t="s">
        <v>1463</v>
      </c>
      <c r="D4" s="73">
        <f>IF( LEN(C4)&gt;0, LEN(C4), "")</f>
        <v>6</v>
      </c>
      <c r="E4" s="74" t="str" cm="1">
        <f t="array" ref="E4" xml:space="preserve"> IF(E$3&lt;&gt;$D4, MID($C4,E$3,1), INDEX([1]音調表!$D$3:$D$12, MATCH(TRUE, EXACT(MID($C4,E$3,1), [1]音調表!$B$3:$B$12),0)))</f>
        <v>l</v>
      </c>
      <c r="F4" s="74" t="str" cm="1">
        <f t="array" ref="F4" xml:space="preserve"> IF(F$3&lt;&gt;$D4, MID($C4,F$3,1), INDEX([1]音調表!$D$3:$D$12, MATCH(TRUE, EXACT(MID($C4,F$3,1), [1]音調表!$B$3:$B$12),0)))</f>
        <v>i</v>
      </c>
      <c r="G4" s="74" t="str" cm="1">
        <f t="array" ref="G4" xml:space="preserve"> IF(G$3&lt;&gt;$D4, MID($C4,G$3,1), INDEX([1]音調表!$D$3:$D$12, MATCH(TRUE, EXACT(MID($C4,G$3,1), [1]音調表!$B$3:$B$12),0)))</f>
        <v>a</v>
      </c>
      <c r="H4" s="74" t="str" cm="1">
        <f t="array" ref="H4" xml:space="preserve"> IF(H$3&lt;&gt;$D4, MID($C4,H$3,1), INDEX([1]音調表!$D$3:$D$12, MATCH(TRUE, EXACT(MID($C4,H$3,1), [1]音調表!$B$3:$B$12),0)))</f>
        <v>n</v>
      </c>
      <c r="I4" s="74" t="str" cm="1">
        <f t="array" ref="I4" xml:space="preserve"> IF(I$3&lt;&gt;$D4, MID($C4,I$3,1), INDEX([1]音調表!$D$3:$D$12, MATCH(TRUE, EXACT(MID($C4,I$3,1), [1]音調表!$B$3:$B$12),0)))</f>
        <v>g</v>
      </c>
      <c r="J4" s="74" t="str" cm="1">
        <f t="array" ref="J4" xml:space="preserve"> IF(J$3&lt;&gt;$D4, MID($C4,J$3,1), INDEX([1]音調表!$D$3:$D$12, MATCH(TRUE, EXACT(MID($C4,J$3,1), [1]音調表!$B$3:$B$12),0)))</f>
        <v>/</v>
      </c>
      <c r="K4" s="74" t="str" cm="1">
        <f t="array" ref="K4" xml:space="preserve"> IF(K$3&lt;&gt;$D4, MID($C4,K$3,1), INDEX([1]音調表!$D$3:$D$12, MATCH(TRUE, EXACT(MID($C4,K$3,1), [1]音調表!$B$3:$B$12),0)))</f>
        <v/>
      </c>
      <c r="L4" s="74" t="str" cm="1">
        <f t="array" ref="L4" xml:space="preserve"> IF(L$3&lt;&gt;$D4, MID($C4,L$3,1), INDEX([1]音調表!$D$3:$D$12, MATCH(TRUE, EXACT(MID($C4,L$3,1), [1]音調表!$B$3:$B$12),0)))</f>
        <v/>
      </c>
      <c r="M4" s="75" t="str" cm="1">
        <f t="array" ref="M4" xml:space="preserve"> IF(M$3&lt;&gt;$D4, MID($C4,M$3,1), INDEX([1]音調表!$D$3:$D$12, MATCH(TRUE, EXACT(MID($C4,M$3,1), [1]音調表!$B$3:$B$12),0)))</f>
        <v/>
      </c>
      <c r="O4" s="70"/>
      <c r="P4" s="70"/>
      <c r="Q4" s="66" t="str" cm="1">
        <f t="array" ref="Q4" xml:space="preserve"> IF( ISNUMBER(VALUE(J4)), INDEX([1]音調表!$D$3:$D$12, MATCH(TRUE, EXACT(J4, [1]音調表!$B$3:$B$12),0)), "")</f>
        <v/>
      </c>
    </row>
    <row r="5" spans="2:17">
      <c r="B5" s="71" t="s">
        <v>1464</v>
      </c>
      <c r="C5" s="72" t="s">
        <v>1465</v>
      </c>
      <c r="D5" s="73">
        <f t="shared" ref="D5:D44" si="0">IF( LEN(C5)&gt;0, LEN(C5), "")</f>
        <v>4</v>
      </c>
      <c r="E5" s="74" t="str" cm="1">
        <f t="array" ref="E5" xml:space="preserve"> IF(E$3&lt;&gt;$D5, MID($C5,E$3,1), INDEX([1]音調表!$D$3:$D$12, MATCH(TRUE, EXACT(MID($C5,E$3,1), [1]音調表!$B$3:$B$12),0)))</f>
        <v>z</v>
      </c>
      <c r="F5" s="74" t="str" cm="1">
        <f t="array" ref="F5" xml:space="preserve"> IF(F$3&lt;&gt;$D5, MID($C5,F$3,1), INDEX([1]音調表!$D$3:$D$12, MATCH(TRUE, EXACT(MID($C5,F$3,1), [1]音調表!$B$3:$B$12),0)))</f>
        <v>i</v>
      </c>
      <c r="G5" s="74" t="str" cm="1">
        <f t="array" ref="G5" xml:space="preserve"> IF(G$3&lt;&gt;$D5, MID($C5,G$3,1), INDEX([1]音調表!$D$3:$D$12, MATCH(TRUE, EXACT(MID($C5,G$3,1), [1]音調表!$B$3:$B$12),0)))</f>
        <v>u</v>
      </c>
      <c r="H5" s="74" t="str" cm="1">
        <f t="array" ref="H5" xml:space="preserve"> IF(H$3&lt;&gt;$D5, MID($C5,H$3,1), INDEX([1]音調表!$D$3:$D$12, MATCH(TRUE, EXACT(MID($C5,H$3,1), [1]音調表!$B$3:$B$12),0)))</f>
        <v>;</v>
      </c>
      <c r="I5" s="74" t="str" cm="1">
        <f t="array" ref="I5" xml:space="preserve"> IF(I$3&lt;&gt;$D5, MID($C5,I$3,1), INDEX([1]音調表!$D$3:$D$12, MATCH(TRUE, EXACT(MID($C5,I$3,1), [1]音調表!$B$3:$B$12),0)))</f>
        <v/>
      </c>
      <c r="J5" s="74" t="str" cm="1">
        <f t="array" ref="J5" xml:space="preserve"> IF(J$3&lt;&gt;$D5, MID($C5,J$3,1), INDEX([1]音調表!$D$3:$D$12, MATCH(TRUE, EXACT(MID($C5,J$3,1), [1]音調表!$B$3:$B$12),0)))</f>
        <v/>
      </c>
      <c r="K5" s="74" t="str" cm="1">
        <f t="array" ref="K5" xml:space="preserve"> IF(K$3&lt;&gt;$D5, MID($C5,K$3,1), INDEX([1]音調表!$D$3:$D$12, MATCH(TRUE, EXACT(MID($C5,K$3,1), [1]音調表!$B$3:$B$12),0)))</f>
        <v/>
      </c>
      <c r="L5" s="74" t="str" cm="1">
        <f t="array" ref="L5" xml:space="preserve"> IF(L$3&lt;&gt;$D5, MID($C5,L$3,1), INDEX([1]音調表!$D$3:$D$12, MATCH(TRUE, EXACT(MID($C5,L$3,1), [1]音調表!$B$3:$B$12),0)))</f>
        <v/>
      </c>
      <c r="M5" s="75" t="str" cm="1">
        <f t="array" ref="M5" xml:space="preserve"> IF(M$3&lt;&gt;$D5, MID($C5,M$3,1), INDEX([1]音調表!$D$3:$D$12, MATCH(TRUE, EXACT(MID($C5,M$3,1), [1]音調表!$B$3:$B$12),0)))</f>
        <v/>
      </c>
      <c r="O5" s="70"/>
      <c r="P5" s="70"/>
    </row>
    <row r="6" spans="2:17">
      <c r="B6" s="71" t="s">
        <v>1466</v>
      </c>
      <c r="C6" s="72" t="s">
        <v>1467</v>
      </c>
      <c r="D6" s="73">
        <f t="shared" si="0"/>
        <v>3</v>
      </c>
      <c r="E6" s="74" t="str" cm="1">
        <f t="array" ref="E6" xml:space="preserve"> IF(E$3&lt;&gt;$D6, MID($C6,E$3,1), INDEX([1]音調表!$D$3:$D$12, MATCH(TRUE, EXACT(MID($C6,E$3,1), [1]音調表!$B$3:$B$12),0)))</f>
        <v>s</v>
      </c>
      <c r="F6" s="74" t="str" cm="1">
        <f t="array" ref="F6" xml:space="preserve"> IF(F$3&lt;&gt;$D6, MID($C6,F$3,1), INDEX([1]音調表!$D$3:$D$12, MATCH(TRUE, EXACT(MID($C6,F$3,1), [1]音調表!$B$3:$B$12),0)))</f>
        <v>u</v>
      </c>
      <c r="G6" s="74" t="str" cm="1">
        <f t="array" ref="G6" xml:space="preserve"> IF(G$3&lt;&gt;$D6, MID($C6,G$3,1), INDEX([1]音調表!$D$3:$D$12, MATCH(TRUE, EXACT(MID($C6,G$3,1), [1]音調表!$B$3:$B$12),0)))</f>
        <v>/</v>
      </c>
      <c r="H6" s="74" t="str" cm="1">
        <f t="array" ref="H6" xml:space="preserve"> IF(H$3&lt;&gt;$D6, MID($C6,H$3,1), INDEX([1]音調表!$D$3:$D$12, MATCH(TRUE, EXACT(MID($C6,H$3,1), [1]音調表!$B$3:$B$12),0)))</f>
        <v/>
      </c>
      <c r="I6" s="74" t="str" cm="1">
        <f t="array" ref="I6" xml:space="preserve"> IF(I$3&lt;&gt;$D6, MID($C6,I$3,1), INDEX([1]音調表!$D$3:$D$12, MATCH(TRUE, EXACT(MID($C6,I$3,1), [1]音調表!$B$3:$B$12),0)))</f>
        <v/>
      </c>
      <c r="J6" s="74" t="str" cm="1">
        <f t="array" ref="J6" xml:space="preserve"> IF(J$3&lt;&gt;$D6, MID($C6,J$3,1), INDEX([1]音調表!$D$3:$D$12, MATCH(TRUE, EXACT(MID($C6,J$3,1), [1]音調表!$B$3:$B$12),0)))</f>
        <v/>
      </c>
      <c r="K6" s="74" t="str" cm="1">
        <f t="array" ref="K6" xml:space="preserve"> IF(K$3&lt;&gt;$D6, MID($C6,K$3,1), INDEX([1]音調表!$D$3:$D$12, MATCH(TRUE, EXACT(MID($C6,K$3,1), [1]音調表!$B$3:$B$12),0)))</f>
        <v/>
      </c>
      <c r="L6" s="74" t="str" cm="1">
        <f t="array" ref="L6" xml:space="preserve"> IF(L$3&lt;&gt;$D6, MID($C6,L$3,1), INDEX([1]音調表!$D$3:$D$12, MATCH(TRUE, EXACT(MID($C6,L$3,1), [1]音調表!$B$3:$B$12),0)))</f>
        <v/>
      </c>
      <c r="M6" s="75" t="str" cm="1">
        <f t="array" ref="M6" xml:space="preserve"> IF(M$3&lt;&gt;$D6, MID($C6,M$3,1), INDEX([1]音調表!$D$3:$D$12, MATCH(TRUE, EXACT(MID($C6,M$3,1), [1]音調表!$B$3:$B$12),0)))</f>
        <v/>
      </c>
      <c r="O6" s="70"/>
      <c r="P6" s="70"/>
    </row>
    <row r="7" spans="2:17">
      <c r="B7" s="71"/>
      <c r="C7" s="72"/>
      <c r="D7" s="73" t="str">
        <f t="shared" si="0"/>
        <v/>
      </c>
      <c r="E7" s="74" t="str" cm="1">
        <f t="array" ref="E7" xml:space="preserve"> IF(E$3&lt;&gt;$D7, MID($C7,E$3,1), INDEX([1]音調表!$D$3:$D$12, MATCH(TRUE, EXACT(MID($C7,E$3,1), [1]音調表!$B$3:$B$12),0)))</f>
        <v/>
      </c>
      <c r="F7" s="74" t="str" cm="1">
        <f t="array" ref="F7" xml:space="preserve"> IF(F$3&lt;&gt;$D7, MID($C7,F$3,1), INDEX([1]音調表!$D$3:$D$12, MATCH(TRUE, EXACT(MID($C7,F$3,1), [1]音調表!$B$3:$B$12),0)))</f>
        <v/>
      </c>
      <c r="G7" s="74" t="str" cm="1">
        <f t="array" ref="G7" xml:space="preserve"> IF(G$3&lt;&gt;$D7, MID($C7,G$3,1), INDEX([1]音調表!$D$3:$D$12, MATCH(TRUE, EXACT(MID($C7,G$3,1), [1]音調表!$B$3:$B$12),0)))</f>
        <v/>
      </c>
      <c r="H7" s="74" t="str" cm="1">
        <f t="array" ref="H7" xml:space="preserve"> IF(H$3&lt;&gt;$D7, MID($C7,H$3,1), INDEX([1]音調表!$D$3:$D$12, MATCH(TRUE, EXACT(MID($C7,H$3,1), [1]音調表!$B$3:$B$12),0)))</f>
        <v/>
      </c>
      <c r="I7" s="74" t="str" cm="1">
        <f t="array" ref="I7" xml:space="preserve"> IF(I$3&lt;&gt;$D7, MID($C7,I$3,1), INDEX([1]音調表!$D$3:$D$12, MATCH(TRUE, EXACT(MID($C7,I$3,1), [1]音調表!$B$3:$B$12),0)))</f>
        <v/>
      </c>
      <c r="J7" s="74" t="str" cm="1">
        <f t="array" ref="J7" xml:space="preserve"> IF(J$3&lt;&gt;$D7, MID($C7,J$3,1), INDEX([1]音調表!$D$3:$D$12, MATCH(TRUE, EXACT(MID($C7,J$3,1), [1]音調表!$B$3:$B$12),0)))</f>
        <v/>
      </c>
      <c r="K7" s="74" t="str" cm="1">
        <f t="array" ref="K7" xml:space="preserve"> IF(K$3&lt;&gt;$D7, MID($C7,K$3,1), INDEX([1]音調表!$D$3:$D$12, MATCH(TRUE, EXACT(MID($C7,K$3,1), [1]音調表!$B$3:$B$12),0)))</f>
        <v/>
      </c>
      <c r="L7" s="74" t="str" cm="1">
        <f t="array" ref="L7" xml:space="preserve"> IF(L$3&lt;&gt;$D7, MID($C7,L$3,1), INDEX([1]音調表!$D$3:$D$12, MATCH(TRUE, EXACT(MID($C7,L$3,1), [1]音調表!$B$3:$B$12),0)))</f>
        <v/>
      </c>
      <c r="M7" s="75" t="str" cm="1">
        <f t="array" ref="M7" xml:space="preserve"> IF(M$3&lt;&gt;$D7, MID($C7,M$3,1), INDEX([1]音調表!$D$3:$D$12, MATCH(TRUE, EXACT(MID($C7,M$3,1), [1]音調表!$B$3:$B$12),0)))</f>
        <v/>
      </c>
      <c r="O7" s="70"/>
      <c r="P7" s="70"/>
    </row>
    <row r="8" spans="2:17">
      <c r="B8" s="71" t="s">
        <v>1468</v>
      </c>
      <c r="C8" s="72" t="s">
        <v>1469</v>
      </c>
      <c r="D8" s="73">
        <f t="shared" si="0"/>
        <v>4</v>
      </c>
      <c r="E8" s="74" t="str" cm="1">
        <f t="array" ref="E8" xml:space="preserve"> IF(E$3&lt;&gt;$D8, MID($C8,E$3,1), INDEX([1]音調表!$D$3:$D$12, MATCH(TRUE, EXACT(MID($C8,E$3,1), [1]音調表!$B$3:$B$12),0)))</f>
        <v>o</v>
      </c>
      <c r="F8" s="74" t="str" cm="1">
        <f t="array" ref="F8" xml:space="preserve"> IF(F$3&lt;&gt;$D8, MID($C8,F$3,1), INDEX([1]音調表!$D$3:$D$12, MATCH(TRUE, EXACT(MID($C8,F$3,1), [1]音調表!$B$3:$B$12),0)))</f>
        <v>n</v>
      </c>
      <c r="G8" s="74" t="str" cm="1">
        <f t="array" ref="G8" xml:space="preserve"> IF(G$3&lt;&gt;$D8, MID($C8,G$3,1), INDEX([1]音調表!$D$3:$D$12, MATCH(TRUE, EXACT(MID($C8,G$3,1), [1]音調表!$B$3:$B$12),0)))</f>
        <v>g</v>
      </c>
      <c r="H8" s="74" t="str" cm="1">
        <f t="array" ref="H8" xml:space="preserve"> IF(H$3&lt;&gt;$D8, MID($C8,H$3,1), INDEX([1]音調表!$D$3:$D$12, MATCH(TRUE, EXACT(MID($C8,H$3,1), [1]音調表!$B$3:$B$12),0)))</f>
        <v>/</v>
      </c>
      <c r="I8" s="74" t="str" cm="1">
        <f t="array" ref="I8" xml:space="preserve"> IF(I$3&lt;&gt;$D8, MID($C8,I$3,1), INDEX([1]音調表!$D$3:$D$12, MATCH(TRUE, EXACT(MID($C8,I$3,1), [1]音調表!$B$3:$B$12),0)))</f>
        <v/>
      </c>
      <c r="J8" s="74" t="str" cm="1">
        <f t="array" ref="J8" xml:space="preserve"> IF(J$3&lt;&gt;$D8, MID($C8,J$3,1), INDEX([1]音調表!$D$3:$D$12, MATCH(TRUE, EXACT(MID($C8,J$3,1), [1]音調表!$B$3:$B$12),0)))</f>
        <v/>
      </c>
      <c r="K8" s="74" t="str" cm="1">
        <f t="array" ref="K8" xml:space="preserve"> IF(K$3&lt;&gt;$D8, MID($C8,K$3,1), INDEX([1]音調表!$D$3:$D$12, MATCH(TRUE, EXACT(MID($C8,K$3,1), [1]音調表!$B$3:$B$12),0)))</f>
        <v/>
      </c>
      <c r="L8" s="74" t="str" cm="1">
        <f t="array" ref="L8" xml:space="preserve"> IF(L$3&lt;&gt;$D8, MID($C8,L$3,1), INDEX([1]音調表!$D$3:$D$12, MATCH(TRUE, EXACT(MID($C8,L$3,1), [1]音調表!$B$3:$B$12),0)))</f>
        <v/>
      </c>
      <c r="M8" s="75" t="str" cm="1">
        <f t="array" ref="M8" xml:space="preserve"> IF(M$3&lt;&gt;$D8, MID($C8,M$3,1), INDEX([1]音調表!$D$3:$D$12, MATCH(TRUE, EXACT(MID($C8,M$3,1), [1]音調表!$B$3:$B$12),0)))</f>
        <v/>
      </c>
      <c r="O8" s="70"/>
      <c r="P8" s="70"/>
    </row>
    <row r="9" spans="2:17">
      <c r="B9" s="71" t="s">
        <v>1470</v>
      </c>
      <c r="C9" s="72" t="s">
        <v>601</v>
      </c>
      <c r="D9" s="73">
        <f t="shared" si="0"/>
        <v>3</v>
      </c>
      <c r="E9" s="74" t="str" cm="1">
        <f t="array" ref="E9" xml:space="preserve"> IF(E$3&lt;&gt;$D9, MID($C9,E$3,1), INDEX([1]音調表!$D$3:$D$12, MATCH(TRUE, EXACT(MID($C9,E$3,1), [1]音調表!$B$3:$B$12),0)))</f>
        <v>z</v>
      </c>
      <c r="F9" s="74" t="str" cm="1">
        <f t="array" ref="F9" xml:space="preserve"> IF(F$3&lt;&gt;$D9, MID($C9,F$3,1), INDEX([1]音調表!$D$3:$D$12, MATCH(TRUE, EXACT(MID($C9,F$3,1), [1]音調表!$B$3:$B$12),0)))</f>
        <v>i</v>
      </c>
      <c r="G9" s="74" t="str" cm="1">
        <f t="array" ref="G9" xml:space="preserve"> IF(G$3&lt;&gt;$D9, MID($C9,G$3,1), INDEX([1]音調表!$D$3:$D$12, MATCH(TRUE, EXACT(MID($C9,G$3,1), [1]音調表!$B$3:$B$12),0)))</f>
        <v>;</v>
      </c>
      <c r="H9" s="74" t="str" cm="1">
        <f t="array" ref="H9" xml:space="preserve"> IF(H$3&lt;&gt;$D9, MID($C9,H$3,1), INDEX([1]音調表!$D$3:$D$12, MATCH(TRUE, EXACT(MID($C9,H$3,1), [1]音調表!$B$3:$B$12),0)))</f>
        <v/>
      </c>
      <c r="I9" s="74" t="str" cm="1">
        <f t="array" ref="I9" xml:space="preserve"> IF(I$3&lt;&gt;$D9, MID($C9,I$3,1), INDEX([1]音調表!$D$3:$D$12, MATCH(TRUE, EXACT(MID($C9,I$3,1), [1]音調表!$B$3:$B$12),0)))</f>
        <v/>
      </c>
      <c r="J9" s="74" t="str" cm="1">
        <f t="array" ref="J9" xml:space="preserve"> IF(J$3&lt;&gt;$D9, MID($C9,J$3,1), INDEX([1]音調表!$D$3:$D$12, MATCH(TRUE, EXACT(MID($C9,J$3,1), [1]音調表!$B$3:$B$12),0)))</f>
        <v/>
      </c>
      <c r="K9" s="74" t="str" cm="1">
        <f t="array" ref="K9" xml:space="preserve"> IF(K$3&lt;&gt;$D9, MID($C9,K$3,1), INDEX([1]音調表!$D$3:$D$12, MATCH(TRUE, EXACT(MID($C9,K$3,1), [1]音調表!$B$3:$B$12),0)))</f>
        <v/>
      </c>
      <c r="L9" s="74" t="str" cm="1">
        <f t="array" ref="L9" xml:space="preserve"> IF(L$3&lt;&gt;$D9, MID($C9,L$3,1), INDEX([1]音調表!$D$3:$D$12, MATCH(TRUE, EXACT(MID($C9,L$3,1), [1]音調表!$B$3:$B$12),0)))</f>
        <v/>
      </c>
      <c r="M9" s="75" t="str" cm="1">
        <f t="array" ref="M9" xml:space="preserve"> IF(M$3&lt;&gt;$D9, MID($C9,M$3,1), INDEX([1]音調表!$D$3:$D$12, MATCH(TRUE, EXACT(MID($C9,M$3,1), [1]音調表!$B$3:$B$12),0)))</f>
        <v/>
      </c>
      <c r="O9" s="70"/>
      <c r="P9" s="70"/>
    </row>
    <row r="10" spans="2:17">
      <c r="B10" s="71" t="s">
        <v>1471</v>
      </c>
      <c r="C10" s="72" t="s">
        <v>1472</v>
      </c>
      <c r="D10" s="73">
        <f t="shared" si="0"/>
        <v>5</v>
      </c>
      <c r="E10" s="74" t="str" cm="1">
        <f t="array" ref="E10" xml:space="preserve"> IF(E$3&lt;&gt;$D10, MID($C10,E$3,1), INDEX([1]音調表!$D$3:$D$12, MATCH(TRUE, EXACT(MID($C10,E$3,1), [1]音調表!$B$3:$B$12),0)))</f>
        <v>h</v>
      </c>
      <c r="F10" s="74" t="str" cm="1">
        <f t="array" ref="F10" xml:space="preserve"> IF(F$3&lt;&gt;$D10, MID($C10,F$3,1), INDEX([1]音調表!$D$3:$D$12, MATCH(TRUE, EXACT(MID($C10,F$3,1), [1]音調表!$B$3:$B$12),0)))</f>
        <v>u</v>
      </c>
      <c r="G10" s="74" t="str" cm="1">
        <f t="array" ref="G10" xml:space="preserve"> IF(G$3&lt;&gt;$D10, MID($C10,G$3,1), INDEX([1]音調表!$D$3:$D$12, MATCH(TRUE, EXACT(MID($C10,G$3,1), [1]音調表!$B$3:$B$12),0)))</f>
        <v>a</v>
      </c>
      <c r="H10" s="74" t="str" cm="1">
        <f t="array" ref="H10" xml:space="preserve"> IF(H$3&lt;&gt;$D10, MID($C10,H$3,1), INDEX([1]音調表!$D$3:$D$12, MATCH(TRUE, EXACT(MID($C10,H$3,1), [1]音調表!$B$3:$B$12),0)))</f>
        <v>n</v>
      </c>
      <c r="I10" s="74" t="str" cm="1">
        <f t="array" ref="I10" xml:space="preserve"> IF(I$3&lt;&gt;$D10, MID($C10,I$3,1), INDEX([1]音調表!$D$3:$D$12, MATCH(TRUE, EXACT(MID($C10,I$3,1), [1]音調表!$B$3:$B$12),0)))</f>
        <v>_</v>
      </c>
      <c r="J10" s="74" t="str" cm="1">
        <f t="array" ref="J10" xml:space="preserve"> IF(J$3&lt;&gt;$D10, MID($C10,J$3,1), INDEX([1]音調表!$D$3:$D$12, MATCH(TRUE, EXACT(MID($C10,J$3,1), [1]音調表!$B$3:$B$12),0)))</f>
        <v/>
      </c>
      <c r="K10" s="74" t="str" cm="1">
        <f t="array" ref="K10" xml:space="preserve"> IF(K$3&lt;&gt;$D10, MID($C10,K$3,1), INDEX([1]音調表!$D$3:$D$12, MATCH(TRUE, EXACT(MID($C10,K$3,1), [1]音調表!$B$3:$B$12),0)))</f>
        <v/>
      </c>
      <c r="L10" s="74" t="str" cm="1">
        <f t="array" ref="L10" xml:space="preserve"> IF(L$3&lt;&gt;$D10, MID($C10,L$3,1), INDEX([1]音調表!$D$3:$D$12, MATCH(TRUE, EXACT(MID($C10,L$3,1), [1]音調表!$B$3:$B$12),0)))</f>
        <v/>
      </c>
      <c r="M10" s="75" t="str" cm="1">
        <f t="array" ref="M10" xml:space="preserve"> IF(M$3&lt;&gt;$D10, MID($C10,M$3,1), INDEX([1]音調表!$D$3:$D$12, MATCH(TRUE, EXACT(MID($C10,M$3,1), [1]音調表!$B$3:$B$12),0)))</f>
        <v/>
      </c>
      <c r="O10" s="70"/>
      <c r="P10" s="70"/>
    </row>
    <row r="11" spans="2:17">
      <c r="B11" s="71"/>
      <c r="C11" s="72"/>
      <c r="D11" s="73" t="str">
        <f t="shared" si="0"/>
        <v/>
      </c>
      <c r="E11" s="74" t="str" cm="1">
        <f t="array" ref="E11" xml:space="preserve"> IF(E$3&lt;&gt;$D11, MID($C11,E$3,1), INDEX([1]音調表!$D$3:$D$12, MATCH(TRUE, EXACT(MID($C11,E$3,1), [1]音調表!$B$3:$B$12),0)))</f>
        <v/>
      </c>
      <c r="F11" s="74" t="str" cm="1">
        <f t="array" ref="F11" xml:space="preserve"> IF(F$3&lt;&gt;$D11, MID($C11,F$3,1), INDEX([1]音調表!$D$3:$D$12, MATCH(TRUE, EXACT(MID($C11,F$3,1), [1]音調表!$B$3:$B$12),0)))</f>
        <v/>
      </c>
      <c r="G11" s="74" t="str" cm="1">
        <f t="array" ref="G11" xml:space="preserve"> IF(G$3&lt;&gt;$D11, MID($C11,G$3,1), INDEX([1]音調表!$D$3:$D$12, MATCH(TRUE, EXACT(MID($C11,G$3,1), [1]音調表!$B$3:$B$12),0)))</f>
        <v/>
      </c>
      <c r="H11" s="74" t="str" cm="1">
        <f t="array" ref="H11" xml:space="preserve"> IF(H$3&lt;&gt;$D11, MID($C11,H$3,1), INDEX([1]音調表!$D$3:$D$12, MATCH(TRUE, EXACT(MID($C11,H$3,1), [1]音調表!$B$3:$B$12),0)))</f>
        <v/>
      </c>
      <c r="I11" s="74" t="str" cm="1">
        <f t="array" ref="I11" xml:space="preserve"> IF(I$3&lt;&gt;$D11, MID($C11,I$3,1), INDEX([1]音調表!$D$3:$D$12, MATCH(TRUE, EXACT(MID($C11,I$3,1), [1]音調表!$B$3:$B$12),0)))</f>
        <v/>
      </c>
      <c r="J11" s="74" t="str" cm="1">
        <f t="array" ref="J11" xml:space="preserve"> IF(J$3&lt;&gt;$D11, MID($C11,J$3,1), INDEX([1]音調表!$D$3:$D$12, MATCH(TRUE, EXACT(MID($C11,J$3,1), [1]音調表!$B$3:$B$12),0)))</f>
        <v/>
      </c>
      <c r="K11" s="74" t="str" cm="1">
        <f t="array" ref="K11" xml:space="preserve"> IF(K$3&lt;&gt;$D11, MID($C11,K$3,1), INDEX([1]音調表!$D$3:$D$12, MATCH(TRUE, EXACT(MID($C11,K$3,1), [1]音調表!$B$3:$B$12),0)))</f>
        <v/>
      </c>
      <c r="L11" s="74" t="str" cm="1">
        <f t="array" ref="L11" xml:space="preserve"> IF(L$3&lt;&gt;$D11, MID($C11,L$3,1), INDEX([1]音調表!$D$3:$D$12, MATCH(TRUE, EXACT(MID($C11,L$3,1), [1]音調表!$B$3:$B$12),0)))</f>
        <v/>
      </c>
      <c r="M11" s="75" t="str" cm="1">
        <f t="array" ref="M11" xml:space="preserve"> IF(M$3&lt;&gt;$D11, MID($C11,M$3,1), INDEX([1]音調表!$D$3:$D$12, MATCH(TRUE, EXACT(MID($C11,M$3,1), [1]音調表!$B$3:$B$12),0)))</f>
        <v/>
      </c>
      <c r="O11" s="70"/>
      <c r="P11" s="70"/>
    </row>
    <row r="12" spans="2:17">
      <c r="B12" s="71" t="s">
        <v>1473</v>
      </c>
      <c r="C12" s="72" t="s">
        <v>1422</v>
      </c>
      <c r="D12" s="73">
        <f t="shared" si="0"/>
        <v>5</v>
      </c>
      <c r="E12" s="74" t="str" cm="1">
        <f t="array" ref="E12" xml:space="preserve"> IF(E$3&lt;&gt;$D12, MID($C12,E$3,1), INDEX([1]音調表!$D$3:$D$12, MATCH(TRUE, EXACT(MID($C12,E$3,1), [1]音調表!$B$3:$B$12),0)))</f>
        <v>h</v>
      </c>
      <c r="F12" s="74" t="str" cm="1">
        <f t="array" ref="F12" xml:space="preserve"> IF(F$3&lt;&gt;$D12, MID($C12,F$3,1), INDEX([1]音調表!$D$3:$D$12, MATCH(TRUE, EXACT(MID($C12,F$3,1), [1]音調表!$B$3:$B$12),0)))</f>
        <v>o</v>
      </c>
      <c r="G12" s="74" t="str" cm="1">
        <f t="array" ref="G12" xml:space="preserve"> IF(G$3&lt;&gt;$D12, MID($C12,G$3,1), INDEX([1]音調表!$D$3:$D$12, MATCH(TRUE, EXACT(MID($C12,G$3,1), [1]音調表!$B$3:$B$12),0)))</f>
        <v>n</v>
      </c>
      <c r="H12" s="74" t="str" cm="1">
        <f t="array" ref="H12" xml:space="preserve"> IF(H$3&lt;&gt;$D12, MID($C12,H$3,1), INDEX([1]音調表!$D$3:$D$12, MATCH(TRUE, EXACT(MID($C12,H$3,1), [1]音調表!$B$3:$B$12),0)))</f>
        <v>g</v>
      </c>
      <c r="I12" s="74" t="str" cm="1">
        <f t="array" ref="I12" xml:space="preserve"> IF(I$3&lt;&gt;$D12, MID($C12,I$3,1), INDEX([1]音調表!$D$3:$D$12, MATCH(TRUE, EXACT(MID($C12,I$3,1), [1]音調表!$B$3:$B$12),0)))</f>
        <v>/</v>
      </c>
      <c r="J12" s="74" t="str" cm="1">
        <f t="array" ref="J12" xml:space="preserve"> IF(J$3&lt;&gt;$D12, MID($C12,J$3,1), INDEX([1]音調表!$D$3:$D$12, MATCH(TRUE, EXACT(MID($C12,J$3,1), [1]音調表!$B$3:$B$12),0)))</f>
        <v/>
      </c>
      <c r="K12" s="74" t="str" cm="1">
        <f t="array" ref="K12" xml:space="preserve"> IF(K$3&lt;&gt;$D12, MID($C12,K$3,1), INDEX([1]音調表!$D$3:$D$12, MATCH(TRUE, EXACT(MID($C12,K$3,1), [1]音調表!$B$3:$B$12),0)))</f>
        <v/>
      </c>
      <c r="L12" s="74" t="str" cm="1">
        <f t="array" ref="L12" xml:space="preserve"> IF(L$3&lt;&gt;$D12, MID($C12,L$3,1), INDEX([1]音調表!$D$3:$D$12, MATCH(TRUE, EXACT(MID($C12,L$3,1), [1]音調表!$B$3:$B$12),0)))</f>
        <v/>
      </c>
      <c r="M12" s="75" t="str" cm="1">
        <f t="array" ref="M12" xml:space="preserve"> IF(M$3&lt;&gt;$D12, MID($C12,M$3,1), INDEX([1]音調表!$D$3:$D$12, MATCH(TRUE, EXACT(MID($C12,M$3,1), [1]音調表!$B$3:$B$12),0)))</f>
        <v/>
      </c>
      <c r="O12" s="70"/>
      <c r="P12" s="70"/>
    </row>
    <row r="13" spans="2:17">
      <c r="B13" s="71" t="s">
        <v>1474</v>
      </c>
      <c r="C13" s="72" t="s">
        <v>543</v>
      </c>
      <c r="D13" s="73">
        <f t="shared" si="0"/>
        <v>3</v>
      </c>
      <c r="E13" s="74" t="str" cm="1">
        <f t="array" ref="E13" xml:space="preserve"> IF(E$3&lt;&gt;$D13, MID($C13,E$3,1), INDEX([1]音調表!$D$3:$D$12, MATCH(TRUE, EXACT(MID($C13,E$3,1), [1]音調表!$B$3:$B$12),0)))</f>
        <v>h</v>
      </c>
      <c r="F13" s="74" t="str" cm="1">
        <f t="array" ref="F13" xml:space="preserve"> IF(F$3&lt;&gt;$D13, MID($C13,F$3,1), INDEX([1]音調表!$D$3:$D$12, MATCH(TRUE, EXACT(MID($C13,F$3,1), [1]音調表!$B$3:$B$12),0)))</f>
        <v>o</v>
      </c>
      <c r="G13" s="74" t="str" cm="1">
        <f t="array" ref="G13" xml:space="preserve"> IF(G$3&lt;&gt;$D13, MID($C13,G$3,1), INDEX([1]音調表!$D$3:$D$12, MATCH(TRUE, EXACT(MID($C13,G$3,1), [1]音調表!$B$3:$B$12),0)))</f>
        <v>/</v>
      </c>
      <c r="H13" s="74" t="str" cm="1">
        <f t="array" ref="H13" xml:space="preserve"> IF(H$3&lt;&gt;$D13, MID($C13,H$3,1), INDEX([1]音調表!$D$3:$D$12, MATCH(TRUE, EXACT(MID($C13,H$3,1), [1]音調表!$B$3:$B$12),0)))</f>
        <v/>
      </c>
      <c r="I13" s="74" t="str" cm="1">
        <f t="array" ref="I13" xml:space="preserve"> IF(I$3&lt;&gt;$D13, MID($C13,I$3,1), INDEX([1]音調表!$D$3:$D$12, MATCH(TRUE, EXACT(MID($C13,I$3,1), [1]音調表!$B$3:$B$12),0)))</f>
        <v/>
      </c>
      <c r="J13" s="74" t="str" cm="1">
        <f t="array" ref="J13" xml:space="preserve"> IF(J$3&lt;&gt;$D13, MID($C13,J$3,1), INDEX([1]音調表!$D$3:$D$12, MATCH(TRUE, EXACT(MID($C13,J$3,1), [1]音調表!$B$3:$B$12),0)))</f>
        <v/>
      </c>
      <c r="K13" s="74" t="str" cm="1">
        <f t="array" ref="K13" xml:space="preserve"> IF(K$3&lt;&gt;$D13, MID($C13,K$3,1), INDEX([1]音調表!$D$3:$D$12, MATCH(TRUE, EXACT(MID($C13,K$3,1), [1]音調表!$B$3:$B$12),0)))</f>
        <v/>
      </c>
      <c r="L13" s="74" t="str" cm="1">
        <f t="array" ref="L13" xml:space="preserve"> IF(L$3&lt;&gt;$D13, MID($C13,L$3,1), INDEX([1]音調表!$D$3:$D$12, MATCH(TRUE, EXACT(MID($C13,L$3,1), [1]音調表!$B$3:$B$12),0)))</f>
        <v/>
      </c>
      <c r="M13" s="75" t="str" cm="1">
        <f t="array" ref="M13" xml:space="preserve"> IF(M$3&lt;&gt;$D13, MID($C13,M$3,1), INDEX([1]音調表!$D$3:$D$12, MATCH(TRUE, EXACT(MID($C13,M$3,1), [1]音調表!$B$3:$B$12),0)))</f>
        <v/>
      </c>
      <c r="O13" s="70"/>
      <c r="P13" s="70"/>
    </row>
    <row r="14" spans="2:17">
      <c r="B14" s="71" t="s">
        <v>1475</v>
      </c>
      <c r="C14" s="72" t="s">
        <v>621</v>
      </c>
      <c r="D14" s="73">
        <f t="shared" si="0"/>
        <v>4</v>
      </c>
      <c r="E14" s="74" t="str" cm="1">
        <f t="array" ref="E14" xml:space="preserve"> IF(E$3&lt;&gt;$D14, MID($C14,E$3,1), INDEX([1]音調表!$D$3:$D$12, MATCH(TRUE, EXACT(MID($C14,E$3,1), [1]音調表!$B$3:$B$12),0)))</f>
        <v>u</v>
      </c>
      <c r="F14" s="74" t="str" cm="1">
        <f t="array" ref="F14" xml:space="preserve"> IF(F$3&lt;&gt;$D14, MID($C14,F$3,1), INDEX([1]音調表!$D$3:$D$12, MATCH(TRUE, EXACT(MID($C14,F$3,1), [1]音調表!$B$3:$B$12),0)))</f>
        <v>a</v>
      </c>
      <c r="G14" s="74" t="str" cm="1">
        <f t="array" ref="G14" xml:space="preserve"> IF(G$3&lt;&gt;$D14, MID($C14,G$3,1), INDEX([1]音調表!$D$3:$D$12, MATCH(TRUE, EXACT(MID($C14,G$3,1), [1]音調表!$B$3:$B$12),0)))</f>
        <v>n</v>
      </c>
      <c r="H14" s="74" t="str" cm="1">
        <f t="array" ref="H14" xml:space="preserve"> IF(H$3&lt;&gt;$D14, MID($C14,H$3,1), INDEX([1]音調表!$D$3:$D$12, MATCH(TRUE, EXACT(MID($C14,H$3,1), [1]音調表!$B$3:$B$12),0)))</f>
        <v>\</v>
      </c>
      <c r="I14" s="74" t="str" cm="1">
        <f t="array" ref="I14" xml:space="preserve"> IF(I$3&lt;&gt;$D14, MID($C14,I$3,1), INDEX([1]音調表!$D$3:$D$12, MATCH(TRUE, EXACT(MID($C14,I$3,1), [1]音調表!$B$3:$B$12),0)))</f>
        <v/>
      </c>
      <c r="J14" s="74" t="str" cm="1">
        <f t="array" ref="J14" xml:space="preserve"> IF(J$3&lt;&gt;$D14, MID($C14,J$3,1), INDEX([1]音調表!$D$3:$D$12, MATCH(TRUE, EXACT(MID($C14,J$3,1), [1]音調表!$B$3:$B$12),0)))</f>
        <v/>
      </c>
      <c r="K14" s="74" t="str" cm="1">
        <f t="array" ref="K14" xml:space="preserve"> IF(K$3&lt;&gt;$D14, MID($C14,K$3,1), INDEX([1]音調表!$D$3:$D$12, MATCH(TRUE, EXACT(MID($C14,K$3,1), [1]音調表!$B$3:$B$12),0)))</f>
        <v/>
      </c>
      <c r="L14" s="74" t="str" cm="1">
        <f t="array" ref="L14" xml:space="preserve"> IF(L$3&lt;&gt;$D14, MID($C14,L$3,1), INDEX([1]音調表!$D$3:$D$12, MATCH(TRUE, EXACT(MID($C14,L$3,1), [1]音調表!$B$3:$B$12),0)))</f>
        <v/>
      </c>
      <c r="M14" s="75" t="str" cm="1">
        <f t="array" ref="M14" xml:space="preserve"> IF(M$3&lt;&gt;$D14, MID($C14,M$3,1), INDEX([1]音調表!$D$3:$D$12, MATCH(TRUE, EXACT(MID($C14,M$3,1), [1]音調表!$B$3:$B$12),0)))</f>
        <v/>
      </c>
      <c r="O14" s="70"/>
      <c r="P14" s="70"/>
    </row>
    <row r="15" spans="2:17">
      <c r="B15" s="71" t="s">
        <v>1476</v>
      </c>
      <c r="C15" s="72" t="s">
        <v>1477</v>
      </c>
      <c r="D15" s="73">
        <f t="shared" si="0"/>
        <v>6</v>
      </c>
      <c r="E15" s="74" t="str" cm="1">
        <f t="array" ref="E15" xml:space="preserve"> IF(E$3&lt;&gt;$D15, MID($C15,E$3,1), INDEX([1]音調表!$D$3:$D$12, MATCH(TRUE, EXACT(MID($C15,E$3,1), [1]音調表!$B$3:$B$12),0)))</f>
        <v>s</v>
      </c>
      <c r="F15" s="74" t="str" cm="1">
        <f t="array" ref="F15" xml:space="preserve"> IF(F$3&lt;&gt;$D15, MID($C15,F$3,1), INDEX([1]音調表!$D$3:$D$12, MATCH(TRUE, EXACT(MID($C15,F$3,1), [1]音調表!$B$3:$B$12),0)))</f>
        <v>i</v>
      </c>
      <c r="G15" s="74" t="str" cm="1">
        <f t="array" ref="G15" xml:space="preserve"> IF(G$3&lt;&gt;$D15, MID($C15,G$3,1), INDEX([1]音調表!$D$3:$D$12, MATCH(TRUE, EXACT(MID($C15,G$3,1), [1]音調表!$B$3:$B$12),0)))</f>
        <v>o</v>
      </c>
      <c r="H15" s="74" t="str" cm="1">
        <f t="array" ref="H15" xml:space="preserve"> IF(H$3&lt;&gt;$D15, MID($C15,H$3,1), INDEX([1]音調表!$D$3:$D$12, MATCH(TRUE, EXACT(MID($C15,H$3,1), [1]音調表!$B$3:$B$12),0)))</f>
        <v>n</v>
      </c>
      <c r="I15" s="74" t="str" cm="1">
        <f t="array" ref="I15" xml:space="preserve"> IF(I$3&lt;&gt;$D15, MID($C15,I$3,1), INDEX([1]音調表!$D$3:$D$12, MATCH(TRUE, EXACT(MID($C15,I$3,1), [1]音調表!$B$3:$B$12),0)))</f>
        <v>g</v>
      </c>
      <c r="J15" s="74" t="str" cm="1">
        <f t="array" ref="J15" xml:space="preserve"> IF(J$3&lt;&gt;$D15, MID($C15,J$3,1), INDEX([1]音調表!$D$3:$D$12, MATCH(TRUE, EXACT(MID($C15,J$3,1), [1]音調表!$B$3:$B$12),0)))</f>
        <v>\</v>
      </c>
      <c r="K15" s="74" t="str" cm="1">
        <f t="array" ref="K15" xml:space="preserve"> IF(K$3&lt;&gt;$D15, MID($C15,K$3,1), INDEX([1]音調表!$D$3:$D$12, MATCH(TRUE, EXACT(MID($C15,K$3,1), [1]音調表!$B$3:$B$12),0)))</f>
        <v/>
      </c>
      <c r="L15" s="74" t="str" cm="1">
        <f t="array" ref="L15" xml:space="preserve"> IF(L$3&lt;&gt;$D15, MID($C15,L$3,1), INDEX([1]音調表!$D$3:$D$12, MATCH(TRUE, EXACT(MID($C15,L$3,1), [1]音調表!$B$3:$B$12),0)))</f>
        <v/>
      </c>
      <c r="M15" s="75" t="str" cm="1">
        <f t="array" ref="M15" xml:space="preserve"> IF(M$3&lt;&gt;$D15, MID($C15,M$3,1), INDEX([1]音調表!$D$3:$D$12, MATCH(TRUE, EXACT(MID($C15,M$3,1), [1]音調表!$B$3:$B$12),0)))</f>
        <v/>
      </c>
      <c r="O15" s="70"/>
      <c r="P15" s="70"/>
    </row>
    <row r="16" spans="2:17">
      <c r="B16" s="71" t="s">
        <v>1478</v>
      </c>
      <c r="C16" s="72" t="s">
        <v>1479</v>
      </c>
      <c r="D16" s="73">
        <f t="shared" si="0"/>
        <v>4</v>
      </c>
      <c r="E16" s="74" t="str" cm="1">
        <f t="array" ref="E16" xml:space="preserve"> IF(E$3&lt;&gt;$D16, MID($C16,E$3,1), INDEX([1]音調表!$D$3:$D$12, MATCH(TRUE, EXACT(MID($C16,E$3,1), [1]音調表!$B$3:$B$12),0)))</f>
        <v>p</v>
      </c>
      <c r="F16" s="74" t="str" cm="1">
        <f t="array" ref="F16" xml:space="preserve"> IF(F$3&lt;&gt;$D16, MID($C16,F$3,1), INDEX([1]音調表!$D$3:$D$12, MATCH(TRUE, EXACT(MID($C16,F$3,1), [1]音調表!$B$3:$B$12),0)))</f>
        <v>i</v>
      </c>
      <c r="G16" s="74" t="str" cm="1">
        <f t="array" ref="G16" xml:space="preserve"> IF(G$3&lt;&gt;$D16, MID($C16,G$3,1), INDEX([1]音調表!$D$3:$D$12, MATCH(TRUE, EXACT(MID($C16,G$3,1), [1]音調表!$B$3:$B$12),0)))</f>
        <v>k</v>
      </c>
      <c r="H16" s="74" t="str" cm="1">
        <f t="array" ref="H16" xml:space="preserve"> IF(H$3&lt;&gt;$D16, MID($C16,H$3,1), INDEX([1]音調表!$D$3:$D$12, MATCH(TRUE, EXACT(MID($C16,H$3,1), [1]音調表!$B$3:$B$12),0)))</f>
        <v>]</v>
      </c>
      <c r="I16" s="74" t="str" cm="1">
        <f t="array" ref="I16" xml:space="preserve"> IF(I$3&lt;&gt;$D16, MID($C16,I$3,1), INDEX([1]音調表!$D$3:$D$12, MATCH(TRUE, EXACT(MID($C16,I$3,1), [1]音調表!$B$3:$B$12),0)))</f>
        <v/>
      </c>
      <c r="J16" s="74" t="str" cm="1">
        <f t="array" ref="J16" xml:space="preserve"> IF(J$3&lt;&gt;$D16, MID($C16,J$3,1), INDEX([1]音調表!$D$3:$D$12, MATCH(TRUE, EXACT(MID($C16,J$3,1), [1]音調表!$B$3:$B$12),0)))</f>
        <v/>
      </c>
      <c r="K16" s="74" t="str" cm="1">
        <f t="array" ref="K16" xml:space="preserve"> IF(K$3&lt;&gt;$D16, MID($C16,K$3,1), INDEX([1]音調表!$D$3:$D$12, MATCH(TRUE, EXACT(MID($C16,K$3,1), [1]音調表!$B$3:$B$12),0)))</f>
        <v/>
      </c>
      <c r="L16" s="74" t="str" cm="1">
        <f t="array" ref="L16" xml:space="preserve"> IF(L$3&lt;&gt;$D16, MID($C16,L$3,1), INDEX([1]音調表!$D$3:$D$12, MATCH(TRUE, EXACT(MID($C16,L$3,1), [1]音調表!$B$3:$B$12),0)))</f>
        <v/>
      </c>
      <c r="M16" s="75" t="str" cm="1">
        <f t="array" ref="M16" xml:space="preserve"> IF(M$3&lt;&gt;$D16, MID($C16,M$3,1), INDEX([1]音調表!$D$3:$D$12, MATCH(TRUE, EXACT(MID($C16,M$3,1), [1]音調表!$B$3:$B$12),0)))</f>
        <v/>
      </c>
      <c r="O16" s="70"/>
      <c r="P16" s="70"/>
    </row>
    <row r="17" spans="2:16">
      <c r="B17" s="71" t="s">
        <v>1480</v>
      </c>
      <c r="C17" s="72" t="s">
        <v>1481</v>
      </c>
      <c r="D17" s="73">
        <f t="shared" si="0"/>
        <v>4</v>
      </c>
      <c r="E17" s="74" t="str" cm="1">
        <f t="array" ref="E17" xml:space="preserve"> IF(E$3&lt;&gt;$D17, MID($C17,E$3,1), INDEX([1]音調表!$D$3:$D$12, MATCH(TRUE, EXACT(MID($C17,E$3,1), [1]音調表!$B$3:$B$12),0)))</f>
        <v>h</v>
      </c>
      <c r="F17" s="74" t="str" cm="1">
        <f t="array" ref="F17" xml:space="preserve"> IF(F$3&lt;&gt;$D17, MID($C17,F$3,1), INDEX([1]音調表!$D$3:$D$12, MATCH(TRUE, EXACT(MID($C17,F$3,1), [1]音調表!$B$3:$B$12),0)))</f>
        <v>u</v>
      </c>
      <c r="G17" s="74" t="str" cm="1">
        <f t="array" ref="G17" xml:space="preserve"> IF(G$3&lt;&gt;$D17, MID($C17,G$3,1), INDEX([1]音調表!$D$3:$D$12, MATCH(TRUE, EXACT(MID($C17,G$3,1), [1]音調表!$B$3:$B$12),0)))</f>
        <v>n</v>
      </c>
      <c r="H17" s="74" t="str" cm="1">
        <f t="array" ref="H17" xml:space="preserve"> IF(H$3&lt;&gt;$D17, MID($C17,H$3,1), INDEX([1]音調表!$D$3:$D$12, MATCH(TRUE, EXACT(MID($C17,H$3,1), [1]音調表!$B$3:$B$12),0)))</f>
        <v>/</v>
      </c>
      <c r="I17" s="74" t="str" cm="1">
        <f t="array" ref="I17" xml:space="preserve"> IF(I$3&lt;&gt;$D17, MID($C17,I$3,1), INDEX([1]音調表!$D$3:$D$12, MATCH(TRUE, EXACT(MID($C17,I$3,1), [1]音調表!$B$3:$B$12),0)))</f>
        <v/>
      </c>
      <c r="J17" s="74" t="str" cm="1">
        <f t="array" ref="J17" xml:space="preserve"> IF(J$3&lt;&gt;$D17, MID($C17,J$3,1), INDEX([1]音調表!$D$3:$D$12, MATCH(TRUE, EXACT(MID($C17,J$3,1), [1]音調表!$B$3:$B$12),0)))</f>
        <v/>
      </c>
      <c r="K17" s="74" t="str" cm="1">
        <f t="array" ref="K17" xml:space="preserve"> IF(K$3&lt;&gt;$D17, MID($C17,K$3,1), INDEX([1]音調表!$D$3:$D$12, MATCH(TRUE, EXACT(MID($C17,K$3,1), [1]音調表!$B$3:$B$12),0)))</f>
        <v/>
      </c>
      <c r="L17" s="74" t="str" cm="1">
        <f t="array" ref="L17" xml:space="preserve"> IF(L$3&lt;&gt;$D17, MID($C17,L$3,1), INDEX([1]音調表!$D$3:$D$12, MATCH(TRUE, EXACT(MID($C17,L$3,1), [1]音調表!$B$3:$B$12),0)))</f>
        <v/>
      </c>
      <c r="M17" s="75" t="str" cm="1">
        <f t="array" ref="M17" xml:space="preserve"> IF(M$3&lt;&gt;$D17, MID($C17,M$3,1), INDEX([1]音調表!$D$3:$D$12, MATCH(TRUE, EXACT(MID($C17,M$3,1), [1]音調表!$B$3:$B$12),0)))</f>
        <v/>
      </c>
      <c r="O17" s="70"/>
      <c r="P17" s="70"/>
    </row>
    <row r="18" spans="2:16">
      <c r="B18" s="71" t="s">
        <v>1482</v>
      </c>
      <c r="C18" s="72" t="s">
        <v>1483</v>
      </c>
      <c r="D18" s="73">
        <f t="shared" si="0"/>
        <v>4</v>
      </c>
      <c r="E18" s="74" t="str" cm="1">
        <f t="array" ref="E18" xml:space="preserve"> IF(E$3&lt;&gt;$D18, MID($C18,E$3,1), INDEX([1]音調表!$D$3:$D$12, MATCH(TRUE, EXACT(MID($C18,E$3,1), [1]音調表!$B$3:$B$12),0)))</f>
        <v>k</v>
      </c>
      <c r="F18" s="74" t="str" cm="1">
        <f t="array" ref="F18" xml:space="preserve"> IF(F$3&lt;&gt;$D18, MID($C18,F$3,1), INDEX([1]音調表!$D$3:$D$12, MATCH(TRUE, EXACT(MID($C18,F$3,1), [1]音調表!$B$3:$B$12),0)))</f>
        <v>a</v>
      </c>
      <c r="G18" s="74" t="str" cm="1">
        <f t="array" ref="G18" xml:space="preserve"> IF(G$3&lt;&gt;$D18, MID($C18,G$3,1), INDEX([1]音調表!$D$3:$D$12, MATCH(TRUE, EXACT(MID($C18,G$3,1), [1]音調表!$B$3:$B$12),0)))</f>
        <v>n</v>
      </c>
      <c r="H18" s="74" t="str" cm="1">
        <f t="array" ref="H18" xml:space="preserve"> IF(H$3&lt;&gt;$D18, MID($C18,H$3,1), INDEX([1]音調表!$D$3:$D$12, MATCH(TRUE, EXACT(MID($C18,H$3,1), [1]音調表!$B$3:$B$12),0)))</f>
        <v>;</v>
      </c>
      <c r="I18" s="74" t="str" cm="1">
        <f t="array" ref="I18" xml:space="preserve"> IF(I$3&lt;&gt;$D18, MID($C18,I$3,1), INDEX([1]音調表!$D$3:$D$12, MATCH(TRUE, EXACT(MID($C18,I$3,1), [1]音調表!$B$3:$B$12),0)))</f>
        <v/>
      </c>
      <c r="J18" s="74" t="str" cm="1">
        <f t="array" ref="J18" xml:space="preserve"> IF(J$3&lt;&gt;$D18, MID($C18,J$3,1), INDEX([1]音調表!$D$3:$D$12, MATCH(TRUE, EXACT(MID($C18,J$3,1), [1]音調表!$B$3:$B$12),0)))</f>
        <v/>
      </c>
      <c r="K18" s="74" t="str" cm="1">
        <f t="array" ref="K18" xml:space="preserve"> IF(K$3&lt;&gt;$D18, MID($C18,K$3,1), INDEX([1]音調表!$D$3:$D$12, MATCH(TRUE, EXACT(MID($C18,K$3,1), [1]音調表!$B$3:$B$12),0)))</f>
        <v/>
      </c>
      <c r="L18" s="74" t="str" cm="1">
        <f t="array" ref="L18" xml:space="preserve"> IF(L$3&lt;&gt;$D18, MID($C18,L$3,1), INDEX([1]音調表!$D$3:$D$12, MATCH(TRUE, EXACT(MID($C18,L$3,1), [1]音調表!$B$3:$B$12),0)))</f>
        <v/>
      </c>
      <c r="M18" s="75" t="str" cm="1">
        <f t="array" ref="M18" xml:space="preserve"> IF(M$3&lt;&gt;$D18, MID($C18,M$3,1), INDEX([1]音調表!$D$3:$D$12, MATCH(TRUE, EXACT(MID($C18,M$3,1), [1]音調表!$B$3:$B$12),0)))</f>
        <v/>
      </c>
      <c r="O18" s="70"/>
      <c r="P18" s="70"/>
    </row>
    <row r="19" spans="2:16">
      <c r="B19" s="71" t="s">
        <v>1484</v>
      </c>
      <c r="C19" s="72"/>
      <c r="D19" s="73" t="str">
        <f t="shared" si="0"/>
        <v/>
      </c>
      <c r="E19" s="74" t="s">
        <v>1485</v>
      </c>
      <c r="F19" s="74" t="s">
        <v>1486</v>
      </c>
      <c r="G19" s="74" t="str" cm="1">
        <f t="array" ref="G19" xml:space="preserve"> IF(G$3&lt;&gt;$D19, MID($C19,G$3,1), INDEX([1]音調表!$D$3:$D$12, MATCH(TRUE, EXACT(MID($C19,G$3,1), [1]音調表!$B$3:$B$12),0)))</f>
        <v/>
      </c>
      <c r="H19" s="74" t="str" cm="1">
        <f t="array" ref="H19" xml:space="preserve"> IF(H$3&lt;&gt;$D19, MID($C19,H$3,1), INDEX([1]音調表!$D$3:$D$12, MATCH(TRUE, EXACT(MID($C19,H$3,1), [1]音調表!$B$3:$B$12),0)))</f>
        <v/>
      </c>
      <c r="I19" s="74" t="str" cm="1">
        <f t="array" ref="I19" xml:space="preserve"> IF(I$3&lt;&gt;$D19, MID($C19,I$3,1), INDEX([1]音調表!$D$3:$D$12, MATCH(TRUE, EXACT(MID($C19,I$3,1), [1]音調表!$B$3:$B$12),0)))</f>
        <v/>
      </c>
      <c r="J19" s="74" t="str" cm="1">
        <f t="array" ref="J19" xml:space="preserve"> IF(J$3&lt;&gt;$D19, MID($C19,J$3,1), INDEX([1]音調表!$D$3:$D$12, MATCH(TRUE, EXACT(MID($C19,J$3,1), [1]音調表!$B$3:$B$12),0)))</f>
        <v/>
      </c>
      <c r="K19" s="74" t="str" cm="1">
        <f t="array" ref="K19" xml:space="preserve"> IF(K$3&lt;&gt;$D19, MID($C19,K$3,1), INDEX([1]音調表!$D$3:$D$12, MATCH(TRUE, EXACT(MID($C19,K$3,1), [1]音調表!$B$3:$B$12),0)))</f>
        <v/>
      </c>
      <c r="L19" s="74" t="str" cm="1">
        <f t="array" ref="L19" xml:space="preserve"> IF(L$3&lt;&gt;$D19, MID($C19,L$3,1), INDEX([1]音調表!$D$3:$D$12, MATCH(TRUE, EXACT(MID($C19,L$3,1), [1]音調表!$B$3:$B$12),0)))</f>
        <v/>
      </c>
      <c r="M19" s="75" t="str" cm="1">
        <f t="array" ref="M19" xml:space="preserve"> IF(M$3&lt;&gt;$D19, MID($C19,M$3,1), INDEX([1]音調表!$D$3:$D$12, MATCH(TRUE, EXACT(MID($C19,M$3,1), [1]音調表!$B$3:$B$12),0)))</f>
        <v/>
      </c>
      <c r="O19" s="70"/>
      <c r="P19" s="70"/>
    </row>
    <row r="20" spans="2:16">
      <c r="B20" s="71" t="s">
        <v>1487</v>
      </c>
      <c r="C20" s="72" t="s">
        <v>617</v>
      </c>
      <c r="D20" s="73">
        <f t="shared" si="0"/>
        <v>3</v>
      </c>
      <c r="E20" s="74" t="str" cm="1">
        <f t="array" ref="E20" xml:space="preserve"> IF(E$3&lt;&gt;$D20, MID($C20,E$3,1), INDEX([1]音調表!$D$3:$D$12, MATCH(TRUE, EXACT(MID($C20,E$3,1), [1]音調表!$B$3:$B$12),0)))</f>
        <v>i</v>
      </c>
      <c r="F20" s="74" t="str" cm="1">
        <f t="array" ref="F20" xml:space="preserve"> IF(F$3&lt;&gt;$D20, MID($C20,F$3,1), INDEX([1]音調表!$D$3:$D$12, MATCH(TRUE, EXACT(MID($C20,F$3,1), [1]音調表!$B$3:$B$12),0)))</f>
        <v>t</v>
      </c>
      <c r="G20" s="74" t="str" cm="1">
        <f t="array" ref="G20" xml:space="preserve"> IF(G$3&lt;&gt;$D20, MID($C20,G$3,1), INDEX([1]音調表!$D$3:$D$12, MATCH(TRUE, EXACT(MID($C20,G$3,1), [1]音調表!$B$3:$B$12),0)))</f>
        <v>[</v>
      </c>
      <c r="H20" s="74" t="str" cm="1">
        <f t="array" ref="H20" xml:space="preserve"> IF(H$3&lt;&gt;$D20, MID($C20,H$3,1), INDEX([1]音調表!$D$3:$D$12, MATCH(TRUE, EXACT(MID($C20,H$3,1), [1]音調表!$B$3:$B$12),0)))</f>
        <v/>
      </c>
      <c r="I20" s="74" t="str" cm="1">
        <f t="array" ref="I20" xml:space="preserve"> IF(I$3&lt;&gt;$D20, MID($C20,I$3,1), INDEX([1]音調表!$D$3:$D$12, MATCH(TRUE, EXACT(MID($C20,I$3,1), [1]音調表!$B$3:$B$12),0)))</f>
        <v/>
      </c>
      <c r="J20" s="74" t="str" cm="1">
        <f t="array" ref="J20" xml:space="preserve"> IF(J$3&lt;&gt;$D20, MID($C20,J$3,1), INDEX([1]音調表!$D$3:$D$12, MATCH(TRUE, EXACT(MID($C20,J$3,1), [1]音調表!$B$3:$B$12),0)))</f>
        <v/>
      </c>
      <c r="K20" s="74" t="str" cm="1">
        <f t="array" ref="K20" xml:space="preserve"> IF(K$3&lt;&gt;$D20, MID($C20,K$3,1), INDEX([1]音調表!$D$3:$D$12, MATCH(TRUE, EXACT(MID($C20,K$3,1), [1]音調表!$B$3:$B$12),0)))</f>
        <v/>
      </c>
      <c r="L20" s="74" t="str" cm="1">
        <f t="array" ref="L20" xml:space="preserve"> IF(L$3&lt;&gt;$D20, MID($C20,L$3,1), INDEX([1]音調表!$D$3:$D$12, MATCH(TRUE, EXACT(MID($C20,L$3,1), [1]音調表!$B$3:$B$12),0)))</f>
        <v/>
      </c>
      <c r="M20" s="75" t="str" cm="1">
        <f t="array" ref="M20" xml:space="preserve"> IF(M$3&lt;&gt;$D20, MID($C20,M$3,1), INDEX([1]音調表!$D$3:$D$12, MATCH(TRUE, EXACT(MID($C20,M$3,1), [1]音調表!$B$3:$B$12),0)))</f>
        <v/>
      </c>
      <c r="O20" s="70"/>
      <c r="P20" s="70"/>
    </row>
    <row r="21" spans="2:16">
      <c r="B21" s="71" t="s">
        <v>1488</v>
      </c>
      <c r="C21" s="72" t="s">
        <v>1489</v>
      </c>
      <c r="D21" s="73">
        <f t="shared" si="0"/>
        <v>6</v>
      </c>
      <c r="E21" s="74" t="str" cm="1">
        <f t="array" ref="E21" xml:space="preserve"> IF(E$3&lt;&gt;$D21, MID($C21,E$3,1), INDEX([1]音調表!$D$3:$D$12, MATCH(TRUE, EXACT(MID($C21,E$3,1), [1]音調表!$B$3:$B$12),0)))</f>
        <v>p</v>
      </c>
      <c r="F21" s="74" t="str" cm="1">
        <f t="array" ref="F21" xml:space="preserve"> IF(F$3&lt;&gt;$D21, MID($C21,F$3,1), INDEX([1]音調表!$D$3:$D$12, MATCH(TRUE, EXACT(MID($C21,F$3,1), [1]音調表!$B$3:$B$12),0)))</f>
        <v>h</v>
      </c>
      <c r="G21" s="74" t="str" cm="1">
        <f t="array" ref="G21" xml:space="preserve"> IF(G$3&lt;&gt;$D21, MID($C21,G$3,1), INDEX([1]音調表!$D$3:$D$12, MATCH(TRUE, EXACT(MID($C21,G$3,1), [1]音調表!$B$3:$B$12),0)))</f>
        <v>i</v>
      </c>
      <c r="H21" s="74" t="str" cm="1">
        <f t="array" ref="H21" xml:space="preserve"> IF(H$3&lt;&gt;$D21, MID($C21,H$3,1), INDEX([1]音調表!$D$3:$D$12, MATCH(TRUE, EXACT(MID($C21,H$3,1), [1]音調表!$B$3:$B$12),0)))</f>
        <v>a</v>
      </c>
      <c r="I21" s="74" t="str" cm="1">
        <f t="array" ref="I21" xml:space="preserve"> IF(I$3&lt;&gt;$D21, MID($C21,I$3,1), INDEX([1]音調表!$D$3:$D$12, MATCH(TRUE, EXACT(MID($C21,I$3,1), [1]音調表!$B$3:$B$12),0)))</f>
        <v>n</v>
      </c>
      <c r="J21" s="74" t="str" cm="1">
        <f t="array" ref="J21" xml:space="preserve"> IF(J$3&lt;&gt;$D21, MID($C21,J$3,1), INDEX([1]音調表!$D$3:$D$12, MATCH(TRUE, EXACT(MID($C21,J$3,1), [1]音調表!$B$3:$B$12),0)))</f>
        <v>_</v>
      </c>
      <c r="K21" s="74" t="str" cm="1">
        <f t="array" ref="K21" xml:space="preserve"> IF(K$3&lt;&gt;$D21, MID($C21,K$3,1), INDEX([1]音調表!$D$3:$D$12, MATCH(TRUE, EXACT(MID($C21,K$3,1), [1]音調表!$B$3:$B$12),0)))</f>
        <v/>
      </c>
      <c r="L21" s="74" t="str" cm="1">
        <f t="array" ref="L21" xml:space="preserve"> IF(L$3&lt;&gt;$D21, MID($C21,L$3,1), INDEX([1]音調表!$D$3:$D$12, MATCH(TRUE, EXACT(MID($C21,L$3,1), [1]音調表!$B$3:$B$12),0)))</f>
        <v/>
      </c>
      <c r="M21" s="75" t="str" cm="1">
        <f t="array" ref="M21" xml:space="preserve"> IF(M$3&lt;&gt;$D21, MID($C21,M$3,1), INDEX([1]音調表!$D$3:$D$12, MATCH(TRUE, EXACT(MID($C21,M$3,1), [1]音調表!$B$3:$B$12),0)))</f>
        <v/>
      </c>
      <c r="O21" s="70"/>
      <c r="P21" s="70"/>
    </row>
    <row r="22" spans="2:16">
      <c r="B22" s="71" t="s">
        <v>1490</v>
      </c>
      <c r="C22" s="72" t="s">
        <v>1491</v>
      </c>
      <c r="D22" s="73">
        <f t="shared" si="0"/>
        <v>4</v>
      </c>
      <c r="E22" s="74" t="str" cm="1">
        <f t="array" ref="E22" xml:space="preserve"> IF(E$3&lt;&gt;$D22, MID($C22,E$3,1), INDEX([1]音調表!$D$3:$D$12, MATCH(TRUE, EXACT(MID($C22,E$3,1), [1]音調表!$B$3:$B$12),0)))</f>
        <v>k</v>
      </c>
      <c r="F22" s="74" t="str" cm="1">
        <f t="array" ref="F22" xml:space="preserve"> IF(F$3&lt;&gt;$D22, MID($C22,F$3,1), INDEX([1]音調表!$D$3:$D$12, MATCH(TRUE, EXACT(MID($C22,F$3,1), [1]音調表!$B$3:$B$12),0)))</f>
        <v>o</v>
      </c>
      <c r="G22" s="74" t="str" cm="1">
        <f t="array" ref="G22" xml:space="preserve"> IF(G$3&lt;&gt;$D22, MID($C22,G$3,1), INDEX([1]音調表!$D$3:$D$12, MATCH(TRUE, EXACT(MID($C22,G$3,1), [1]音調表!$B$3:$B$12),0)))</f>
        <v>o</v>
      </c>
      <c r="H22" s="74" t="str" cm="1">
        <f t="array" ref="H22" xml:space="preserve"> IF(H$3&lt;&gt;$D22, MID($C22,H$3,1), INDEX([1]音調表!$D$3:$D$12, MATCH(TRUE, EXACT(MID($C22,H$3,1), [1]音調表!$B$3:$B$12),0)))</f>
        <v>;</v>
      </c>
      <c r="I22" s="74" t="str" cm="1">
        <f t="array" ref="I22" xml:space="preserve"> IF(I$3&lt;&gt;$D22, MID($C22,I$3,1), INDEX([1]音調表!$D$3:$D$12, MATCH(TRUE, EXACT(MID($C22,I$3,1), [1]音調表!$B$3:$B$12),0)))</f>
        <v/>
      </c>
      <c r="J22" s="74" t="str" cm="1">
        <f t="array" ref="J22" xml:space="preserve"> IF(J$3&lt;&gt;$D22, MID($C22,J$3,1), INDEX([1]音調表!$D$3:$D$12, MATCH(TRUE, EXACT(MID($C22,J$3,1), [1]音調表!$B$3:$B$12),0)))</f>
        <v/>
      </c>
      <c r="K22" s="74" t="str" cm="1">
        <f t="array" ref="K22" xml:space="preserve"> IF(K$3&lt;&gt;$D22, MID($C22,K$3,1), INDEX([1]音調表!$D$3:$D$12, MATCH(TRUE, EXACT(MID($C22,K$3,1), [1]音調表!$B$3:$B$12),0)))</f>
        <v/>
      </c>
      <c r="L22" s="74" t="str" cm="1">
        <f t="array" ref="L22" xml:space="preserve"> IF(L$3&lt;&gt;$D22, MID($C22,L$3,1), INDEX([1]音調表!$D$3:$D$12, MATCH(TRUE, EXACT(MID($C22,L$3,1), [1]音調表!$B$3:$B$12),0)))</f>
        <v/>
      </c>
      <c r="M22" s="75" t="str" cm="1">
        <f t="array" ref="M22" xml:space="preserve"> IF(M$3&lt;&gt;$D22, MID($C22,M$3,1), INDEX([1]音調表!$D$3:$D$12, MATCH(TRUE, EXACT(MID($C22,M$3,1), [1]音調表!$B$3:$B$12),0)))</f>
        <v/>
      </c>
      <c r="O22" s="70"/>
      <c r="P22" s="70"/>
    </row>
    <row r="23" spans="2:16">
      <c r="B23" s="71" t="s">
        <v>1492</v>
      </c>
      <c r="C23" s="72" t="s">
        <v>1445</v>
      </c>
      <c r="D23" s="73">
        <f t="shared" si="0"/>
        <v>5</v>
      </c>
      <c r="E23" s="74" t="str" cm="1">
        <f t="array" ref="E23" xml:space="preserve"> IF(E$3&lt;&gt;$D23, MID($C23,E$3,1), INDEX([1]音調表!$D$3:$D$12, MATCH(TRUE, EXACT(MID($C23,E$3,1), [1]音調表!$B$3:$B$12),0)))</f>
        <v>s</v>
      </c>
      <c r="F23" s="74" t="str" cm="1">
        <f t="array" ref="F23" xml:space="preserve"> IF(F$3&lt;&gt;$D23, MID($C23,F$3,1), INDEX([1]音調表!$D$3:$D$12, MATCH(TRUE, EXACT(MID($C23,F$3,1), [1]音調表!$B$3:$B$12),0)))</f>
        <v>i</v>
      </c>
      <c r="G23" s="74" t="str" cm="1">
        <f t="array" ref="G23" xml:space="preserve"> IF(G$3&lt;&gt;$D23, MID($C23,G$3,1), INDEX([1]音調表!$D$3:$D$12, MATCH(TRUE, EXACT(MID($C23,G$3,1), [1]音調表!$B$3:$B$12),0)))</f>
        <v>n</v>
      </c>
      <c r="H23" s="74" t="str" cm="1">
        <f t="array" ref="H23" xml:space="preserve"> IF(H$3&lt;&gt;$D23, MID($C23,H$3,1), INDEX([1]音調表!$D$3:$D$12, MATCH(TRUE, EXACT(MID($C23,H$3,1), [1]音調表!$B$3:$B$12),0)))</f>
        <v>g</v>
      </c>
      <c r="I23" s="74" t="str" cm="1">
        <f t="array" ref="I23" xml:space="preserve"> IF(I$3&lt;&gt;$D23, MID($C23,I$3,1), INDEX([1]音調表!$D$3:$D$12, MATCH(TRUE, EXACT(MID($C23,I$3,1), [1]音調表!$B$3:$B$12),0)))</f>
        <v>/</v>
      </c>
      <c r="J23" s="74" t="str" cm="1">
        <f t="array" ref="J23" xml:space="preserve"> IF(J$3&lt;&gt;$D23, MID($C23,J$3,1), INDEX([1]音調表!$D$3:$D$12, MATCH(TRUE, EXACT(MID($C23,J$3,1), [1]音調表!$B$3:$B$12),0)))</f>
        <v/>
      </c>
      <c r="K23" s="74" t="str" cm="1">
        <f t="array" ref="K23" xml:space="preserve"> IF(K$3&lt;&gt;$D23, MID($C23,K$3,1), INDEX([1]音調表!$D$3:$D$12, MATCH(TRUE, EXACT(MID($C23,K$3,1), [1]音調表!$B$3:$B$12),0)))</f>
        <v/>
      </c>
      <c r="L23" s="74" t="str" cm="1">
        <f t="array" ref="L23" xml:space="preserve"> IF(L$3&lt;&gt;$D23, MID($C23,L$3,1), INDEX([1]音調表!$D$3:$D$12, MATCH(TRUE, EXACT(MID($C23,L$3,1), [1]音調表!$B$3:$B$12),0)))</f>
        <v/>
      </c>
      <c r="M23" s="75" t="str" cm="1">
        <f t="array" ref="M23" xml:space="preserve"> IF(M$3&lt;&gt;$D23, MID($C23,M$3,1), INDEX([1]音調表!$D$3:$D$12, MATCH(TRUE, EXACT(MID($C23,M$3,1), [1]音調表!$B$3:$B$12),0)))</f>
        <v/>
      </c>
      <c r="O23" s="70"/>
      <c r="P23" s="70"/>
    </row>
    <row r="24" spans="2:16">
      <c r="B24" s="71" t="s">
        <v>1493</v>
      </c>
      <c r="C24" s="72" t="s">
        <v>647</v>
      </c>
      <c r="D24" s="73">
        <f t="shared" si="0"/>
        <v>4</v>
      </c>
      <c r="E24" s="74" t="str" cm="1">
        <f t="array" ref="E24" xml:space="preserve"> IF(E$3&lt;&gt;$D24, MID($C24,E$3,1), INDEX([1]音調表!$D$3:$D$12, MATCH(TRUE, EXACT(MID($C24,E$3,1), [1]音調表!$B$3:$B$12),0)))</f>
        <v>b</v>
      </c>
      <c r="F24" s="74" t="str" cm="1">
        <f t="array" ref="F24" xml:space="preserve"> IF(F$3&lt;&gt;$D24, MID($C24,F$3,1), INDEX([1]音調表!$D$3:$D$12, MATCH(TRUE, EXACT(MID($C24,F$3,1), [1]音調表!$B$3:$B$12),0)))</f>
        <v>a</v>
      </c>
      <c r="G24" s="74" t="str" cm="1">
        <f t="array" ref="G24" xml:space="preserve"> IF(G$3&lt;&gt;$D24, MID($C24,G$3,1), INDEX([1]音調表!$D$3:$D$12, MATCH(TRUE, EXACT(MID($C24,G$3,1), [1]音調表!$B$3:$B$12),0)))</f>
        <v>n</v>
      </c>
      <c r="H24" s="74" t="str" cm="1">
        <f t="array" ref="H24" xml:space="preserve"> IF(H$3&lt;&gt;$D24, MID($C24,H$3,1), INDEX([1]音調表!$D$3:$D$12, MATCH(TRUE, EXACT(MID($C24,H$3,1), [1]音調表!$B$3:$B$12),0)))</f>
        <v>-</v>
      </c>
      <c r="I24" s="74" t="str" cm="1">
        <f t="array" ref="I24" xml:space="preserve"> IF(I$3&lt;&gt;$D24, MID($C24,I$3,1), INDEX([1]音調表!$D$3:$D$12, MATCH(TRUE, EXACT(MID($C24,I$3,1), [1]音調表!$B$3:$B$12),0)))</f>
        <v/>
      </c>
      <c r="J24" s="74" t="str" cm="1">
        <f t="array" ref="J24" xml:space="preserve"> IF(J$3&lt;&gt;$D24, MID($C24,J$3,1), INDEX([1]音調表!$D$3:$D$12, MATCH(TRUE, EXACT(MID($C24,J$3,1), [1]音調表!$B$3:$B$12),0)))</f>
        <v/>
      </c>
      <c r="K24" s="74" t="str" cm="1">
        <f t="array" ref="K24" xml:space="preserve"> IF(K$3&lt;&gt;$D24, MID($C24,K$3,1), INDEX([1]音調表!$D$3:$D$12, MATCH(TRUE, EXACT(MID($C24,K$3,1), [1]音調表!$B$3:$B$12),0)))</f>
        <v/>
      </c>
      <c r="L24" s="74" t="str" cm="1">
        <f t="array" ref="L24" xml:space="preserve"> IF(L$3&lt;&gt;$D24, MID($C24,L$3,1), INDEX([1]音調表!$D$3:$D$12, MATCH(TRUE, EXACT(MID($C24,L$3,1), [1]音調表!$B$3:$B$12),0)))</f>
        <v/>
      </c>
      <c r="M24" s="75" t="str" cm="1">
        <f t="array" ref="M24" xml:space="preserve"> IF(M$3&lt;&gt;$D24, MID($C24,M$3,1), INDEX([1]音調表!$D$3:$D$12, MATCH(TRUE, EXACT(MID($C24,M$3,1), [1]音調表!$B$3:$B$12),0)))</f>
        <v/>
      </c>
      <c r="O24" s="70"/>
      <c r="P24" s="70"/>
    </row>
    <row r="25" spans="2:16">
      <c r="B25" s="71" t="s">
        <v>1494</v>
      </c>
      <c r="C25" s="72" t="s">
        <v>1495</v>
      </c>
      <c r="D25" s="73">
        <f t="shared" si="0"/>
        <v>4</v>
      </c>
      <c r="E25" s="74" t="str" cm="1">
        <f t="array" ref="E25" xml:space="preserve"> IF(E$3&lt;&gt;$D25, MID($C25,E$3,1), INDEX([1]音調表!$D$3:$D$12, MATCH(TRUE, EXACT(MID($C25,E$3,1), [1]音調表!$B$3:$B$12),0)))</f>
        <v>j</v>
      </c>
      <c r="F25" s="74" t="str" cm="1">
        <f t="array" ref="F25" xml:space="preserve"> IF(F$3&lt;&gt;$D25, MID($C25,F$3,1), INDEX([1]音調表!$D$3:$D$12, MATCH(TRUE, EXACT(MID($C25,F$3,1), [1]音調表!$B$3:$B$12),0)))</f>
        <v>i</v>
      </c>
      <c r="G25" s="74" t="str" cm="1">
        <f t="array" ref="G25" xml:space="preserve"> IF(G$3&lt;&gt;$D25, MID($C25,G$3,1), INDEX([1]音調表!$D$3:$D$12, MATCH(TRUE, EXACT(MID($C25,G$3,1), [1]音調表!$B$3:$B$12),0)))</f>
        <v>n</v>
      </c>
      <c r="H25" s="74" t="str" cm="1">
        <f t="array" ref="H25" xml:space="preserve"> IF(H$3&lt;&gt;$D25, MID($C25,H$3,1), INDEX([1]音調表!$D$3:$D$12, MATCH(TRUE, EXACT(MID($C25,H$3,1), [1]音調表!$B$3:$B$12),0)))</f>
        <v>-</v>
      </c>
      <c r="I25" s="74" t="str" cm="1">
        <f t="array" ref="I25" xml:space="preserve"> IF(I$3&lt;&gt;$D25, MID($C25,I$3,1), INDEX([1]音調表!$D$3:$D$12, MATCH(TRUE, EXACT(MID($C25,I$3,1), [1]音調表!$B$3:$B$12),0)))</f>
        <v/>
      </c>
      <c r="J25" s="74" t="str" cm="1">
        <f t="array" ref="J25" xml:space="preserve"> IF(J$3&lt;&gt;$D25, MID($C25,J$3,1), INDEX([1]音調表!$D$3:$D$12, MATCH(TRUE, EXACT(MID($C25,J$3,1), [1]音調表!$B$3:$B$12),0)))</f>
        <v/>
      </c>
      <c r="K25" s="74" t="str" cm="1">
        <f t="array" ref="K25" xml:space="preserve"> IF(K$3&lt;&gt;$D25, MID($C25,K$3,1), INDEX([1]音調表!$D$3:$D$12, MATCH(TRUE, EXACT(MID($C25,K$3,1), [1]音調表!$B$3:$B$12),0)))</f>
        <v/>
      </c>
      <c r="L25" s="74" t="str" cm="1">
        <f t="array" ref="L25" xml:space="preserve"> IF(L$3&lt;&gt;$D25, MID($C25,L$3,1), INDEX([1]音調表!$D$3:$D$12, MATCH(TRUE, EXACT(MID($C25,L$3,1), [1]音調表!$B$3:$B$12),0)))</f>
        <v/>
      </c>
      <c r="M25" s="75" t="str" cm="1">
        <f t="array" ref="M25" xml:space="preserve"> IF(M$3&lt;&gt;$D25, MID($C25,M$3,1), INDEX([1]音調表!$D$3:$D$12, MATCH(TRUE, EXACT(MID($C25,M$3,1), [1]音調表!$B$3:$B$12),0)))</f>
        <v/>
      </c>
      <c r="O25" s="70"/>
      <c r="P25" s="70"/>
    </row>
    <row r="26" spans="2:16">
      <c r="B26" s="71" t="s">
        <v>1496</v>
      </c>
      <c r="C26" s="72" t="s">
        <v>623</v>
      </c>
      <c r="D26" s="73">
        <f t="shared" si="0"/>
        <v>4</v>
      </c>
      <c r="E26" s="74" t="str" cm="1">
        <f t="array" ref="E26" xml:space="preserve"> IF(E$3&lt;&gt;$D26, MID($C26,E$3,1), INDEX([1]音調表!$D$3:$D$12, MATCH(TRUE, EXACT(MID($C26,E$3,1), [1]音調表!$B$3:$B$12),0)))</f>
        <v>s</v>
      </c>
      <c r="F26" s="74" t="str" cm="1">
        <f t="array" ref="F26" xml:space="preserve"> IF(F$3&lt;&gt;$D26, MID($C26,F$3,1), INDEX([1]音調表!$D$3:$D$12, MATCH(TRUE, EXACT(MID($C26,F$3,1), [1]音調表!$B$3:$B$12),0)))</f>
        <v>a</v>
      </c>
      <c r="G26" s="74" t="str" cm="1">
        <f t="array" ref="G26" xml:space="preserve"> IF(G$3&lt;&gt;$D26, MID($C26,G$3,1), INDEX([1]音調表!$D$3:$D$12, MATCH(TRUE, EXACT(MID($C26,G$3,1), [1]音調表!$B$3:$B$12),0)))</f>
        <v>n</v>
      </c>
      <c r="H26" s="74" t="str" cm="1">
        <f t="array" ref="H26" xml:space="preserve"> IF(H$3&lt;&gt;$D26, MID($C26,H$3,1), INDEX([1]音調表!$D$3:$D$12, MATCH(TRUE, EXACT(MID($C26,H$3,1), [1]音調表!$B$3:$B$12),0)))</f>
        <v>;</v>
      </c>
      <c r="I26" s="74" t="str" cm="1">
        <f t="array" ref="I26" xml:space="preserve"> IF(I$3&lt;&gt;$D26, MID($C26,I$3,1), INDEX([1]音調表!$D$3:$D$12, MATCH(TRUE, EXACT(MID($C26,I$3,1), [1]音調表!$B$3:$B$12),0)))</f>
        <v/>
      </c>
      <c r="J26" s="74" t="str" cm="1">
        <f t="array" ref="J26" xml:space="preserve"> IF(J$3&lt;&gt;$D26, MID($C26,J$3,1), INDEX([1]音調表!$D$3:$D$12, MATCH(TRUE, EXACT(MID($C26,J$3,1), [1]音調表!$B$3:$B$12),0)))</f>
        <v/>
      </c>
      <c r="K26" s="74" t="str" cm="1">
        <f t="array" ref="K26" xml:space="preserve"> IF(K$3&lt;&gt;$D26, MID($C26,K$3,1), INDEX([1]音調表!$D$3:$D$12, MATCH(TRUE, EXACT(MID($C26,K$3,1), [1]音調表!$B$3:$B$12),0)))</f>
        <v/>
      </c>
      <c r="L26" s="74" t="str" cm="1">
        <f t="array" ref="L26" xml:space="preserve"> IF(L$3&lt;&gt;$D26, MID($C26,L$3,1), INDEX([1]音調表!$D$3:$D$12, MATCH(TRUE, EXACT(MID($C26,L$3,1), [1]音調表!$B$3:$B$12),0)))</f>
        <v/>
      </c>
      <c r="M26" s="75" t="str" cm="1">
        <f t="array" ref="M26" xml:space="preserve"> IF(M$3&lt;&gt;$D26, MID($C26,M$3,1), INDEX([1]音調表!$D$3:$D$12, MATCH(TRUE, EXACT(MID($C26,M$3,1), [1]音調表!$B$3:$B$12),0)))</f>
        <v/>
      </c>
      <c r="O26" s="70"/>
      <c r="P26" s="70"/>
    </row>
    <row r="27" spans="2:16">
      <c r="B27" s="71" t="s">
        <v>1497</v>
      </c>
      <c r="C27" s="72"/>
      <c r="D27" s="73" t="str">
        <f t="shared" si="0"/>
        <v/>
      </c>
      <c r="E27" s="74" t="s">
        <v>1485</v>
      </c>
      <c r="F27" s="74" t="s">
        <v>1498</v>
      </c>
      <c r="G27" s="74" t="str" cm="1">
        <f t="array" ref="G27" xml:space="preserve"> IF(G$3&lt;&gt;$D27, MID($C27,G$3,1), INDEX([1]音調表!$D$3:$D$12, MATCH(TRUE, EXACT(MID($C27,G$3,1), [1]音調表!$B$3:$B$12),0)))</f>
        <v/>
      </c>
      <c r="H27" s="74" t="str" cm="1">
        <f t="array" ref="H27" xml:space="preserve"> IF(H$3&lt;&gt;$D27, MID($C27,H$3,1), INDEX([1]音調表!$D$3:$D$12, MATCH(TRUE, EXACT(MID($C27,H$3,1), [1]音調表!$B$3:$B$12),0)))</f>
        <v/>
      </c>
      <c r="I27" s="74" t="str" cm="1">
        <f t="array" ref="I27" xml:space="preserve"> IF(I$3&lt;&gt;$D27, MID($C27,I$3,1), INDEX([1]音調表!$D$3:$D$12, MATCH(TRUE, EXACT(MID($C27,I$3,1), [1]音調表!$B$3:$B$12),0)))</f>
        <v/>
      </c>
      <c r="J27" s="74" t="str" cm="1">
        <f t="array" ref="J27" xml:space="preserve"> IF(J$3&lt;&gt;$D27, MID($C27,J$3,1), INDEX([1]音調表!$D$3:$D$12, MATCH(TRUE, EXACT(MID($C27,J$3,1), [1]音調表!$B$3:$B$12),0)))</f>
        <v/>
      </c>
      <c r="K27" s="74" t="str" cm="1">
        <f t="array" ref="K27" xml:space="preserve"> IF(K$3&lt;&gt;$D27, MID($C27,K$3,1), INDEX([1]音調表!$D$3:$D$12, MATCH(TRUE, EXACT(MID($C27,K$3,1), [1]音調表!$B$3:$B$12),0)))</f>
        <v/>
      </c>
      <c r="L27" s="74" t="str" cm="1">
        <f t="array" ref="L27" xml:space="preserve"> IF(L$3&lt;&gt;$D27, MID($C27,L$3,1), INDEX([1]音調表!$D$3:$D$12, MATCH(TRUE, EXACT(MID($C27,L$3,1), [1]音調表!$B$3:$B$12),0)))</f>
        <v/>
      </c>
      <c r="M27" s="75" t="str" cm="1">
        <f t="array" ref="M27" xml:space="preserve"> IF(M$3&lt;&gt;$D27, MID($C27,M$3,1), INDEX([1]音調表!$D$3:$D$12, MATCH(TRUE, EXACT(MID($C27,M$3,1), [1]音調表!$B$3:$B$12),0)))</f>
        <v/>
      </c>
      <c r="O27" s="70"/>
      <c r="P27" s="70"/>
    </row>
    <row r="28" spans="2:16">
      <c r="B28" s="71"/>
      <c r="C28" s="72"/>
      <c r="D28" s="73" t="str">
        <f t="shared" si="0"/>
        <v/>
      </c>
      <c r="E28" s="74" t="str" cm="1">
        <f t="array" ref="E28" xml:space="preserve"> IF(E$3&lt;&gt;$D28, MID($C28,E$3,1), INDEX([1]音調表!$D$3:$D$12, MATCH(TRUE, EXACT(MID($C28,E$3,1), [1]音調表!$B$3:$B$12),0)))</f>
        <v/>
      </c>
      <c r="F28" s="74" t="str" cm="1">
        <f t="array" ref="F28" xml:space="preserve"> IF(F$3&lt;&gt;$D28, MID($C28,F$3,1), INDEX([1]音調表!$D$3:$D$12, MATCH(TRUE, EXACT(MID($C28,F$3,1), [1]音調表!$B$3:$B$12),0)))</f>
        <v/>
      </c>
      <c r="G28" s="74" t="str" cm="1">
        <f t="array" ref="G28" xml:space="preserve"> IF(G$3&lt;&gt;$D28, MID($C28,G$3,1), INDEX([1]音調表!$D$3:$D$12, MATCH(TRUE, EXACT(MID($C28,G$3,1), [1]音調表!$B$3:$B$12),0)))</f>
        <v/>
      </c>
      <c r="H28" s="74" t="str" cm="1">
        <f t="array" ref="H28" xml:space="preserve"> IF(H$3&lt;&gt;$D28, MID($C28,H$3,1), INDEX([1]音調表!$D$3:$D$12, MATCH(TRUE, EXACT(MID($C28,H$3,1), [1]音調表!$B$3:$B$12),0)))</f>
        <v/>
      </c>
      <c r="I28" s="74" t="str" cm="1">
        <f t="array" ref="I28" xml:space="preserve"> IF(I$3&lt;&gt;$D28, MID($C28,I$3,1), INDEX([1]音調表!$D$3:$D$12, MATCH(TRUE, EXACT(MID($C28,I$3,1), [1]音調表!$B$3:$B$12),0)))</f>
        <v/>
      </c>
      <c r="J28" s="74" t="str" cm="1">
        <f t="array" ref="J28" xml:space="preserve"> IF(J$3&lt;&gt;$D28, MID($C28,J$3,1), INDEX([1]音調表!$D$3:$D$12, MATCH(TRUE, EXACT(MID($C28,J$3,1), [1]音調表!$B$3:$B$12),0)))</f>
        <v/>
      </c>
      <c r="K28" s="74" t="str" cm="1">
        <f t="array" ref="K28" xml:space="preserve"> IF(K$3&lt;&gt;$D28, MID($C28,K$3,1), INDEX([1]音調表!$D$3:$D$12, MATCH(TRUE, EXACT(MID($C28,K$3,1), [1]音調表!$B$3:$B$12),0)))</f>
        <v/>
      </c>
      <c r="L28" s="74" t="str" cm="1">
        <f t="array" ref="L28" xml:space="preserve"> IF(L$3&lt;&gt;$D28, MID($C28,L$3,1), INDEX([1]音調表!$D$3:$D$12, MATCH(TRUE, EXACT(MID($C28,L$3,1), [1]音調表!$B$3:$B$12),0)))</f>
        <v/>
      </c>
      <c r="M28" s="75" t="str" cm="1">
        <f t="array" ref="M28" xml:space="preserve"> IF(M$3&lt;&gt;$D28, MID($C28,M$3,1), INDEX([1]音調表!$D$3:$D$12, MATCH(TRUE, EXACT(MID($C28,M$3,1), [1]音調表!$B$3:$B$12),0)))</f>
        <v/>
      </c>
    </row>
    <row r="29" spans="2:16">
      <c r="B29" s="71" t="s">
        <v>1499</v>
      </c>
      <c r="C29" s="72" t="s">
        <v>1500</v>
      </c>
      <c r="D29" s="73">
        <f t="shared" si="0"/>
        <v>7</v>
      </c>
      <c r="E29" s="74" t="str" cm="1">
        <f t="array" ref="E29" xml:space="preserve"> IF(E$3&lt;&gt;$D29, MID($C29,E$3,1), INDEX([1]音調表!$D$3:$D$12, MATCH(TRUE, EXACT(MID($C29,E$3,1), [1]音調表!$B$3:$B$12),0)))</f>
        <v>k</v>
      </c>
      <c r="F29" s="74" t="str" cm="1">
        <f t="array" ref="F29" xml:space="preserve"> IF(F$3&lt;&gt;$D29, MID($C29,F$3,1), INDEX([1]音調表!$D$3:$D$12, MATCH(TRUE, EXACT(MID($C29,F$3,1), [1]音調表!$B$3:$B$12),0)))</f>
        <v>h</v>
      </c>
      <c r="G29" s="74" t="str" cm="1">
        <f t="array" ref="G29" xml:space="preserve"> IF(G$3&lt;&gt;$D29, MID($C29,G$3,1), INDEX([1]音調表!$D$3:$D$12, MATCH(TRUE, EXACT(MID($C29,G$3,1), [1]音調表!$B$3:$B$12),0)))</f>
        <v>i</v>
      </c>
      <c r="H29" s="74" t="str" cm="1">
        <f t="array" ref="H29" xml:space="preserve"> IF(H$3&lt;&gt;$D29, MID($C29,H$3,1), INDEX([1]音調表!$D$3:$D$12, MATCH(TRUE, EXACT(MID($C29,H$3,1), [1]音調表!$B$3:$B$12),0)))</f>
        <v>a</v>
      </c>
      <c r="I29" s="74" t="str" cm="1">
        <f t="array" ref="I29" xml:space="preserve"> IF(I$3&lt;&gt;$D29, MID($C29,I$3,1), INDEX([1]音調表!$D$3:$D$12, MATCH(TRUE, EXACT(MID($C29,I$3,1), [1]音調表!$B$3:$B$12),0)))</f>
        <v>n</v>
      </c>
      <c r="J29" s="74" t="str" cm="1">
        <f t="array" ref="J29" xml:space="preserve"> IF(J$3&lt;&gt;$D29, MID($C29,J$3,1), INDEX([1]音調表!$D$3:$D$12, MATCH(TRUE, EXACT(MID($C29,J$3,1), [1]音調表!$B$3:$B$12),0)))</f>
        <v>g</v>
      </c>
      <c r="K29" s="74" t="str" cm="1">
        <f t="array" ref="K29" xml:space="preserve"> IF(K$3&lt;&gt;$D29, MID($C29,K$3,1), INDEX([1]音調表!$D$3:$D$12, MATCH(TRUE, EXACT(MID($C29,K$3,1), [1]音調表!$B$3:$B$12),0)))</f>
        <v>;</v>
      </c>
      <c r="L29" s="74" t="str" cm="1">
        <f t="array" ref="L29" xml:space="preserve"> IF(L$3&lt;&gt;$D29, MID($C29,L$3,1), INDEX([1]音調表!$D$3:$D$12, MATCH(TRUE, EXACT(MID($C29,L$3,1), [1]音調表!$B$3:$B$12),0)))</f>
        <v/>
      </c>
      <c r="M29" s="75" t="str" cm="1">
        <f t="array" ref="M29" xml:space="preserve"> IF(M$3&lt;&gt;$D29, MID($C29,M$3,1), INDEX([1]音調表!$D$3:$D$12, MATCH(TRUE, EXACT(MID($C29,M$3,1), [1]音調表!$B$3:$B$12),0)))</f>
        <v/>
      </c>
      <c r="O29" s="70"/>
      <c r="P29" s="70"/>
    </row>
    <row r="30" spans="2:16">
      <c r="B30" s="71" t="s">
        <v>1501</v>
      </c>
      <c r="C30" s="72" t="s">
        <v>1502</v>
      </c>
      <c r="D30" s="73">
        <f t="shared" si="0"/>
        <v>4</v>
      </c>
      <c r="E30" s="74" t="str" cm="1">
        <f t="array" ref="E30" xml:space="preserve"> IF(E$3&lt;&gt;$D30, MID($C30,E$3,1), INDEX([1]音調表!$D$3:$D$12, MATCH(TRUE, EXACT(MID($C30,E$3,1), [1]音調表!$B$3:$B$12),0)))</f>
        <v>t</v>
      </c>
      <c r="F30" s="74" t="str" cm="1">
        <f t="array" ref="F30" xml:space="preserve"> IF(F$3&lt;&gt;$D30, MID($C30,F$3,1), INDEX([1]音調表!$D$3:$D$12, MATCH(TRUE, EXACT(MID($C30,F$3,1), [1]音調表!$B$3:$B$12),0)))</f>
        <v>i</v>
      </c>
      <c r="G30" s="74" t="str" cm="1">
        <f t="array" ref="G30" xml:space="preserve"> IF(G$3&lt;&gt;$D30, MID($C30,G$3,1), INDEX([1]音調表!$D$3:$D$12, MATCH(TRUE, EXACT(MID($C30,G$3,1), [1]音調表!$B$3:$B$12),0)))</f>
        <v>k</v>
      </c>
      <c r="H30" s="74" t="str" cm="1">
        <f t="array" ref="H30" xml:space="preserve"> IF(H$3&lt;&gt;$D30, MID($C30,H$3,1), INDEX([1]音調表!$D$3:$D$12, MATCH(TRUE, EXACT(MID($C30,H$3,1), [1]音調表!$B$3:$B$12),0)))</f>
        <v>]</v>
      </c>
      <c r="I30" s="74" t="str" cm="1">
        <f t="array" ref="I30" xml:space="preserve"> IF(I$3&lt;&gt;$D30, MID($C30,I$3,1), INDEX([1]音調表!$D$3:$D$12, MATCH(TRUE, EXACT(MID($C30,I$3,1), [1]音調表!$B$3:$B$12),0)))</f>
        <v/>
      </c>
      <c r="J30" s="74" t="str" cm="1">
        <f t="array" ref="J30" xml:space="preserve"> IF(J$3&lt;&gt;$D30, MID($C30,J$3,1), INDEX([1]音調表!$D$3:$D$12, MATCH(TRUE, EXACT(MID($C30,J$3,1), [1]音調表!$B$3:$B$12),0)))</f>
        <v/>
      </c>
      <c r="K30" s="74" t="str" cm="1">
        <f t="array" ref="K30" xml:space="preserve"> IF(K$3&lt;&gt;$D30, MID($C30,K$3,1), INDEX([1]音調表!$D$3:$D$12, MATCH(TRUE, EXACT(MID($C30,K$3,1), [1]音調表!$B$3:$B$12),0)))</f>
        <v/>
      </c>
      <c r="L30" s="74" t="str" cm="1">
        <f t="array" ref="L30" xml:space="preserve"> IF(L$3&lt;&gt;$D30, MID($C30,L$3,1), INDEX([1]音調表!$D$3:$D$12, MATCH(TRUE, EXACT(MID($C30,L$3,1), [1]音調表!$B$3:$B$12),0)))</f>
        <v/>
      </c>
      <c r="M30" s="75" t="str" cm="1">
        <f t="array" ref="M30" xml:space="preserve"> IF(M$3&lt;&gt;$D30, MID($C30,M$3,1), INDEX([1]音調表!$D$3:$D$12, MATCH(TRUE, EXACT(MID($C30,M$3,1), [1]音調表!$B$3:$B$12),0)))</f>
        <v/>
      </c>
      <c r="O30" s="70"/>
      <c r="P30" s="70"/>
    </row>
    <row r="31" spans="2:16">
      <c r="B31" s="71" t="s">
        <v>1503</v>
      </c>
      <c r="C31" s="72" t="s">
        <v>543</v>
      </c>
      <c r="D31" s="73">
        <f t="shared" si="0"/>
        <v>3</v>
      </c>
      <c r="E31" s="74" t="str" cm="1">
        <f t="array" ref="E31" xml:space="preserve"> IF(E$3&lt;&gt;$D31, MID($C31,E$3,1), INDEX([1]音調表!$D$3:$D$12, MATCH(TRUE, EXACT(MID($C31,E$3,1), [1]音調表!$B$3:$B$12),0)))</f>
        <v>h</v>
      </c>
      <c r="F31" s="74" t="str" cm="1">
        <f t="array" ref="F31" xml:space="preserve"> IF(F$3&lt;&gt;$D31, MID($C31,F$3,1), INDEX([1]音調表!$D$3:$D$12, MATCH(TRUE, EXACT(MID($C31,F$3,1), [1]音調表!$B$3:$B$12),0)))</f>
        <v>o</v>
      </c>
      <c r="G31" s="74" t="str" cm="1">
        <f t="array" ref="G31" xml:space="preserve"> IF(G$3&lt;&gt;$D31, MID($C31,G$3,1), INDEX([1]音調表!$D$3:$D$12, MATCH(TRUE, EXACT(MID($C31,G$3,1), [1]音調表!$B$3:$B$12),0)))</f>
        <v>/</v>
      </c>
      <c r="H31" s="74" t="str" cm="1">
        <f t="array" ref="H31" xml:space="preserve"> IF(H$3&lt;&gt;$D31, MID($C31,H$3,1), INDEX([1]音調表!$D$3:$D$12, MATCH(TRUE, EXACT(MID($C31,H$3,1), [1]音調表!$B$3:$B$12),0)))</f>
        <v/>
      </c>
      <c r="I31" s="74" t="str" cm="1">
        <f t="array" ref="I31" xml:space="preserve"> IF(I$3&lt;&gt;$D31, MID($C31,I$3,1), INDEX([1]音調表!$D$3:$D$12, MATCH(TRUE, EXACT(MID($C31,I$3,1), [1]音調表!$B$3:$B$12),0)))</f>
        <v/>
      </c>
      <c r="J31" s="74" t="str" cm="1">
        <f t="array" ref="J31" xml:space="preserve"> IF(J$3&lt;&gt;$D31, MID($C31,J$3,1), INDEX([1]音調表!$D$3:$D$12, MATCH(TRUE, EXACT(MID($C31,J$3,1), [1]音調表!$B$3:$B$12),0)))</f>
        <v/>
      </c>
      <c r="K31" s="74" t="str" cm="1">
        <f t="array" ref="K31" xml:space="preserve"> IF(K$3&lt;&gt;$D31, MID($C31,K$3,1), INDEX([1]音調表!$D$3:$D$12, MATCH(TRUE, EXACT(MID($C31,K$3,1), [1]音調表!$B$3:$B$12),0)))</f>
        <v/>
      </c>
      <c r="L31" s="74" t="str" cm="1">
        <f t="array" ref="L31" xml:space="preserve"> IF(L$3&lt;&gt;$D31, MID($C31,L$3,1), INDEX([1]音調表!$D$3:$D$12, MATCH(TRUE, EXACT(MID($C31,L$3,1), [1]音調表!$B$3:$B$12),0)))</f>
        <v/>
      </c>
      <c r="M31" s="75" t="str" cm="1">
        <f t="array" ref="M31" xml:space="preserve"> IF(M$3&lt;&gt;$D31, MID($C31,M$3,1), INDEX([1]音調表!$D$3:$D$12, MATCH(TRUE, EXACT(MID($C31,M$3,1), [1]音調表!$B$3:$B$12),0)))</f>
        <v/>
      </c>
      <c r="O31" s="70"/>
      <c r="P31" s="70"/>
    </row>
    <row r="32" spans="2:16">
      <c r="B32" s="71" t="s">
        <v>1504</v>
      </c>
      <c r="C32" s="72" t="s">
        <v>754</v>
      </c>
      <c r="D32" s="73">
        <f t="shared" si="0"/>
        <v>3</v>
      </c>
      <c r="E32" s="74" t="str" cm="1">
        <f t="array" ref="E32" xml:space="preserve"> IF(E$3&lt;&gt;$D32, MID($C32,E$3,1), INDEX([1]音調表!$D$3:$D$12, MATCH(TRUE, EXACT(MID($C32,E$3,1), [1]音調表!$B$3:$B$12),0)))</f>
        <v>s</v>
      </c>
      <c r="F32" s="74" t="str" cm="1">
        <f t="array" ref="F32" xml:space="preserve"> IF(F$3&lt;&gt;$D32, MID($C32,F$3,1), INDEX([1]音調表!$D$3:$D$12, MATCH(TRUE, EXACT(MID($C32,F$3,1), [1]音調表!$B$3:$B$12),0)))</f>
        <v>u</v>
      </c>
      <c r="G32" s="74" t="str" cm="1">
        <f t="array" ref="G32" xml:space="preserve"> IF(G$3&lt;&gt;$D32, MID($C32,G$3,1), INDEX([1]音調表!$D$3:$D$12, MATCH(TRUE, EXACT(MID($C32,G$3,1), [1]音調表!$B$3:$B$12),0)))</f>
        <v>;</v>
      </c>
      <c r="H32" s="74" t="str" cm="1">
        <f t="array" ref="H32" xml:space="preserve"> IF(H$3&lt;&gt;$D32, MID($C32,H$3,1), INDEX([1]音調表!$D$3:$D$12, MATCH(TRUE, EXACT(MID($C32,H$3,1), [1]音調表!$B$3:$B$12),0)))</f>
        <v/>
      </c>
      <c r="I32" s="74" t="str" cm="1">
        <f t="array" ref="I32" xml:space="preserve"> IF(I$3&lt;&gt;$D32, MID($C32,I$3,1), INDEX([1]音調表!$D$3:$D$12, MATCH(TRUE, EXACT(MID($C32,I$3,1), [1]音調表!$B$3:$B$12),0)))</f>
        <v/>
      </c>
      <c r="J32" s="74" t="str" cm="1">
        <f t="array" ref="J32" xml:space="preserve"> IF(J$3&lt;&gt;$D32, MID($C32,J$3,1), INDEX([1]音調表!$D$3:$D$12, MATCH(TRUE, EXACT(MID($C32,J$3,1), [1]音調表!$B$3:$B$12),0)))</f>
        <v/>
      </c>
      <c r="K32" s="74" t="str" cm="1">
        <f t="array" ref="K32" xml:space="preserve"> IF(K$3&lt;&gt;$D32, MID($C32,K$3,1), INDEX([1]音調表!$D$3:$D$12, MATCH(TRUE, EXACT(MID($C32,K$3,1), [1]音調表!$B$3:$B$12),0)))</f>
        <v/>
      </c>
      <c r="L32" s="74" t="str" cm="1">
        <f t="array" ref="L32" xml:space="preserve"> IF(L$3&lt;&gt;$D32, MID($C32,L$3,1), INDEX([1]音調表!$D$3:$D$12, MATCH(TRUE, EXACT(MID($C32,L$3,1), [1]音調表!$B$3:$B$12),0)))</f>
        <v/>
      </c>
      <c r="M32" s="75" t="str" cm="1">
        <f t="array" ref="M32" xml:space="preserve"> IF(M$3&lt;&gt;$D32, MID($C32,M$3,1), INDEX([1]音調表!$D$3:$D$12, MATCH(TRUE, EXACT(MID($C32,M$3,1), [1]音調表!$B$3:$B$12),0)))</f>
        <v/>
      </c>
      <c r="O32" s="70"/>
      <c r="P32" s="70"/>
    </row>
    <row r="33" spans="2:16">
      <c r="B33" s="71" t="s">
        <v>1505</v>
      </c>
      <c r="C33" s="72" t="s">
        <v>1506</v>
      </c>
      <c r="D33" s="73">
        <f t="shared" si="0"/>
        <v>4</v>
      </c>
      <c r="E33" s="74" t="str" cm="1">
        <f t="array" ref="E33" xml:space="preserve"> IF(E$3&lt;&gt;$D33, MID($C33,E$3,1), INDEX([1]音調表!$D$3:$D$12, MATCH(TRUE, EXACT(MID($C33,E$3,1), [1]音調表!$B$3:$B$12),0)))</f>
        <v>u</v>
      </c>
      <c r="F33" s="74" t="str" cm="1">
        <f t="array" ref="F33" xml:space="preserve"> IF(F$3&lt;&gt;$D33, MID($C33,F$3,1), INDEX([1]音調表!$D$3:$D$12, MATCH(TRUE, EXACT(MID($C33,F$3,1), [1]音調表!$B$3:$B$12),0)))</f>
        <v>a</v>
      </c>
      <c r="G33" s="74" t="str" cm="1">
        <f t="array" ref="G33" xml:space="preserve"> IF(G$3&lt;&gt;$D33, MID($C33,G$3,1), INDEX([1]音調表!$D$3:$D$12, MATCH(TRUE, EXACT(MID($C33,G$3,1), [1]音調表!$B$3:$B$12),0)))</f>
        <v>n</v>
      </c>
      <c r="H33" s="74" t="str" cm="1">
        <f t="array" ref="H33" xml:space="preserve"> IF(H$3&lt;&gt;$D33, MID($C33,H$3,1), INDEX([1]音調表!$D$3:$D$12, MATCH(TRUE, EXACT(MID($C33,H$3,1), [1]音調表!$B$3:$B$12),0)))</f>
        <v>_</v>
      </c>
      <c r="I33" s="74" t="str" cm="1">
        <f t="array" ref="I33" xml:space="preserve"> IF(I$3&lt;&gt;$D33, MID($C33,I$3,1), INDEX([1]音調表!$D$3:$D$12, MATCH(TRUE, EXACT(MID($C33,I$3,1), [1]音調表!$B$3:$B$12),0)))</f>
        <v/>
      </c>
      <c r="J33" s="74" t="str" cm="1">
        <f t="array" ref="J33" xml:space="preserve"> IF(J$3&lt;&gt;$D33, MID($C33,J$3,1), INDEX([1]音調表!$D$3:$D$12, MATCH(TRUE, EXACT(MID($C33,J$3,1), [1]音調表!$B$3:$B$12),0)))</f>
        <v/>
      </c>
      <c r="K33" s="74" t="str" cm="1">
        <f t="array" ref="K33" xml:space="preserve"> IF(K$3&lt;&gt;$D33, MID($C33,K$3,1), INDEX([1]音調表!$D$3:$D$12, MATCH(TRUE, EXACT(MID($C33,K$3,1), [1]音調表!$B$3:$B$12),0)))</f>
        <v/>
      </c>
      <c r="L33" s="74" t="str" cm="1">
        <f t="array" ref="L33" xml:space="preserve"> IF(L$3&lt;&gt;$D33, MID($C33,L$3,1), INDEX([1]音調表!$D$3:$D$12, MATCH(TRUE, EXACT(MID($C33,L$3,1), [1]音調表!$B$3:$B$12),0)))</f>
        <v/>
      </c>
      <c r="M33" s="75" t="str" cm="1">
        <f t="array" ref="M33" xml:space="preserve"> IF(M$3&lt;&gt;$D33, MID($C33,M$3,1), INDEX([1]音調表!$D$3:$D$12, MATCH(TRUE, EXACT(MID($C33,M$3,1), [1]音調表!$B$3:$B$12),0)))</f>
        <v/>
      </c>
      <c r="O33" s="70"/>
      <c r="P33" s="70"/>
    </row>
    <row r="34" spans="2:16">
      <c r="B34" s="71" t="s">
        <v>1507</v>
      </c>
      <c r="C34" s="72" t="s">
        <v>1508</v>
      </c>
      <c r="D34" s="73">
        <f t="shared" si="0"/>
        <v>5</v>
      </c>
      <c r="E34" s="74" t="str" cm="1">
        <f t="array" ref="E34" xml:space="preserve"> IF(E$3&lt;&gt;$D34, MID($C34,E$3,1), INDEX([1]音調表!$D$3:$D$12, MATCH(TRUE, EXACT(MID($C34,E$3,1), [1]音調表!$B$3:$B$12),0)))</f>
        <v>i</v>
      </c>
      <c r="F34" s="74" t="str" cm="1">
        <f t="array" ref="F34" xml:space="preserve"> IF(F$3&lt;&gt;$D34, MID($C34,F$3,1), INDEX([1]音調表!$D$3:$D$12, MATCH(TRUE, EXACT(MID($C34,F$3,1), [1]音調表!$B$3:$B$12),0)))</f>
        <v>o</v>
      </c>
      <c r="G34" s="74" t="str" cm="1">
        <f t="array" ref="G34" xml:space="preserve"> IF(G$3&lt;&gt;$D34, MID($C34,G$3,1), INDEX([1]音調表!$D$3:$D$12, MATCH(TRUE, EXACT(MID($C34,G$3,1), [1]音調表!$B$3:$B$12),0)))</f>
        <v>n</v>
      </c>
      <c r="H34" s="74" t="str" cm="1">
        <f t="array" ref="H34" xml:space="preserve"> IF(H$3&lt;&gt;$D34, MID($C34,H$3,1), INDEX([1]音調表!$D$3:$D$12, MATCH(TRUE, EXACT(MID($C34,H$3,1), [1]音調表!$B$3:$B$12),0)))</f>
        <v>g</v>
      </c>
      <c r="I34" s="74" t="str" cm="1">
        <f t="array" ref="I34" xml:space="preserve"> IF(I$3&lt;&gt;$D34, MID($C34,I$3,1), INDEX([1]音調表!$D$3:$D$12, MATCH(TRUE, EXACT(MID($C34,I$3,1), [1]音調表!$B$3:$B$12),0)))</f>
        <v>/</v>
      </c>
      <c r="J34" s="74" t="str" cm="1">
        <f t="array" ref="J34" xml:space="preserve"> IF(J$3&lt;&gt;$D34, MID($C34,J$3,1), INDEX([1]音調表!$D$3:$D$12, MATCH(TRUE, EXACT(MID($C34,J$3,1), [1]音調表!$B$3:$B$12),0)))</f>
        <v/>
      </c>
      <c r="K34" s="74" t="str" cm="1">
        <f t="array" ref="K34" xml:space="preserve"> IF(K$3&lt;&gt;$D34, MID($C34,K$3,1), INDEX([1]音調表!$D$3:$D$12, MATCH(TRUE, EXACT(MID($C34,K$3,1), [1]音調表!$B$3:$B$12),0)))</f>
        <v/>
      </c>
      <c r="L34" s="74" t="str" cm="1">
        <f t="array" ref="L34" xml:space="preserve"> IF(L$3&lt;&gt;$D34, MID($C34,L$3,1), INDEX([1]音調表!$D$3:$D$12, MATCH(TRUE, EXACT(MID($C34,L$3,1), [1]音調表!$B$3:$B$12),0)))</f>
        <v/>
      </c>
      <c r="M34" s="75" t="str" cm="1">
        <f t="array" ref="M34" xml:space="preserve"> IF(M$3&lt;&gt;$D34, MID($C34,M$3,1), INDEX([1]音調表!$D$3:$D$12, MATCH(TRUE, EXACT(MID($C34,M$3,1), [1]音調表!$B$3:$B$12),0)))</f>
        <v/>
      </c>
      <c r="O34" s="70"/>
      <c r="P34" s="70"/>
    </row>
    <row r="35" spans="2:16">
      <c r="B35" s="71" t="s">
        <v>1509</v>
      </c>
      <c r="C35" s="72" t="s">
        <v>1510</v>
      </c>
      <c r="D35" s="73">
        <f t="shared" si="0"/>
        <v>4</v>
      </c>
      <c r="E35" s="74" t="str" cm="1">
        <f t="array" ref="E35" xml:space="preserve"> IF(E$3&lt;&gt;$D35, MID($C35,E$3,1), INDEX([1]音調表!$D$3:$D$12, MATCH(TRUE, EXACT(MID($C35,E$3,1), [1]音調表!$B$3:$B$12),0)))</f>
        <v>l</v>
      </c>
      <c r="F35" s="74" t="str" cm="1">
        <f t="array" ref="F35" xml:space="preserve"> IF(F$3&lt;&gt;$D35, MID($C35,F$3,1), INDEX([1]音調表!$D$3:$D$12, MATCH(TRUE, EXACT(MID($C35,F$3,1), [1]音調表!$B$3:$B$12),0)))</f>
        <v>i</v>
      </c>
      <c r="G35" s="74" t="str" cm="1">
        <f t="array" ref="G35" xml:space="preserve"> IF(G$3&lt;&gt;$D35, MID($C35,G$3,1), INDEX([1]音調表!$D$3:$D$12, MATCH(TRUE, EXACT(MID($C35,G$3,1), [1]音調表!$B$3:$B$12),0)))</f>
        <v>u</v>
      </c>
      <c r="H35" s="74" t="str" cm="1">
        <f t="array" ref="H35" xml:space="preserve"> IF(H$3&lt;&gt;$D35, MID($C35,H$3,1), INDEX([1]音調表!$D$3:$D$12, MATCH(TRUE, EXACT(MID($C35,H$3,1), [1]音調表!$B$3:$B$12),0)))</f>
        <v>\</v>
      </c>
      <c r="I35" s="74" t="str" cm="1">
        <f t="array" ref="I35" xml:space="preserve"> IF(I$3&lt;&gt;$D35, MID($C35,I$3,1), INDEX([1]音調表!$D$3:$D$12, MATCH(TRUE, EXACT(MID($C35,I$3,1), [1]音調表!$B$3:$B$12),0)))</f>
        <v/>
      </c>
      <c r="J35" s="74" t="str" cm="1">
        <f t="array" ref="J35" xml:space="preserve"> IF(J$3&lt;&gt;$D35, MID($C35,J$3,1), INDEX([1]音調表!$D$3:$D$12, MATCH(TRUE, EXACT(MID($C35,J$3,1), [1]音調表!$B$3:$B$12),0)))</f>
        <v/>
      </c>
      <c r="K35" s="74" t="str" cm="1">
        <f t="array" ref="K35" xml:space="preserve"> IF(K$3&lt;&gt;$D35, MID($C35,K$3,1), INDEX([1]音調表!$D$3:$D$12, MATCH(TRUE, EXACT(MID($C35,K$3,1), [1]音調表!$B$3:$B$12),0)))</f>
        <v/>
      </c>
      <c r="L35" s="74" t="str" cm="1">
        <f t="array" ref="L35" xml:space="preserve"> IF(L$3&lt;&gt;$D35, MID($C35,L$3,1), INDEX([1]音調表!$D$3:$D$12, MATCH(TRUE, EXACT(MID($C35,L$3,1), [1]音調表!$B$3:$B$12),0)))</f>
        <v/>
      </c>
      <c r="M35" s="75" t="str" cm="1">
        <f t="array" ref="M35" xml:space="preserve"> IF(M$3&lt;&gt;$D35, MID($C35,M$3,1), INDEX([1]音調表!$D$3:$D$12, MATCH(TRUE, EXACT(MID($C35,M$3,1), [1]音調表!$B$3:$B$12),0)))</f>
        <v/>
      </c>
      <c r="O35" s="70"/>
      <c r="P35" s="70"/>
    </row>
    <row r="36" spans="2:16">
      <c r="B36" s="71" t="s">
        <v>1484</v>
      </c>
      <c r="C36" s="72"/>
      <c r="D36" s="73" t="str">
        <f t="shared" si="0"/>
        <v/>
      </c>
      <c r="E36" s="74" t="s">
        <v>1485</v>
      </c>
      <c r="F36" s="74" t="s">
        <v>1486</v>
      </c>
      <c r="G36" s="74" t="str" cm="1">
        <f t="array" ref="G36" xml:space="preserve"> IF(G$3&lt;&gt;$D36, MID($C36,G$3,1), INDEX([1]音調表!$D$3:$D$12, MATCH(TRUE, EXACT(MID($C36,G$3,1), [1]音調表!$B$3:$B$12),0)))</f>
        <v/>
      </c>
      <c r="H36" s="74" t="str" cm="1">
        <f t="array" ref="H36" xml:space="preserve"> IF(H$3&lt;&gt;$D36, MID($C36,H$3,1), INDEX([1]音調表!$D$3:$D$12, MATCH(TRUE, EXACT(MID($C36,H$3,1), [1]音調表!$B$3:$B$12),0)))</f>
        <v/>
      </c>
      <c r="I36" s="74" t="str" cm="1">
        <f t="array" ref="I36" xml:space="preserve"> IF(I$3&lt;&gt;$D36, MID($C36,I$3,1), INDEX([1]音調表!$D$3:$D$12, MATCH(TRUE, EXACT(MID($C36,I$3,1), [1]音調表!$B$3:$B$12),0)))</f>
        <v/>
      </c>
      <c r="J36" s="74" t="str" cm="1">
        <f t="array" ref="J36" xml:space="preserve"> IF(J$3&lt;&gt;$D36, MID($C36,J$3,1), INDEX([1]音調表!$D$3:$D$12, MATCH(TRUE, EXACT(MID($C36,J$3,1), [1]音調表!$B$3:$B$12),0)))</f>
        <v/>
      </c>
      <c r="K36" s="74" t="str" cm="1">
        <f t="array" ref="K36" xml:space="preserve"> IF(K$3&lt;&gt;$D36, MID($C36,K$3,1), INDEX([1]音調表!$D$3:$D$12, MATCH(TRUE, EXACT(MID($C36,K$3,1), [1]音調表!$B$3:$B$12),0)))</f>
        <v/>
      </c>
      <c r="L36" s="74" t="str" cm="1">
        <f t="array" ref="L36" xml:space="preserve"> IF(L$3&lt;&gt;$D36, MID($C36,L$3,1), INDEX([1]音調表!$D$3:$D$12, MATCH(TRUE, EXACT(MID($C36,L$3,1), [1]音調表!$B$3:$B$12),0)))</f>
        <v/>
      </c>
      <c r="M36" s="75" t="str" cm="1">
        <f t="array" ref="M36" xml:space="preserve"> IF(M$3&lt;&gt;$D36, MID($C36,M$3,1), INDEX([1]音調表!$D$3:$D$12, MATCH(TRUE, EXACT(MID($C36,M$3,1), [1]音調表!$B$3:$B$12),0)))</f>
        <v/>
      </c>
      <c r="O36" s="70"/>
      <c r="P36" s="70"/>
    </row>
    <row r="37" spans="2:16">
      <c r="B37" s="71" t="s">
        <v>1511</v>
      </c>
      <c r="C37" s="72" t="s">
        <v>515</v>
      </c>
      <c r="D37" s="73">
        <f t="shared" si="0"/>
        <v>4</v>
      </c>
      <c r="E37" s="74" t="str" cm="1">
        <f t="array" ref="E37" xml:space="preserve"> IF(E$3&lt;&gt;$D37, MID($C37,E$3,1), INDEX([1]音調表!$D$3:$D$12, MATCH(TRUE, EXACT(MID($C37,E$3,1), [1]音調表!$B$3:$B$12),0)))</f>
        <v>c</v>
      </c>
      <c r="F37" s="74" t="str" cm="1">
        <f t="array" ref="F37" xml:space="preserve"> IF(F$3&lt;&gt;$D37, MID($C37,F$3,1), INDEX([1]音調表!$D$3:$D$12, MATCH(TRUE, EXACT(MID($C37,F$3,1), [1]音調表!$B$3:$B$12),0)))</f>
        <v>u</v>
      </c>
      <c r="G37" s="74" t="str" cm="1">
        <f t="array" ref="G37" xml:space="preserve"> IF(G$3&lt;&gt;$D37, MID($C37,G$3,1), INDEX([1]音調表!$D$3:$D$12, MATCH(TRUE, EXACT(MID($C37,G$3,1), [1]音調表!$B$3:$B$12),0)))</f>
        <v>n</v>
      </c>
      <c r="H37" s="74" t="str" cm="1">
        <f t="array" ref="H37" xml:space="preserve"> IF(H$3&lt;&gt;$D37, MID($C37,H$3,1), INDEX([1]音調表!$D$3:$D$12, MATCH(TRUE, EXACT(MID($C37,H$3,1), [1]音調表!$B$3:$B$12),0)))</f>
        <v>;</v>
      </c>
      <c r="I37" s="74" t="str" cm="1">
        <f t="array" ref="I37" xml:space="preserve"> IF(I$3&lt;&gt;$D37, MID($C37,I$3,1), INDEX([1]音調表!$D$3:$D$12, MATCH(TRUE, EXACT(MID($C37,I$3,1), [1]音調表!$B$3:$B$12),0)))</f>
        <v/>
      </c>
      <c r="J37" s="74" t="str" cm="1">
        <f t="array" ref="J37" xml:space="preserve"> IF(J$3&lt;&gt;$D37, MID($C37,J$3,1), INDEX([1]音調表!$D$3:$D$12, MATCH(TRUE, EXACT(MID($C37,J$3,1), [1]音調表!$B$3:$B$12),0)))</f>
        <v/>
      </c>
      <c r="K37" s="74" t="str" cm="1">
        <f t="array" ref="K37" xml:space="preserve"> IF(K$3&lt;&gt;$D37, MID($C37,K$3,1), INDEX([1]音調表!$D$3:$D$12, MATCH(TRUE, EXACT(MID($C37,K$3,1), [1]音調表!$B$3:$B$12),0)))</f>
        <v/>
      </c>
      <c r="L37" s="74" t="str" cm="1">
        <f t="array" ref="L37" xml:space="preserve"> IF(L$3&lt;&gt;$D37, MID($C37,L$3,1), INDEX([1]音調表!$D$3:$D$12, MATCH(TRUE, EXACT(MID($C37,L$3,1), [1]音調表!$B$3:$B$12),0)))</f>
        <v/>
      </c>
      <c r="M37" s="75" t="str" cm="1">
        <f t="array" ref="M37" xml:space="preserve"> IF(M$3&lt;&gt;$D37, MID($C37,M$3,1), INDEX([1]音調表!$D$3:$D$12, MATCH(TRUE, EXACT(MID($C37,M$3,1), [1]音調表!$B$3:$B$12),0)))</f>
        <v/>
      </c>
      <c r="O37" s="70"/>
      <c r="P37" s="70"/>
    </row>
    <row r="38" spans="2:16">
      <c r="B38" s="71" t="s">
        <v>1512</v>
      </c>
      <c r="C38" s="72" t="s">
        <v>708</v>
      </c>
      <c r="D38" s="73">
        <f t="shared" si="0"/>
        <v>5</v>
      </c>
      <c r="E38" s="74" t="str" cm="1">
        <f t="array" ref="E38" xml:space="preserve"> IF(E$3&lt;&gt;$D38, MID($C38,E$3,1), INDEX([1]音調表!$D$3:$D$12, MATCH(TRUE, EXACT(MID($C38,E$3,1), [1]音調表!$B$3:$B$12),0)))</f>
        <v>h</v>
      </c>
      <c r="F38" s="74" t="str" cm="1">
        <f t="array" ref="F38" xml:space="preserve"> IF(F$3&lt;&gt;$D38, MID($C38,F$3,1), INDEX([1]音調表!$D$3:$D$12, MATCH(TRUE, EXACT(MID($C38,F$3,1), [1]音調表!$B$3:$B$12),0)))</f>
        <v>o</v>
      </c>
      <c r="G38" s="74" t="str" cm="1">
        <f t="array" ref="G38" xml:space="preserve"> IF(G$3&lt;&gt;$D38, MID($C38,G$3,1), INDEX([1]音調表!$D$3:$D$12, MATCH(TRUE, EXACT(MID($C38,G$3,1), [1]音調表!$B$3:$B$12),0)))</f>
        <v>n</v>
      </c>
      <c r="H38" s="74" t="str" cm="1">
        <f t="array" ref="H38" xml:space="preserve"> IF(H$3&lt;&gt;$D38, MID($C38,H$3,1), INDEX([1]音調表!$D$3:$D$12, MATCH(TRUE, EXACT(MID($C38,H$3,1), [1]音調表!$B$3:$B$12),0)))</f>
        <v>g</v>
      </c>
      <c r="I38" s="74" t="str" cm="1">
        <f t="array" ref="I38" xml:space="preserve"> IF(I$3&lt;&gt;$D38, MID($C38,I$3,1), INDEX([1]音調表!$D$3:$D$12, MATCH(TRUE, EXACT(MID($C38,I$3,1), [1]音調表!$B$3:$B$12),0)))</f>
        <v>;</v>
      </c>
      <c r="J38" s="74" t="str" cm="1">
        <f t="array" ref="J38" xml:space="preserve"> IF(J$3&lt;&gt;$D38, MID($C38,J$3,1), INDEX([1]音調表!$D$3:$D$12, MATCH(TRUE, EXACT(MID($C38,J$3,1), [1]音調表!$B$3:$B$12),0)))</f>
        <v/>
      </c>
      <c r="K38" s="74" t="str" cm="1">
        <f t="array" ref="K38" xml:space="preserve"> IF(K$3&lt;&gt;$D38, MID($C38,K$3,1), INDEX([1]音調表!$D$3:$D$12, MATCH(TRUE, EXACT(MID($C38,K$3,1), [1]音調表!$B$3:$B$12),0)))</f>
        <v/>
      </c>
      <c r="L38" s="74" t="str" cm="1">
        <f t="array" ref="L38" xml:space="preserve"> IF(L$3&lt;&gt;$D38, MID($C38,L$3,1), INDEX([1]音調表!$D$3:$D$12, MATCH(TRUE, EXACT(MID($C38,L$3,1), [1]音調表!$B$3:$B$12),0)))</f>
        <v/>
      </c>
      <c r="M38" s="75" t="str" cm="1">
        <f t="array" ref="M38" xml:space="preserve"> IF(M$3&lt;&gt;$D38, MID($C38,M$3,1), INDEX([1]音調表!$D$3:$D$12, MATCH(TRUE, EXACT(MID($C38,M$3,1), [1]音調表!$B$3:$B$12),0)))</f>
        <v/>
      </c>
      <c r="O38" s="70"/>
      <c r="P38" s="70"/>
    </row>
    <row r="39" spans="2:16">
      <c r="B39" s="71" t="s">
        <v>1513</v>
      </c>
      <c r="C39" s="72" t="s">
        <v>704</v>
      </c>
      <c r="D39" s="73">
        <f t="shared" si="0"/>
        <v>4</v>
      </c>
      <c r="E39" s="74" t="str" cm="1">
        <f t="array" ref="E39" xml:space="preserve"> IF(E$3&lt;&gt;$D39, MID($C39,E$3,1), INDEX([1]音調表!$D$3:$D$12, MATCH(TRUE, EXACT(MID($C39,E$3,1), [1]音調表!$B$3:$B$12),0)))</f>
        <v>p</v>
      </c>
      <c r="F39" s="74" t="str" cm="1">
        <f t="array" ref="F39" xml:space="preserve"> IF(F$3&lt;&gt;$D39, MID($C39,F$3,1), INDEX([1]音調表!$D$3:$D$12, MATCH(TRUE, EXACT(MID($C39,F$3,1), [1]音調表!$B$3:$B$12),0)))</f>
        <v>u</v>
      </c>
      <c r="G39" s="74" t="str" cm="1">
        <f t="array" ref="G39" xml:space="preserve"> IF(G$3&lt;&gt;$D39, MID($C39,G$3,1), INDEX([1]音調表!$D$3:$D$12, MATCH(TRUE, EXACT(MID($C39,G$3,1), [1]音調表!$B$3:$B$12),0)))</f>
        <v>t</v>
      </c>
      <c r="H39" s="74" t="str" cm="1">
        <f t="array" ref="H39" xml:space="preserve"> IF(H$3&lt;&gt;$D39, MID($C39,H$3,1), INDEX([1]音調表!$D$3:$D$12, MATCH(TRUE, EXACT(MID($C39,H$3,1), [1]音調表!$B$3:$B$12),0)))</f>
        <v>[</v>
      </c>
      <c r="I39" s="74" t="str" cm="1">
        <f t="array" ref="I39" xml:space="preserve"> IF(I$3&lt;&gt;$D39, MID($C39,I$3,1), INDEX([1]音調表!$D$3:$D$12, MATCH(TRUE, EXACT(MID($C39,I$3,1), [1]音調表!$B$3:$B$12),0)))</f>
        <v/>
      </c>
      <c r="J39" s="74" t="str" cm="1">
        <f t="array" ref="J39" xml:space="preserve"> IF(J$3&lt;&gt;$D39, MID($C39,J$3,1), INDEX([1]音調表!$D$3:$D$12, MATCH(TRUE, EXACT(MID($C39,J$3,1), [1]音調表!$B$3:$B$12),0)))</f>
        <v/>
      </c>
      <c r="K39" s="74" t="str" cm="1">
        <f t="array" ref="K39" xml:space="preserve"> IF(K$3&lt;&gt;$D39, MID($C39,K$3,1), INDEX([1]音調表!$D$3:$D$12, MATCH(TRUE, EXACT(MID($C39,K$3,1), [1]音調表!$B$3:$B$12),0)))</f>
        <v/>
      </c>
      <c r="L39" s="74" t="str" cm="1">
        <f t="array" ref="L39" xml:space="preserve"> IF(L$3&lt;&gt;$D39, MID($C39,L$3,1), INDEX([1]音調表!$D$3:$D$12, MATCH(TRUE, EXACT(MID($C39,L$3,1), [1]音調表!$B$3:$B$12),0)))</f>
        <v/>
      </c>
      <c r="M39" s="75" t="str" cm="1">
        <f t="array" ref="M39" xml:space="preserve"> IF(M$3&lt;&gt;$D39, MID($C39,M$3,1), INDEX([1]音調表!$D$3:$D$12, MATCH(TRUE, EXACT(MID($C39,M$3,1), [1]音調表!$B$3:$B$12),0)))</f>
        <v/>
      </c>
      <c r="O39" s="70"/>
      <c r="P39" s="70"/>
    </row>
    <row r="40" spans="2:16">
      <c r="B40" s="71" t="s">
        <v>1514</v>
      </c>
      <c r="C40" s="72" t="s">
        <v>1515</v>
      </c>
      <c r="D40" s="73">
        <f t="shared" si="0"/>
        <v>4</v>
      </c>
      <c r="E40" s="74" t="str" cm="1">
        <f t="array" ref="E40" xml:space="preserve"> IF(E$3&lt;&gt;$D40, MID($C40,E$3,1), INDEX([1]音調表!$D$3:$D$12, MATCH(TRUE, EXACT(MID($C40,E$3,1), [1]音調表!$B$3:$B$12),0)))</f>
        <v>t</v>
      </c>
      <c r="F40" s="74" t="str" cm="1">
        <f t="array" ref="F40" xml:space="preserve"> IF(F$3&lt;&gt;$D40, MID($C40,F$3,1), INDEX([1]音調表!$D$3:$D$12, MATCH(TRUE, EXACT(MID($C40,F$3,1), [1]音調表!$B$3:$B$12),0)))</f>
        <v>o</v>
      </c>
      <c r="G40" s="74" t="str" cm="1">
        <f t="array" ref="G40" xml:space="preserve"> IF(G$3&lt;&gt;$D40, MID($C40,G$3,1), INDEX([1]音調表!$D$3:$D$12, MATCH(TRUE, EXACT(MID($C40,G$3,1), [1]音調表!$B$3:$B$12),0)))</f>
        <v>o</v>
      </c>
      <c r="H40" s="74" t="str" cm="1">
        <f t="array" ref="H40" xml:space="preserve"> IF(H$3&lt;&gt;$D40, MID($C40,H$3,1), INDEX([1]音調表!$D$3:$D$12, MATCH(TRUE, EXACT(MID($C40,H$3,1), [1]音調表!$B$3:$B$12),0)))</f>
        <v>-</v>
      </c>
      <c r="I40" s="74" t="str" cm="1">
        <f t="array" ref="I40" xml:space="preserve"> IF(I$3&lt;&gt;$D40, MID($C40,I$3,1), INDEX([1]音調表!$D$3:$D$12, MATCH(TRUE, EXACT(MID($C40,I$3,1), [1]音調表!$B$3:$B$12),0)))</f>
        <v/>
      </c>
      <c r="J40" s="74" t="str" cm="1">
        <f t="array" ref="J40" xml:space="preserve"> IF(J$3&lt;&gt;$D40, MID($C40,J$3,1), INDEX([1]音調表!$D$3:$D$12, MATCH(TRUE, EXACT(MID($C40,J$3,1), [1]音調表!$B$3:$B$12),0)))</f>
        <v/>
      </c>
      <c r="K40" s="74" t="str" cm="1">
        <f t="array" ref="K40" xml:space="preserve"> IF(K$3&lt;&gt;$D40, MID($C40,K$3,1), INDEX([1]音調表!$D$3:$D$12, MATCH(TRUE, EXACT(MID($C40,K$3,1), [1]音調表!$B$3:$B$12),0)))</f>
        <v/>
      </c>
      <c r="L40" s="74" t="str" cm="1">
        <f t="array" ref="L40" xml:space="preserve"> IF(L$3&lt;&gt;$D40, MID($C40,L$3,1), INDEX([1]音調表!$D$3:$D$12, MATCH(TRUE, EXACT(MID($C40,L$3,1), [1]音調表!$B$3:$B$12),0)))</f>
        <v/>
      </c>
      <c r="M40" s="75" t="str" cm="1">
        <f t="array" ref="M40" xml:space="preserve"> IF(M$3&lt;&gt;$D40, MID($C40,M$3,1), INDEX([1]音調表!$D$3:$D$12, MATCH(TRUE, EXACT(MID($C40,M$3,1), [1]音調表!$B$3:$B$12),0)))</f>
        <v/>
      </c>
      <c r="O40" s="70"/>
      <c r="P40" s="70"/>
    </row>
    <row r="41" spans="2:16">
      <c r="B41" s="71" t="s">
        <v>1516</v>
      </c>
      <c r="C41" s="72" t="s">
        <v>1517</v>
      </c>
      <c r="D41" s="73">
        <f t="shared" si="0"/>
        <v>5</v>
      </c>
      <c r="E41" s="74" t="str" cm="1">
        <f t="array" ref="E41" xml:space="preserve"> IF(E$3&lt;&gt;$D41, MID($C41,E$3,1), INDEX([1]音調表!$D$3:$D$12, MATCH(TRUE, EXACT(MID($C41,E$3,1), [1]音調表!$B$3:$B$12),0)))</f>
        <v>g</v>
      </c>
      <c r="F41" s="74" t="str" cm="1">
        <f t="array" ref="F41" xml:space="preserve"> IF(F$3&lt;&gt;$D41, MID($C41,F$3,1), INDEX([1]音調表!$D$3:$D$12, MATCH(TRUE, EXACT(MID($C41,F$3,1), [1]音調表!$B$3:$B$12),0)))</f>
        <v>i</v>
      </c>
      <c r="G41" s="74" t="str" cm="1">
        <f t="array" ref="G41" xml:space="preserve"> IF(G$3&lt;&gt;$D41, MID($C41,G$3,1), INDEX([1]音調表!$D$3:$D$12, MATCH(TRUE, EXACT(MID($C41,G$3,1), [1]音調表!$B$3:$B$12),0)))</f>
        <v>o</v>
      </c>
      <c r="H41" s="74" t="str" cm="1">
        <f t="array" ref="H41" xml:space="preserve"> IF(H$3&lt;&gt;$D41, MID($C41,H$3,1), INDEX([1]音調表!$D$3:$D$12, MATCH(TRUE, EXACT(MID($C41,H$3,1), [1]音調表!$B$3:$B$12),0)))</f>
        <v>k</v>
      </c>
      <c r="I41" s="74" t="str" cm="1">
        <f t="array" ref="I41" xml:space="preserve"> IF(I$3&lt;&gt;$D41, MID($C41,I$3,1), INDEX([1]音調表!$D$3:$D$12, MATCH(TRUE, EXACT(MID($C41,I$3,1), [1]音調表!$B$3:$B$12),0)))</f>
        <v>]</v>
      </c>
      <c r="J41" s="74" t="str" cm="1">
        <f t="array" ref="J41" xml:space="preserve"> IF(J$3&lt;&gt;$D41, MID($C41,J$3,1), INDEX([1]音調表!$D$3:$D$12, MATCH(TRUE, EXACT(MID($C41,J$3,1), [1]音調表!$B$3:$B$12),0)))</f>
        <v/>
      </c>
      <c r="K41" s="74" t="str" cm="1">
        <f t="array" ref="K41" xml:space="preserve"> IF(K$3&lt;&gt;$D41, MID($C41,K$3,1), INDEX([1]音調表!$D$3:$D$12, MATCH(TRUE, EXACT(MID($C41,K$3,1), [1]音調表!$B$3:$B$12),0)))</f>
        <v/>
      </c>
      <c r="L41" s="74" t="str" cm="1">
        <f t="array" ref="L41" xml:space="preserve"> IF(L$3&lt;&gt;$D41, MID($C41,L$3,1), INDEX([1]音調表!$D$3:$D$12, MATCH(TRUE, EXACT(MID($C41,L$3,1), [1]音調表!$B$3:$B$12),0)))</f>
        <v/>
      </c>
      <c r="M41" s="75" t="str" cm="1">
        <f t="array" ref="M41" xml:space="preserve"> IF(M$3&lt;&gt;$D41, MID($C41,M$3,1), INDEX([1]音調表!$D$3:$D$12, MATCH(TRUE, EXACT(MID($C41,M$3,1), [1]音調表!$B$3:$B$12),0)))</f>
        <v/>
      </c>
      <c r="O41" s="70"/>
      <c r="P41" s="70"/>
    </row>
    <row r="42" spans="2:16">
      <c r="B42" s="71" t="s">
        <v>1518</v>
      </c>
      <c r="C42" s="72" t="s">
        <v>595</v>
      </c>
      <c r="D42" s="73">
        <f t="shared" si="0"/>
        <v>4</v>
      </c>
      <c r="E42" s="74" t="str" cm="1">
        <f t="array" ref="E42" xml:space="preserve"> IF(E$3&lt;&gt;$D42, MID($C42,E$3,1), INDEX([1]音調表!$D$3:$D$12, MATCH(TRUE, EXACT(MID($C42,E$3,1), [1]音調表!$B$3:$B$12),0)))</f>
        <v>b</v>
      </c>
      <c r="F42" s="74" t="str" cm="1">
        <f t="array" ref="F42" xml:space="preserve"> IF(F$3&lt;&gt;$D42, MID($C42,F$3,1), INDEX([1]音調表!$D$3:$D$12, MATCH(TRUE, EXACT(MID($C42,F$3,1), [1]音調表!$B$3:$B$12),0)))</f>
        <v>u</v>
      </c>
      <c r="G42" s="74" t="str" cm="1">
        <f t="array" ref="G42" xml:space="preserve"> IF(G$3&lt;&gt;$D42, MID($C42,G$3,1), INDEX([1]音調表!$D$3:$D$12, MATCH(TRUE, EXACT(MID($C42,G$3,1), [1]音調表!$B$3:$B$12),0)))</f>
        <v>n</v>
      </c>
      <c r="H42" s="74" t="str" cm="1">
        <f t="array" ref="H42" xml:space="preserve"> IF(H$3&lt;&gt;$D42, MID($C42,H$3,1), INDEX([1]音調表!$D$3:$D$12, MATCH(TRUE, EXACT(MID($C42,H$3,1), [1]音調表!$B$3:$B$12),0)))</f>
        <v>/</v>
      </c>
      <c r="I42" s="74" t="str" cm="1">
        <f t="array" ref="I42" xml:space="preserve"> IF(I$3&lt;&gt;$D42, MID($C42,I$3,1), INDEX([1]音調表!$D$3:$D$12, MATCH(TRUE, EXACT(MID($C42,I$3,1), [1]音調表!$B$3:$B$12),0)))</f>
        <v/>
      </c>
      <c r="J42" s="74" t="str" cm="1">
        <f t="array" ref="J42" xml:space="preserve"> IF(J$3&lt;&gt;$D42, MID($C42,J$3,1), INDEX([1]音調表!$D$3:$D$12, MATCH(TRUE, EXACT(MID($C42,J$3,1), [1]音調表!$B$3:$B$12),0)))</f>
        <v/>
      </c>
      <c r="K42" s="74" t="str" cm="1">
        <f t="array" ref="K42" xml:space="preserve"> IF(K$3&lt;&gt;$D42, MID($C42,K$3,1), INDEX([1]音調表!$D$3:$D$12, MATCH(TRUE, EXACT(MID($C42,K$3,1), [1]音調表!$B$3:$B$12),0)))</f>
        <v/>
      </c>
      <c r="L42" s="74" t="str" cm="1">
        <f t="array" ref="L42" xml:space="preserve"> IF(L$3&lt;&gt;$D42, MID($C42,L$3,1), INDEX([1]音調表!$D$3:$D$12, MATCH(TRUE, EXACT(MID($C42,L$3,1), [1]音調表!$B$3:$B$12),0)))</f>
        <v/>
      </c>
      <c r="M42" s="75" t="str" cm="1">
        <f t="array" ref="M42" xml:space="preserve"> IF(M$3&lt;&gt;$D42, MID($C42,M$3,1), INDEX([1]音調表!$D$3:$D$12, MATCH(TRUE, EXACT(MID($C42,M$3,1), [1]音調表!$B$3:$B$12),0)))</f>
        <v/>
      </c>
      <c r="O42" s="70"/>
      <c r="P42" s="70"/>
    </row>
    <row r="43" spans="2:16">
      <c r="B43" s="71" t="s">
        <v>1519</v>
      </c>
      <c r="C43" s="72" t="s">
        <v>603</v>
      </c>
      <c r="D43" s="73">
        <f t="shared" si="0"/>
        <v>5</v>
      </c>
      <c r="E43" s="74" t="str" cm="1">
        <f t="array" ref="E43" xml:space="preserve"> IF(E$3&lt;&gt;$D43, MID($C43,E$3,1), INDEX([1]音調表!$D$3:$D$12, MATCH(TRUE, EXACT(MID($C43,E$3,1), [1]音調表!$B$3:$B$12),0)))</f>
        <v>k</v>
      </c>
      <c r="F43" s="74" t="str" cm="1">
        <f t="array" ref="F43" xml:space="preserve"> IF(F$3&lt;&gt;$D43, MID($C43,F$3,1), INDEX([1]音調表!$D$3:$D$12, MATCH(TRUE, EXACT(MID($C43,F$3,1), [1]音調表!$B$3:$B$12),0)))</f>
        <v>u</v>
      </c>
      <c r="G43" s="74" t="str" cm="1">
        <f t="array" ref="G43" xml:space="preserve"> IF(G$3&lt;&gt;$D43, MID($C43,G$3,1), INDEX([1]音調表!$D$3:$D$12, MATCH(TRUE, EXACT(MID($C43,G$3,1), [1]音調表!$B$3:$B$12),0)))</f>
        <v>a</v>
      </c>
      <c r="H43" s="74" t="str" cm="1">
        <f t="array" ref="H43" xml:space="preserve"> IF(H$3&lt;&gt;$D43, MID($C43,H$3,1), INDEX([1]音調表!$D$3:$D$12, MATCH(TRUE, EXACT(MID($C43,H$3,1), [1]音調表!$B$3:$B$12),0)))</f>
        <v>n</v>
      </c>
      <c r="I43" s="74" t="str" cm="1">
        <f t="array" ref="I43" xml:space="preserve"> IF(I$3&lt;&gt;$D43, MID($C43,I$3,1), INDEX([1]音調表!$D$3:$D$12, MATCH(TRUE, EXACT(MID($C43,I$3,1), [1]音調表!$B$3:$B$12),0)))</f>
        <v>;</v>
      </c>
      <c r="J43" s="74" t="str" cm="1">
        <f t="array" ref="J43" xml:space="preserve"> IF(J$3&lt;&gt;$D43, MID($C43,J$3,1), INDEX([1]音調表!$D$3:$D$12, MATCH(TRUE, EXACT(MID($C43,J$3,1), [1]音調表!$B$3:$B$12),0)))</f>
        <v/>
      </c>
      <c r="K43" s="74" t="str" cm="1">
        <f t="array" ref="K43" xml:space="preserve"> IF(K$3&lt;&gt;$D43, MID($C43,K$3,1), INDEX([1]音調表!$D$3:$D$12, MATCH(TRUE, EXACT(MID($C43,K$3,1), [1]音調表!$B$3:$B$12),0)))</f>
        <v/>
      </c>
      <c r="L43" s="74" t="str" cm="1">
        <f t="array" ref="L43" xml:space="preserve"> IF(L$3&lt;&gt;$D43, MID($C43,L$3,1), INDEX([1]音調表!$D$3:$D$12, MATCH(TRUE, EXACT(MID($C43,L$3,1), [1]音調表!$B$3:$B$12),0)))</f>
        <v/>
      </c>
      <c r="M43" s="75" t="str" cm="1">
        <f t="array" ref="M43" xml:space="preserve"> IF(M$3&lt;&gt;$D43, MID($C43,M$3,1), INDEX([1]音調表!$D$3:$D$12, MATCH(TRUE, EXACT(MID($C43,M$3,1), [1]音調表!$B$3:$B$12),0)))</f>
        <v/>
      </c>
      <c r="O43" s="70"/>
      <c r="P43" s="70"/>
    </row>
    <row r="44" spans="2:16">
      <c r="B44" s="71" t="s">
        <v>1497</v>
      </c>
      <c r="C44" s="72"/>
      <c r="D44" s="73" t="str">
        <f t="shared" si="0"/>
        <v/>
      </c>
      <c r="E44" s="74" t="s">
        <v>1520</v>
      </c>
      <c r="F44" s="74" t="s">
        <v>1209</v>
      </c>
      <c r="G44" s="74" t="str" cm="1">
        <f t="array" ref="G44" xml:space="preserve"> IF(G$3&lt;&gt;$D44, MID($C44,G$3,1), INDEX([1]音調表!$D$3:$D$12, MATCH(TRUE, EXACT(MID($C44,G$3,1), [1]音調表!$B$3:$B$12),0)))</f>
        <v/>
      </c>
      <c r="H44" s="74" t="str" cm="1">
        <f t="array" ref="H44" xml:space="preserve"> IF(H$3&lt;&gt;$D44, MID($C44,H$3,1), INDEX([1]音調表!$D$3:$D$12, MATCH(TRUE, EXACT(MID($C44,H$3,1), [1]音調表!$B$3:$B$12),0)))</f>
        <v/>
      </c>
      <c r="I44" s="74" t="str" cm="1">
        <f t="array" ref="I44" xml:space="preserve"> IF(I$3&lt;&gt;$D44, MID($C44,I$3,1), INDEX([1]音調表!$D$3:$D$12, MATCH(TRUE, EXACT(MID($C44,I$3,1), [1]音調表!$B$3:$B$12),0)))</f>
        <v/>
      </c>
      <c r="J44" s="74" t="str" cm="1">
        <f t="array" ref="J44" xml:space="preserve"> IF(J$3&lt;&gt;$D44, MID($C44,J$3,1), INDEX([1]音調表!$D$3:$D$12, MATCH(TRUE, EXACT(MID($C44,J$3,1), [1]音調表!$B$3:$B$12),0)))</f>
        <v/>
      </c>
      <c r="K44" s="74" t="str" cm="1">
        <f t="array" ref="K44" xml:space="preserve"> IF(K$3&lt;&gt;$D44, MID($C44,K$3,1), INDEX([1]音調表!$D$3:$D$12, MATCH(TRUE, EXACT(MID($C44,K$3,1), [1]音調表!$B$3:$B$12),0)))</f>
        <v/>
      </c>
      <c r="L44" s="74" t="str" cm="1">
        <f t="array" ref="L44" xml:space="preserve"> IF(L$3&lt;&gt;$D44, MID($C44,L$3,1), INDEX([1]音調表!$D$3:$D$12, MATCH(TRUE, EXACT(MID($C44,L$3,1), [1]音調表!$B$3:$B$12),0)))</f>
        <v/>
      </c>
      <c r="M44" s="75" t="str" cm="1">
        <f t="array" ref="M44" xml:space="preserve"> IF(M$3&lt;&gt;$D44, MID($C44,M$3,1), INDEX([1]音調表!$D$3:$D$12, MATCH(TRUE, EXACT(MID($C44,M$3,1), [1]音調表!$B$3:$B$12),0)))</f>
        <v/>
      </c>
      <c r="O44" s="70"/>
      <c r="P44" s="70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5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8"/>
    </row>
    <row r="6" spans="1:22" s="24" customFormat="1" ht="36" customHeight="1">
      <c r="B6" s="21"/>
      <c r="C6" s="22"/>
      <c r="D6" s="51"/>
      <c r="E6" s="51" t="s">
        <v>1218</v>
      </c>
      <c r="F6" s="51" t="s">
        <v>1294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8"/>
    </row>
    <row r="7" spans="1:22" s="28" customFormat="1" ht="60" customHeight="1">
      <c r="B7" s="25"/>
      <c r="C7" s="26"/>
      <c r="D7" s="55"/>
      <c r="E7" s="55"/>
      <c r="F7" s="55"/>
      <c r="G7" s="55" t="s">
        <v>1325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5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1325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5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8"/>
    </row>
    <row r="10" spans="1:22" s="6" customFormat="1" ht="36" customHeight="1">
      <c r="B10" s="21"/>
      <c r="D10" s="51" t="s">
        <v>1295</v>
      </c>
      <c r="E10" s="51" t="s">
        <v>364</v>
      </c>
      <c r="F10" s="51" t="s">
        <v>389</v>
      </c>
      <c r="G10" s="51" t="s">
        <v>1356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5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1327</v>
      </c>
      <c r="K11" s="55"/>
      <c r="L11" s="52"/>
      <c r="M11" s="52"/>
      <c r="N11" s="52"/>
      <c r="O11" s="52"/>
      <c r="P11" s="52"/>
      <c r="Q11" s="52"/>
      <c r="R11" s="52"/>
      <c r="V11" s="5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1327</v>
      </c>
      <c r="K12" s="54"/>
      <c r="L12" s="50"/>
      <c r="M12" s="50"/>
      <c r="N12" s="50"/>
      <c r="O12" s="50"/>
      <c r="P12" s="50"/>
      <c r="Q12" s="50"/>
      <c r="R12" s="50"/>
      <c r="S12" s="18"/>
      <c r="V12" s="5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8"/>
    </row>
    <row r="14" spans="1:22" s="6" customFormat="1" ht="36" customHeight="1">
      <c r="B14" s="21"/>
      <c r="D14" s="51" t="s">
        <v>1296</v>
      </c>
      <c r="E14" s="51" t="s">
        <v>1297</v>
      </c>
      <c r="F14" s="51" t="s">
        <v>1220</v>
      </c>
      <c r="G14" s="51" t="s">
        <v>1231</v>
      </c>
      <c r="H14" s="51" t="s">
        <v>1298</v>
      </c>
      <c r="I14" s="51" t="s">
        <v>389</v>
      </c>
      <c r="J14" s="51" t="s">
        <v>1357</v>
      </c>
      <c r="K14" s="51"/>
      <c r="L14" s="51"/>
      <c r="M14" s="51"/>
      <c r="N14" s="51"/>
      <c r="O14" s="51"/>
      <c r="P14" s="51"/>
      <c r="Q14" s="51"/>
      <c r="R14" s="51"/>
      <c r="S14" s="29"/>
      <c r="V14" s="5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1329</v>
      </c>
      <c r="K15" s="55" t="s">
        <v>1331</v>
      </c>
      <c r="L15" s="55" t="s">
        <v>1333</v>
      </c>
      <c r="M15" s="55"/>
      <c r="N15" s="55"/>
      <c r="O15" s="55"/>
      <c r="P15" s="52"/>
      <c r="Q15" s="52"/>
      <c r="R15" s="52"/>
      <c r="V15" s="5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1329</v>
      </c>
      <c r="K16" s="54" t="s">
        <v>1331</v>
      </c>
      <c r="L16" s="54" t="s">
        <v>1333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5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58"/>
    </row>
    <row r="18" spans="2:22" s="6" customFormat="1" ht="36" customHeight="1">
      <c r="B18" s="21"/>
      <c r="D18" s="51" t="s">
        <v>1299</v>
      </c>
      <c r="E18" s="51" t="s">
        <v>1300</v>
      </c>
      <c r="F18" s="51" t="s">
        <v>336</v>
      </c>
      <c r="G18" s="51" t="s">
        <v>1236</v>
      </c>
      <c r="H18" s="51" t="s">
        <v>916</v>
      </c>
      <c r="I18" s="51"/>
      <c r="J18" s="51" t="s">
        <v>1329</v>
      </c>
      <c r="K18" s="51" t="s">
        <v>1358</v>
      </c>
      <c r="L18" s="51" t="s">
        <v>1359</v>
      </c>
      <c r="M18" s="51" t="s">
        <v>1301</v>
      </c>
      <c r="N18" s="51" t="s">
        <v>470</v>
      </c>
      <c r="O18" s="51"/>
      <c r="P18" s="51"/>
      <c r="Q18" s="51"/>
      <c r="R18" s="51"/>
      <c r="S18" s="29"/>
      <c r="V18" s="58"/>
    </row>
    <row r="19" spans="2:22" s="33" customFormat="1" ht="60" customHeight="1">
      <c r="B19" s="12"/>
      <c r="C19" s="32"/>
      <c r="D19" s="55"/>
      <c r="E19" s="55" t="s">
        <v>1335</v>
      </c>
      <c r="F19" s="55"/>
      <c r="G19" s="55" t="s">
        <v>1337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58"/>
    </row>
    <row r="20" spans="2:22" s="6" customFormat="1" ht="36" customHeight="1">
      <c r="B20" s="17"/>
      <c r="D20" s="54" t="s">
        <v>1242</v>
      </c>
      <c r="E20" s="54" t="s">
        <v>1335</v>
      </c>
      <c r="F20" s="54" t="s">
        <v>440</v>
      </c>
      <c r="G20" s="54" t="s">
        <v>1337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5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58"/>
    </row>
    <row r="22" spans="2:22" s="6" customFormat="1" ht="36" customHeight="1">
      <c r="B22" s="21"/>
      <c r="D22" s="51" t="s">
        <v>1242</v>
      </c>
      <c r="E22" s="51" t="s">
        <v>1360</v>
      </c>
      <c r="F22" s="51" t="s">
        <v>1302</v>
      </c>
      <c r="G22" s="51" t="s">
        <v>1337</v>
      </c>
      <c r="H22" s="51" t="s">
        <v>1303</v>
      </c>
      <c r="I22" s="51" t="s">
        <v>1304</v>
      </c>
      <c r="J22" s="51" t="s">
        <v>1305</v>
      </c>
      <c r="K22" s="51" t="s">
        <v>1252</v>
      </c>
      <c r="L22" s="51" t="s">
        <v>1306</v>
      </c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1339</v>
      </c>
      <c r="L23" s="55"/>
      <c r="M23" s="55" t="s">
        <v>1341</v>
      </c>
      <c r="N23" s="55" t="s">
        <v>1341</v>
      </c>
      <c r="O23" s="55"/>
      <c r="P23" s="55"/>
      <c r="Q23" s="55"/>
      <c r="R23" s="55"/>
      <c r="V23" s="5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1339</v>
      </c>
      <c r="L24" s="54"/>
      <c r="M24" s="54" t="s">
        <v>1341</v>
      </c>
      <c r="N24" s="54" t="s">
        <v>1341</v>
      </c>
      <c r="O24" s="54" t="s">
        <v>380</v>
      </c>
      <c r="P24" s="54" t="s">
        <v>1265</v>
      </c>
      <c r="Q24" s="54"/>
      <c r="R24" s="54" t="s">
        <v>1257</v>
      </c>
      <c r="S24" s="18"/>
      <c r="V24" s="5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58"/>
    </row>
    <row r="26" spans="2:22" s="6" customFormat="1" ht="36" customHeight="1">
      <c r="B26" s="21"/>
      <c r="D26" s="51" t="s">
        <v>1307</v>
      </c>
      <c r="E26" s="51" t="s">
        <v>56</v>
      </c>
      <c r="F26" s="51" t="s">
        <v>364</v>
      </c>
      <c r="G26" s="51" t="s">
        <v>1308</v>
      </c>
      <c r="H26" s="51" t="s">
        <v>52</v>
      </c>
      <c r="I26" s="51" t="s">
        <v>730</v>
      </c>
      <c r="J26" s="51" t="s">
        <v>345</v>
      </c>
      <c r="K26" s="51" t="s">
        <v>1339</v>
      </c>
      <c r="L26" s="51"/>
      <c r="M26" s="51" t="s">
        <v>1341</v>
      </c>
      <c r="N26" s="51" t="s">
        <v>1341</v>
      </c>
      <c r="O26" s="51" t="s">
        <v>1309</v>
      </c>
      <c r="P26" s="51" t="s">
        <v>1265</v>
      </c>
      <c r="Q26" s="51"/>
      <c r="R26" s="51" t="s">
        <v>1308</v>
      </c>
      <c r="S26" s="29"/>
      <c r="V26" s="58"/>
    </row>
    <row r="27" spans="2:22" s="33" customFormat="1" ht="60" customHeight="1">
      <c r="B27" s="12"/>
      <c r="C27" s="32"/>
      <c r="D27" s="55" t="s">
        <v>1343</v>
      </c>
      <c r="E27" s="55"/>
      <c r="F27" s="55"/>
      <c r="G27" s="55" t="s">
        <v>1345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8"/>
    </row>
    <row r="28" spans="2:22" s="6" customFormat="1" ht="36" customHeight="1">
      <c r="B28" s="17"/>
      <c r="D28" s="54" t="s">
        <v>1343</v>
      </c>
      <c r="E28" s="54" t="s">
        <v>1269</v>
      </c>
      <c r="F28" s="54" t="s">
        <v>1271</v>
      </c>
      <c r="G28" s="54" t="s">
        <v>1345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8"/>
    </row>
    <row r="30" spans="2:22" s="6" customFormat="1" ht="36" customHeight="1">
      <c r="B30" s="21"/>
      <c r="D30" s="51" t="s">
        <v>1361</v>
      </c>
      <c r="E30" s="51" t="s">
        <v>1310</v>
      </c>
      <c r="F30" s="51" t="s">
        <v>1311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1349</v>
      </c>
      <c r="H31" s="55"/>
      <c r="I31" s="55"/>
      <c r="J31" s="55"/>
      <c r="K31" s="55" t="s">
        <v>1349</v>
      </c>
      <c r="L31" s="55"/>
      <c r="M31" s="55" t="s">
        <v>1351</v>
      </c>
      <c r="N31" s="55"/>
      <c r="O31" s="55"/>
      <c r="P31" s="55"/>
      <c r="Q31" s="55"/>
      <c r="R31" s="55" t="s">
        <v>730</v>
      </c>
      <c r="V31" s="58"/>
    </row>
    <row r="32" spans="2:22" s="6" customFormat="1" ht="36" customHeight="1">
      <c r="B32" s="17"/>
      <c r="D32" s="54" t="s">
        <v>1274</v>
      </c>
      <c r="E32" s="54" t="s">
        <v>1276</v>
      </c>
      <c r="F32" s="54" t="s">
        <v>730</v>
      </c>
      <c r="G32" s="54" t="s">
        <v>1349</v>
      </c>
      <c r="H32" s="54" t="s">
        <v>1257</v>
      </c>
      <c r="I32" s="54"/>
      <c r="J32" s="54" t="s">
        <v>1279</v>
      </c>
      <c r="K32" s="54" t="s">
        <v>1349</v>
      </c>
      <c r="L32" s="54" t="s">
        <v>452</v>
      </c>
      <c r="M32" s="54" t="s">
        <v>1351</v>
      </c>
      <c r="N32" s="54" t="s">
        <v>401</v>
      </c>
      <c r="O32" s="54" t="s">
        <v>1283</v>
      </c>
      <c r="P32" s="54"/>
      <c r="Q32" s="54" t="s">
        <v>52</v>
      </c>
      <c r="R32" s="54" t="s">
        <v>730</v>
      </c>
      <c r="S32" s="18"/>
      <c r="U32" s="33"/>
      <c r="V32" s="5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58"/>
    </row>
    <row r="34" spans="2:22" s="6" customFormat="1" ht="36" customHeight="1">
      <c r="B34" s="21"/>
      <c r="D34" s="51" t="s">
        <v>1312</v>
      </c>
      <c r="E34" s="51" t="s">
        <v>1313</v>
      </c>
      <c r="F34" s="51" t="s">
        <v>730</v>
      </c>
      <c r="G34" s="51" t="s">
        <v>1349</v>
      </c>
      <c r="H34" s="51" t="s">
        <v>1308</v>
      </c>
      <c r="I34" s="51"/>
      <c r="J34" s="51" t="s">
        <v>1314</v>
      </c>
      <c r="K34" s="51" t="s">
        <v>1349</v>
      </c>
      <c r="L34" s="51" t="s">
        <v>1305</v>
      </c>
      <c r="M34" s="51" t="s">
        <v>1362</v>
      </c>
      <c r="N34" s="51" t="s">
        <v>426</v>
      </c>
      <c r="O34" s="51" t="s">
        <v>1283</v>
      </c>
      <c r="P34" s="51"/>
      <c r="Q34" s="51" t="s">
        <v>52</v>
      </c>
      <c r="R34" s="51" t="s">
        <v>730</v>
      </c>
      <c r="S34" s="29"/>
      <c r="V34" s="5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8"/>
    </row>
    <row r="36" spans="2:22" s="6" customFormat="1" ht="36" customHeight="1">
      <c r="B36" s="17"/>
      <c r="D36" s="54" t="s">
        <v>1285</v>
      </c>
      <c r="E36" s="54" t="s">
        <v>452</v>
      </c>
      <c r="F36" s="54" t="s">
        <v>1286</v>
      </c>
      <c r="G36" s="54" t="s">
        <v>1353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8"/>
    </row>
    <row r="38" spans="2:22" s="6" customFormat="1" ht="36" customHeight="1">
      <c r="B38" s="21"/>
      <c r="D38" s="51" t="s">
        <v>1285</v>
      </c>
      <c r="E38" s="51" t="s">
        <v>1305</v>
      </c>
      <c r="F38" s="51" t="s">
        <v>1315</v>
      </c>
      <c r="G38" s="51" t="s">
        <v>1316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1337</v>
      </c>
      <c r="P39" s="55"/>
      <c r="Q39" s="55"/>
      <c r="R39" s="55"/>
      <c r="V39" s="58"/>
    </row>
    <row r="40" spans="2:22" s="6" customFormat="1" ht="36" customHeight="1">
      <c r="B40" s="17"/>
      <c r="D40" s="54" t="s">
        <v>1287</v>
      </c>
      <c r="E40" s="54"/>
      <c r="F40" s="54"/>
      <c r="G40" s="54"/>
      <c r="H40" s="54"/>
      <c r="I40" s="54"/>
      <c r="J40" s="54"/>
      <c r="K40" s="54" t="s">
        <v>1329</v>
      </c>
      <c r="L40" s="54" t="s">
        <v>1288</v>
      </c>
      <c r="M40" s="54" t="s">
        <v>319</v>
      </c>
      <c r="N40" s="54" t="s">
        <v>1289</v>
      </c>
      <c r="O40" s="54" t="s">
        <v>1337</v>
      </c>
      <c r="P40" s="54" t="s">
        <v>1290</v>
      </c>
      <c r="Q40" s="54" t="s">
        <v>1291</v>
      </c>
      <c r="R40" s="54"/>
      <c r="S40" s="18"/>
      <c r="V40" s="5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58"/>
    </row>
    <row r="42" spans="2:22" s="6" customFormat="1" ht="36" customHeight="1">
      <c r="B42" s="21"/>
      <c r="D42" s="51" t="s">
        <v>1287</v>
      </c>
      <c r="E42" s="51"/>
      <c r="F42" s="51"/>
      <c r="G42" s="51"/>
      <c r="H42" s="51"/>
      <c r="I42" s="51"/>
      <c r="J42" s="51"/>
      <c r="K42" s="51" t="s">
        <v>1329</v>
      </c>
      <c r="L42" s="51" t="s">
        <v>1317</v>
      </c>
      <c r="M42" s="51" t="s">
        <v>1294</v>
      </c>
      <c r="N42" s="51" t="s">
        <v>1318</v>
      </c>
      <c r="O42" s="51" t="s">
        <v>1337</v>
      </c>
      <c r="P42" s="51" t="s">
        <v>1290</v>
      </c>
      <c r="Q42" s="51" t="s">
        <v>1319</v>
      </c>
      <c r="R42" s="51"/>
      <c r="S42" s="29"/>
      <c r="V42" s="58"/>
    </row>
    <row r="43" spans="2:22" s="33" customFormat="1" ht="60" customHeight="1">
      <c r="B43" s="12"/>
      <c r="C43" s="32"/>
      <c r="D43" s="55"/>
      <c r="E43" s="55" t="s">
        <v>1337</v>
      </c>
      <c r="F43" s="55" t="s">
        <v>1355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58"/>
    </row>
    <row r="44" spans="2:22" s="6" customFormat="1" ht="36" customHeight="1">
      <c r="B44" s="17"/>
      <c r="D44" s="54" t="s">
        <v>440</v>
      </c>
      <c r="E44" s="54" t="s">
        <v>1337</v>
      </c>
      <c r="F44" s="54" t="s">
        <v>1355</v>
      </c>
      <c r="G44" s="54" t="s">
        <v>1293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5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8"/>
    </row>
    <row r="46" spans="2:22" s="6" customFormat="1" ht="36" customHeight="1">
      <c r="B46" s="21"/>
      <c r="D46" s="51" t="s">
        <v>1302</v>
      </c>
      <c r="E46" s="51" t="s">
        <v>1337</v>
      </c>
      <c r="F46" s="51" t="s">
        <v>1355</v>
      </c>
      <c r="G46" s="51" t="s">
        <v>1320</v>
      </c>
      <c r="H46" s="51" t="s">
        <v>1218</v>
      </c>
      <c r="I46" s="51" t="s">
        <v>1294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5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7">
      <formula>顯示注音輸入</formula>
    </cfRule>
    <cfRule type="expression" dxfId="114" priority="48">
      <formula>"'= TRUE(顯示注音輸入)"</formula>
    </cfRule>
  </conditionalFormatting>
  <conditionalFormatting sqref="D11:R11">
    <cfRule type="expression" dxfId="113" priority="45">
      <formula>顯示注音輸入</formula>
    </cfRule>
    <cfRule type="expression" dxfId="112" priority="46">
      <formula>"'= TRUE(顯示注音輸入)"</formula>
    </cfRule>
  </conditionalFormatting>
  <conditionalFormatting sqref="D15:R15">
    <cfRule type="expression" dxfId="111" priority="43">
      <formula>顯示注音輸入</formula>
    </cfRule>
    <cfRule type="expression" dxfId="110" priority="44">
      <formula>"'= TRUE(顯示注音輸入)"</formula>
    </cfRule>
  </conditionalFormatting>
  <conditionalFormatting sqref="D19:R19">
    <cfRule type="expression" dxfId="109" priority="41">
      <formula>顯示注音輸入</formula>
    </cfRule>
    <cfRule type="expression" dxfId="108" priority="42">
      <formula>"'= TRUE(顯示注音輸入)"</formula>
    </cfRule>
  </conditionalFormatting>
  <conditionalFormatting sqref="D23:R23">
    <cfRule type="expression" dxfId="107" priority="39">
      <formula>顯示注音輸入</formula>
    </cfRule>
    <cfRule type="expression" dxfId="106" priority="40">
      <formula>"'= TRUE(顯示注音輸入)"</formula>
    </cfRule>
  </conditionalFormatting>
  <conditionalFormatting sqref="D27:R27">
    <cfRule type="expression" dxfId="105" priority="37">
      <formula>顯示注音輸入</formula>
    </cfRule>
    <cfRule type="expression" dxfId="104" priority="38">
      <formula>"'= TRUE(顯示注音輸入)"</formula>
    </cfRule>
  </conditionalFormatting>
  <conditionalFormatting sqref="D31:R31">
    <cfRule type="expression" dxfId="103" priority="35">
      <formula>顯示注音輸入</formula>
    </cfRule>
    <cfRule type="expression" dxfId="102" priority="36">
      <formula>"'= TRUE(顯示注音輸入)"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1">
      <formula>顯示注音輸入</formula>
    </cfRule>
    <cfRule type="expression" dxfId="98" priority="32">
      <formula>"'= TRUE(顯示注音輸入)"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7">
      <formula>顯示注音輸入</formula>
    </cfRule>
    <cfRule type="expression" dxfId="94" priority="28">
      <formula>"'= TRUE(顯示注音輸入)"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3">
      <formula>顯示注音輸入</formula>
    </cfRule>
    <cfRule type="expression" dxfId="90" priority="24">
      <formula>"'= TRUE(顯示注音輸入)"</formula>
    </cfRule>
  </conditionalFormatting>
  <conditionalFormatting sqref="D59:R59">
    <cfRule type="expression" dxfId="89" priority="21">
      <formula>顯示注音輸入</formula>
    </cfRule>
    <cfRule type="expression" dxfId="88" priority="22">
      <formula>"'= TRUE(顯示注音輸入)"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7">
      <formula>顯示注音輸入</formula>
    </cfRule>
    <cfRule type="expression" dxfId="84" priority="18">
      <formula>"'= TRUE(顯示注音輸入)"</formula>
    </cfRule>
  </conditionalFormatting>
  <conditionalFormatting sqref="D71:R71">
    <cfRule type="expression" dxfId="83" priority="15">
      <formula>顯示注音輸入</formula>
    </cfRule>
    <cfRule type="expression" dxfId="82" priority="16">
      <formula>"'= TRUE(顯示注音輸入)"</formula>
    </cfRule>
  </conditionalFormatting>
  <conditionalFormatting sqref="D75:R75">
    <cfRule type="expression" dxfId="81" priority="13">
      <formula>顯示注音輸入</formula>
    </cfRule>
    <cfRule type="expression" dxfId="80" priority="14">
      <formula>"'= TRUE(顯示注音輸入)"</formula>
    </cfRule>
  </conditionalFormatting>
  <conditionalFormatting sqref="D79:R79">
    <cfRule type="expression" dxfId="79" priority="11">
      <formula>顯示注音輸入</formula>
    </cfRule>
    <cfRule type="expression" dxfId="78" priority="12">
      <formula>"'= TRUE(顯示注音輸入)"</formula>
    </cfRule>
  </conditionalFormatting>
  <conditionalFormatting sqref="D83:R83">
    <cfRule type="expression" dxfId="77" priority="9">
      <formula>顯示注音輸入</formula>
    </cfRule>
    <cfRule type="expression" dxfId="76" priority="10">
      <formula>"'= TRUE(顯示注音輸入)"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5">
      <formula>顯示注音輸入</formula>
    </cfRule>
    <cfRule type="expression" dxfId="72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3">
      <formula>顯示注音輸入</formula>
    </cfRule>
    <cfRule type="expression" dxfId="70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  <sheetView workbookViewId="1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  <sheetView workbookViewId="1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  <sheetView workbookViewId="1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60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60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60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60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60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60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60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60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60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60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60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60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60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60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60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60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60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60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61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69" priority="59">
      <formula>顯示注音輸入</formula>
    </cfRule>
    <cfRule type="expression" dxfId="68" priority="60">
      <formula>"'= TRUE(顯示注音輸入)"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3">
      <formula>顯示注音輸入</formula>
    </cfRule>
    <cfRule type="expression" dxfId="62" priority="54">
      <formula>"'= TRUE(顯示注音輸入)"</formula>
    </cfRule>
  </conditionalFormatting>
  <conditionalFormatting sqref="D19:R19">
    <cfRule type="expression" dxfId="61" priority="51">
      <formula>顯示注音輸入</formula>
    </cfRule>
    <cfRule type="expression" dxfId="60" priority="52">
      <formula>"'= TRUE(顯示注音輸入)"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7">
      <formula>顯示注音輸入</formula>
    </cfRule>
    <cfRule type="expression" dxfId="56" priority="48">
      <formula>"'= TRUE(顯示注音輸入)"</formula>
    </cfRule>
  </conditionalFormatting>
  <conditionalFormatting sqref="D31:R31">
    <cfRule type="expression" dxfId="55" priority="45">
      <formula>顯示注音輸入</formula>
    </cfRule>
    <cfRule type="expression" dxfId="54" priority="46">
      <formula>"'= TRUE(顯示注音輸入)"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1">
      <formula>顯示注音輸入</formula>
    </cfRule>
    <cfRule type="expression" dxfId="50" priority="42">
      <formula>"'= TRUE(顯示注音輸入)"</formula>
    </cfRule>
  </conditionalFormatting>
  <conditionalFormatting sqref="D43:R43">
    <cfRule type="expression" dxfId="49" priority="39">
      <formula>顯示注音輸入</formula>
    </cfRule>
    <cfRule type="expression" dxfId="48" priority="40">
      <formula>"'= TRUE(顯示注音輸入)"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3">
      <formula>顯示注音輸入</formula>
    </cfRule>
    <cfRule type="expression" dxfId="42" priority="34">
      <formula>"'= TRUE(顯示注音輸入)"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29">
      <formula>顯示注音輸入</formula>
    </cfRule>
    <cfRule type="expression" dxfId="38" priority="30">
      <formula>"'= TRUE(顯示注音輸入)"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3">
      <formula>顯示注音輸入</formula>
    </cfRule>
    <cfRule type="expression" dxfId="32" priority="24">
      <formula>"'= TRUE(顯示注音輸入)"</formula>
    </cfRule>
  </conditionalFormatting>
  <conditionalFormatting sqref="D79:R79">
    <cfRule type="expression" dxfId="31" priority="21">
      <formula>顯示注音輸入</formula>
    </cfRule>
    <cfRule type="expression" dxfId="30" priority="22">
      <formula>"'= TRUE(顯示注音輸入)"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5">
      <formula>顯示注音輸入</formula>
    </cfRule>
    <cfRule type="expression" dxfId="24" priority="16">
      <formula>"'= TRUE(顯示注音輸入)"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1">
      <formula>顯示注音輸入</formula>
    </cfRule>
    <cfRule type="expression" dxfId="20" priority="12">
      <formula>"'= TRUE(顯示注音輸入)"</formula>
    </cfRule>
  </conditionalFormatting>
  <conditionalFormatting sqref="D103:R103">
    <cfRule type="expression" dxfId="19" priority="9">
      <formula>顯示注音輸入</formula>
    </cfRule>
    <cfRule type="expression" dxfId="18" priority="10">
      <formula>"'= TRUE(顯示注音輸入)"</formula>
    </cfRule>
  </conditionalFormatting>
  <conditionalFormatting sqref="D107:R107">
    <cfRule type="expression" dxfId="17" priority="7">
      <formula>顯示注音輸入</formula>
    </cfRule>
    <cfRule type="expression" dxfId="16" priority="8">
      <formula>"'= TRUE(顯示注音輸入)"</formula>
    </cfRule>
  </conditionalFormatting>
  <conditionalFormatting sqref="D111:R111">
    <cfRule type="expression" dxfId="15" priority="5">
      <formula>顯示注音輸入</formula>
    </cfRule>
    <cfRule type="expression" dxfId="14" priority="6">
      <formula>"'= TRUE(顯示注音輸入)"</formula>
    </cfRule>
  </conditionalFormatting>
  <conditionalFormatting sqref="D115:R115">
    <cfRule type="expression" dxfId="13" priority="3">
      <formula>顯示注音輸入</formula>
    </cfRule>
    <cfRule type="expression" dxfId="12" priority="4">
      <formula>"'= TRUE(顯示注音輸入)"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具名範圍</vt:lpstr>
      </vt:variant>
      <vt:variant>
        <vt:i4>22</vt:i4>
      </vt:variant>
    </vt:vector>
  </HeadingPairs>
  <TitlesOfParts>
    <vt:vector size="36" baseType="lpstr">
      <vt:lpstr>env</vt:lpstr>
      <vt:lpstr>標音字庫</vt:lpstr>
      <vt:lpstr>缺字表</vt:lpstr>
      <vt:lpstr>人工標音字庫</vt:lpstr>
      <vt:lpstr>漢字注音</vt:lpstr>
      <vt:lpstr>漢字注音 (3)</vt:lpstr>
      <vt:lpstr>打字練習表</vt:lpstr>
      <vt:lpstr>打字練習表（模版）</vt:lpstr>
      <vt:lpstr>打字練習表 (3)</vt:lpstr>
      <vt:lpstr>打字練習表 (2)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(3)'!覩9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2025-11-19T04:45:28Z</dcterms:modified>
</cp:coreProperties>
</file>