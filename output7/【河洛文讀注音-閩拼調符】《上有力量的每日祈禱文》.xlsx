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13_ncr:1_{287A6572-2616-4432-A0B2-DE1FB2EA7D0F}" xr6:coauthVersionLast="47" xr6:coauthVersionMax="47" xr10:uidLastSave="{00000000-0000-0000-0000-000000000000}"/>
  <bookViews>
    <workbookView xWindow="210" yWindow="2295" windowWidth="28695" windowHeight="11295" xr2:uid="{33AB2257-ECDF-4521-8F0E-4FD5B627422C}"/>
  </bookViews>
  <sheets>
    <sheet name="env" sheetId="10" r:id="rId1"/>
    <sheet name="缺字表" sheetId="35" r:id="rId2"/>
    <sheet name="標音字庫" sheetId="34" r:id="rId3"/>
    <sheet name="人工標音字庫" sheetId="33" r:id="rId4"/>
    <sheet name="漢字注音" sheetId="1" r:id="rId5"/>
    <sheet name="台羅拼音" sheetId="15" r:id="rId6"/>
    <sheet name="十五音" sheetId="14" r:id="rId7"/>
    <sheet name="閩拼方案" sheetId="12" r:id="rId8"/>
    <sheet name="135拼音-聲調符號" sheetId="3" r:id="rId9"/>
    <sheet name="135拼音-聲調轉換" sheetId="4" r:id="rId10"/>
    <sheet name="轉調助記圖" sheetId="5" r:id="rId11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顯示注音輸入">env!$C$10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D1" i="1"/>
  <c r="O53" i="1"/>
  <c r="D41" i="1" l="1"/>
  <c r="R37" i="1"/>
  <c r="D29" i="1"/>
  <c r="P25" i="1"/>
  <c r="D9" i="1"/>
  <c r="U32" i="15" l="1"/>
  <c r="U31" i="15"/>
  <c r="U30" i="15"/>
  <c r="U29" i="15"/>
  <c r="U28" i="15"/>
  <c r="U27" i="15"/>
  <c r="U26" i="15"/>
  <c r="B9" i="15"/>
  <c r="B13" i="15" s="1"/>
  <c r="B17" i="15" s="1"/>
  <c r="B21" i="15" s="1"/>
  <c r="B25" i="15" s="1"/>
  <c r="B29" i="15" s="1"/>
  <c r="B33" i="15" s="1"/>
  <c r="B37" i="15" s="1"/>
  <c r="B41" i="15" s="1"/>
  <c r="B45" i="15" s="1"/>
  <c r="B49" i="15" s="1"/>
  <c r="B53" i="15" s="1"/>
  <c r="B57" i="15" s="1"/>
  <c r="B61" i="15" s="1"/>
  <c r="B65" i="15" s="1"/>
  <c r="B69" i="15" s="1"/>
  <c r="B73" i="15" s="1"/>
  <c r="B77" i="15" s="1"/>
  <c r="B81" i="15" s="1"/>
  <c r="B85" i="15" s="1"/>
  <c r="B89" i="15" s="1"/>
  <c r="B93" i="15" s="1"/>
  <c r="B97" i="15" s="1"/>
  <c r="B101" i="15" s="1"/>
  <c r="B105" i="15" s="1"/>
  <c r="B109" i="15" s="1"/>
  <c r="B113" i="15" s="1"/>
  <c r="B117" i="15" s="1"/>
  <c r="B121" i="15" s="1"/>
  <c r="B125" i="15" s="1"/>
  <c r="B129" i="15" s="1"/>
  <c r="B133" i="15" s="1"/>
  <c r="B137" i="15" s="1"/>
  <c r="B141" i="15" s="1"/>
  <c r="B145" i="15" s="1"/>
  <c r="B149" i="15" s="1"/>
  <c r="B153" i="15" s="1"/>
  <c r="B157" i="15" s="1"/>
  <c r="B161" i="15" s="1"/>
  <c r="B165" i="15" s="1"/>
  <c r="B169" i="15" s="1"/>
  <c r="B173" i="15" s="1"/>
  <c r="B177" i="15" s="1"/>
  <c r="B181" i="15" s="1"/>
  <c r="B185" i="15" s="1"/>
  <c r="B189" i="15" s="1"/>
  <c r="B193" i="15" s="1"/>
  <c r="B197" i="15" s="1"/>
  <c r="B201" i="15" s="1"/>
  <c r="B205" i="15" s="1"/>
  <c r="B209" i="15" s="1"/>
  <c r="B213" i="15" s="1"/>
  <c r="B217" i="15" s="1"/>
  <c r="B221" i="15" s="1"/>
  <c r="B225" i="15" s="1"/>
  <c r="B229" i="15" s="1"/>
  <c r="B233" i="15" s="1"/>
  <c r="B237" i="15" s="1"/>
  <c r="B241" i="15" s="1"/>
  <c r="V2" i="15"/>
  <c r="U32" i="14"/>
  <c r="U31" i="14"/>
  <c r="U30" i="14"/>
  <c r="U29" i="14"/>
  <c r="U28" i="14"/>
  <c r="U27" i="14"/>
  <c r="U26" i="14"/>
  <c r="B9" i="14"/>
  <c r="B13" i="14" s="1"/>
  <c r="B17" i="14" s="1"/>
  <c r="B21" i="14" s="1"/>
  <c r="B25" i="14" s="1"/>
  <c r="B29" i="14" s="1"/>
  <c r="B33" i="14" s="1"/>
  <c r="B37" i="14" s="1"/>
  <c r="B41" i="14" s="1"/>
  <c r="B45" i="14" s="1"/>
  <c r="B49" i="14" s="1"/>
  <c r="B53" i="14" s="1"/>
  <c r="B57" i="14" s="1"/>
  <c r="B61" i="14" s="1"/>
  <c r="B65" i="14" s="1"/>
  <c r="B69" i="14" s="1"/>
  <c r="B73" i="14" s="1"/>
  <c r="B77" i="14" s="1"/>
  <c r="B81" i="14" s="1"/>
  <c r="B85" i="14" s="1"/>
  <c r="B89" i="14" s="1"/>
  <c r="B93" i="14" s="1"/>
  <c r="B97" i="14" s="1"/>
  <c r="B101" i="14" s="1"/>
  <c r="B105" i="14" s="1"/>
  <c r="B109" i="14" s="1"/>
  <c r="B113" i="14" s="1"/>
  <c r="B117" i="14" s="1"/>
  <c r="B121" i="14" s="1"/>
  <c r="B125" i="14" s="1"/>
  <c r="B129" i="14" s="1"/>
  <c r="B133" i="14" s="1"/>
  <c r="B137" i="14" s="1"/>
  <c r="B141" i="14" s="1"/>
  <c r="B145" i="14" s="1"/>
  <c r="B149" i="14" s="1"/>
  <c r="B153" i="14" s="1"/>
  <c r="B157" i="14" s="1"/>
  <c r="B161" i="14" s="1"/>
  <c r="B165" i="14" s="1"/>
  <c r="B169" i="14" s="1"/>
  <c r="B173" i="14" s="1"/>
  <c r="B177" i="14" s="1"/>
  <c r="B181" i="14" s="1"/>
  <c r="B185" i="14" s="1"/>
  <c r="B189" i="14" s="1"/>
  <c r="B193" i="14" s="1"/>
  <c r="B197" i="14" s="1"/>
  <c r="B201" i="14" s="1"/>
  <c r="B205" i="14" s="1"/>
  <c r="B209" i="14" s="1"/>
  <c r="B213" i="14" s="1"/>
  <c r="B217" i="14" s="1"/>
  <c r="B221" i="14" s="1"/>
  <c r="B225" i="14" s="1"/>
  <c r="B229" i="14" s="1"/>
  <c r="B233" i="14" s="1"/>
  <c r="B237" i="14" s="1"/>
  <c r="B241" i="14" s="1"/>
  <c r="V2" i="14"/>
  <c r="U32" i="12"/>
  <c r="U31" i="12"/>
  <c r="U30" i="12"/>
  <c r="U29" i="12"/>
  <c r="U28" i="12"/>
  <c r="U27" i="12"/>
  <c r="U26" i="12"/>
  <c r="B9" i="12"/>
  <c r="B13" i="12" s="1"/>
  <c r="B17" i="12" s="1"/>
  <c r="B21" i="12" s="1"/>
  <c r="B25" i="12" s="1"/>
  <c r="B29" i="12" s="1"/>
  <c r="B33" i="12" s="1"/>
  <c r="B37" i="12" s="1"/>
  <c r="B41" i="12" s="1"/>
  <c r="B45" i="12" s="1"/>
  <c r="B49" i="12" s="1"/>
  <c r="B53" i="12" s="1"/>
  <c r="B57" i="12" s="1"/>
  <c r="B61" i="12" s="1"/>
  <c r="B65" i="12" s="1"/>
  <c r="B69" i="12" s="1"/>
  <c r="B73" i="12" s="1"/>
  <c r="B77" i="12" s="1"/>
  <c r="B81" i="12" s="1"/>
  <c r="B85" i="12" s="1"/>
  <c r="B89" i="12" s="1"/>
  <c r="B93" i="12" s="1"/>
  <c r="B97" i="12" s="1"/>
  <c r="B101" i="12" s="1"/>
  <c r="B105" i="12" s="1"/>
  <c r="B109" i="12" s="1"/>
  <c r="B113" i="12" s="1"/>
  <c r="B117" i="12" s="1"/>
  <c r="B121" i="12" s="1"/>
  <c r="B125" i="12" s="1"/>
  <c r="B129" i="12" s="1"/>
  <c r="B133" i="12" s="1"/>
  <c r="B137" i="12" s="1"/>
  <c r="B141" i="12" s="1"/>
  <c r="B145" i="12" s="1"/>
  <c r="B149" i="12" s="1"/>
  <c r="B153" i="12" s="1"/>
  <c r="B157" i="12" s="1"/>
  <c r="B161" i="12" s="1"/>
  <c r="B165" i="12" s="1"/>
  <c r="B169" i="12" s="1"/>
  <c r="B173" i="12" s="1"/>
  <c r="B177" i="12" s="1"/>
  <c r="B181" i="12" s="1"/>
  <c r="B185" i="12" s="1"/>
  <c r="B189" i="12" s="1"/>
  <c r="B193" i="12" s="1"/>
  <c r="B197" i="12" s="1"/>
  <c r="B201" i="12" s="1"/>
  <c r="B205" i="12" s="1"/>
  <c r="B209" i="12" s="1"/>
  <c r="B213" i="12" s="1"/>
  <c r="B217" i="12" s="1"/>
  <c r="B221" i="12" s="1"/>
  <c r="B225" i="12" s="1"/>
  <c r="B229" i="12" s="1"/>
  <c r="B233" i="12" s="1"/>
  <c r="B237" i="12" s="1"/>
  <c r="B241" i="12" s="1"/>
  <c r="V2" i="12"/>
  <c r="U28" i="1" l="1"/>
  <c r="U29" i="1"/>
  <c r="U30" i="1"/>
  <c r="U31" i="1"/>
  <c r="U32" i="1"/>
  <c r="U27" i="1"/>
  <c r="U26" i="1"/>
  <c r="V2" i="1"/>
  <c r="B9" i="1"/>
  <c r="G12" i="3"/>
  <c r="F12" i="3"/>
  <c r="E12" i="3"/>
  <c r="D12" i="3"/>
  <c r="G6" i="3"/>
  <c r="F6" i="3"/>
  <c r="E6" i="3"/>
  <c r="D6" i="3"/>
  <c r="B13" i="1" l="1"/>
  <c r="B17" i="1" l="1"/>
  <c r="B21" i="1" l="1"/>
  <c r="B25" i="1" l="1"/>
  <c r="B29" i="1" s="1"/>
  <c r="B33" i="1" s="1"/>
  <c r="B37" i="1" s="1"/>
  <c r="B41" i="1" s="1"/>
  <c r="B45" i="1" s="1"/>
  <c r="B49" i="1" s="1"/>
  <c r="B53" i="1" s="1"/>
  <c r="B57" i="1" s="1"/>
  <c r="B61" i="1" s="1"/>
  <c r="B65" i="1" s="1"/>
  <c r="B69" i="1" s="1"/>
  <c r="B73" i="1" s="1"/>
  <c r="B77" i="1" s="1"/>
  <c r="B81" i="1" s="1"/>
  <c r="B85" i="1" s="1"/>
  <c r="B89" i="1" s="1"/>
  <c r="B93" i="1" s="1"/>
  <c r="B97" i="1" s="1"/>
  <c r="B101" i="1" s="1"/>
  <c r="B105" i="1" s="1"/>
  <c r="B109" i="1" s="1"/>
  <c r="B113" i="1" s="1"/>
  <c r="B117" i="1" s="1"/>
  <c r="B121" i="1" s="1"/>
  <c r="B125" i="1" s="1"/>
  <c r="B129" i="1" s="1"/>
  <c r="B133" i="1" s="1"/>
  <c r="B137" i="1" s="1"/>
  <c r="B141" i="1" s="1"/>
  <c r="B145" i="1" s="1"/>
  <c r="B149" i="1" s="1"/>
  <c r="B153" i="1" s="1"/>
  <c r="B157" i="1" s="1"/>
  <c r="B161" i="1" s="1"/>
  <c r="B165" i="1" s="1"/>
  <c r="B169" i="1" s="1"/>
  <c r="B173" i="1" s="1"/>
  <c r="B177" i="1" s="1"/>
  <c r="B181" i="1" s="1"/>
  <c r="B185" i="1" s="1"/>
  <c r="B189" i="1" s="1"/>
  <c r="B193" i="1" s="1"/>
  <c r="B197" i="1" s="1"/>
  <c r="B201" i="1" s="1"/>
  <c r="B205" i="1" s="1"/>
  <c r="B209" i="1" s="1"/>
  <c r="B213" i="1" s="1"/>
  <c r="B217" i="1" s="1"/>
  <c r="B221" i="1" s="1"/>
  <c r="B225" i="1" s="1"/>
  <c r="B229" i="1" s="1"/>
  <c r="B233" i="1" s="1"/>
  <c r="B237" i="1" s="1"/>
  <c r="B241" i="1" s="1"/>
</calcChain>
</file>

<file path=xl/sharedStrings.xml><?xml version="1.0" encoding="utf-8"?>
<sst xmlns="http://schemas.openxmlformats.org/spreadsheetml/2006/main" count="2152" uniqueCount="810">
  <si>
    <t>【台羅拼音】</t>
    <phoneticPr fontId="1" type="noConversion"/>
  </si>
  <si>
    <t>【台語注音】</t>
    <phoneticPr fontId="1" type="noConversion"/>
  </si>
  <si>
    <t>平</t>
    <phoneticPr fontId="1" type="noConversion"/>
  </si>
  <si>
    <t>上</t>
    <phoneticPr fontId="1" type="noConversion"/>
  </si>
  <si>
    <t>去</t>
    <phoneticPr fontId="1" type="noConversion"/>
  </si>
  <si>
    <t>入</t>
    <phoneticPr fontId="1" type="noConversion"/>
  </si>
  <si>
    <t>陰</t>
    <phoneticPr fontId="1" type="noConversion"/>
  </si>
  <si>
    <t>台羅調號</t>
    <phoneticPr fontId="1" type="noConversion"/>
  </si>
  <si>
    <t>第一調</t>
    <phoneticPr fontId="1" type="noConversion"/>
  </si>
  <si>
    <t>第二調</t>
    <phoneticPr fontId="1" type="noConversion"/>
  </si>
  <si>
    <t>第三調</t>
    <phoneticPr fontId="1" type="noConversion"/>
  </si>
  <si>
    <t>第四調</t>
    <phoneticPr fontId="1" type="noConversion"/>
  </si>
  <si>
    <t>（一）陰平</t>
    <phoneticPr fontId="1" type="noConversion"/>
  </si>
  <si>
    <t>（二）陰上</t>
    <phoneticPr fontId="1" type="noConversion"/>
  </si>
  <si>
    <t>（三）陰去</t>
    <phoneticPr fontId="1" type="noConversion"/>
  </si>
  <si>
    <t>（四）陰入</t>
    <phoneticPr fontId="1" type="noConversion"/>
  </si>
  <si>
    <t>台羅調名</t>
    <phoneticPr fontId="1" type="noConversion"/>
  </si>
  <si>
    <t>台語調名</t>
    <phoneticPr fontId="1" type="noConversion"/>
  </si>
  <si>
    <t>高平調</t>
    <phoneticPr fontId="1" type="noConversion"/>
  </si>
  <si>
    <t>高降調</t>
    <phoneticPr fontId="1" type="noConversion"/>
  </si>
  <si>
    <r>
      <rPr>
        <b/>
        <sz val="16"/>
        <color rgb="FF000000"/>
        <rFont val="Noto Sans TC"/>
        <family val="2"/>
        <charset val="136"/>
      </rPr>
      <t>窐</t>
    </r>
    <r>
      <rPr>
        <b/>
        <sz val="16"/>
        <color rgb="FF000000"/>
        <rFont val="Iansui 094"/>
        <family val="3"/>
        <charset val="136"/>
      </rPr>
      <t>音調</t>
    </r>
    <phoneticPr fontId="1" type="noConversion"/>
  </si>
  <si>
    <t>短入調</t>
    <phoneticPr fontId="1" type="noConversion"/>
  </si>
  <si>
    <t>簡譜聲調</t>
    <phoneticPr fontId="1" type="noConversion"/>
  </si>
  <si>
    <t>5-</t>
    <phoneticPr fontId="1" type="noConversion"/>
  </si>
  <si>
    <t>聲調符號</t>
    <phoneticPr fontId="1" type="noConversion"/>
  </si>
  <si>
    <t>a</t>
    <phoneticPr fontId="1" type="noConversion"/>
  </si>
  <si>
    <t>á</t>
    <phoneticPr fontId="1" type="noConversion"/>
  </si>
  <si>
    <t>à</t>
    <phoneticPr fontId="1" type="noConversion"/>
  </si>
  <si>
    <t>ah</t>
    <phoneticPr fontId="1" type="noConversion"/>
  </si>
  <si>
    <t>ㄚ</t>
    <phoneticPr fontId="1" type="noConversion"/>
  </si>
  <si>
    <r>
      <rPr>
        <sz val="24"/>
        <color rgb="FFFF0000"/>
        <rFont val="Microsoft JhengHei"/>
        <family val="2"/>
      </rPr>
      <t>ㄚ</t>
    </r>
    <r>
      <rPr>
        <sz val="24"/>
        <color rgb="FFFF0000"/>
        <rFont val="Arial"/>
        <family val="2"/>
      </rPr>
      <t>ˋ</t>
    </r>
    <phoneticPr fontId="1" type="noConversion"/>
  </si>
  <si>
    <r>
      <rPr>
        <sz val="24"/>
        <color rgb="FFFF0000"/>
        <rFont val="Microsoft JhengHei"/>
        <family val="2"/>
      </rPr>
      <t>ㄚ</t>
    </r>
    <r>
      <rPr>
        <sz val="24"/>
        <color rgb="FFFF0000"/>
        <rFont val="Arial"/>
        <family val="2"/>
      </rPr>
      <t xml:space="preserve">' </t>
    </r>
    <phoneticPr fontId="1" type="noConversion"/>
  </si>
  <si>
    <r>
      <t>ㄚ</t>
    </r>
    <r>
      <rPr>
        <sz val="24"/>
        <color rgb="FFFF0000"/>
        <rFont val="Microsoft JhengHei"/>
        <family val="2"/>
      </rPr>
      <t>ㄏ</t>
    </r>
    <phoneticPr fontId="1" type="noConversion"/>
  </si>
  <si>
    <t>漢字舉例</t>
    <phoneticPr fontId="1" type="noConversion"/>
  </si>
  <si>
    <t>東</t>
    <phoneticPr fontId="1" type="noConversion"/>
  </si>
  <si>
    <t>黨</t>
    <phoneticPr fontId="1" type="noConversion"/>
  </si>
  <si>
    <t>棟</t>
    <phoneticPr fontId="1" type="noConversion"/>
  </si>
  <si>
    <t>督</t>
    <phoneticPr fontId="1" type="noConversion"/>
  </si>
  <si>
    <t>拼音字母</t>
    <phoneticPr fontId="1" type="noConversion"/>
  </si>
  <si>
    <t>tong</t>
    <phoneticPr fontId="1" type="noConversion"/>
  </si>
  <si>
    <t>tóng</t>
    <phoneticPr fontId="1" type="noConversion"/>
  </si>
  <si>
    <t>tòng</t>
    <phoneticPr fontId="1" type="noConversion"/>
  </si>
  <si>
    <t>tok</t>
    <phoneticPr fontId="1" type="noConversion"/>
  </si>
  <si>
    <t>注音符號</t>
    <phoneticPr fontId="1" type="noConversion"/>
  </si>
  <si>
    <t>ㄉㄛㄥ</t>
    <phoneticPr fontId="1" type="noConversion"/>
  </si>
  <si>
    <r>
      <rPr>
        <sz val="24"/>
        <color rgb="FF000000"/>
        <rFont val="Microsoft JhengHei"/>
        <family val="2"/>
      </rPr>
      <t>ㄉㄛㄥ</t>
    </r>
    <r>
      <rPr>
        <sz val="24"/>
        <color rgb="FF000000"/>
        <rFont val="Microsoft JhengHei"/>
        <family val="2"/>
        <charset val="1"/>
      </rPr>
      <t>ˋ</t>
    </r>
    <phoneticPr fontId="1" type="noConversion"/>
  </si>
  <si>
    <r>
      <rPr>
        <sz val="24"/>
        <color rgb="FF000000"/>
        <rFont val="Microsoft JhengHei"/>
        <family val="2"/>
      </rPr>
      <t>ㄉㄛㄥ</t>
    </r>
    <r>
      <rPr>
        <sz val="24"/>
        <color rgb="FF000000"/>
        <rFont val="Arial"/>
        <family val="2"/>
      </rPr>
      <t>'</t>
    </r>
    <phoneticPr fontId="1" type="noConversion"/>
  </si>
  <si>
    <t>ㄉㄛㄎ</t>
    <phoneticPr fontId="1" type="noConversion"/>
  </si>
  <si>
    <t>陽</t>
    <phoneticPr fontId="1" type="noConversion"/>
  </si>
  <si>
    <t>第五調</t>
    <phoneticPr fontId="1" type="noConversion"/>
  </si>
  <si>
    <t>第六調</t>
    <phoneticPr fontId="1" type="noConversion"/>
  </si>
  <si>
    <t>第七調</t>
    <phoneticPr fontId="1" type="noConversion"/>
  </si>
  <si>
    <t>第八調</t>
    <phoneticPr fontId="1" type="noConversion"/>
  </si>
  <si>
    <t>（五）陽平</t>
    <phoneticPr fontId="1" type="noConversion"/>
  </si>
  <si>
    <t>（六）陽上</t>
    <phoneticPr fontId="1" type="noConversion"/>
  </si>
  <si>
    <t>（七）陽去</t>
    <phoneticPr fontId="1" type="noConversion"/>
  </si>
  <si>
    <t>（八）陽入</t>
    <phoneticPr fontId="1" type="noConversion"/>
  </si>
  <si>
    <r>
      <rPr>
        <b/>
        <sz val="16"/>
        <color rgb="FF000000"/>
        <rFont val="Noto Sans TC"/>
        <family val="2"/>
        <charset val="136"/>
      </rPr>
      <t>窐</t>
    </r>
    <r>
      <rPr>
        <b/>
        <sz val="16"/>
        <color rgb="FF000000"/>
        <rFont val="Iansui 094"/>
        <family val="3"/>
        <charset val="136"/>
      </rPr>
      <t>升調</t>
    </r>
    <phoneticPr fontId="1" type="noConversion"/>
  </si>
  <si>
    <t>中音調</t>
    <phoneticPr fontId="1" type="noConversion"/>
  </si>
  <si>
    <t>長入調</t>
    <phoneticPr fontId="1" type="noConversion"/>
  </si>
  <si>
    <t>3-</t>
    <phoneticPr fontId="1" type="noConversion"/>
  </si>
  <si>
    <t>â</t>
    <phoneticPr fontId="1" type="noConversion"/>
  </si>
  <si>
    <t>ā</t>
    <phoneticPr fontId="1" type="noConversion"/>
  </si>
  <si>
    <t>a̍h</t>
    <phoneticPr fontId="1" type="noConversion"/>
  </si>
  <si>
    <t>ㄚˇ</t>
    <phoneticPr fontId="1" type="noConversion"/>
  </si>
  <si>
    <r>
      <rPr>
        <sz val="24"/>
        <color rgb="FFFF0000"/>
        <rFont val="Microsoft JhengHei"/>
        <family val="2"/>
      </rPr>
      <t>ㄚ"</t>
    </r>
    <r>
      <rPr>
        <sz val="24"/>
        <color rgb="FFFF0000"/>
        <rFont val="Arial"/>
        <family val="2"/>
      </rPr>
      <t xml:space="preserve"> </t>
    </r>
    <phoneticPr fontId="1" type="noConversion"/>
  </si>
  <si>
    <r>
      <t>ㄚ</t>
    </r>
    <r>
      <rPr>
        <sz val="24"/>
        <color rgb="FFFF0000"/>
        <rFont val="Microsoft JhengHei"/>
        <family val="2"/>
      </rPr>
      <t>ㄏ</t>
    </r>
    <r>
      <rPr>
        <sz val="24"/>
        <color rgb="FFFF0000"/>
        <rFont val="Microsoft JhengHei"/>
        <family val="2"/>
        <charset val="136"/>
      </rPr>
      <t>ˊ</t>
    </r>
    <phoneticPr fontId="1" type="noConversion"/>
  </si>
  <si>
    <t>同</t>
    <phoneticPr fontId="1" type="noConversion"/>
  </si>
  <si>
    <t>洞</t>
    <phoneticPr fontId="1" type="noConversion"/>
  </si>
  <si>
    <t>毒</t>
    <phoneticPr fontId="1" type="noConversion"/>
  </si>
  <si>
    <t>tông</t>
    <phoneticPr fontId="1" type="noConversion"/>
  </si>
  <si>
    <t>tōng</t>
    <phoneticPr fontId="1" type="noConversion"/>
  </si>
  <si>
    <t>to̍k</t>
    <phoneticPr fontId="1" type="noConversion"/>
  </si>
  <si>
    <r>
      <t>ㄉㄛㄥ</t>
    </r>
    <r>
      <rPr>
        <sz val="20"/>
        <color rgb="FF000000"/>
        <rFont val="Microsoft JhengHei"/>
        <family val="2"/>
        <charset val="1"/>
      </rPr>
      <t>ˇ</t>
    </r>
    <phoneticPr fontId="1" type="noConversion"/>
  </si>
  <si>
    <r>
      <rPr>
        <sz val="20"/>
        <color rgb="FF000000"/>
        <rFont val="Microsoft JhengHei"/>
        <family val="2"/>
      </rPr>
      <t>ㄉㄛㄥ</t>
    </r>
    <r>
      <rPr>
        <sz val="20"/>
        <color rgb="FF000000"/>
        <rFont val="Arial"/>
        <family val="2"/>
      </rPr>
      <t>"</t>
    </r>
    <phoneticPr fontId="1" type="noConversion"/>
  </si>
  <si>
    <r>
      <t>ㄉㄛㄎ</t>
    </r>
    <r>
      <rPr>
        <sz val="20"/>
        <color rgb="FF000000"/>
        <rFont val="Microsoft JhengHei"/>
        <family val="2"/>
        <charset val="1"/>
      </rPr>
      <t>ˊ</t>
    </r>
    <phoneticPr fontId="1" type="noConversion"/>
  </si>
  <si>
    <t>變調</t>
    <phoneticPr fontId="1" type="noConversion"/>
  </si>
  <si>
    <t>ˉ</t>
    <phoneticPr fontId="1" type="noConversion"/>
  </si>
  <si>
    <t>〔ho²〕</t>
    <phoneticPr fontId="1" type="noConversion"/>
  </si>
  <si>
    <t>〔ho¹〕</t>
    <phoneticPr fontId="1" type="noConversion"/>
  </si>
  <si>
    <t>〔liau⁷〕</t>
  </si>
  <si>
    <t>【高降】取【高】（高平調）</t>
    <phoneticPr fontId="1" type="noConversion"/>
  </si>
  <si>
    <t>==》</t>
    <phoneticPr fontId="1" type="noConversion"/>
  </si>
  <si>
    <t>好(ho2)</t>
    <phoneticPr fontId="1" type="noConversion"/>
  </si>
  <si>
    <t>好(ho1)膽</t>
    <phoneticPr fontId="1" type="noConversion"/>
  </si>
  <si>
    <t>好</t>
    <phoneticPr fontId="1" type="noConversion"/>
  </si>
  <si>
    <t>料</t>
    <phoneticPr fontId="1" type="noConversion"/>
  </si>
  <si>
    <t>【ㄏㄜˋ】</t>
    <phoneticPr fontId="1" type="noConversion"/>
  </si>
  <si>
    <t>【ㄏㄜˉ】</t>
    <phoneticPr fontId="1" type="noConversion"/>
  </si>
  <si>
    <t>【ㄌㄧㄠ+】</t>
    <phoneticPr fontId="1" type="noConversion"/>
  </si>
  <si>
    <t>〔te⁵〕</t>
    <phoneticPr fontId="1" type="noConversion"/>
  </si>
  <si>
    <t>〔te⁷〕</t>
    <phoneticPr fontId="1" type="noConversion"/>
  </si>
  <si>
    <t>〔bi²〕</t>
    <phoneticPr fontId="1" type="noConversion"/>
  </si>
  <si>
    <t>【低升】取【升】（中音調）</t>
    <phoneticPr fontId="1" type="noConversion"/>
  </si>
  <si>
    <t>來(lai5)</t>
    <phoneticPr fontId="1" type="noConversion"/>
  </si>
  <si>
    <t>來(lai7)坐</t>
    <phoneticPr fontId="1" type="noConversion"/>
  </si>
  <si>
    <t>茶</t>
    <phoneticPr fontId="1" type="noConversion"/>
  </si>
  <si>
    <t>米</t>
    <phoneticPr fontId="1" type="noConversion"/>
  </si>
  <si>
    <t>【ㄉㄝˊ】</t>
    <phoneticPr fontId="1" type="noConversion"/>
  </si>
  <si>
    <t>【ㄉㄝ+】</t>
    <phoneticPr fontId="1" type="noConversion"/>
  </si>
  <si>
    <t>【ㆠㄧˋ】</t>
    <phoneticPr fontId="1" type="noConversion"/>
  </si>
  <si>
    <t>〔thng¹〕</t>
    <phoneticPr fontId="1" type="noConversion"/>
  </si>
  <si>
    <t>〔thng⁷〕</t>
    <phoneticPr fontId="1" type="noConversion"/>
  </si>
  <si>
    <t>〔zui²〕</t>
    <phoneticPr fontId="1" type="noConversion"/>
  </si>
  <si>
    <t>高變中</t>
    <phoneticPr fontId="1" type="noConversion"/>
  </si>
  <si>
    <t>天(tinn1)</t>
    <phoneticPr fontId="1" type="noConversion"/>
  </si>
  <si>
    <t>天(tinn7)公</t>
    <phoneticPr fontId="1" type="noConversion"/>
  </si>
  <si>
    <t>湯</t>
    <phoneticPr fontId="1" type="noConversion"/>
  </si>
  <si>
    <t>水</t>
    <phoneticPr fontId="1" type="noConversion"/>
  </si>
  <si>
    <t>【ㄊㄥˉ】</t>
    <phoneticPr fontId="1" type="noConversion"/>
  </si>
  <si>
    <t>【ㄊㄥ+】</t>
    <phoneticPr fontId="1" type="noConversion"/>
  </si>
  <si>
    <t>【ㄗㄨㄧˋ】</t>
    <phoneticPr fontId="1" type="noConversion"/>
  </si>
  <si>
    <t>〔png⁷〕</t>
    <phoneticPr fontId="1" type="noConversion"/>
  </si>
  <si>
    <t>〔png³〕</t>
    <phoneticPr fontId="1" type="noConversion"/>
  </si>
  <si>
    <t>〔liap⁸〕</t>
    <phoneticPr fontId="1" type="noConversion"/>
  </si>
  <si>
    <t>中變低</t>
    <phoneticPr fontId="1" type="noConversion"/>
  </si>
  <si>
    <t>地(te7)</t>
    <phoneticPr fontId="1" type="noConversion"/>
  </si>
  <si>
    <t>地(te3)方</t>
    <phoneticPr fontId="1" type="noConversion"/>
  </si>
  <si>
    <t>飯</t>
    <phoneticPr fontId="1" type="noConversion"/>
  </si>
  <si>
    <t>粒</t>
    <phoneticPr fontId="1" type="noConversion"/>
  </si>
  <si>
    <t>1-</t>
    <phoneticPr fontId="1" type="noConversion"/>
  </si>
  <si>
    <t>【ㄅㄥ+】</t>
    <phoneticPr fontId="1" type="noConversion"/>
  </si>
  <si>
    <t>【ㄅㄥˇ】</t>
    <phoneticPr fontId="1" type="noConversion"/>
  </si>
  <si>
    <t>【ㄌㄧㄚㆴˉ】</t>
    <phoneticPr fontId="1" type="noConversion"/>
  </si>
  <si>
    <t>〔cai³〕</t>
    <phoneticPr fontId="1" type="noConversion"/>
  </si>
  <si>
    <t>〔cai²〕</t>
    <phoneticPr fontId="1" type="noConversion"/>
  </si>
  <si>
    <t>〔sik⁴〕</t>
    <phoneticPr fontId="1" type="noConversion"/>
  </si>
  <si>
    <t>低變高再降</t>
    <phoneticPr fontId="1" type="noConversion"/>
  </si>
  <si>
    <t>聖(sinn3)</t>
    <phoneticPr fontId="1" type="noConversion"/>
  </si>
  <si>
    <t>聖(sinn2)人</t>
    <phoneticPr fontId="1" type="noConversion"/>
  </si>
  <si>
    <t>菜</t>
    <phoneticPr fontId="1" type="noConversion"/>
  </si>
  <si>
    <t>色</t>
    <phoneticPr fontId="1" type="noConversion"/>
  </si>
  <si>
    <t>【ㄘㄞˇ】</t>
    <phoneticPr fontId="1" type="noConversion"/>
  </si>
  <si>
    <t>【ㄘㄞˋ】</t>
    <phoneticPr fontId="1" type="noConversion"/>
  </si>
  <si>
    <r>
      <rPr>
        <sz val="18"/>
        <color rgb="FF000000"/>
        <rFont val="Noto Sans TC"/>
        <family val="2"/>
        <charset val="136"/>
      </rPr>
      <t>【</t>
    </r>
    <r>
      <rPr>
        <sz val="18"/>
        <color rgb="FF000000"/>
        <rFont val="新細明體"/>
        <family val="1"/>
        <charset val="136"/>
        <scheme val="minor"/>
      </rPr>
      <t>ㄒㄧ</t>
    </r>
    <r>
      <rPr>
        <sz val="18"/>
        <color rgb="FF000000"/>
        <rFont val="Microsoft YaHei"/>
        <family val="1"/>
        <charset val="134"/>
      </rPr>
      <t>+】</t>
    </r>
    <phoneticPr fontId="1" type="noConversion"/>
  </si>
  <si>
    <r>
      <t>〔ziok</t>
    </r>
    <r>
      <rPr>
        <sz val="18"/>
        <color rgb="FF000000"/>
        <rFont val="Iansui 094"/>
        <family val="1"/>
        <charset val="136"/>
      </rPr>
      <t>⁴〕</t>
    </r>
    <phoneticPr fontId="1" type="noConversion"/>
  </si>
  <si>
    <t>〔ziok⁸〕</t>
    <phoneticPr fontId="1" type="noConversion"/>
  </si>
  <si>
    <t>〔pa²〕</t>
    <phoneticPr fontId="1" type="noConversion"/>
  </si>
  <si>
    <t>高入降低</t>
    <phoneticPr fontId="1" type="noConversion"/>
  </si>
  <si>
    <r>
      <t>ㄚ</t>
    </r>
    <r>
      <rPr>
        <b/>
        <sz val="18"/>
        <color rgb="FFFF0000"/>
        <rFont val="Noto Sans TC"/>
        <family val="2"/>
        <charset val="136"/>
      </rPr>
      <t>ㆷ</t>
    </r>
    <r>
      <rPr>
        <b/>
        <sz val="18"/>
        <color rgb="FFFF0000"/>
        <rFont val="Noto Sans TC"/>
        <family val="2"/>
      </rPr>
      <t>+</t>
    </r>
    <phoneticPr fontId="1" type="noConversion"/>
  </si>
  <si>
    <r>
      <t>ㄚ</t>
    </r>
    <r>
      <rPr>
        <b/>
        <sz val="18"/>
        <color rgb="FFFF0000"/>
        <rFont val="Noto Sans TC"/>
        <family val="2"/>
        <charset val="136"/>
      </rPr>
      <t>ㆷ</t>
    </r>
    <r>
      <rPr>
        <b/>
        <sz val="18"/>
        <color rgb="FFFF0000"/>
        <rFont val="Noto Sans TC"/>
        <family val="2"/>
      </rPr>
      <t>ˉ</t>
    </r>
    <phoneticPr fontId="1" type="noConversion"/>
  </si>
  <si>
    <t>足(ziok⁴)</t>
    <phoneticPr fontId="1" type="noConversion"/>
  </si>
  <si>
    <t>足(ziok⁸)</t>
    <phoneticPr fontId="1" type="noConversion"/>
  </si>
  <si>
    <t>足</t>
    <phoneticPr fontId="1" type="noConversion"/>
  </si>
  <si>
    <t>飽</t>
    <phoneticPr fontId="1" type="noConversion"/>
  </si>
  <si>
    <t>【ㄐㄧㄛ+】</t>
    <phoneticPr fontId="1" type="noConversion"/>
  </si>
  <si>
    <t>【ㄐㄧㄛˉ】</t>
    <phoneticPr fontId="1" type="noConversion"/>
  </si>
  <si>
    <t>【ㄅㄚˋ】</t>
    <phoneticPr fontId="1" type="noConversion"/>
  </si>
  <si>
    <t>〔hah⁸〕</t>
    <phoneticPr fontId="1" type="noConversion"/>
  </si>
  <si>
    <t>〔hah⁴〕</t>
    <phoneticPr fontId="1" type="noConversion"/>
  </si>
  <si>
    <t>〔i³〕</t>
    <phoneticPr fontId="1" type="noConversion"/>
  </si>
  <si>
    <t>低入升高</t>
    <phoneticPr fontId="1" type="noConversion"/>
  </si>
  <si>
    <t>合(hah⁸)</t>
    <phoneticPr fontId="1" type="noConversion"/>
  </si>
  <si>
    <t>合(hah⁴)</t>
    <phoneticPr fontId="1" type="noConversion"/>
  </si>
  <si>
    <t>合</t>
    <phoneticPr fontId="1" type="noConversion"/>
  </si>
  <si>
    <t>意</t>
    <phoneticPr fontId="1" type="noConversion"/>
  </si>
  <si>
    <t>【ㄏㄚㆷˉ】</t>
    <phoneticPr fontId="1" type="noConversion"/>
  </si>
  <si>
    <t>【ㄏㄚㆷ+】</t>
    <phoneticPr fontId="1" type="noConversion"/>
  </si>
  <si>
    <t>【ㄧˇ】</t>
    <phoneticPr fontId="1" type="noConversion"/>
  </si>
  <si>
    <t>顯示注音輸入</t>
    <phoneticPr fontId="1" type="noConversion"/>
  </si>
  <si>
    <t>Key</t>
    <phoneticPr fontId="58" type="noConversion"/>
  </si>
  <si>
    <t>Value</t>
    <phoneticPr fontId="58" type="noConversion"/>
  </si>
  <si>
    <t>INPUT_FILE_PATH</t>
  </si>
  <si>
    <t>FILE_NAME</t>
  </si>
  <si>
    <t>TITLE</t>
  </si>
  <si>
    <t>IMAGE_URL</t>
  </si>
  <si>
    <t>ㄚˋ</t>
  </si>
  <si>
    <t>ㄚ</t>
  </si>
  <si>
    <t>ㄚˇ</t>
  </si>
  <si>
    <t>ㄚ+</t>
  </si>
  <si>
    <t>ㄚ_</t>
  </si>
  <si>
    <t xml:space="preserve">ㄚ" </t>
  </si>
  <si>
    <t xml:space="preserve">ㄚ' </t>
  </si>
  <si>
    <t xml:space="preserve"> </t>
    <phoneticPr fontId="1" type="noConversion"/>
  </si>
  <si>
    <t>ㄚㄏ</t>
  </si>
  <si>
    <t>ㄚㄏˊ</t>
  </si>
  <si>
    <t>每頁總列數</t>
    <phoneticPr fontId="1" type="noConversion"/>
  </si>
  <si>
    <t>每列總字數</t>
    <phoneticPr fontId="1" type="noConversion"/>
  </si>
  <si>
    <t>OUTPUT_PATH</t>
  </si>
  <si>
    <t>章節序號</t>
    <phoneticPr fontId="1" type="noConversion"/>
  </si>
  <si>
    <t>:w</t>
    <phoneticPr fontId="1" type="noConversion"/>
  </si>
  <si>
    <t>，</t>
  </si>
  <si>
    <t>人</t>
  </si>
  <si>
    <t>無</t>
  </si>
  <si>
    <t>。</t>
  </si>
  <si>
    <t>一</t>
  </si>
  <si>
    <t>有</t>
  </si>
  <si>
    <t>極</t>
  </si>
  <si>
    <t>所</t>
  </si>
  <si>
    <t>是</t>
  </si>
  <si>
    <t>日</t>
  </si>
  <si>
    <t>語音類型</t>
    <phoneticPr fontId="1" type="noConversion"/>
  </si>
  <si>
    <t>漢字庫</t>
    <phoneticPr fontId="1" type="noConversion"/>
  </si>
  <si>
    <t>大</t>
  </si>
  <si>
    <t>世</t>
  </si>
  <si>
    <t>至</t>
  </si>
  <si>
    <t>終</t>
  </si>
  <si>
    <t>和</t>
  </si>
  <si>
    <t>仰</t>
  </si>
  <si>
    <t>感</t>
  </si>
  <si>
    <t>能</t>
  </si>
  <si>
    <t>每</t>
  </si>
  <si>
    <t>文</t>
  </si>
  <si>
    <t>尚有力量的每日祈禱文
阮謙卑地敬仰、讚美、感謝、服從与愛全能的上帝，至高無上的上帝，上偉大的上帝，賜與純素世界、世界和平与阮靈魂的解脫。
阮感謝、愛和讚美上帝唯一的子兒，伊是終極明師，賜與阮救贖。
阮遵循所有聖人与聖哲的教誨，阮感謝、愛与讚美伊，伊是上帝的代表，賜與阮靈性的提昇。</t>
    <phoneticPr fontId="1" type="noConversion"/>
  </si>
  <si>
    <t>尚</t>
  </si>
  <si>
    <t>力</t>
  </si>
  <si>
    <t>量</t>
  </si>
  <si>
    <t>的</t>
  </si>
  <si>
    <t>祈</t>
  </si>
  <si>
    <t>禱</t>
  </si>
  <si>
    <t>阮</t>
  </si>
  <si>
    <t>謙</t>
  </si>
  <si>
    <t>卑</t>
  </si>
  <si>
    <t>敬</t>
  </si>
  <si>
    <t>、</t>
  </si>
  <si>
    <t>讚</t>
  </si>
  <si>
    <t>美</t>
  </si>
  <si>
    <t>謝</t>
  </si>
  <si>
    <t>服</t>
  </si>
  <si>
    <t>從</t>
  </si>
  <si>
    <t>与</t>
  </si>
  <si>
    <t>愛</t>
  </si>
  <si>
    <t>全</t>
  </si>
  <si>
    <t>上</t>
  </si>
  <si>
    <t>帝</t>
  </si>
  <si>
    <t>高</t>
  </si>
  <si>
    <t>偉</t>
  </si>
  <si>
    <t>賜</t>
  </si>
  <si>
    <t>純</t>
  </si>
  <si>
    <t>素</t>
  </si>
  <si>
    <t>界</t>
  </si>
  <si>
    <t>平</t>
  </si>
  <si>
    <t>靈</t>
  </si>
  <si>
    <t>魂</t>
  </si>
  <si>
    <t>解</t>
  </si>
  <si>
    <t>脫</t>
  </si>
  <si>
    <t>唯</t>
  </si>
  <si>
    <t>子</t>
  </si>
  <si>
    <t>兒</t>
  </si>
  <si>
    <t>伊</t>
  </si>
  <si>
    <t>師</t>
  </si>
  <si>
    <t>救</t>
  </si>
  <si>
    <t>贖</t>
  </si>
  <si>
    <t>遵</t>
  </si>
  <si>
    <t>循</t>
  </si>
  <si>
    <t>聖</t>
  </si>
  <si>
    <t>哲</t>
  </si>
  <si>
    <t>教</t>
  </si>
  <si>
    <t>誨</t>
  </si>
  <si>
    <t>代</t>
  </si>
  <si>
    <t>表</t>
  </si>
  <si>
    <t>性</t>
  </si>
  <si>
    <t>提</t>
  </si>
  <si>
    <t>昇</t>
  </si>
  <si>
    <r>
      <t>〔lin⁵〕
【</t>
    </r>
    <r>
      <rPr>
        <sz val="20"/>
        <color rgb="FFFF0000"/>
        <rFont val="Microsoft JhengHei UI"/>
        <family val="1"/>
      </rPr>
      <t>ㄌㄧㄣ</t>
    </r>
    <r>
      <rPr>
        <sz val="20"/>
        <color rgb="FFFF0000"/>
        <rFont val="Microsoft JhengHei UI"/>
        <family val="1"/>
        <charset val="1"/>
      </rPr>
      <t>ˊ</t>
    </r>
    <r>
      <rPr>
        <sz val="20"/>
        <color rgb="FFFF0000"/>
        <rFont val="Microsoft JhengHei UI"/>
        <family val="1"/>
        <charset val="136"/>
      </rPr>
      <t>】</t>
    </r>
    <phoneticPr fontId="1" type="noConversion"/>
  </si>
  <si>
    <t>kap4</t>
    <phoneticPr fontId="1" type="noConversion"/>
  </si>
  <si>
    <t>与</t>
    <phoneticPr fontId="1" type="noConversion"/>
  </si>
  <si>
    <t>liong7</t>
    <phoneticPr fontId="1" type="noConversion"/>
  </si>
  <si>
    <t>bi2</t>
    <phoneticPr fontId="1" type="noConversion"/>
  </si>
  <si>
    <t>尚</t>
    <phoneticPr fontId="1" type="noConversion"/>
  </si>
  <si>
    <t>kai2</t>
    <phoneticPr fontId="1" type="noConversion"/>
  </si>
  <si>
    <t>it4</t>
    <phoneticPr fontId="1" type="noConversion"/>
  </si>
  <si>
    <t>su1</t>
    <phoneticPr fontId="1" type="noConversion"/>
  </si>
  <si>
    <t>明</t>
    <phoneticPr fontId="1" type="noConversion"/>
  </si>
  <si>
    <t>siong7</t>
    <phoneticPr fontId="1" type="noConversion"/>
  </si>
  <si>
    <t>u7</t>
    <phoneticPr fontId="1" type="noConversion"/>
  </si>
  <si>
    <t>lik8</t>
    <phoneticPr fontId="1" type="noConversion"/>
  </si>
  <si>
    <t>e5</t>
    <phoneticPr fontId="1" type="noConversion"/>
  </si>
  <si>
    <t>mui2</t>
    <phoneticPr fontId="1" type="noConversion"/>
  </si>
  <si>
    <t>lit8</t>
    <phoneticPr fontId="1" type="noConversion"/>
  </si>
  <si>
    <t>ki5</t>
    <phoneticPr fontId="1" type="noConversion"/>
  </si>
  <si>
    <t>to2</t>
    <phoneticPr fontId="1" type="noConversion"/>
  </si>
  <si>
    <t>bun5</t>
    <phoneticPr fontId="1" type="noConversion"/>
  </si>
  <si>
    <t>gun2</t>
    <phoneticPr fontId="1" type="noConversion"/>
  </si>
  <si>
    <t>khiam1</t>
    <phoneticPr fontId="1" type="noConversion"/>
  </si>
  <si>
    <t>pi1</t>
    <phoneticPr fontId="1" type="noConversion"/>
  </si>
  <si>
    <t>king3</t>
    <phoneticPr fontId="1" type="noConversion"/>
  </si>
  <si>
    <t>giong2</t>
    <phoneticPr fontId="1" type="noConversion"/>
  </si>
  <si>
    <t>kam2</t>
    <phoneticPr fontId="1" type="noConversion"/>
  </si>
  <si>
    <t>hok8</t>
    <phoneticPr fontId="1" type="noConversion"/>
  </si>
  <si>
    <t>ai3</t>
    <phoneticPr fontId="1" type="noConversion"/>
  </si>
  <si>
    <t>ling5</t>
    <phoneticPr fontId="1" type="noConversion"/>
  </si>
  <si>
    <t>siang7</t>
    <phoneticPr fontId="1" type="noConversion"/>
  </si>
  <si>
    <t>te3</t>
    <phoneticPr fontId="1" type="noConversion"/>
  </si>
  <si>
    <t>ko1</t>
    <phoneticPr fontId="1" type="noConversion"/>
  </si>
  <si>
    <t>bo5</t>
    <phoneticPr fontId="1" type="noConversion"/>
  </si>
  <si>
    <t>ui2</t>
    <phoneticPr fontId="1" type="noConversion"/>
  </si>
  <si>
    <t>tua7</t>
    <phoneticPr fontId="1" type="noConversion"/>
  </si>
  <si>
    <t>su3</t>
    <phoneticPr fontId="1" type="noConversion"/>
  </si>
  <si>
    <t>sun5</t>
    <phoneticPr fontId="1" type="noConversion"/>
  </si>
  <si>
    <t>soo3</t>
    <phoneticPr fontId="1" type="noConversion"/>
  </si>
  <si>
    <t>kai3</t>
    <phoneticPr fontId="1" type="noConversion"/>
  </si>
  <si>
    <t>hun5</t>
    <phoneticPr fontId="1" type="noConversion"/>
  </si>
  <si>
    <t>thuat4</t>
    <phoneticPr fontId="1" type="noConversion"/>
  </si>
  <si>
    <t>ui5</t>
    <phoneticPr fontId="1" type="noConversion"/>
  </si>
  <si>
    <t>kiann2</t>
    <phoneticPr fontId="1" type="noConversion"/>
  </si>
  <si>
    <t>li5</t>
    <phoneticPr fontId="1" type="noConversion"/>
  </si>
  <si>
    <t>in1</t>
    <phoneticPr fontId="1" type="noConversion"/>
  </si>
  <si>
    <t>si7</t>
    <phoneticPr fontId="1" type="noConversion"/>
  </si>
  <si>
    <t>kik8</t>
    <phoneticPr fontId="1" type="noConversion"/>
  </si>
  <si>
    <t>bin5</t>
    <phoneticPr fontId="1" type="noConversion"/>
  </si>
  <si>
    <t>kiu3</t>
    <phoneticPr fontId="1" type="noConversion"/>
  </si>
  <si>
    <t>soo2</t>
    <phoneticPr fontId="1" type="noConversion"/>
  </si>
  <si>
    <t>sing3</t>
    <phoneticPr fontId="1" type="noConversion"/>
  </si>
  <si>
    <t>lin⁵</t>
    <phoneticPr fontId="1" type="noConversion"/>
  </si>
  <si>
    <t>tiat4</t>
    <phoneticPr fontId="1" type="noConversion"/>
  </si>
  <si>
    <t>ka3</t>
    <phoneticPr fontId="1" type="noConversion"/>
  </si>
  <si>
    <t>hue3</t>
    <phoneticPr fontId="1" type="noConversion"/>
  </si>
  <si>
    <t>tai7</t>
    <phoneticPr fontId="1" type="noConversion"/>
  </si>
  <si>
    <t>pio2</t>
    <phoneticPr fontId="1" type="noConversion"/>
  </si>
  <si>
    <t>thueh8</t>
    <phoneticPr fontId="1" type="noConversion"/>
  </si>
  <si>
    <t>sing1</t>
    <phoneticPr fontId="1" type="noConversion"/>
  </si>
  <si>
    <t>se3</t>
    <phoneticPr fontId="1" type="noConversion"/>
  </si>
  <si>
    <t>ping5</t>
    <phoneticPr fontId="1" type="noConversion"/>
  </si>
  <si>
    <t>sia7</t>
    <phoneticPr fontId="1" type="noConversion"/>
  </si>
  <si>
    <t>siok8</t>
    <phoneticPr fontId="1" type="noConversion"/>
  </si>
  <si>
    <t>盍</t>
    <phoneticPr fontId="1" type="noConversion"/>
  </si>
  <si>
    <t>予</t>
    <phoneticPr fontId="1" type="noConversion"/>
  </si>
  <si>
    <t>與</t>
    <phoneticPr fontId="1" type="noConversion"/>
  </si>
  <si>
    <t>標音方法</t>
    <phoneticPr fontId="1" type="noConversion"/>
  </si>
  <si>
    <t>網頁格式</t>
    <phoneticPr fontId="1" type="noConversion"/>
  </si>
  <si>
    <t>zan3</t>
    <phoneticPr fontId="1" type="noConversion"/>
  </si>
  <si>
    <t>ziong5</t>
    <phoneticPr fontId="1" type="noConversion"/>
  </si>
  <si>
    <t>zuan5</t>
    <phoneticPr fontId="1" type="noConversion"/>
  </si>
  <si>
    <t>zi3</t>
    <phoneticPr fontId="1" type="noConversion"/>
  </si>
  <si>
    <t>ho5</t>
    <phoneticPr fontId="1" type="noConversion"/>
  </si>
  <si>
    <t>ziong1</t>
    <phoneticPr fontId="1" type="noConversion"/>
  </si>
  <si>
    <t>zun1</t>
    <phoneticPr fontId="1" type="noConversion"/>
  </si>
  <si>
    <t>hoo7</t>
    <phoneticPr fontId="1" type="noConversion"/>
  </si>
  <si>
    <t>與</t>
    <phoneticPr fontId="1" type="noConversion"/>
  </si>
  <si>
    <t>ap8</t>
    <phoneticPr fontId="1" type="noConversion"/>
  </si>
  <si>
    <t>gap4</t>
    <phoneticPr fontId="1" type="noConversion"/>
  </si>
  <si>
    <t>恭七時</t>
  </si>
  <si>
    <t>艍七英</t>
  </si>
  <si>
    <t>經八柳</t>
  </si>
  <si>
    <t>伽五英</t>
  </si>
  <si>
    <t>規二毛</t>
  </si>
  <si>
    <t>巾八柳</t>
  </si>
  <si>
    <t>居五求</t>
  </si>
  <si>
    <t>高二地</t>
  </si>
  <si>
    <t>君五門</t>
  </si>
  <si>
    <t>君二語</t>
  </si>
  <si>
    <t>兼一去</t>
  </si>
  <si>
    <t>居一邊</t>
  </si>
  <si>
    <t>甘八英</t>
  </si>
  <si>
    <t>經三求</t>
  </si>
  <si>
    <t>恭二語</t>
  </si>
  <si>
    <t>干三曾</t>
  </si>
  <si>
    <t>居二門</t>
  </si>
  <si>
    <t>甘二求</t>
  </si>
  <si>
    <t>迦七時</t>
  </si>
  <si>
    <t>公八喜</t>
  </si>
  <si>
    <t>恭五曾</t>
  </si>
  <si>
    <t>甘四語</t>
  </si>
  <si>
    <t>皆三英</t>
  </si>
  <si>
    <t>觀五曾</t>
  </si>
  <si>
    <t>經五柳</t>
  </si>
  <si>
    <t>姜七時</t>
  </si>
  <si>
    <t>伽三地</t>
  </si>
  <si>
    <t>居三曾</t>
  </si>
  <si>
    <t>高一求</t>
  </si>
  <si>
    <t>高五門</t>
  </si>
  <si>
    <t>規二英</t>
  </si>
  <si>
    <t>瓜七地</t>
  </si>
  <si>
    <t>艍三時</t>
  </si>
  <si>
    <t>君五時</t>
  </si>
  <si>
    <t>沽三時</t>
  </si>
  <si>
    <t>伽三時</t>
  </si>
  <si>
    <t>皆三求</t>
  </si>
  <si>
    <t>高五喜</t>
  </si>
  <si>
    <t>經五邊</t>
  </si>
  <si>
    <t>甘四求</t>
  </si>
  <si>
    <t>君五喜</t>
  </si>
  <si>
    <t>皆二求</t>
  </si>
  <si>
    <t>觀四他</t>
  </si>
  <si>
    <t>規五英</t>
  </si>
  <si>
    <t>巾四英</t>
  </si>
  <si>
    <t>驚二求</t>
  </si>
  <si>
    <t>居五柳</t>
  </si>
  <si>
    <t>巾一英</t>
  </si>
  <si>
    <t>居七時</t>
  </si>
  <si>
    <t>恭一曾</t>
  </si>
  <si>
    <t>經八求</t>
  </si>
  <si>
    <t>巾五門</t>
  </si>
  <si>
    <t>艍一時</t>
  </si>
  <si>
    <t>沽七喜</t>
  </si>
  <si>
    <t>丩三求</t>
  </si>
  <si>
    <t>恭八時</t>
  </si>
  <si>
    <t>君一曾</t>
  </si>
  <si>
    <t>沽二時</t>
  </si>
  <si>
    <t>經三時</t>
  </si>
  <si>
    <t>堅四地</t>
  </si>
  <si>
    <t>膠三求</t>
  </si>
  <si>
    <t>檜三喜</t>
  </si>
  <si>
    <t>皆七地</t>
  </si>
  <si>
    <t>茄二邊</t>
  </si>
  <si>
    <t>檜八他</t>
  </si>
  <si>
    <t>經一時</t>
  </si>
  <si>
    <t>sîong</t>
  </si>
  <si>
    <t>û</t>
  </si>
  <si>
    <t>lík</t>
  </si>
  <si>
    <t>lîong</t>
  </si>
  <si>
    <t>é</t>
  </si>
  <si>
    <t>bbnuǐ</t>
  </si>
  <si>
    <t>lít</t>
  </si>
  <si>
    <t>gí</t>
  </si>
  <si>
    <t>dǒ</t>
  </si>
  <si>
    <t>bbún</t>
  </si>
  <si>
    <t>ggǔn</t>
  </si>
  <si>
    <t>kīam</t>
  </si>
  <si>
    <t>bī</t>
  </si>
  <si>
    <t>áp</t>
  </si>
  <si>
    <t>gìng</t>
  </si>
  <si>
    <t>ggǐong</t>
  </si>
  <si>
    <t>zàn</t>
  </si>
  <si>
    <t>bbǐ</t>
  </si>
  <si>
    <t>gǎm</t>
  </si>
  <si>
    <t>sîa</t>
  </si>
  <si>
    <t>hók</t>
  </si>
  <si>
    <t>zíong</t>
  </si>
  <si>
    <t>ggāp</t>
  </si>
  <si>
    <t>ài</t>
  </si>
  <si>
    <t>zúan</t>
  </si>
  <si>
    <t>líng</t>
  </si>
  <si>
    <t>sîang</t>
  </si>
  <si>
    <t>dè</t>
  </si>
  <si>
    <t>zì</t>
  </si>
  <si>
    <t>gō</t>
  </si>
  <si>
    <t>bbó</t>
  </si>
  <si>
    <t>uǐ</t>
  </si>
  <si>
    <t>dûa</t>
  </si>
  <si>
    <t>sù</t>
  </si>
  <si>
    <t>sún</t>
  </si>
  <si>
    <t>sòo</t>
  </si>
  <si>
    <t>sè</t>
  </si>
  <si>
    <t>gài</t>
  </si>
  <si>
    <t>hó</t>
  </si>
  <si>
    <t>bíng</t>
  </si>
  <si>
    <t>gāp</t>
  </si>
  <si>
    <t>hún</t>
  </si>
  <si>
    <t>gǎi</t>
  </si>
  <si>
    <t>tūat</t>
  </si>
  <si>
    <t>uí</t>
  </si>
  <si>
    <t>īt</t>
  </si>
  <si>
    <t>gnǐa</t>
  </si>
  <si>
    <t>lí</t>
  </si>
  <si>
    <t>īn</t>
  </si>
  <si>
    <t>sî</t>
  </si>
  <si>
    <t>zīong</t>
  </si>
  <si>
    <t>gík</t>
  </si>
  <si>
    <t>bbín</t>
  </si>
  <si>
    <t>sū</t>
  </si>
  <si>
    <t>hôo</t>
  </si>
  <si>
    <t>giù</t>
  </si>
  <si>
    <t>síok</t>
  </si>
  <si>
    <t>zūn</t>
  </si>
  <si>
    <t>sǒo</t>
  </si>
  <si>
    <t>sìng</t>
  </si>
  <si>
    <t>dīat</t>
  </si>
  <si>
    <t>gà</t>
  </si>
  <si>
    <t>hùe</t>
  </si>
  <si>
    <t>dâi</t>
  </si>
  <si>
    <t>bǐo</t>
  </si>
  <si>
    <t>túeh</t>
  </si>
  <si>
    <t>sīng</t>
  </si>
  <si>
    <t>u2</t>
    <phoneticPr fontId="1" type="noConversion"/>
  </si>
  <si>
    <t>【ㄇㄨㄧˋ】</t>
    <phoneticPr fontId="1" type="noConversion"/>
  </si>
  <si>
    <t>niu7</t>
    <phoneticPr fontId="1" type="noConversion"/>
  </si>
  <si>
    <t>lin5</t>
    <phoneticPr fontId="1" type="noConversion"/>
  </si>
  <si>
    <t>Øu7</t>
    <phoneticPr fontId="1" type="noConversion"/>
  </si>
  <si>
    <t>Øe5</t>
    <phoneticPr fontId="1" type="noConversion"/>
  </si>
  <si>
    <t>Øap8</t>
    <phoneticPr fontId="1" type="noConversion"/>
  </si>
  <si>
    <t>Øai3</t>
    <phoneticPr fontId="1" type="noConversion"/>
  </si>
  <si>
    <t>Øui2</t>
    <phoneticPr fontId="1" type="noConversion"/>
  </si>
  <si>
    <t>Øui5</t>
    <phoneticPr fontId="1" type="noConversion"/>
  </si>
  <si>
    <t>Øin1</t>
    <phoneticPr fontId="1" type="noConversion"/>
  </si>
  <si>
    <t>丩七耐</t>
  </si>
  <si>
    <t>艍二英</t>
  </si>
  <si>
    <t>巾五柳</t>
  </si>
  <si>
    <t>sīong</t>
  </si>
  <si>
    <t>ū</t>
  </si>
  <si>
    <t>li̍k</t>
  </si>
  <si>
    <t>n̄iu</t>
  </si>
  <si>
    <t>ê</t>
  </si>
  <si>
    <t>ḿui</t>
  </si>
  <si>
    <t>li̍t</t>
  </si>
  <si>
    <t>kî</t>
  </si>
  <si>
    <t>tó</t>
  </si>
  <si>
    <t>bûn</t>
  </si>
  <si>
    <t>gún</t>
  </si>
  <si>
    <t>khiam</t>
  </si>
  <si>
    <t>pi</t>
  </si>
  <si>
    <t>a̍p</t>
  </si>
  <si>
    <t>kìng</t>
  </si>
  <si>
    <t>gíong</t>
  </si>
  <si>
    <t>tsàn</t>
  </si>
  <si>
    <t>bí</t>
  </si>
  <si>
    <t>kám</t>
  </si>
  <si>
    <t>sīa</t>
  </si>
  <si>
    <t>ho̍k</t>
  </si>
  <si>
    <t>tsîong</t>
  </si>
  <si>
    <t>gap</t>
  </si>
  <si>
    <t>tsuân</t>
  </si>
  <si>
    <t>lîng</t>
  </si>
  <si>
    <t>sīang</t>
  </si>
  <si>
    <t>tè</t>
  </si>
  <si>
    <t>tsì</t>
  </si>
  <si>
    <t>ko</t>
  </si>
  <si>
    <t>bô</t>
  </si>
  <si>
    <t>úi</t>
  </si>
  <si>
    <t>tūa</t>
  </si>
  <si>
    <t>ú</t>
  </si>
  <si>
    <t>sûn</t>
  </si>
  <si>
    <t>kài</t>
  </si>
  <si>
    <t>hô</t>
  </si>
  <si>
    <t>pîng</t>
  </si>
  <si>
    <t>hûn</t>
  </si>
  <si>
    <t>kái</t>
  </si>
  <si>
    <t>thuat</t>
  </si>
  <si>
    <t>ûi</t>
  </si>
  <si>
    <t>it</t>
  </si>
  <si>
    <t>kíann</t>
  </si>
  <si>
    <t>lî</t>
  </si>
  <si>
    <t>in</t>
  </si>
  <si>
    <t>sī</t>
  </si>
  <si>
    <t>tsiong</t>
  </si>
  <si>
    <t>ki̍k</t>
  </si>
  <si>
    <t>bîn</t>
  </si>
  <si>
    <t>su</t>
  </si>
  <si>
    <t>hōo</t>
  </si>
  <si>
    <t>kìu</t>
  </si>
  <si>
    <t>si̍ok</t>
  </si>
  <si>
    <t>tsun</t>
  </si>
  <si>
    <t>sóo</t>
  </si>
  <si>
    <t>lîn</t>
  </si>
  <si>
    <t>kap</t>
  </si>
  <si>
    <t>tiat</t>
  </si>
  <si>
    <t>kà</t>
  </si>
  <si>
    <t>tāi</t>
  </si>
  <si>
    <t>pío</t>
  </si>
  <si>
    <t>thue̍h</t>
  </si>
  <si>
    <t>sing</t>
  </si>
  <si>
    <t>明</t>
  </si>
  <si>
    <t>上邊標音</t>
    <phoneticPr fontId="1" type="noConversion"/>
  </si>
  <si>
    <t>右邊標音</t>
    <phoneticPr fontId="1" type="noConversion"/>
  </si>
  <si>
    <t>上及右</t>
  </si>
  <si>
    <t>標音方式</t>
    <phoneticPr fontId="1" type="noConversion"/>
  </si>
  <si>
    <t>無預設</t>
  </si>
  <si>
    <t>φ</t>
  </si>
  <si>
    <t>白話音</t>
  </si>
  <si>
    <t>與</t>
  </si>
  <si>
    <t>siong7</t>
  </si>
  <si>
    <t>u7</t>
  </si>
  <si>
    <t>lik8</t>
  </si>
  <si>
    <t>e5</t>
  </si>
  <si>
    <t>mui2</t>
  </si>
  <si>
    <t>ki5</t>
  </si>
  <si>
    <t>to2</t>
  </si>
  <si>
    <t>bun5</t>
  </si>
  <si>
    <t>gun2</t>
  </si>
  <si>
    <t>khiam1</t>
  </si>
  <si>
    <t>pi1</t>
  </si>
  <si>
    <t>king3</t>
  </si>
  <si>
    <t>giong2</t>
  </si>
  <si>
    <t>zan3</t>
  </si>
  <si>
    <t>kam2</t>
  </si>
  <si>
    <t>sia7</t>
  </si>
  <si>
    <t>hok8</t>
  </si>
  <si>
    <t>ziong5</t>
  </si>
  <si>
    <t>ai3</t>
  </si>
  <si>
    <t>zuan5</t>
  </si>
  <si>
    <t>ling5</t>
  </si>
  <si>
    <t>te3</t>
  </si>
  <si>
    <t>zi3</t>
  </si>
  <si>
    <t>ko1</t>
  </si>
  <si>
    <t>ui2</t>
  </si>
  <si>
    <t>tua7</t>
  </si>
  <si>
    <t>su3</t>
  </si>
  <si>
    <t>sun5</t>
  </si>
  <si>
    <t>soo3</t>
  </si>
  <si>
    <t>se3</t>
  </si>
  <si>
    <t>kai3</t>
  </si>
  <si>
    <t>ho5</t>
  </si>
  <si>
    <t>hun5</t>
  </si>
  <si>
    <t>thuat4</t>
  </si>
  <si>
    <t>ui5</t>
  </si>
  <si>
    <t>kiann2</t>
  </si>
  <si>
    <t>in1</t>
  </si>
  <si>
    <t>ziong1</t>
  </si>
  <si>
    <t>kik8</t>
  </si>
  <si>
    <t>bin5</t>
  </si>
  <si>
    <t>su1</t>
  </si>
  <si>
    <t>kiu3</t>
  </si>
  <si>
    <t>siok8</t>
  </si>
  <si>
    <t>zun1</t>
  </si>
  <si>
    <t>soo2</t>
  </si>
  <si>
    <t>sing3</t>
  </si>
  <si>
    <t>tiat4</t>
  </si>
  <si>
    <t>hue3</t>
  </si>
  <si>
    <t>tai7</t>
  </si>
  <si>
    <t>sing1</t>
  </si>
  <si>
    <t>河洛話</t>
  </si>
  <si>
    <t>雅俗通</t>
    <phoneticPr fontId="91" type="noConversion"/>
  </si>
  <si>
    <t>方音符號</t>
    <phoneticPr fontId="91" type="noConversion"/>
  </si>
  <si>
    <t>格式版本</t>
    <phoneticPr fontId="91" type="noConversion"/>
  </si>
  <si>
    <t>文件版本</t>
    <phoneticPr fontId="1" type="noConversion"/>
  </si>
  <si>
    <t>網頁每列字數</t>
    <phoneticPr fontId="1" type="noConversion"/>
  </si>
  <si>
    <t>0.0.0.1</t>
    <phoneticPr fontId="91" type="noConversion"/>
  </si>
  <si>
    <t>C:\\work\\Piau-Im</t>
  </si>
  <si>
    <t>Iu1-Iu1-Lok4-Bing5_002.jpg</t>
  </si>
  <si>
    <t>output7</t>
  </si>
  <si>
    <t>None</t>
  </si>
  <si>
    <t>閩拼調符</t>
  </si>
  <si>
    <t>漢字</t>
  </si>
  <si>
    <t>台語音標</t>
  </si>
  <si>
    <t>校正音標</t>
  </si>
  <si>
    <t>座標</t>
  </si>
  <si>
    <t>siông</t>
    <phoneticPr fontId="1" type="noConversion"/>
  </si>
  <si>
    <t>iu2</t>
  </si>
  <si>
    <t>iu2</t>
    <phoneticPr fontId="1" type="noConversion"/>
  </si>
  <si>
    <t>yǔ</t>
    <phoneticPr fontId="1" type="noConversion"/>
  </si>
  <si>
    <t>lík</t>
    <phoneticPr fontId="1" type="noConversion"/>
  </si>
  <si>
    <t>liong7</t>
  </si>
  <si>
    <t>liông</t>
    <phoneticPr fontId="1" type="noConversion"/>
  </si>
  <si>
    <t>é</t>
    <phoneticPr fontId="1" type="noConversion"/>
  </si>
  <si>
    <t>bbnǔi</t>
    <phoneticPr fontId="1" type="noConversion"/>
  </si>
  <si>
    <t>jit8</t>
  </si>
  <si>
    <t>jit8</t>
    <phoneticPr fontId="1" type="noConversion"/>
  </si>
  <si>
    <t>zzít</t>
    <phoneticPr fontId="1" type="noConversion"/>
  </si>
  <si>
    <t>gí</t>
    <phoneticPr fontId="1" type="noConversion"/>
  </si>
  <si>
    <t>dǒ</t>
    <phoneticPr fontId="1" type="noConversion"/>
  </si>
  <si>
    <t>bbún</t>
    <phoneticPr fontId="1" type="noConversion"/>
  </si>
  <si>
    <t>kiām</t>
    <phoneticPr fontId="1" type="noConversion"/>
  </si>
  <si>
    <t>bī</t>
    <phoneticPr fontId="1" type="noConversion"/>
  </si>
  <si>
    <t>gìng</t>
    <phoneticPr fontId="1" type="noConversion"/>
  </si>
  <si>
    <t>ggiǒng</t>
    <phoneticPr fontId="1" type="noConversion"/>
  </si>
  <si>
    <t>zàn</t>
    <phoneticPr fontId="1" type="noConversion"/>
  </si>
  <si>
    <t>bi2</t>
  </si>
  <si>
    <t>bbǐ</t>
    <phoneticPr fontId="1" type="noConversion"/>
  </si>
  <si>
    <t>gǎm</t>
    <phoneticPr fontId="1" type="noConversion"/>
  </si>
  <si>
    <t>siâ</t>
    <phoneticPr fontId="1" type="noConversion"/>
  </si>
  <si>
    <t>hók</t>
    <phoneticPr fontId="1" type="noConversion"/>
  </si>
  <si>
    <t>zióng</t>
    <phoneticPr fontId="1" type="noConversion"/>
  </si>
  <si>
    <t>ài</t>
    <phoneticPr fontId="1" type="noConversion"/>
  </si>
  <si>
    <t>zuán</t>
    <phoneticPr fontId="1" type="noConversion"/>
  </si>
  <si>
    <t>líng</t>
    <phoneticPr fontId="1" type="noConversion"/>
  </si>
  <si>
    <t>siong2</t>
  </si>
  <si>
    <t>siong2</t>
    <phoneticPr fontId="1" type="noConversion"/>
  </si>
  <si>
    <t>siǒng</t>
    <phoneticPr fontId="1" type="noConversion"/>
  </si>
  <si>
    <t>dè</t>
    <phoneticPr fontId="1" type="noConversion"/>
  </si>
  <si>
    <t>zì</t>
    <phoneticPr fontId="1" type="noConversion"/>
  </si>
  <si>
    <t>gō</t>
    <phoneticPr fontId="1" type="noConversion"/>
  </si>
  <si>
    <t>bu5</t>
  </si>
  <si>
    <t>bu5</t>
    <phoneticPr fontId="1" type="noConversion"/>
  </si>
  <si>
    <t>bbú</t>
    <phoneticPr fontId="1" type="noConversion"/>
  </si>
  <si>
    <t>wǐ</t>
    <phoneticPr fontId="1" type="noConversion"/>
  </si>
  <si>
    <t>dâi</t>
    <phoneticPr fontId="1" type="noConversion"/>
  </si>
  <si>
    <t>sù</t>
    <phoneticPr fontId="1" type="noConversion"/>
  </si>
  <si>
    <t>u2</t>
  </si>
  <si>
    <t>wǔ</t>
    <phoneticPr fontId="1" type="noConversion"/>
  </si>
  <si>
    <t>sún</t>
    <phoneticPr fontId="1" type="noConversion"/>
  </si>
  <si>
    <t>sòo</t>
    <phoneticPr fontId="1" type="noConversion"/>
  </si>
  <si>
    <t>sè</t>
    <phoneticPr fontId="1" type="noConversion"/>
  </si>
  <si>
    <t>gài</t>
    <phoneticPr fontId="1" type="noConversion"/>
  </si>
  <si>
    <t>hó</t>
    <phoneticPr fontId="1" type="noConversion"/>
  </si>
  <si>
    <t>phing5</t>
  </si>
  <si>
    <t>phing5</t>
    <phoneticPr fontId="1" type="noConversion"/>
  </si>
  <si>
    <t>píng</t>
    <phoneticPr fontId="1" type="noConversion"/>
  </si>
  <si>
    <t>hún</t>
    <phoneticPr fontId="1" type="noConversion"/>
  </si>
  <si>
    <t>kai2</t>
  </si>
  <si>
    <t>gǎi</t>
    <phoneticPr fontId="1" type="noConversion"/>
  </si>
  <si>
    <t>tuāt</t>
    <phoneticPr fontId="1" type="noConversion"/>
  </si>
  <si>
    <t>wí</t>
    <phoneticPr fontId="1" type="noConversion"/>
  </si>
  <si>
    <t>it4</t>
  </si>
  <si>
    <t>yīt</t>
    <phoneticPr fontId="1" type="noConversion"/>
  </si>
  <si>
    <t>ji5</t>
  </si>
  <si>
    <t>ji5</t>
    <phoneticPr fontId="1" type="noConversion"/>
  </si>
  <si>
    <t>zzí</t>
    <phoneticPr fontId="1" type="noConversion"/>
  </si>
  <si>
    <t>i1</t>
  </si>
  <si>
    <t>i1</t>
    <phoneticPr fontId="1" type="noConversion"/>
  </si>
  <si>
    <t>yī</t>
    <phoneticPr fontId="1" type="noConversion"/>
  </si>
  <si>
    <t>si2</t>
  </si>
  <si>
    <t>si2</t>
    <phoneticPr fontId="1" type="noConversion"/>
  </si>
  <si>
    <t>sǐ</t>
    <phoneticPr fontId="1" type="noConversion"/>
  </si>
  <si>
    <t>ziōng</t>
    <phoneticPr fontId="1" type="noConversion"/>
  </si>
  <si>
    <t>gík</t>
    <phoneticPr fontId="1" type="noConversion"/>
  </si>
  <si>
    <t>bbín</t>
    <phoneticPr fontId="1" type="noConversion"/>
  </si>
  <si>
    <t>sū</t>
    <phoneticPr fontId="1" type="noConversion"/>
  </si>
  <si>
    <t>gìu</t>
    <phoneticPr fontId="1" type="noConversion"/>
  </si>
  <si>
    <t>siók</t>
    <phoneticPr fontId="1" type="noConversion"/>
  </si>
  <si>
    <t>zūn</t>
    <phoneticPr fontId="1" type="noConversion"/>
  </si>
  <si>
    <t>sǒo</t>
    <phoneticPr fontId="1" type="noConversion"/>
  </si>
  <si>
    <t>sìng</t>
    <phoneticPr fontId="1" type="noConversion"/>
  </si>
  <si>
    <t>jin5</t>
  </si>
  <si>
    <t>jin5</t>
    <phoneticPr fontId="1" type="noConversion"/>
  </si>
  <si>
    <t>zzín</t>
    <phoneticPr fontId="1" type="noConversion"/>
  </si>
  <si>
    <t>diāt</t>
    <phoneticPr fontId="1" type="noConversion"/>
  </si>
  <si>
    <t>kau3</t>
  </si>
  <si>
    <t>kau3</t>
    <phoneticPr fontId="1" type="noConversion"/>
  </si>
  <si>
    <t>gào</t>
    <phoneticPr fontId="1" type="noConversion"/>
  </si>
  <si>
    <t>huè</t>
    <phoneticPr fontId="1" type="noConversion"/>
  </si>
  <si>
    <t>piau2</t>
  </si>
  <si>
    <t>piau2</t>
    <phoneticPr fontId="1" type="noConversion"/>
  </si>
  <si>
    <t>biǎo</t>
    <phoneticPr fontId="1" type="noConversion"/>
  </si>
  <si>
    <t>the5</t>
  </si>
  <si>
    <t>the5</t>
    <phoneticPr fontId="1" type="noConversion"/>
  </si>
  <si>
    <t>té</t>
    <phoneticPr fontId="1" type="noConversion"/>
  </si>
  <si>
    <t>sīng</t>
    <phoneticPr fontId="1" type="noConversion"/>
  </si>
  <si>
    <t>N/A</t>
  </si>
  <si>
    <t>(13, 5)</t>
  </si>
  <si>
    <t>(13, 6)</t>
  </si>
  <si>
    <t>(13, 7)</t>
  </si>
  <si>
    <t>(13, 8)</t>
  </si>
  <si>
    <t>(13, 9)</t>
  </si>
  <si>
    <t>(13, 11); (33, 10); (49, 9)</t>
  </si>
  <si>
    <t>(13, 12); (33, 11); (49, 10)</t>
  </si>
  <si>
    <t>(13, 14); (33, 5); (49, 4)</t>
  </si>
  <si>
    <t>(13, 15); (33, 6); (49, 5)</t>
  </si>
  <si>
    <t>(13, 17)</t>
  </si>
  <si>
    <t>(13, 18)</t>
  </si>
  <si>
    <t>(17, 5); (33, 8); (49, 7)</t>
  </si>
  <si>
    <t>(17, 6)</t>
  </si>
  <si>
    <t>(17, 7)</t>
  </si>
  <si>
    <t>(17, 9); (17, 15); (17, 17); (21, 5); (21, 9); (33, 12); (49, 15)</t>
  </si>
  <si>
    <t>(17, 10); (17, 18); (21, 10); (33, 13); (49, 16)</t>
  </si>
  <si>
    <t>(17, 12)</t>
  </si>
  <si>
    <t>(17, 13)</t>
  </si>
  <si>
    <t>(17, 14)</t>
  </si>
  <si>
    <t>(21, 6)</t>
  </si>
  <si>
    <t>(21, 7)</t>
  </si>
  <si>
    <t>(21, 12); (37, 12); (53, 6)</t>
  </si>
  <si>
    <t>(21, 14)</t>
  </si>
  <si>
    <t>(21, 15)</t>
  </si>
  <si>
    <t>(21, 16); (25, 4)</t>
  </si>
  <si>
    <t>(21, 17); (25, 5)</t>
  </si>
  <si>
    <t>(25, 7)</t>
  </si>
  <si>
    <t>(25, 10); (53, 9)</t>
  </si>
  <si>
    <t>(25, 11)</t>
  </si>
  <si>
    <t>(25, 13)</t>
  </si>
  <si>
    <t>(25, 14)</t>
  </si>
  <si>
    <t>(33, 14)</t>
  </si>
  <si>
    <t>(33, 15)</t>
  </si>
  <si>
    <t>(33, 17)</t>
  </si>
  <si>
    <t>(33, 18)</t>
  </si>
  <si>
    <t>(37, 6); (49, 14)</t>
  </si>
  <si>
    <t>(37, 7)</t>
  </si>
  <si>
    <t>(37, 8)</t>
  </si>
  <si>
    <t>(37, 9)</t>
  </si>
  <si>
    <t>(37, 10)</t>
  </si>
  <si>
    <t>(37, 15)</t>
  </si>
  <si>
    <t>(37, 16)</t>
  </si>
  <si>
    <t>(45, 5)</t>
  </si>
  <si>
    <t>(45, 6)</t>
  </si>
  <si>
    <t>(45, 7)</t>
  </si>
  <si>
    <t>(45, 9); (45, 12)</t>
  </si>
  <si>
    <t>(45, 10)</t>
  </si>
  <si>
    <t>(45, 13)</t>
  </si>
  <si>
    <t>(45, 15)</t>
  </si>
  <si>
    <t>(45, 16)</t>
  </si>
  <si>
    <t>(49, 18)</t>
  </si>
  <si>
    <t>(53, 4)</t>
  </si>
  <si>
    <t>(53, 10)</t>
  </si>
  <si>
    <t>(53, 12)</t>
  </si>
  <si>
    <t>(53, 13)</t>
  </si>
  <si>
    <t>gniǎ</t>
    <phoneticPr fontId="1" type="noConversion"/>
  </si>
  <si>
    <t>a2</t>
  </si>
  <si>
    <t>a2</t>
    <phoneticPr fontId="1" type="noConversion"/>
  </si>
  <si>
    <t>欸</t>
  </si>
  <si>
    <t>欸</t>
    <phoneticPr fontId="1" type="noConversion"/>
  </si>
  <si>
    <t>我</t>
  </si>
  <si>
    <t>我</t>
    <phoneticPr fontId="1" type="noConversion"/>
  </si>
  <si>
    <t>合</t>
  </si>
  <si>
    <t>kah4</t>
  </si>
  <si>
    <t>kah4</t>
    <phoneticPr fontId="1" type="noConversion"/>
  </si>
  <si>
    <t>ǎ</t>
    <phoneticPr fontId="1" type="noConversion"/>
  </si>
  <si>
    <t>gāh</t>
    <phoneticPr fontId="1" type="noConversion"/>
  </si>
  <si>
    <t>gonn2</t>
  </si>
  <si>
    <t>gonn2</t>
    <phoneticPr fontId="1" type="noConversion"/>
  </si>
  <si>
    <t>ggnǒ</t>
    <phoneticPr fontId="1" type="noConversion"/>
  </si>
  <si>
    <t>(13, 4); (33, 4)</t>
  </si>
  <si>
    <t>yīn</t>
    <phoneticPr fontId="1" type="noConversion"/>
  </si>
  <si>
    <t>(25, 9); (37, 14); (45, 4); (45, 18); (53, 8)</t>
  </si>
  <si>
    <t>(25, 6)</t>
  </si>
  <si>
    <t>(37, 5)</t>
  </si>
  <si>
    <t>上有力量的每日祈禱文</t>
    <phoneticPr fontId="1" type="noConversion"/>
  </si>
  <si>
    <t>【河洛文讀注音-閩拼調符】《上有力量的每日祈禱文》.xlsx</t>
    <phoneticPr fontId="1" type="noConversion"/>
  </si>
  <si>
    <t>(17, 4); (25, 8); (33, 9); (45, 11); (49, 8)</t>
  </si>
  <si>
    <t>《</t>
    <phoneticPr fontId="1" type="noConversion"/>
  </si>
  <si>
    <t xml:space="preserve">》
</t>
    <phoneticPr fontId="1" type="noConversion"/>
  </si>
  <si>
    <t>《尚有力量的每日祈禱文》
阮謙卑地敬仰、讚美、感謝、服從与愛全能的上帝，至高無上的上帝，上偉大的上帝，賜與純素世界、世界和平与阮靈魂的解脫。
阮感謝、愛和讚美上帝唯一的子兒，伊是終極明師，賜與阮救贖。
阮遵循所有聖人与聖哲的教誨，阮感謝、愛与讚美伊，伊是上帝的代表，賜與阮靈性的提昇。</t>
    <phoneticPr fontId="1" type="noConversion"/>
  </si>
  <si>
    <t>hoo7</t>
  </si>
  <si>
    <t>(5, 4); (5, 5)</t>
  </si>
  <si>
    <t>(5, 6); (5, 7)</t>
  </si>
  <si>
    <t>(5, 7); (5, 8)</t>
  </si>
  <si>
    <t>(5, 8); (17, 8); (17, 16); (21, 8); (25, 12); (33, 16); (45, 14); (49, 17); (53, 11); (5, 9)</t>
  </si>
  <si>
    <t>(5, 9); (5, 10)</t>
  </si>
  <si>
    <t>(5, 10); (5, 11)</t>
  </si>
  <si>
    <t>(5, 11); (5, 12)</t>
  </si>
  <si>
    <t>(5, 12); (5, 13)</t>
  </si>
  <si>
    <t>(5, 13); (5, 14)</t>
  </si>
  <si>
    <t>hôo</t>
    <phoneticPr fontId="1" type="noConversion"/>
  </si>
  <si>
    <t>(37, 13)</t>
  </si>
  <si>
    <t>(21, 13); (53, 7)</t>
  </si>
  <si>
    <t>(49, 11); (49, 13)</t>
  </si>
  <si>
    <t>wû</t>
    <phoneticPr fontId="1" type="noConversion"/>
  </si>
  <si>
    <t>(45, 8)</t>
  </si>
  <si>
    <t>(5, 5); (5, 6)</t>
  </si>
  <si>
    <t>予</t>
  </si>
  <si>
    <t>(25, 9); (37, 14); (45, 4); (45, 18); (53, 8); (13, 4); (33, 4)</t>
  </si>
  <si>
    <t>(37, 13); (53,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</si>
</sst>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7">
    <font>
      <sz val="16"/>
      <color rgb="FF00000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6"/>
      <color theme="8" tint="-0.249977111117893"/>
      <name val="Arial"/>
      <family val="2"/>
    </font>
    <font>
      <sz val="48"/>
      <color rgb="FF000000"/>
      <name val="LXGW WenKai"/>
      <family val="1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16"/>
      <color theme="7" tint="0.59999389629810485"/>
      <name val="Arial"/>
      <family val="2"/>
    </font>
    <font>
      <sz val="28"/>
      <color rgb="FFC00000"/>
      <name val="Noto Serif TC Black"/>
      <family val="1"/>
      <charset val="136"/>
    </font>
    <font>
      <sz val="16"/>
      <color theme="0"/>
      <name val="新細明體"/>
      <family val="1"/>
      <charset val="136"/>
      <scheme val="minor"/>
    </font>
    <font>
      <sz val="16"/>
      <color rgb="FF7030A0"/>
      <name val="新細明體"/>
      <family val="1"/>
      <charset val="136"/>
      <scheme val="minor"/>
    </font>
    <font>
      <sz val="24"/>
      <color rgb="FF000000"/>
      <name val="Noto Serif TC SemiBold"/>
      <family val="1"/>
      <charset val="136"/>
    </font>
    <font>
      <b/>
      <sz val="48"/>
      <color rgb="FF000000"/>
      <name val="Noto Serif TC Black"/>
      <family val="1"/>
      <charset val="136"/>
    </font>
    <font>
      <sz val="24"/>
      <color rgb="FF0070C0"/>
      <name val="Noto Serif TC SemiBold"/>
      <family val="1"/>
      <charset val="136"/>
    </font>
    <font>
      <sz val="16"/>
      <color rgb="FF0070C0"/>
      <name val="Iansui 094"/>
      <family val="3"/>
      <charset val="136"/>
    </font>
    <font>
      <sz val="16"/>
      <color theme="0"/>
      <name val="Arial"/>
      <family val="2"/>
    </font>
    <font>
      <b/>
      <sz val="28"/>
      <color rgb="FF7030A0"/>
      <name val="Times New Roman"/>
      <family val="1"/>
    </font>
    <font>
      <b/>
      <sz val="16"/>
      <color rgb="FFFF0000"/>
      <name val="PMingLiU"/>
      <family val="1"/>
      <charset val="136"/>
    </font>
    <font>
      <b/>
      <sz val="16"/>
      <color rgb="FF000000"/>
      <name val="Iansui 094"/>
      <family val="3"/>
      <charset val="136"/>
    </font>
    <font>
      <b/>
      <sz val="16"/>
      <color rgb="FF000000"/>
      <name val="Iansui 094"/>
      <family val="2"/>
      <charset val="136"/>
    </font>
    <font>
      <b/>
      <sz val="16"/>
      <color rgb="FF000000"/>
      <name val="Noto Sans TC"/>
      <family val="2"/>
      <charset val="136"/>
    </font>
    <font>
      <sz val="48"/>
      <color rgb="FF7030A0"/>
      <name val="Times New Roman"/>
      <family val="1"/>
    </font>
    <font>
      <sz val="24"/>
      <color rgb="FFC00000"/>
      <name val="Noto Serif TC SemiBold"/>
      <family val="1"/>
      <charset val="136"/>
    </font>
    <font>
      <sz val="16"/>
      <color rgb="FFC00000"/>
      <name val="Arial"/>
      <family val="2"/>
    </font>
    <font>
      <sz val="24"/>
      <color rgb="FF000000"/>
      <name val="Arial"/>
      <family val="2"/>
    </font>
    <font>
      <sz val="24"/>
      <color rgb="FFFF0000"/>
      <name val="Noto Serif TC SemiBold"/>
      <family val="1"/>
      <charset val="136"/>
    </font>
    <font>
      <sz val="24"/>
      <color rgb="FFFF0000"/>
      <name val="Microsoft JhengHei"/>
      <family val="2"/>
    </font>
    <font>
      <sz val="24"/>
      <color rgb="FFFF0000"/>
      <name val="Arial"/>
      <family val="2"/>
    </font>
    <font>
      <sz val="24"/>
      <color rgb="FFFF0000"/>
      <name val="Microsoft JhengHei"/>
      <family val="2"/>
      <charset val="136"/>
    </font>
    <font>
      <b/>
      <sz val="24"/>
      <color rgb="FF000000"/>
      <name val="Iansui 094"/>
      <family val="3"/>
      <charset val="136"/>
    </font>
    <font>
      <b/>
      <sz val="24"/>
      <color rgb="FF000000"/>
      <name val="BopomofoRuby1909-v1"/>
      <family val="3"/>
      <charset val="136"/>
    </font>
    <font>
      <sz val="20"/>
      <color rgb="FF000000"/>
      <name val="Microsoft JhengHei"/>
      <family val="2"/>
    </font>
    <font>
      <sz val="24"/>
      <color rgb="FF000000"/>
      <name val="Microsoft JhengHei"/>
      <family val="2"/>
    </font>
    <font>
      <sz val="24"/>
      <color rgb="FF000000"/>
      <name val="Microsoft JhengHei"/>
      <family val="2"/>
      <charset val="1"/>
    </font>
    <font>
      <sz val="16"/>
      <color theme="0" tint="-0.34998626667073579"/>
      <name val="Iansui 094"/>
      <family val="3"/>
      <charset val="136"/>
    </font>
    <font>
      <sz val="20"/>
      <color rgb="FF000000"/>
      <name val="Microsoft JhengHei"/>
      <family val="2"/>
      <charset val="1"/>
    </font>
    <font>
      <sz val="20"/>
      <color rgb="FFC00000"/>
      <name val="Arial"/>
      <family val="2"/>
    </font>
    <font>
      <sz val="20"/>
      <color rgb="FF000000"/>
      <name val="Arial"/>
      <family val="2"/>
    </font>
    <font>
      <sz val="24"/>
      <color rgb="FF000000"/>
      <name val="Iansui 094"/>
      <family val="3"/>
      <charset val="136"/>
    </font>
    <font>
      <sz val="18"/>
      <color rgb="FFFF0000"/>
      <name val="Iansui 094"/>
      <family val="3"/>
      <charset val="136"/>
    </font>
    <font>
      <sz val="24"/>
      <color rgb="FF000000"/>
      <name val="Noto Serif TC Medium"/>
      <family val="1"/>
      <charset val="136"/>
    </font>
    <font>
      <sz val="10"/>
      <color rgb="FF000000"/>
      <name val="Noto Serif TC Medium"/>
      <family val="1"/>
      <charset val="136"/>
    </font>
    <font>
      <sz val="16"/>
      <color rgb="FF000000"/>
      <name val="LXGW WenKai"/>
      <family val="1"/>
      <charset val="136"/>
    </font>
    <font>
      <sz val="18"/>
      <color rgb="FF000000"/>
      <name val="新細明體"/>
      <family val="1"/>
      <charset val="136"/>
      <scheme val="minor"/>
    </font>
    <font>
      <b/>
      <sz val="18"/>
      <color rgb="FFFF0000"/>
      <name val="新細明體"/>
      <family val="1"/>
      <charset val="136"/>
      <scheme val="minor"/>
    </font>
    <font>
      <sz val="18"/>
      <color rgb="FF000000"/>
      <name val="Iansui 094"/>
      <family val="3"/>
      <charset val="136"/>
    </font>
    <font>
      <b/>
      <sz val="18"/>
      <color rgb="FFC00000"/>
      <name val="Iansui 094"/>
      <family val="3"/>
      <charset val="136"/>
    </font>
    <font>
      <sz val="18"/>
      <color rgb="FF000000"/>
      <name val="Iansui 094"/>
      <family val="2"/>
      <charset val="136"/>
    </font>
    <font>
      <sz val="18"/>
      <color rgb="FF000000"/>
      <name val="Noto Sans TC"/>
      <family val="2"/>
      <charset val="136"/>
    </font>
    <font>
      <sz val="18"/>
      <color rgb="FF000000"/>
      <name val="Microsoft YaHei"/>
      <family val="1"/>
      <charset val="134"/>
    </font>
    <font>
      <sz val="18"/>
      <color rgb="FF000000"/>
      <name val="Iansui 094"/>
      <family val="1"/>
      <charset val="136"/>
    </font>
    <font>
      <b/>
      <sz val="18"/>
      <color rgb="FFFF0000"/>
      <name val="Noto Sans TC"/>
      <family val="2"/>
    </font>
    <font>
      <b/>
      <sz val="18"/>
      <color rgb="FFFF0000"/>
      <name val="Noto Sans TC"/>
      <family val="2"/>
      <charset val="136"/>
    </font>
    <font>
      <sz val="16"/>
      <color theme="4" tint="0.59999389629810485"/>
      <name val="Arial"/>
      <family val="2"/>
    </font>
    <font>
      <sz val="16"/>
      <color rgb="FF000000"/>
      <name val="Iansui 0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16"/>
      <color rgb="FF000000"/>
      <name val="Iansui 094"/>
      <family val="3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8"/>
      <color theme="10"/>
      <name val="黒体-繁"/>
      <family val="2"/>
      <charset val="136"/>
    </font>
    <font>
      <sz val="24"/>
      <name val="Noto Serif TC Medium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2"/>
      <color rgb="FF000000"/>
      <name val="Noto Serif TC Medium"/>
      <family val="1"/>
      <charset val="136"/>
    </font>
    <font>
      <sz val="28"/>
      <color rgb="FF000000"/>
      <name val="LXGW WenKai"/>
      <family val="1"/>
      <charset val="136"/>
    </font>
    <font>
      <sz val="28"/>
      <color rgb="FF000000"/>
      <name val="細明體"/>
      <family val="3"/>
      <charset val="136"/>
    </font>
    <font>
      <sz val="28"/>
      <color rgb="FF000000"/>
      <name val="LXGW WenKai"/>
      <family val="1"/>
      <charset val="134"/>
    </font>
    <font>
      <sz val="18"/>
      <color theme="1"/>
      <name val="細明體"/>
      <family val="2"/>
      <charset val="136"/>
    </font>
    <font>
      <sz val="18"/>
      <color theme="1"/>
      <name val="Arial"/>
      <family val="2"/>
    </font>
    <font>
      <b/>
      <sz val="16"/>
      <name val="Arial"/>
      <family val="2"/>
    </font>
    <font>
      <sz val="16"/>
      <name val="新細明體"/>
      <family val="1"/>
      <charset val="136"/>
      <scheme val="minor"/>
    </font>
    <font>
      <sz val="20"/>
      <color rgb="FFFF0000"/>
      <name val="霞鶩文楷 TC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FF0000"/>
      <name val="吳守禮細明台語注音"/>
      <family val="1"/>
      <charset val="136"/>
    </font>
    <font>
      <b/>
      <sz val="48"/>
      <color rgb="FF000000"/>
      <name val="吳守禮細明台語注音"/>
      <family val="1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sz val="24"/>
      <name val="Microsoft YaHei"/>
      <family val="1"/>
      <charset val="134"/>
    </font>
    <font>
      <sz val="20"/>
      <color rgb="FFFF0000"/>
      <name val="Microsoft JhengHei UI"/>
      <family val="1"/>
    </font>
    <font>
      <sz val="20"/>
      <color rgb="FFFF0000"/>
      <name val="Microsoft JhengHei UI"/>
      <family val="1"/>
      <charset val="1"/>
    </font>
    <font>
      <sz val="20"/>
      <color rgb="FFFF0000"/>
      <name val="Microsoft JhengHei UI"/>
      <family val="1"/>
      <charset val="136"/>
    </font>
    <font>
      <b/>
      <sz val="48"/>
      <color rgb="FF000000"/>
      <name val="吳守禮細明台語破音02"/>
      <family val="1"/>
      <charset val="136"/>
    </font>
    <font>
      <sz val="24"/>
      <color rgb="FFFF9933"/>
      <name val="Sitka Text Semibold"/>
    </font>
    <font>
      <sz val="26"/>
      <color rgb="FF009900"/>
      <name val="芫荽 0.94"/>
      <family val="3"/>
      <charset val="136"/>
    </font>
    <font>
      <sz val="22"/>
      <color theme="3" tint="0.249977111117893"/>
      <name val="Arial"/>
      <family val="2"/>
    </font>
    <font>
      <b/>
      <sz val="48"/>
      <color rgb="FF000000"/>
      <name val="Calibri"/>
      <family val="1"/>
      <charset val="161"/>
    </font>
    <font>
      <sz val="16"/>
      <color rgb="FF000000"/>
      <name val="新細明體"/>
      <family val="1"/>
      <charset val="136"/>
      <scheme val="minor"/>
    </font>
    <font>
      <sz val="18"/>
      <color theme="1"/>
      <name val="Noto Serif TC Black"/>
      <family val="1"/>
      <charset val="136"/>
    </font>
    <font>
      <sz val="9"/>
      <name val="新細明體"/>
      <family val="2"/>
      <charset val="136"/>
      <scheme val="minor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b/>
      <sz val="18"/>
      <color theme="4"/>
      <name val="Malgun Gothic Semilight"/>
      <family val="2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rgb="FFFF000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/>
    <xf numFmtId="0" fontId="57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/>
    <xf numFmtId="0" fontId="89" fillId="0" borderId="0"/>
  </cellStyleXfs>
  <cellXfs count="11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quotePrefix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0" fontId="39" fillId="0" borderId="0" xfId="0" applyFont="1" applyAlignment="1">
      <alignment horizontal="left" vertical="center" indent="1"/>
    </xf>
    <xf numFmtId="0" fontId="40" fillId="0" borderId="0" xfId="0" applyFont="1" applyAlignment="1">
      <alignment horizontal="center" vertical="center"/>
    </xf>
    <xf numFmtId="0" fontId="41" fillId="0" borderId="0" xfId="0" applyFont="1"/>
    <xf numFmtId="0" fontId="42" fillId="0" borderId="0" xfId="0" applyFont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left" indent="1"/>
    </xf>
    <xf numFmtId="0" fontId="42" fillId="0" borderId="0" xfId="0" quotePrefix="1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 vertical="center"/>
    </xf>
    <xf numFmtId="0" fontId="49" fillId="0" borderId="0" xfId="0" applyFont="1" applyAlignment="1">
      <alignment horizontal="center"/>
    </xf>
    <xf numFmtId="0" fontId="52" fillId="0" borderId="0" xfId="0" applyFont="1" applyAlignment="1">
      <alignment shrinkToFit="1" readingOrder="1"/>
    </xf>
    <xf numFmtId="0" fontId="52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57" fillId="0" borderId="0" xfId="1">
      <alignment vertical="center"/>
    </xf>
    <xf numFmtId="0" fontId="60" fillId="0" borderId="0" xfId="1" applyFont="1">
      <alignment vertical="center"/>
    </xf>
    <xf numFmtId="0" fontId="54" fillId="0" borderId="7" xfId="0" applyFont="1" applyBorder="1" applyAlignment="1">
      <alignment shrinkToFit="1" readingOrder="1"/>
    </xf>
    <xf numFmtId="0" fontId="0" fillId="0" borderId="8" xfId="0" applyBorder="1" applyAlignment="1">
      <alignment horizontal="center"/>
    </xf>
    <xf numFmtId="0" fontId="51" fillId="0" borderId="8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62" fillId="0" borderId="6" xfId="0" applyFont="1" applyBorder="1" applyAlignment="1">
      <alignment horizontal="left" vertical="top" wrapText="1"/>
    </xf>
    <xf numFmtId="0" fontId="62" fillId="0" borderId="0" xfId="0" applyFont="1" applyAlignment="1">
      <alignment horizontal="left" vertical="top" wrapText="1"/>
    </xf>
    <xf numFmtId="0" fontId="54" fillId="0" borderId="7" xfId="0" applyFont="1" applyBorder="1" applyAlignment="1">
      <alignment horizontal="center" vertical="center" shrinkToFit="1" readingOrder="1"/>
    </xf>
    <xf numFmtId="0" fontId="54" fillId="0" borderId="0" xfId="0" applyFont="1" applyAlignment="1">
      <alignment horizontal="center" vertical="center" shrinkToFit="1" readingOrder="1"/>
    </xf>
    <xf numFmtId="0" fontId="54" fillId="0" borderId="7" xfId="0" applyFont="1" applyBorder="1" applyAlignment="1">
      <alignment horizontal="center" shrinkToFit="1" readingOrder="1"/>
    </xf>
    <xf numFmtId="0" fontId="52" fillId="0" borderId="0" xfId="0" applyFont="1" applyAlignment="1">
      <alignment horizontal="center" shrinkToFit="1" readingOrder="1"/>
    </xf>
    <xf numFmtId="0" fontId="52" fillId="0" borderId="0" xfId="0" applyFont="1" applyAlignment="1">
      <alignment horizontal="center" vertical="center" shrinkToFit="1" readingOrder="1"/>
    </xf>
    <xf numFmtId="0" fontId="62" fillId="0" borderId="0" xfId="0" applyFont="1" applyAlignment="1">
      <alignment horizontal="center" vertical="center" wrapText="1" shrinkToFit="1" readingOrder="1"/>
    </xf>
    <xf numFmtId="0" fontId="0" fillId="0" borderId="0" xfId="0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left" vertical="center" indent="1"/>
    </xf>
    <xf numFmtId="0" fontId="68" fillId="0" borderId="0" xfId="0" applyFont="1" applyAlignment="1">
      <alignment horizontal="left" vertical="center" indent="1"/>
    </xf>
    <xf numFmtId="0" fontId="67" fillId="0" borderId="0" xfId="0" applyFont="1" applyAlignment="1">
      <alignment horizontal="left" vertical="center" indent="1"/>
    </xf>
    <xf numFmtId="0" fontId="59" fillId="0" borderId="0" xfId="1" applyFont="1">
      <alignment vertical="center"/>
    </xf>
    <xf numFmtId="0" fontId="69" fillId="0" borderId="0" xfId="1" applyFont="1">
      <alignment vertical="center"/>
    </xf>
    <xf numFmtId="0" fontId="70" fillId="0" borderId="0" xfId="1" applyFont="1">
      <alignment vertical="center"/>
    </xf>
    <xf numFmtId="0" fontId="71" fillId="0" borderId="0" xfId="0" applyFont="1" applyAlignment="1">
      <alignment horizontal="center" vertical="top"/>
    </xf>
    <xf numFmtId="0" fontId="72" fillId="0" borderId="0" xfId="0" applyFont="1" applyAlignment="1">
      <alignment horizontal="center"/>
    </xf>
    <xf numFmtId="0" fontId="73" fillId="0" borderId="5" xfId="0" applyFont="1" applyBorder="1" applyAlignment="1" applyProtection="1">
      <alignment horizontal="center" vertical="center" wrapText="1" readingOrder="1"/>
      <protection locked="0"/>
    </xf>
    <xf numFmtId="0" fontId="74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shrinkToFit="1" readingOrder="1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shrinkToFit="1" readingOrder="1"/>
    </xf>
    <xf numFmtId="0" fontId="56" fillId="0" borderId="0" xfId="0" applyFont="1" applyAlignment="1">
      <alignment horizontal="center" shrinkToFit="1" readingOrder="1"/>
    </xf>
    <xf numFmtId="0" fontId="56" fillId="0" borderId="0" xfId="0" applyFont="1" applyAlignment="1">
      <alignment horizontal="center" vertical="center" shrinkToFit="1" readingOrder="1"/>
    </xf>
    <xf numFmtId="0" fontId="5" fillId="0" borderId="0" xfId="0" applyFont="1" applyAlignment="1">
      <alignment horizontal="center" vertical="top"/>
    </xf>
    <xf numFmtId="0" fontId="6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7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76" fillId="5" borderId="0" xfId="0" applyFont="1" applyFill="1" applyAlignment="1">
      <alignment horizontal="center" vertical="center"/>
    </xf>
    <xf numFmtId="0" fontId="87" fillId="0" borderId="0" xfId="0" applyFont="1" applyAlignment="1">
      <alignment horizontal="center"/>
    </xf>
    <xf numFmtId="0" fontId="85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0" fillId="6" borderId="7" xfId="0" applyFont="1" applyFill="1" applyBorder="1" applyAlignment="1">
      <alignment horizontal="left" vertical="top" wrapText="1" shrinkToFit="1" readingOrder="1"/>
    </xf>
    <xf numFmtId="0" fontId="62" fillId="6" borderId="8" xfId="0" applyFont="1" applyFill="1" applyBorder="1" applyAlignment="1">
      <alignment horizontal="left" vertical="top" wrapText="1" shrinkToFit="1" readingOrder="1"/>
    </xf>
    <xf numFmtId="0" fontId="62" fillId="6" borderId="9" xfId="0" applyFont="1" applyFill="1" applyBorder="1" applyAlignment="1">
      <alignment horizontal="left" vertical="top" wrapText="1" shrinkToFit="1" readingOrder="1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0" fillId="0" borderId="0" xfId="1" applyFont="1">
      <alignment vertical="center"/>
    </xf>
    <xf numFmtId="0" fontId="90" fillId="0" borderId="0" xfId="1" applyFont="1" applyAlignment="1">
      <alignment horizontal="left" vertical="center"/>
    </xf>
    <xf numFmtId="0" fontId="92" fillId="0" borderId="0" xfId="1" applyFont="1">
      <alignment vertical="center"/>
    </xf>
    <xf numFmtId="0" fontId="93" fillId="0" borderId="0" xfId="4" applyFont="1" applyAlignment="1">
      <alignment horizontal="left" vertical="center"/>
    </xf>
    <xf numFmtId="0" fontId="94" fillId="7" borderId="0" xfId="1" applyFont="1" applyFill="1">
      <alignment vertical="center"/>
    </xf>
    <xf numFmtId="0" fontId="59" fillId="0" borderId="0" xfId="1" applyFont="1" applyAlignment="1">
      <alignment horizontal="left" vertical="center"/>
    </xf>
    <xf numFmtId="0" fontId="59" fillId="0" borderId="0" xfId="1" quotePrefix="1" applyFont="1" applyAlignment="1">
      <alignment horizontal="left" vertical="center"/>
    </xf>
    <xf numFmtId="0" fontId="95" fillId="5" borderId="0" xfId="3" applyFont="1" applyFill="1" applyAlignment="1">
      <alignment vertical="center" readingOrder="1"/>
    </xf>
    <xf numFmtId="0" fontId="96" fillId="0" borderId="0" xfId="1" applyFont="1" applyAlignment="1">
      <alignment horizontal="left" vertical="center"/>
    </xf>
    <xf numFmtId="0" fontId="77" fillId="0" borderId="0" xfId="0" applyFont="1" applyFill="1" applyAlignment="1">
      <alignment horizontal="center" vertical="center"/>
    </xf>
    <xf numFmtId="0" fontId="73" fillId="6" borderId="5" xfId="0" applyFont="1" applyFill="1" applyBorder="1" applyAlignment="1" applyProtection="1">
      <alignment horizontal="center" vertical="center" wrapText="1" readingOrder="1"/>
      <protection locked="0"/>
    </xf>
    <xf numFmtId="0" fontId="85" fillId="0" borderId="0" xfId="0" applyFont="1" applyFill="1" applyAlignment="1">
      <alignment horizontal="center" vertical="center"/>
    </xf>
    <xf numFmtId="0" fontId="86" fillId="0" borderId="0" xfId="0" applyFont="1" applyFill="1" applyAlignment="1">
      <alignment horizontal="center" vertical="center"/>
    </xf>
  </cellXfs>
  <cellStyles count="5">
    <cellStyle name="一般" xfId="0" builtinId="0"/>
    <cellStyle name="一般 2" xfId="1" xr:uid="{13A8398C-062A-4295-9F26-34E8789B507C}"/>
    <cellStyle name="一般 3" xfId="4" xr:uid="{084A7259-2891-4430-B0CF-CCBE540CF47E}"/>
    <cellStyle name="超連結" xfId="3" builtinId="8"/>
    <cellStyle name="超連結 2" xfId="2" xr:uid="{AF644068-9C78-42CD-96C0-AD9C8A3B8BDE}"/>
  </cellStyles>
  <dxfs count="196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-1</xdr:rowOff>
    </xdr:from>
    <xdr:to>
      <xdr:col>29</xdr:col>
      <xdr:colOff>578117</xdr:colOff>
      <xdr:row>17</xdr:row>
      <xdr:rowOff>83343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EECB863-675C-4BE6-8B47-1B9833211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8700" y="266699"/>
          <a:ext cx="12865367" cy="72461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161926</xdr:rowOff>
    </xdr:from>
    <xdr:to>
      <xdr:col>2</xdr:col>
      <xdr:colOff>23285</xdr:colOff>
      <xdr:row>9</xdr:row>
      <xdr:rowOff>295276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EE81118-43E4-41CC-B077-460266D2A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61926"/>
          <a:ext cx="6366935" cy="3581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457200</xdr:colOff>
      <xdr:row>25</xdr:row>
      <xdr:rowOff>190500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265CA4C-F10E-5ECA-467B-FF6AC0E3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92000" cy="68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5001-8DDB-4E85-B15D-3F4662555727}">
  <sheetPr>
    <tabColor rgb="FFFF0000"/>
  </sheetPr>
  <dimension ref="B1:C20"/>
  <sheetViews>
    <sheetView tabSelected="1" zoomScale="80" zoomScaleNormal="80" workbookViewId="0">
      <selection activeCell="C13" sqref="C13"/>
    </sheetView>
  </sheetViews>
  <sheetFormatPr defaultColWidth="12" defaultRowHeight="25.5"/>
  <cols>
    <col min="1" max="1" width="4" style="52" customWidth="1"/>
    <col min="2" max="2" width="22.69921875" style="52" bestFit="1" customWidth="1"/>
    <col min="3" max="3" width="110.296875" style="52" customWidth="1"/>
    <col min="4" max="16384" width="12" style="52"/>
  </cols>
  <sheetData>
    <row r="1" spans="2:3" ht="26.25">
      <c r="B1" s="110" t="s">
        <v>160</v>
      </c>
      <c r="C1" s="110" t="s">
        <v>161</v>
      </c>
    </row>
    <row r="2" spans="2:3" ht="30">
      <c r="B2" s="108" t="s">
        <v>604</v>
      </c>
      <c r="C2" s="111">
        <v>1</v>
      </c>
    </row>
    <row r="3" spans="2:3" ht="30">
      <c r="B3" s="108" t="s">
        <v>605</v>
      </c>
      <c r="C3" s="112" t="s">
        <v>607</v>
      </c>
    </row>
    <row r="4" spans="2:3">
      <c r="B4" s="71" t="s">
        <v>162</v>
      </c>
      <c r="C4" s="73" t="s">
        <v>608</v>
      </c>
    </row>
    <row r="5" spans="2:3">
      <c r="B5" s="71" t="s">
        <v>163</v>
      </c>
      <c r="C5" s="72" t="s">
        <v>785</v>
      </c>
    </row>
    <row r="6" spans="2:3">
      <c r="B6" s="71" t="s">
        <v>164</v>
      </c>
      <c r="C6" s="53" t="s">
        <v>784</v>
      </c>
    </row>
    <row r="7" spans="2:3">
      <c r="B7" s="71" t="s">
        <v>165</v>
      </c>
      <c r="C7" s="113" t="s">
        <v>609</v>
      </c>
    </row>
    <row r="8" spans="2:3">
      <c r="B8" s="71" t="s">
        <v>178</v>
      </c>
      <c r="C8" s="114" t="s">
        <v>610</v>
      </c>
    </row>
    <row r="9" spans="2:3" ht="30">
      <c r="B9" s="108" t="s">
        <v>179</v>
      </c>
      <c r="C9" s="111" t="s">
        <v>611</v>
      </c>
    </row>
    <row r="10" spans="2:3">
      <c r="B10" s="109" t="s">
        <v>159</v>
      </c>
      <c r="C10" s="111" t="b">
        <v>1</v>
      </c>
    </row>
    <row r="11" spans="2:3" ht="30">
      <c r="B11" s="108" t="s">
        <v>176</v>
      </c>
      <c r="C11" s="111">
        <v>60</v>
      </c>
    </row>
    <row r="12" spans="2:3" ht="30">
      <c r="B12" s="108" t="s">
        <v>177</v>
      </c>
      <c r="C12" s="111">
        <v>15</v>
      </c>
    </row>
    <row r="13" spans="2:3" ht="30">
      <c r="B13" s="108" t="s">
        <v>191</v>
      </c>
      <c r="C13" s="106" t="s">
        <v>549</v>
      </c>
    </row>
    <row r="14" spans="2:3" ht="30">
      <c r="B14" s="108" t="s">
        <v>192</v>
      </c>
      <c r="C14" s="106" t="s">
        <v>601</v>
      </c>
    </row>
    <row r="15" spans="2:3" ht="30">
      <c r="B15" s="108" t="s">
        <v>319</v>
      </c>
      <c r="C15" s="106" t="s">
        <v>612</v>
      </c>
    </row>
    <row r="16" spans="2:3" ht="30">
      <c r="B16" s="108" t="s">
        <v>320</v>
      </c>
      <c r="C16" s="106" t="s">
        <v>547</v>
      </c>
    </row>
    <row r="17" spans="2:3" ht="30">
      <c r="B17" s="108" t="s">
        <v>546</v>
      </c>
      <c r="C17" s="106" t="s">
        <v>545</v>
      </c>
    </row>
    <row r="18" spans="2:3" ht="30">
      <c r="B18" s="108" t="s">
        <v>543</v>
      </c>
      <c r="C18" s="106" t="s">
        <v>602</v>
      </c>
    </row>
    <row r="19" spans="2:3" ht="30">
      <c r="B19" s="108" t="s">
        <v>544</v>
      </c>
      <c r="C19" s="106" t="s">
        <v>603</v>
      </c>
    </row>
    <row r="20" spans="2:3" ht="30">
      <c r="B20" s="108" t="s">
        <v>606</v>
      </c>
      <c r="C20" s="107">
        <v>0</v>
      </c>
    </row>
  </sheetData>
  <phoneticPr fontId="1" type="noConversion"/>
  <dataValidations count="6">
    <dataValidation type="list" allowBlank="1" showInputMessage="1" showErrorMessage="1" sqref="C10" xr:uid="{DE2F131F-8109-4114-9E19-8669EDE792F8}">
      <formula1>"TRUE, FALSE"</formula1>
    </dataValidation>
    <dataValidation type="list" allowBlank="1" showInputMessage="1" showErrorMessage="1" sqref="C13" xr:uid="{708C0B0A-ADE9-44EF-9AEC-D0D1203604EB}">
      <formula1>"白話音, 文讀音"</formula1>
    </dataValidation>
    <dataValidation type="list" allowBlank="1" showInputMessage="1" showErrorMessage="1" sqref="C14" xr:uid="{7B7A2EBD-1331-43A3-ADE3-884968276661}">
      <formula1>"河洛話, 廣韻"</formula1>
    </dataValidation>
    <dataValidation type="list" allowBlank="1" showInputMessage="1" showErrorMessage="1" sqref="C16" xr:uid="{44AC4E7A-3E89-436D-AD56-CEEDBFE1A8A1}">
      <formula1>"無預設, SNI, TPS, POJ, TL, BP, TLPA_Plus, DBL"</formula1>
    </dataValidation>
    <dataValidation type="list" allowBlank="1" showInputMessage="1" showErrorMessage="1" sqref="C17" xr:uid="{51E5D0A8-B8FF-410F-BAFF-4E28A23B566D}">
      <formula1>"預設,上,右,上及右"</formula1>
    </dataValidation>
    <dataValidation type="list" showInputMessage="1" showErrorMessage="1" sqref="C18:C19 C15" xr:uid="{A1B04D03-14BF-49CC-8DB2-A0F1F9497BC1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E468-83F9-4F8B-8A60-6B345B1422EE}">
  <dimension ref="A1:D1"/>
  <sheetViews>
    <sheetView workbookViewId="0"/>
  </sheetViews>
  <sheetFormatPr defaultRowHeight="21"/>
  <sheetData>
    <row r="1" spans="1:4">
      <c r="A1" t="s">
        <v>613</v>
      </c>
      <c r="B1" t="s">
        <v>614</v>
      </c>
      <c r="C1" t="s">
        <v>615</v>
      </c>
      <c r="D1" t="s">
        <v>616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D490-D82D-43C3-9248-02B4D14F8BAB}">
  <dimension ref="A1:D69"/>
  <sheetViews>
    <sheetView workbookViewId="0"/>
  </sheetViews>
  <sheetFormatPr defaultRowHeight="21"/>
  <sheetData>
    <row r="1" spans="1:4">
      <c r="A1" t="s">
        <v>613</v>
      </c>
      <c r="B1" t="s">
        <v>614</v>
      </c>
      <c r="C1" t="s">
        <v>615</v>
      </c>
      <c r="D1" t="s">
        <v>616</v>
      </c>
    </row>
    <row r="2" spans="1:4">
      <c r="A2" t="s">
        <v>186</v>
      </c>
      <c r="B2" t="s">
        <v>618</v>
      </c>
      <c r="C2" t="s">
        <v>708</v>
      </c>
      <c r="D2" t="s">
        <v>806</v>
      </c>
    </row>
    <row r="3" spans="1:4">
      <c r="A3" t="s">
        <v>205</v>
      </c>
      <c r="B3" t="s">
        <v>553</v>
      </c>
      <c r="C3" t="s">
        <v>708</v>
      </c>
      <c r="D3" t="s">
        <v>792</v>
      </c>
    </row>
    <row r="4" spans="1:4">
      <c r="A4" t="s">
        <v>206</v>
      </c>
      <c r="B4" t="s">
        <v>622</v>
      </c>
      <c r="C4" t="s">
        <v>708</v>
      </c>
      <c r="D4" t="s">
        <v>793</v>
      </c>
    </row>
    <row r="5" spans="1:4">
      <c r="A5" t="s">
        <v>207</v>
      </c>
      <c r="B5" t="s">
        <v>554</v>
      </c>
      <c r="C5" t="s">
        <v>708</v>
      </c>
      <c r="D5" t="s">
        <v>794</v>
      </c>
    </row>
    <row r="6" spans="1:4">
      <c r="A6" t="s">
        <v>201</v>
      </c>
      <c r="B6" t="s">
        <v>555</v>
      </c>
      <c r="C6" t="s">
        <v>708</v>
      </c>
      <c r="D6" t="s">
        <v>795</v>
      </c>
    </row>
    <row r="7" spans="1:4">
      <c r="A7" t="s">
        <v>190</v>
      </c>
      <c r="B7" t="s">
        <v>626</v>
      </c>
      <c r="C7" t="s">
        <v>708</v>
      </c>
      <c r="D7" t="s">
        <v>796</v>
      </c>
    </row>
    <row r="8" spans="1:4">
      <c r="A8" t="s">
        <v>208</v>
      </c>
      <c r="B8" t="s">
        <v>556</v>
      </c>
      <c r="C8" t="s">
        <v>708</v>
      </c>
      <c r="D8" t="s">
        <v>797</v>
      </c>
    </row>
    <row r="9" spans="1:4">
      <c r="A9" t="s">
        <v>209</v>
      </c>
      <c r="B9" t="s">
        <v>557</v>
      </c>
      <c r="C9" t="s">
        <v>708</v>
      </c>
      <c r="D9" t="s">
        <v>798</v>
      </c>
    </row>
    <row r="10" spans="1:4">
      <c r="A10" t="s">
        <v>202</v>
      </c>
      <c r="B10" t="s">
        <v>558</v>
      </c>
      <c r="C10" t="s">
        <v>708</v>
      </c>
      <c r="D10" t="s">
        <v>799</v>
      </c>
    </row>
    <row r="11" spans="1:4">
      <c r="A11" t="s">
        <v>211</v>
      </c>
      <c r="B11" t="s">
        <v>560</v>
      </c>
      <c r="C11" t="s">
        <v>708</v>
      </c>
      <c r="D11" t="s">
        <v>709</v>
      </c>
    </row>
    <row r="12" spans="1:4">
      <c r="A12" t="s">
        <v>212</v>
      </c>
      <c r="B12" t="s">
        <v>561</v>
      </c>
      <c r="C12" t="s">
        <v>708</v>
      </c>
      <c r="D12" t="s">
        <v>710</v>
      </c>
    </row>
    <row r="13" spans="1:4">
      <c r="A13" t="s">
        <v>213</v>
      </c>
      <c r="B13" t="s">
        <v>562</v>
      </c>
      <c r="C13" t="s">
        <v>708</v>
      </c>
      <c r="D13" t="s">
        <v>712</v>
      </c>
    </row>
    <row r="14" spans="1:4">
      <c r="A14" t="s">
        <v>198</v>
      </c>
      <c r="B14" t="s">
        <v>563</v>
      </c>
      <c r="C14" t="s">
        <v>708</v>
      </c>
      <c r="D14" t="s">
        <v>713</v>
      </c>
    </row>
    <row r="15" spans="1:4">
      <c r="A15" t="s">
        <v>215</v>
      </c>
      <c r="B15" t="s">
        <v>564</v>
      </c>
      <c r="C15" t="s">
        <v>708</v>
      </c>
      <c r="D15" t="s">
        <v>714</v>
      </c>
    </row>
    <row r="16" spans="1:4">
      <c r="A16" t="s">
        <v>216</v>
      </c>
      <c r="B16" t="s">
        <v>637</v>
      </c>
      <c r="C16" t="s">
        <v>708</v>
      </c>
      <c r="D16" t="s">
        <v>715</v>
      </c>
    </row>
    <row r="17" spans="1:4">
      <c r="A17" t="s">
        <v>199</v>
      </c>
      <c r="B17" t="s">
        <v>565</v>
      </c>
      <c r="C17" t="s">
        <v>708</v>
      </c>
      <c r="D17" t="s">
        <v>716</v>
      </c>
    </row>
    <row r="18" spans="1:4">
      <c r="A18" t="s">
        <v>217</v>
      </c>
      <c r="B18" t="s">
        <v>566</v>
      </c>
      <c r="C18" t="s">
        <v>708</v>
      </c>
      <c r="D18" t="s">
        <v>717</v>
      </c>
    </row>
    <row r="19" spans="1:4">
      <c r="A19" t="s">
        <v>218</v>
      </c>
      <c r="B19" t="s">
        <v>567</v>
      </c>
      <c r="C19" t="s">
        <v>708</v>
      </c>
      <c r="D19" t="s">
        <v>718</v>
      </c>
    </row>
    <row r="20" spans="1:4">
      <c r="A20" t="s">
        <v>219</v>
      </c>
      <c r="B20" t="s">
        <v>568</v>
      </c>
      <c r="C20" t="s">
        <v>708</v>
      </c>
      <c r="D20" t="s">
        <v>719</v>
      </c>
    </row>
    <row r="21" spans="1:4">
      <c r="A21" t="s">
        <v>221</v>
      </c>
      <c r="B21" t="s">
        <v>569</v>
      </c>
      <c r="C21" t="s">
        <v>708</v>
      </c>
      <c r="D21" t="s">
        <v>720</v>
      </c>
    </row>
    <row r="22" spans="1:4">
      <c r="A22" t="s">
        <v>222</v>
      </c>
      <c r="B22" t="s">
        <v>570</v>
      </c>
      <c r="C22" t="s">
        <v>708</v>
      </c>
      <c r="D22" t="s">
        <v>721</v>
      </c>
    </row>
    <row r="23" spans="1:4">
      <c r="A23" t="s">
        <v>200</v>
      </c>
      <c r="B23" t="s">
        <v>571</v>
      </c>
      <c r="C23" t="s">
        <v>708</v>
      </c>
      <c r="D23" t="s">
        <v>722</v>
      </c>
    </row>
    <row r="24" spans="1:4">
      <c r="A24" t="s">
        <v>223</v>
      </c>
      <c r="B24" t="s">
        <v>646</v>
      </c>
      <c r="C24" t="s">
        <v>708</v>
      </c>
      <c r="D24" t="s">
        <v>723</v>
      </c>
    </row>
    <row r="25" spans="1:4">
      <c r="A25" t="s">
        <v>224</v>
      </c>
      <c r="B25" t="s">
        <v>572</v>
      </c>
      <c r="C25" t="s">
        <v>708</v>
      </c>
      <c r="D25" t="s">
        <v>724</v>
      </c>
    </row>
    <row r="26" spans="1:4">
      <c r="A26" t="s">
        <v>195</v>
      </c>
      <c r="B26" t="s">
        <v>573</v>
      </c>
      <c r="C26" t="s">
        <v>708</v>
      </c>
      <c r="D26" t="s">
        <v>725</v>
      </c>
    </row>
    <row r="27" spans="1:4">
      <c r="A27" t="s">
        <v>225</v>
      </c>
      <c r="B27" t="s">
        <v>574</v>
      </c>
      <c r="C27" t="s">
        <v>708</v>
      </c>
      <c r="D27" t="s">
        <v>726</v>
      </c>
    </row>
    <row r="28" spans="1:4">
      <c r="A28" t="s">
        <v>183</v>
      </c>
      <c r="B28" t="s">
        <v>652</v>
      </c>
      <c r="C28" t="s">
        <v>708</v>
      </c>
      <c r="D28" t="s">
        <v>727</v>
      </c>
    </row>
    <row r="29" spans="1:4">
      <c r="A29" t="s">
        <v>226</v>
      </c>
      <c r="B29" t="s">
        <v>575</v>
      </c>
      <c r="C29" t="s">
        <v>708</v>
      </c>
      <c r="D29" t="s">
        <v>728</v>
      </c>
    </row>
    <row r="30" spans="1:4">
      <c r="A30" t="s">
        <v>193</v>
      </c>
      <c r="B30" t="s">
        <v>576</v>
      </c>
      <c r="C30" t="s">
        <v>708</v>
      </c>
      <c r="D30" t="s">
        <v>729</v>
      </c>
    </row>
    <row r="31" spans="1:4">
      <c r="A31" t="s">
        <v>193</v>
      </c>
      <c r="B31" t="s">
        <v>599</v>
      </c>
      <c r="C31" t="s">
        <v>708</v>
      </c>
      <c r="D31" t="s">
        <v>729</v>
      </c>
    </row>
    <row r="32" spans="1:4">
      <c r="A32" t="s">
        <v>227</v>
      </c>
      <c r="B32" t="s">
        <v>577</v>
      </c>
      <c r="C32" t="s">
        <v>708</v>
      </c>
      <c r="D32" t="s">
        <v>730</v>
      </c>
    </row>
    <row r="33" spans="1:4">
      <c r="A33" t="s">
        <v>550</v>
      </c>
      <c r="B33" t="s">
        <v>658</v>
      </c>
      <c r="C33" t="s">
        <v>708</v>
      </c>
      <c r="D33" t="s">
        <v>802</v>
      </c>
    </row>
    <row r="34" spans="1:4">
      <c r="A34" t="s">
        <v>228</v>
      </c>
      <c r="B34" t="s">
        <v>578</v>
      </c>
      <c r="C34" t="s">
        <v>708</v>
      </c>
      <c r="D34" t="s">
        <v>731</v>
      </c>
    </row>
    <row r="35" spans="1:4">
      <c r="A35" t="s">
        <v>229</v>
      </c>
      <c r="B35" t="s">
        <v>579</v>
      </c>
      <c r="C35" t="s">
        <v>708</v>
      </c>
      <c r="D35" t="s">
        <v>732</v>
      </c>
    </row>
    <row r="36" spans="1:4">
      <c r="A36" t="s">
        <v>194</v>
      </c>
      <c r="B36" t="s">
        <v>580</v>
      </c>
      <c r="C36" t="s">
        <v>708</v>
      </c>
      <c r="D36" t="s">
        <v>733</v>
      </c>
    </row>
    <row r="37" spans="1:4">
      <c r="A37" t="s">
        <v>230</v>
      </c>
      <c r="B37" t="s">
        <v>581</v>
      </c>
      <c r="C37" t="s">
        <v>708</v>
      </c>
      <c r="D37" t="s">
        <v>734</v>
      </c>
    </row>
    <row r="38" spans="1:4">
      <c r="A38" t="s">
        <v>197</v>
      </c>
      <c r="B38" t="s">
        <v>582</v>
      </c>
      <c r="C38" t="s">
        <v>708</v>
      </c>
      <c r="D38" t="s">
        <v>782</v>
      </c>
    </row>
    <row r="39" spans="1:4">
      <c r="A39" t="s">
        <v>231</v>
      </c>
      <c r="B39" t="s">
        <v>665</v>
      </c>
      <c r="C39" t="s">
        <v>708</v>
      </c>
      <c r="D39" t="s">
        <v>735</v>
      </c>
    </row>
    <row r="40" spans="1:4">
      <c r="A40" t="s">
        <v>769</v>
      </c>
      <c r="B40" t="s">
        <v>559</v>
      </c>
      <c r="C40" t="s">
        <v>708</v>
      </c>
      <c r="D40" t="s">
        <v>781</v>
      </c>
    </row>
    <row r="41" spans="1:4">
      <c r="A41" t="s">
        <v>769</v>
      </c>
      <c r="B41" t="s">
        <v>776</v>
      </c>
      <c r="C41" t="s">
        <v>708</v>
      </c>
      <c r="D41" t="s">
        <v>808</v>
      </c>
    </row>
    <row r="42" spans="1:4">
      <c r="A42" t="s">
        <v>232</v>
      </c>
      <c r="B42" t="s">
        <v>571</v>
      </c>
      <c r="C42" t="s">
        <v>708</v>
      </c>
      <c r="D42" t="s">
        <v>736</v>
      </c>
    </row>
    <row r="43" spans="1:4">
      <c r="A43" t="s">
        <v>233</v>
      </c>
      <c r="B43" t="s">
        <v>583</v>
      </c>
      <c r="C43" t="s">
        <v>708</v>
      </c>
      <c r="D43" t="s">
        <v>737</v>
      </c>
    </row>
    <row r="44" spans="1:4">
      <c r="A44" t="s">
        <v>234</v>
      </c>
      <c r="B44" t="s">
        <v>669</v>
      </c>
      <c r="C44" t="s">
        <v>708</v>
      </c>
      <c r="D44" t="s">
        <v>738</v>
      </c>
    </row>
    <row r="45" spans="1:4">
      <c r="A45" t="s">
        <v>235</v>
      </c>
      <c r="B45" t="s">
        <v>584</v>
      </c>
      <c r="C45" t="s">
        <v>708</v>
      </c>
      <c r="D45" t="s">
        <v>739</v>
      </c>
    </row>
    <row r="46" spans="1:4">
      <c r="A46" t="s">
        <v>236</v>
      </c>
      <c r="B46" t="s">
        <v>585</v>
      </c>
      <c r="C46" t="s">
        <v>708</v>
      </c>
      <c r="D46" t="s">
        <v>740</v>
      </c>
    </row>
    <row r="47" spans="1:4">
      <c r="A47" t="s">
        <v>185</v>
      </c>
      <c r="B47" t="s">
        <v>673</v>
      </c>
      <c r="C47" t="s">
        <v>708</v>
      </c>
      <c r="D47" t="s">
        <v>741</v>
      </c>
    </row>
    <row r="48" spans="1:4">
      <c r="A48" t="s">
        <v>238</v>
      </c>
      <c r="B48" t="s">
        <v>675</v>
      </c>
      <c r="C48" t="s">
        <v>708</v>
      </c>
      <c r="D48" t="s">
        <v>743</v>
      </c>
    </row>
    <row r="49" spans="1:4">
      <c r="A49" t="s">
        <v>239</v>
      </c>
      <c r="B49" t="s">
        <v>678</v>
      </c>
      <c r="C49" t="s">
        <v>708</v>
      </c>
      <c r="D49" t="s">
        <v>783</v>
      </c>
    </row>
    <row r="50" spans="1:4">
      <c r="A50" t="s">
        <v>189</v>
      </c>
      <c r="B50" t="s">
        <v>681</v>
      </c>
      <c r="C50" t="s">
        <v>708</v>
      </c>
      <c r="D50" t="s">
        <v>744</v>
      </c>
    </row>
    <row r="51" spans="1:4">
      <c r="A51" t="s">
        <v>196</v>
      </c>
      <c r="B51" t="s">
        <v>588</v>
      </c>
      <c r="C51" t="s">
        <v>708</v>
      </c>
      <c r="D51" t="s">
        <v>745</v>
      </c>
    </row>
    <row r="52" spans="1:4">
      <c r="A52" t="s">
        <v>187</v>
      </c>
      <c r="B52" t="s">
        <v>589</v>
      </c>
      <c r="C52" t="s">
        <v>708</v>
      </c>
      <c r="D52" t="s">
        <v>746</v>
      </c>
    </row>
    <row r="53" spans="1:4">
      <c r="A53" t="s">
        <v>542</v>
      </c>
      <c r="B53" t="s">
        <v>590</v>
      </c>
      <c r="C53" t="s">
        <v>708</v>
      </c>
      <c r="D53" t="s">
        <v>747</v>
      </c>
    </row>
    <row r="54" spans="1:4">
      <c r="A54" t="s">
        <v>240</v>
      </c>
      <c r="B54" t="s">
        <v>591</v>
      </c>
      <c r="C54" t="s">
        <v>708</v>
      </c>
      <c r="D54" t="s">
        <v>748</v>
      </c>
    </row>
    <row r="55" spans="1:4">
      <c r="A55" t="s">
        <v>241</v>
      </c>
      <c r="B55" t="s">
        <v>592</v>
      </c>
      <c r="C55" t="s">
        <v>708</v>
      </c>
      <c r="D55" t="s">
        <v>749</v>
      </c>
    </row>
    <row r="56" spans="1:4">
      <c r="A56" t="s">
        <v>242</v>
      </c>
      <c r="B56" t="s">
        <v>593</v>
      </c>
      <c r="C56" t="s">
        <v>708</v>
      </c>
      <c r="D56" t="s">
        <v>750</v>
      </c>
    </row>
    <row r="57" spans="1:4">
      <c r="A57" t="s">
        <v>243</v>
      </c>
      <c r="B57" t="s">
        <v>594</v>
      </c>
      <c r="C57" t="s">
        <v>708</v>
      </c>
      <c r="D57" t="s">
        <v>751</v>
      </c>
    </row>
    <row r="58" spans="1:4">
      <c r="A58" t="s">
        <v>244</v>
      </c>
      <c r="B58" t="s">
        <v>578</v>
      </c>
      <c r="C58" t="s">
        <v>708</v>
      </c>
      <c r="D58" t="s">
        <v>752</v>
      </c>
    </row>
    <row r="59" spans="1:4">
      <c r="A59" t="s">
        <v>188</v>
      </c>
      <c r="B59" t="s">
        <v>595</v>
      </c>
      <c r="C59" t="s">
        <v>708</v>
      </c>
      <c r="D59" t="s">
        <v>753</v>
      </c>
    </row>
    <row r="60" spans="1:4">
      <c r="A60" t="s">
        <v>245</v>
      </c>
      <c r="B60" t="s">
        <v>596</v>
      </c>
      <c r="C60" t="s">
        <v>708</v>
      </c>
      <c r="D60" t="s">
        <v>754</v>
      </c>
    </row>
    <row r="61" spans="1:4">
      <c r="A61" t="s">
        <v>182</v>
      </c>
      <c r="B61" t="s">
        <v>693</v>
      </c>
      <c r="C61" t="s">
        <v>708</v>
      </c>
      <c r="D61" t="s">
        <v>755</v>
      </c>
    </row>
    <row r="62" spans="1:4">
      <c r="A62" t="s">
        <v>246</v>
      </c>
      <c r="B62" t="s">
        <v>597</v>
      </c>
      <c r="C62" t="s">
        <v>708</v>
      </c>
      <c r="D62" t="s">
        <v>756</v>
      </c>
    </row>
    <row r="63" spans="1:4">
      <c r="A63" t="s">
        <v>247</v>
      </c>
      <c r="B63" t="s">
        <v>697</v>
      </c>
      <c r="C63" t="s">
        <v>708</v>
      </c>
      <c r="D63" t="s">
        <v>757</v>
      </c>
    </row>
    <row r="64" spans="1:4">
      <c r="A64" t="s">
        <v>248</v>
      </c>
      <c r="B64" t="s">
        <v>598</v>
      </c>
      <c r="C64" t="s">
        <v>708</v>
      </c>
      <c r="D64" t="s">
        <v>758</v>
      </c>
    </row>
    <row r="65" spans="1:4">
      <c r="A65" t="s">
        <v>249</v>
      </c>
      <c r="B65" t="s">
        <v>599</v>
      </c>
      <c r="C65" t="s">
        <v>708</v>
      </c>
      <c r="D65" t="s">
        <v>759</v>
      </c>
    </row>
    <row r="66" spans="1:4">
      <c r="A66" t="s">
        <v>250</v>
      </c>
      <c r="B66" t="s">
        <v>701</v>
      </c>
      <c r="C66" t="s">
        <v>708</v>
      </c>
      <c r="D66" t="s">
        <v>760</v>
      </c>
    </row>
    <row r="67" spans="1:4">
      <c r="A67" t="s">
        <v>251</v>
      </c>
      <c r="B67" t="s">
        <v>596</v>
      </c>
      <c r="C67" t="s">
        <v>708</v>
      </c>
      <c r="D67" t="s">
        <v>761</v>
      </c>
    </row>
    <row r="68" spans="1:4">
      <c r="A68" t="s">
        <v>252</v>
      </c>
      <c r="B68" t="s">
        <v>704</v>
      </c>
      <c r="C68" t="s">
        <v>708</v>
      </c>
      <c r="D68" t="s">
        <v>762</v>
      </c>
    </row>
    <row r="69" spans="1:4">
      <c r="A69" t="s">
        <v>253</v>
      </c>
      <c r="B69" t="s">
        <v>600</v>
      </c>
      <c r="C69" t="s">
        <v>708</v>
      </c>
      <c r="D69" t="s">
        <v>763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D13F-BB1A-4FDB-A6A9-114C5D92CC34}">
  <dimension ref="A1:D10"/>
  <sheetViews>
    <sheetView workbookViewId="0"/>
  </sheetViews>
  <sheetFormatPr defaultRowHeight="21"/>
  <sheetData>
    <row r="1" spans="1:4">
      <c r="A1" t="s">
        <v>613</v>
      </c>
      <c r="B1" t="s">
        <v>614</v>
      </c>
      <c r="C1" t="s">
        <v>615</v>
      </c>
      <c r="D1" t="s">
        <v>616</v>
      </c>
    </row>
    <row r="2" spans="1:4">
      <c r="A2" t="s">
        <v>223</v>
      </c>
      <c r="B2" t="s">
        <v>551</v>
      </c>
      <c r="C2" t="s">
        <v>708</v>
      </c>
      <c r="D2" t="s">
        <v>791</v>
      </c>
    </row>
    <row r="3" spans="1:4">
      <c r="A3" t="s">
        <v>769</v>
      </c>
      <c r="B3" t="s">
        <v>559</v>
      </c>
      <c r="C3" t="s">
        <v>708</v>
      </c>
      <c r="D3" t="s">
        <v>779</v>
      </c>
    </row>
    <row r="4" spans="1:4">
      <c r="A4" t="s">
        <v>767</v>
      </c>
      <c r="B4" t="s">
        <v>765</v>
      </c>
      <c r="C4" t="s">
        <v>708</v>
      </c>
      <c r="D4" t="s">
        <v>711</v>
      </c>
    </row>
    <row r="5" spans="1:4">
      <c r="A5" t="s">
        <v>771</v>
      </c>
      <c r="B5" t="s">
        <v>772</v>
      </c>
      <c r="C5" t="s">
        <v>708</v>
      </c>
      <c r="D5" t="s">
        <v>786</v>
      </c>
    </row>
    <row r="6" spans="1:4">
      <c r="A6" t="s">
        <v>237</v>
      </c>
      <c r="B6" t="s">
        <v>586</v>
      </c>
      <c r="C6" t="s">
        <v>708</v>
      </c>
      <c r="D6" t="s">
        <v>742</v>
      </c>
    </row>
    <row r="7" spans="1:4">
      <c r="A7" t="s">
        <v>239</v>
      </c>
      <c r="B7" t="s">
        <v>587</v>
      </c>
      <c r="C7" t="s">
        <v>708</v>
      </c>
      <c r="D7" t="s">
        <v>803</v>
      </c>
    </row>
    <row r="8" spans="1:4">
      <c r="A8" t="s">
        <v>550</v>
      </c>
      <c r="B8" t="s">
        <v>790</v>
      </c>
      <c r="C8" t="s">
        <v>708</v>
      </c>
      <c r="D8" t="s">
        <v>801</v>
      </c>
    </row>
    <row r="9" spans="1:4">
      <c r="A9" t="s">
        <v>186</v>
      </c>
      <c r="B9" t="s">
        <v>552</v>
      </c>
      <c r="C9" t="s">
        <v>708</v>
      </c>
      <c r="D9" t="s">
        <v>805</v>
      </c>
    </row>
    <row r="10" spans="1:4">
      <c r="A10" t="s">
        <v>807</v>
      </c>
      <c r="B10" t="s">
        <v>790</v>
      </c>
      <c r="C10" t="s">
        <v>708</v>
      </c>
      <c r="D10" t="s">
        <v>809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3779-CCF8-43BA-AEFF-2336C12771BD}">
  <dimension ref="B1:V242"/>
  <sheetViews>
    <sheetView showGridLines="0" topLeftCell="A48" zoomScale="40" zoomScaleNormal="40" workbookViewId="0">
      <selection activeCell="D57" sqref="D57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75" customWidth="1"/>
    <col min="19" max="19" width="3.69921875" style="1" customWidth="1"/>
    <col min="20" max="20" width="2.796875" customWidth="1"/>
    <col min="21" max="21" width="6.19921875" customWidth="1"/>
    <col min="22" max="22" width="71.69921875" style="59" customWidth="1"/>
    <col min="23" max="23" width="10.19921875" bestFit="1" customWidth="1"/>
  </cols>
  <sheetData>
    <row r="1" spans="2:22">
      <c r="D1" s="96">
        <f xml:space="preserve"> COLUMN()</f>
        <v>4</v>
      </c>
      <c r="E1" s="96">
        <f t="shared" ref="E1:R1" si="0" xml:space="preserve"> COLUMN()</f>
        <v>5</v>
      </c>
      <c r="F1" s="96">
        <f t="shared" si="0"/>
        <v>6</v>
      </c>
      <c r="G1" s="96">
        <f t="shared" si="0"/>
        <v>7</v>
      </c>
      <c r="H1" s="96">
        <f t="shared" si="0"/>
        <v>8</v>
      </c>
      <c r="I1" s="96">
        <f t="shared" si="0"/>
        <v>9</v>
      </c>
      <c r="J1" s="96">
        <f t="shared" si="0"/>
        <v>10</v>
      </c>
      <c r="K1" s="96">
        <f t="shared" si="0"/>
        <v>11</v>
      </c>
      <c r="L1" s="96">
        <f t="shared" si="0"/>
        <v>12</v>
      </c>
      <c r="M1" s="96">
        <f t="shared" si="0"/>
        <v>13</v>
      </c>
      <c r="N1" s="96">
        <f t="shared" si="0"/>
        <v>14</v>
      </c>
      <c r="O1" s="96">
        <f t="shared" si="0"/>
        <v>15</v>
      </c>
      <c r="P1" s="96">
        <f t="shared" si="0"/>
        <v>16</v>
      </c>
      <c r="Q1" s="96">
        <f t="shared" si="0"/>
        <v>17</v>
      </c>
      <c r="R1" s="96">
        <f t="shared" si="0"/>
        <v>18</v>
      </c>
    </row>
    <row r="2" spans="2:22" s="51" customFormat="1" ht="36" customHeight="1"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84"/>
      <c r="V2" s="58">
        <f xml:space="preserve"> LEN(V3)</f>
        <v>145</v>
      </c>
    </row>
    <row r="3" spans="2:22" s="61" customFormat="1" ht="60" customHeight="1">
      <c r="B3" s="60"/>
      <c r="C3" s="79"/>
      <c r="D3" s="76"/>
      <c r="E3" s="76" t="s">
        <v>551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T3" s="85"/>
      <c r="V3" s="100" t="s">
        <v>789</v>
      </c>
    </row>
    <row r="4" spans="2:22" s="1" customFormat="1" ht="36" customHeight="1">
      <c r="B4" s="55"/>
      <c r="D4" s="97"/>
      <c r="E4" s="97" t="s">
        <v>264</v>
      </c>
      <c r="F4" s="97" t="s">
        <v>619</v>
      </c>
      <c r="G4" s="97" t="s">
        <v>266</v>
      </c>
      <c r="H4" s="97" t="s">
        <v>257</v>
      </c>
      <c r="I4" s="97" t="s">
        <v>267</v>
      </c>
      <c r="J4" s="97" t="s">
        <v>268</v>
      </c>
      <c r="K4" s="97" t="s">
        <v>627</v>
      </c>
      <c r="L4" s="97" t="s">
        <v>270</v>
      </c>
      <c r="M4" s="97" t="s">
        <v>271</v>
      </c>
      <c r="N4" s="97" t="s">
        <v>272</v>
      </c>
      <c r="O4" s="97"/>
      <c r="P4" s="97"/>
      <c r="Q4" s="97"/>
      <c r="R4" s="97"/>
      <c r="S4" s="86"/>
      <c r="V4" s="101"/>
    </row>
    <row r="5" spans="2:22" s="1" customFormat="1" ht="80.099999999999994" customHeight="1">
      <c r="B5" s="56">
        <v>1</v>
      </c>
      <c r="D5" s="90" t="s">
        <v>787</v>
      </c>
      <c r="E5" s="90" t="s">
        <v>223</v>
      </c>
      <c r="F5" s="90" t="s">
        <v>186</v>
      </c>
      <c r="G5" s="90" t="s">
        <v>205</v>
      </c>
      <c r="H5" s="90" t="s">
        <v>206</v>
      </c>
      <c r="I5" s="90" t="s">
        <v>207</v>
      </c>
      <c r="J5" s="90" t="s">
        <v>201</v>
      </c>
      <c r="K5" s="90" t="s">
        <v>190</v>
      </c>
      <c r="L5" s="90" t="s">
        <v>208</v>
      </c>
      <c r="M5" s="90" t="s">
        <v>209</v>
      </c>
      <c r="N5" s="90" t="s">
        <v>202</v>
      </c>
      <c r="O5" s="90" t="s">
        <v>788</v>
      </c>
      <c r="P5" s="90" t="str">
        <f>CHAR(10)</f>
        <v xml:space="preserve">
</v>
      </c>
      <c r="Q5" s="90"/>
      <c r="R5" s="90"/>
      <c r="S5" s="87"/>
      <c r="V5" s="101"/>
    </row>
    <row r="6" spans="2:22" s="50" customFormat="1" ht="36" customHeight="1">
      <c r="B6" s="57"/>
      <c r="C6" s="80"/>
      <c r="D6" s="98"/>
      <c r="E6" s="98" t="s">
        <v>617</v>
      </c>
      <c r="F6" s="98" t="s">
        <v>620</v>
      </c>
      <c r="G6" s="98" t="s">
        <v>621</v>
      </c>
      <c r="H6" s="98" t="s">
        <v>623</v>
      </c>
      <c r="I6" s="98" t="s">
        <v>624</v>
      </c>
      <c r="J6" s="98" t="s">
        <v>625</v>
      </c>
      <c r="K6" s="98" t="s">
        <v>628</v>
      </c>
      <c r="L6" s="98" t="s">
        <v>629</v>
      </c>
      <c r="M6" s="98" t="s">
        <v>630</v>
      </c>
      <c r="N6" s="98" t="s">
        <v>631</v>
      </c>
      <c r="O6" s="98"/>
      <c r="P6" s="98"/>
      <c r="Q6" s="98"/>
      <c r="R6" s="98"/>
      <c r="S6" s="88"/>
      <c r="V6" s="101"/>
    </row>
    <row r="7" spans="2:22" s="49" customFormat="1" ht="60" customHeight="1">
      <c r="B7" s="54"/>
      <c r="C7" s="81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63"/>
      <c r="V7" s="101"/>
    </row>
    <row r="8" spans="2:22" s="1" customFormat="1" ht="36" customHeight="1">
      <c r="B8" s="55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86"/>
      <c r="V8" s="101"/>
    </row>
    <row r="9" spans="2:22" s="1" customFormat="1" ht="80.099999999999994" customHeight="1">
      <c r="B9" s="56">
        <f>B5+1</f>
        <v>2</v>
      </c>
      <c r="D9" s="90" t="str">
        <f>CHAR(10)</f>
        <v xml:space="preserve">
</v>
      </c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87"/>
      <c r="T9" s="85"/>
      <c r="V9" s="101"/>
    </row>
    <row r="10" spans="2:22" s="1" customFormat="1" ht="36" customHeight="1">
      <c r="B10" s="57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89"/>
      <c r="V10" s="101"/>
    </row>
    <row r="11" spans="2:22" s="63" customFormat="1" ht="60" customHeight="1">
      <c r="B11" s="62"/>
      <c r="C11" s="82"/>
      <c r="D11" s="76"/>
      <c r="E11" s="76"/>
      <c r="F11" s="76"/>
      <c r="G11" s="116" t="s">
        <v>766</v>
      </c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V11" s="101"/>
    </row>
    <row r="12" spans="2:22" s="1" customFormat="1" ht="36" customHeight="1">
      <c r="B12" s="55"/>
      <c r="D12" s="97" t="s">
        <v>777</v>
      </c>
      <c r="E12" s="97" t="s">
        <v>274</v>
      </c>
      <c r="F12" s="97" t="s">
        <v>275</v>
      </c>
      <c r="G12" s="117" t="s">
        <v>766</v>
      </c>
      <c r="H12" s="97" t="s">
        <v>276</v>
      </c>
      <c r="I12" s="97" t="s">
        <v>277</v>
      </c>
      <c r="J12" s="97"/>
      <c r="K12" s="97" t="s">
        <v>321</v>
      </c>
      <c r="L12" s="97" t="s">
        <v>258</v>
      </c>
      <c r="M12" s="97"/>
      <c r="N12" s="97" t="s">
        <v>278</v>
      </c>
      <c r="O12" s="97" t="s">
        <v>314</v>
      </c>
      <c r="P12" s="97"/>
      <c r="Q12" s="97" t="s">
        <v>279</v>
      </c>
      <c r="R12" s="97" t="s">
        <v>322</v>
      </c>
      <c r="S12" s="86"/>
      <c r="V12" s="101"/>
    </row>
    <row r="13" spans="2:22" s="1" customFormat="1" ht="80.099999999999994" customHeight="1">
      <c r="B13" s="56">
        <f>B9+1</f>
        <v>3</v>
      </c>
      <c r="D13" s="90" t="s">
        <v>770</v>
      </c>
      <c r="E13" s="90" t="s">
        <v>211</v>
      </c>
      <c r="F13" s="90" t="s">
        <v>212</v>
      </c>
      <c r="G13" s="90" t="s">
        <v>768</v>
      </c>
      <c r="H13" s="90" t="s">
        <v>213</v>
      </c>
      <c r="I13" s="90" t="s">
        <v>198</v>
      </c>
      <c r="J13" s="90" t="s">
        <v>214</v>
      </c>
      <c r="K13" s="90" t="s">
        <v>215</v>
      </c>
      <c r="L13" s="90" t="s">
        <v>216</v>
      </c>
      <c r="M13" s="90" t="s">
        <v>214</v>
      </c>
      <c r="N13" s="90" t="s">
        <v>199</v>
      </c>
      <c r="O13" s="90" t="s">
        <v>217</v>
      </c>
      <c r="P13" s="90" t="s">
        <v>214</v>
      </c>
      <c r="Q13" s="90" t="s">
        <v>218</v>
      </c>
      <c r="R13" s="90" t="s">
        <v>219</v>
      </c>
      <c r="S13" s="87"/>
      <c r="V13" s="101"/>
    </row>
    <row r="14" spans="2:22" s="1" customFormat="1" ht="36" customHeight="1">
      <c r="B14" s="57"/>
      <c r="D14" s="98" t="s">
        <v>778</v>
      </c>
      <c r="E14" s="98" t="s">
        <v>632</v>
      </c>
      <c r="F14" s="98" t="s">
        <v>633</v>
      </c>
      <c r="G14" s="118" t="s">
        <v>774</v>
      </c>
      <c r="H14" s="98" t="s">
        <v>634</v>
      </c>
      <c r="I14" s="98" t="s">
        <v>635</v>
      </c>
      <c r="J14" s="98"/>
      <c r="K14" s="98" t="s">
        <v>636</v>
      </c>
      <c r="L14" s="98" t="s">
        <v>638</v>
      </c>
      <c r="M14" s="98"/>
      <c r="N14" s="98" t="s">
        <v>639</v>
      </c>
      <c r="O14" s="98" t="s">
        <v>640</v>
      </c>
      <c r="P14" s="98"/>
      <c r="Q14" s="98" t="s">
        <v>641</v>
      </c>
      <c r="R14" s="98" t="s">
        <v>642</v>
      </c>
      <c r="S14" s="89"/>
      <c r="V14" s="101"/>
    </row>
    <row r="15" spans="2:22" s="64" customFormat="1" ht="60" customHeight="1">
      <c r="B15" s="60"/>
      <c r="C15" s="83"/>
      <c r="D15" s="76" t="s">
        <v>772</v>
      </c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V15" s="101"/>
    </row>
    <row r="16" spans="2:22" s="1" customFormat="1" ht="36" customHeight="1">
      <c r="B16" s="55"/>
      <c r="D16" s="97" t="s">
        <v>773</v>
      </c>
      <c r="E16" s="97" t="s">
        <v>280</v>
      </c>
      <c r="F16" s="97" t="s">
        <v>323</v>
      </c>
      <c r="G16" s="97" t="s">
        <v>281</v>
      </c>
      <c r="H16" s="97" t="s">
        <v>267</v>
      </c>
      <c r="I16" s="97" t="s">
        <v>647</v>
      </c>
      <c r="J16" s="97" t="s">
        <v>283</v>
      </c>
      <c r="K16" s="97"/>
      <c r="L16" s="97" t="s">
        <v>324</v>
      </c>
      <c r="M16" s="97" t="s">
        <v>284</v>
      </c>
      <c r="N16" s="97" t="s">
        <v>653</v>
      </c>
      <c r="O16" s="97" t="s">
        <v>647</v>
      </c>
      <c r="P16" s="97" t="s">
        <v>267</v>
      </c>
      <c r="Q16" s="97" t="s">
        <v>647</v>
      </c>
      <c r="R16" s="97" t="s">
        <v>283</v>
      </c>
      <c r="S16" s="86"/>
      <c r="V16" s="101"/>
    </row>
    <row r="17" spans="2:22" s="1" customFormat="1" ht="80.099999999999994" customHeight="1">
      <c r="B17" s="56">
        <f>B13+1</f>
        <v>4</v>
      </c>
      <c r="D17" s="90" t="s">
        <v>771</v>
      </c>
      <c r="E17" s="90" t="s">
        <v>221</v>
      </c>
      <c r="F17" s="90" t="s">
        <v>222</v>
      </c>
      <c r="G17" s="90" t="s">
        <v>200</v>
      </c>
      <c r="H17" s="90" t="s">
        <v>207</v>
      </c>
      <c r="I17" s="90" t="s">
        <v>223</v>
      </c>
      <c r="J17" s="90" t="s">
        <v>224</v>
      </c>
      <c r="K17" s="90" t="s">
        <v>181</v>
      </c>
      <c r="L17" s="90" t="s">
        <v>195</v>
      </c>
      <c r="M17" s="90" t="s">
        <v>225</v>
      </c>
      <c r="N17" s="90" t="s">
        <v>183</v>
      </c>
      <c r="O17" s="90" t="s">
        <v>223</v>
      </c>
      <c r="P17" s="90" t="s">
        <v>207</v>
      </c>
      <c r="Q17" s="90" t="s">
        <v>223</v>
      </c>
      <c r="R17" s="90" t="s">
        <v>224</v>
      </c>
      <c r="S17" s="87"/>
      <c r="V17" s="101"/>
    </row>
    <row r="18" spans="2:22" s="1" customFormat="1" ht="36" customHeight="1">
      <c r="B18" s="57"/>
      <c r="D18" s="98" t="s">
        <v>775</v>
      </c>
      <c r="E18" s="98" t="s">
        <v>643</v>
      </c>
      <c r="F18" s="98" t="s">
        <v>644</v>
      </c>
      <c r="G18" s="98" t="s">
        <v>645</v>
      </c>
      <c r="H18" s="98" t="s">
        <v>624</v>
      </c>
      <c r="I18" s="98" t="s">
        <v>648</v>
      </c>
      <c r="J18" s="98" t="s">
        <v>649</v>
      </c>
      <c r="K18" s="98"/>
      <c r="L18" s="98" t="s">
        <v>650</v>
      </c>
      <c r="M18" s="98" t="s">
        <v>651</v>
      </c>
      <c r="N18" s="98" t="s">
        <v>654</v>
      </c>
      <c r="O18" s="98" t="s">
        <v>648</v>
      </c>
      <c r="P18" s="98" t="s">
        <v>624</v>
      </c>
      <c r="Q18" s="98" t="s">
        <v>648</v>
      </c>
      <c r="R18" s="98" t="s">
        <v>649</v>
      </c>
      <c r="S18" s="89"/>
      <c r="V18" s="101"/>
    </row>
    <row r="19" spans="2:22" s="64" customFormat="1" ht="60" customHeight="1">
      <c r="B19" s="60"/>
      <c r="C19" s="83"/>
      <c r="D19" s="76"/>
      <c r="E19" s="76"/>
      <c r="F19" s="76"/>
      <c r="G19" s="11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V19" s="101"/>
    </row>
    <row r="20" spans="2:22" s="1" customFormat="1" ht="36" customHeight="1">
      <c r="B20" s="55"/>
      <c r="D20" s="97"/>
      <c r="E20" s="97" t="s">
        <v>647</v>
      </c>
      <c r="F20" s="97" t="s">
        <v>286</v>
      </c>
      <c r="G20" s="117" t="s">
        <v>308</v>
      </c>
      <c r="H20" s="97" t="s">
        <v>267</v>
      </c>
      <c r="I20" s="97" t="s">
        <v>647</v>
      </c>
      <c r="J20" s="97" t="s">
        <v>283</v>
      </c>
      <c r="K20" s="97"/>
      <c r="L20" s="97" t="s">
        <v>288</v>
      </c>
      <c r="M20" s="97" t="s">
        <v>465</v>
      </c>
      <c r="N20" s="97" t="s">
        <v>289</v>
      </c>
      <c r="O20" s="97" t="s">
        <v>290</v>
      </c>
      <c r="P20" s="97" t="s">
        <v>312</v>
      </c>
      <c r="Q20" s="97" t="s">
        <v>291</v>
      </c>
      <c r="R20" s="97"/>
      <c r="S20" s="86"/>
      <c r="V20" s="101"/>
    </row>
    <row r="21" spans="2:22" s="1" customFormat="1" ht="80.099999999999994" customHeight="1">
      <c r="B21" s="56">
        <f>B17+1</f>
        <v>5</v>
      </c>
      <c r="D21" s="90" t="s">
        <v>181</v>
      </c>
      <c r="E21" s="90" t="s">
        <v>223</v>
      </c>
      <c r="F21" s="90" t="s">
        <v>226</v>
      </c>
      <c r="G21" s="115" t="s">
        <v>193</v>
      </c>
      <c r="H21" s="90" t="s">
        <v>207</v>
      </c>
      <c r="I21" s="90" t="s">
        <v>223</v>
      </c>
      <c r="J21" s="90" t="s">
        <v>224</v>
      </c>
      <c r="K21" s="90" t="s">
        <v>181</v>
      </c>
      <c r="L21" s="90" t="s">
        <v>227</v>
      </c>
      <c r="M21" s="94" t="s">
        <v>550</v>
      </c>
      <c r="N21" s="90" t="s">
        <v>228</v>
      </c>
      <c r="O21" s="90" t="s">
        <v>229</v>
      </c>
      <c r="P21" s="90" t="s">
        <v>194</v>
      </c>
      <c r="Q21" s="90" t="s">
        <v>230</v>
      </c>
      <c r="R21" s="90" t="s">
        <v>214</v>
      </c>
      <c r="S21" s="87"/>
      <c r="V21" s="101"/>
    </row>
    <row r="22" spans="2:22" s="1" customFormat="1" ht="36" customHeight="1">
      <c r="B22" s="57"/>
      <c r="D22" s="98"/>
      <c r="E22" s="98" t="s">
        <v>648</v>
      </c>
      <c r="F22" s="98" t="s">
        <v>655</v>
      </c>
      <c r="G22" s="118" t="s">
        <v>656</v>
      </c>
      <c r="H22" s="98" t="s">
        <v>624</v>
      </c>
      <c r="I22" s="98" t="s">
        <v>648</v>
      </c>
      <c r="J22" s="98" t="s">
        <v>649</v>
      </c>
      <c r="K22" s="98"/>
      <c r="L22" s="98" t="s">
        <v>657</v>
      </c>
      <c r="M22" s="98" t="s">
        <v>659</v>
      </c>
      <c r="N22" s="98" t="s">
        <v>660</v>
      </c>
      <c r="O22" s="98" t="s">
        <v>661</v>
      </c>
      <c r="P22" s="98" t="s">
        <v>662</v>
      </c>
      <c r="Q22" s="98" t="s">
        <v>663</v>
      </c>
      <c r="R22" s="98"/>
      <c r="S22" s="89"/>
      <c r="V22" s="102"/>
    </row>
    <row r="23" spans="2:22" s="64" customFormat="1" ht="60" customHeight="1">
      <c r="B23" s="60"/>
      <c r="C23" s="83"/>
      <c r="D23" s="76"/>
      <c r="E23" s="76"/>
      <c r="F23" s="76"/>
      <c r="G23" s="76"/>
      <c r="H23" s="76" t="s">
        <v>773</v>
      </c>
      <c r="I23" s="116"/>
      <c r="J23" s="76"/>
      <c r="K23" s="76"/>
      <c r="L23" s="76"/>
      <c r="M23" s="76"/>
      <c r="N23" s="76"/>
      <c r="O23" s="76"/>
      <c r="P23" s="76"/>
      <c r="Q23" s="76"/>
      <c r="R23" s="76"/>
      <c r="V23" s="65"/>
    </row>
    <row r="24" spans="2:22" s="1" customFormat="1" ht="36" customHeight="1">
      <c r="B24" s="55"/>
      <c r="D24" s="97" t="s">
        <v>312</v>
      </c>
      <c r="E24" s="97" t="s">
        <v>291</v>
      </c>
      <c r="F24" s="97" t="s">
        <v>325</v>
      </c>
      <c r="G24" s="97" t="s">
        <v>666</v>
      </c>
      <c r="H24" s="97" t="s">
        <v>773</v>
      </c>
      <c r="I24" s="117" t="s">
        <v>777</v>
      </c>
      <c r="J24" s="97" t="s">
        <v>281</v>
      </c>
      <c r="K24" s="97" t="s">
        <v>292</v>
      </c>
      <c r="L24" s="97" t="s">
        <v>267</v>
      </c>
      <c r="M24" s="97" t="s">
        <v>260</v>
      </c>
      <c r="N24" s="97" t="s">
        <v>293</v>
      </c>
      <c r="O24" s="97"/>
      <c r="P24" s="97"/>
      <c r="Q24" s="77"/>
      <c r="R24" s="77"/>
      <c r="S24" s="86"/>
      <c r="V24" s="59"/>
    </row>
    <row r="25" spans="2:22" s="1" customFormat="1" ht="80.099999999999994" customHeight="1">
      <c r="B25" s="56">
        <f>B21+1</f>
        <v>6</v>
      </c>
      <c r="D25" s="90" t="s">
        <v>194</v>
      </c>
      <c r="E25" s="90" t="s">
        <v>230</v>
      </c>
      <c r="F25" s="90" t="s">
        <v>197</v>
      </c>
      <c r="G25" s="90" t="s">
        <v>231</v>
      </c>
      <c r="H25" s="90" t="s">
        <v>154</v>
      </c>
      <c r="I25" s="115" t="s">
        <v>770</v>
      </c>
      <c r="J25" s="90" t="s">
        <v>232</v>
      </c>
      <c r="K25" s="90" t="s">
        <v>233</v>
      </c>
      <c r="L25" s="90" t="s">
        <v>207</v>
      </c>
      <c r="M25" s="90" t="s">
        <v>234</v>
      </c>
      <c r="N25" s="90" t="s">
        <v>235</v>
      </c>
      <c r="O25" s="90" t="s">
        <v>184</v>
      </c>
      <c r="P25" s="90" t="str">
        <f>CHAR(10)</f>
        <v xml:space="preserve">
</v>
      </c>
      <c r="Q25" s="90"/>
      <c r="R25" s="90"/>
      <c r="S25" s="87"/>
      <c r="V25" s="59"/>
    </row>
    <row r="26" spans="2:22" s="1" customFormat="1" ht="36" customHeight="1">
      <c r="B26" s="57"/>
      <c r="D26" s="98" t="s">
        <v>662</v>
      </c>
      <c r="E26" s="98" t="s">
        <v>663</v>
      </c>
      <c r="F26" s="98" t="s">
        <v>664</v>
      </c>
      <c r="G26" s="98" t="s">
        <v>667</v>
      </c>
      <c r="H26" s="98" t="s">
        <v>775</v>
      </c>
      <c r="I26" s="118" t="s">
        <v>778</v>
      </c>
      <c r="J26" s="98" t="s">
        <v>645</v>
      </c>
      <c r="K26" s="98" t="s">
        <v>668</v>
      </c>
      <c r="L26" s="98" t="s">
        <v>624</v>
      </c>
      <c r="M26" s="98" t="s">
        <v>670</v>
      </c>
      <c r="N26" s="98" t="s">
        <v>671</v>
      </c>
      <c r="O26" s="98"/>
      <c r="P26" s="98"/>
      <c r="Q26" s="78"/>
      <c r="R26" s="78"/>
      <c r="S26" s="89"/>
      <c r="U26" s="1" t="str">
        <f xml:space="preserve"> MID($N$26,3,1)</f>
        <v>a</v>
      </c>
      <c r="V26" s="59"/>
    </row>
    <row r="27" spans="2:22" s="64" customFormat="1" ht="60" customHeight="1">
      <c r="B27" s="60"/>
      <c r="C27" s="83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U27" s="64" t="str">
        <f t="shared" ref="U27:U32" si="1" xml:space="preserve"> MID($N$26,4,1)</f>
        <v>̄</v>
      </c>
      <c r="V27" s="65"/>
    </row>
    <row r="28" spans="2:22" s="1" customFormat="1" ht="36" customHeight="1">
      <c r="B28" s="55"/>
      <c r="D28" s="9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86"/>
      <c r="U28" s="64" t="str">
        <f t="shared" si="1"/>
        <v>̄</v>
      </c>
      <c r="V28" s="59"/>
    </row>
    <row r="29" spans="2:22" s="1" customFormat="1" ht="80.099999999999994" customHeight="1">
      <c r="B29" s="56">
        <f>B25+1</f>
        <v>7</v>
      </c>
      <c r="D29" s="90" t="str">
        <f>CHAR(10)</f>
        <v xml:space="preserve">
</v>
      </c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87"/>
      <c r="U29" s="64" t="str">
        <f t="shared" si="1"/>
        <v>̄</v>
      </c>
      <c r="V29" s="59"/>
    </row>
    <row r="30" spans="2:22" s="1" customFormat="1" ht="36" customHeight="1">
      <c r="B30" s="57"/>
      <c r="D30" s="9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89"/>
      <c r="U30" s="64" t="str">
        <f t="shared" si="1"/>
        <v>̄</v>
      </c>
      <c r="V30" s="59"/>
    </row>
    <row r="31" spans="2:22" s="64" customFormat="1" ht="60" customHeight="1">
      <c r="B31" s="60"/>
      <c r="C31" s="83"/>
      <c r="D31" s="76"/>
      <c r="E31" s="76"/>
      <c r="F31" s="76"/>
      <c r="G31" s="76"/>
      <c r="H31" s="76"/>
      <c r="I31" s="76" t="s">
        <v>773</v>
      </c>
      <c r="J31" s="76"/>
      <c r="K31" s="76"/>
      <c r="L31" s="76"/>
      <c r="M31" s="76"/>
      <c r="N31" s="76"/>
      <c r="O31" s="76"/>
      <c r="P31" s="76"/>
      <c r="Q31" s="76" t="s">
        <v>586</v>
      </c>
      <c r="R31" s="76"/>
      <c r="U31" s="64" t="str">
        <f t="shared" si="1"/>
        <v>̄</v>
      </c>
      <c r="V31" s="65"/>
    </row>
    <row r="32" spans="2:22" s="1" customFormat="1" ht="36" customHeight="1">
      <c r="B32" s="55"/>
      <c r="D32" s="97" t="s">
        <v>777</v>
      </c>
      <c r="E32" s="97" t="s">
        <v>278</v>
      </c>
      <c r="F32" s="97" t="s">
        <v>314</v>
      </c>
      <c r="G32" s="97"/>
      <c r="H32" s="97" t="s">
        <v>280</v>
      </c>
      <c r="I32" s="97" t="s">
        <v>773</v>
      </c>
      <c r="J32" s="97" t="s">
        <v>321</v>
      </c>
      <c r="K32" s="97" t="s">
        <v>258</v>
      </c>
      <c r="L32" s="97" t="s">
        <v>647</v>
      </c>
      <c r="M32" s="97" t="s">
        <v>283</v>
      </c>
      <c r="N32" s="97" t="s">
        <v>294</v>
      </c>
      <c r="O32" s="97" t="s">
        <v>261</v>
      </c>
      <c r="P32" s="97" t="s">
        <v>267</v>
      </c>
      <c r="Q32" s="97" t="s">
        <v>295</v>
      </c>
      <c r="R32" s="97" t="s">
        <v>676</v>
      </c>
      <c r="S32" s="86"/>
      <c r="U32" s="64" t="str">
        <f t="shared" si="1"/>
        <v>̄</v>
      </c>
      <c r="V32" s="59"/>
    </row>
    <row r="33" spans="2:22" s="1" customFormat="1" ht="80.099999999999994" customHeight="1">
      <c r="B33" s="56">
        <f>B29+1</f>
        <v>8</v>
      </c>
      <c r="D33" s="90" t="s">
        <v>770</v>
      </c>
      <c r="E33" s="90" t="s">
        <v>199</v>
      </c>
      <c r="F33" s="90" t="s">
        <v>217</v>
      </c>
      <c r="G33" s="90" t="s">
        <v>214</v>
      </c>
      <c r="H33" s="90" t="s">
        <v>221</v>
      </c>
      <c r="I33" s="90" t="s">
        <v>154</v>
      </c>
      <c r="J33" s="90" t="s">
        <v>215</v>
      </c>
      <c r="K33" s="90" t="s">
        <v>216</v>
      </c>
      <c r="L33" s="90" t="s">
        <v>223</v>
      </c>
      <c r="M33" s="90" t="s">
        <v>224</v>
      </c>
      <c r="N33" s="90" t="s">
        <v>236</v>
      </c>
      <c r="O33" s="90" t="s">
        <v>185</v>
      </c>
      <c r="P33" s="90" t="s">
        <v>207</v>
      </c>
      <c r="Q33" s="90" t="s">
        <v>237</v>
      </c>
      <c r="R33" s="90" t="s">
        <v>238</v>
      </c>
      <c r="S33" s="87"/>
      <c r="V33" s="59"/>
    </row>
    <row r="34" spans="2:22" s="1" customFormat="1" ht="36" customHeight="1">
      <c r="B34" s="57"/>
      <c r="D34" s="98" t="s">
        <v>778</v>
      </c>
      <c r="E34" s="98" t="s">
        <v>639</v>
      </c>
      <c r="F34" s="98" t="s">
        <v>640</v>
      </c>
      <c r="G34" s="98"/>
      <c r="H34" s="98" t="s">
        <v>643</v>
      </c>
      <c r="I34" s="98" t="s">
        <v>775</v>
      </c>
      <c r="J34" s="98" t="s">
        <v>636</v>
      </c>
      <c r="K34" s="98" t="s">
        <v>638</v>
      </c>
      <c r="L34" s="98" t="s">
        <v>648</v>
      </c>
      <c r="M34" s="98" t="s">
        <v>649</v>
      </c>
      <c r="N34" s="98" t="s">
        <v>672</v>
      </c>
      <c r="O34" s="98" t="s">
        <v>674</v>
      </c>
      <c r="P34" s="98" t="s">
        <v>624</v>
      </c>
      <c r="Q34" s="98" t="s">
        <v>764</v>
      </c>
      <c r="R34" s="98" t="s">
        <v>677</v>
      </c>
      <c r="S34" s="89"/>
      <c r="V34" s="59"/>
    </row>
    <row r="35" spans="2:22" s="64" customFormat="1" ht="60" customHeight="1">
      <c r="B35" s="60"/>
      <c r="C35" s="83"/>
      <c r="D35" s="76"/>
      <c r="E35" s="76"/>
      <c r="F35" s="76"/>
      <c r="G35" s="76"/>
      <c r="H35" s="76"/>
      <c r="I35" s="76"/>
      <c r="J35" s="76"/>
      <c r="K35" s="76"/>
      <c r="L35" s="76"/>
      <c r="M35" s="76" t="s">
        <v>328</v>
      </c>
      <c r="N35" s="116"/>
      <c r="O35" s="76"/>
      <c r="P35" s="76"/>
      <c r="Q35" s="76"/>
      <c r="R35" s="76"/>
      <c r="V35" s="65"/>
    </row>
    <row r="36" spans="2:22" s="1" customFormat="1" ht="36" customHeight="1">
      <c r="B36" s="55"/>
      <c r="D36" s="97"/>
      <c r="E36" s="97" t="s">
        <v>679</v>
      </c>
      <c r="F36" s="97" t="s">
        <v>682</v>
      </c>
      <c r="G36" s="97" t="s">
        <v>326</v>
      </c>
      <c r="H36" s="97" t="s">
        <v>299</v>
      </c>
      <c r="I36" s="97" t="s">
        <v>300</v>
      </c>
      <c r="J36" s="97" t="s">
        <v>262</v>
      </c>
      <c r="K36" s="97"/>
      <c r="L36" s="97" t="s">
        <v>288</v>
      </c>
      <c r="M36" s="97" t="s">
        <v>328</v>
      </c>
      <c r="N36" s="117" t="s">
        <v>777</v>
      </c>
      <c r="O36" s="97" t="s">
        <v>301</v>
      </c>
      <c r="P36" s="97" t="s">
        <v>315</v>
      </c>
      <c r="Q36" s="97"/>
      <c r="R36" s="97"/>
      <c r="S36" s="86"/>
      <c r="V36" s="59"/>
    </row>
    <row r="37" spans="2:22" s="1" customFormat="1" ht="80.099999999999994" customHeight="1">
      <c r="B37" s="56">
        <f>B33+1</f>
        <v>9</v>
      </c>
      <c r="D37" s="90" t="s">
        <v>181</v>
      </c>
      <c r="E37" s="90" t="s">
        <v>239</v>
      </c>
      <c r="F37" s="90" t="s">
        <v>189</v>
      </c>
      <c r="G37" s="90" t="s">
        <v>196</v>
      </c>
      <c r="H37" s="90" t="s">
        <v>187</v>
      </c>
      <c r="I37" s="90" t="s">
        <v>542</v>
      </c>
      <c r="J37" s="90" t="s">
        <v>240</v>
      </c>
      <c r="K37" s="90" t="s">
        <v>181</v>
      </c>
      <c r="L37" s="90" t="s">
        <v>227</v>
      </c>
      <c r="M37" s="90" t="s">
        <v>317</v>
      </c>
      <c r="N37" s="115" t="s">
        <v>770</v>
      </c>
      <c r="O37" s="90" t="s">
        <v>241</v>
      </c>
      <c r="P37" s="90" t="s">
        <v>242</v>
      </c>
      <c r="Q37" s="90" t="s">
        <v>184</v>
      </c>
      <c r="R37" s="90" t="str">
        <f>CHAR(10)</f>
        <v xml:space="preserve">
</v>
      </c>
      <c r="S37" s="87"/>
      <c r="V37" s="59"/>
    </row>
    <row r="38" spans="2:22" s="1" customFormat="1" ht="36" customHeight="1">
      <c r="B38" s="57"/>
      <c r="D38" s="98"/>
      <c r="E38" s="98" t="s">
        <v>680</v>
      </c>
      <c r="F38" s="98" t="s">
        <v>683</v>
      </c>
      <c r="G38" s="98" t="s">
        <v>684</v>
      </c>
      <c r="H38" s="98" t="s">
        <v>685</v>
      </c>
      <c r="I38" s="98" t="s">
        <v>686</v>
      </c>
      <c r="J38" s="98" t="s">
        <v>687</v>
      </c>
      <c r="K38" s="98"/>
      <c r="L38" s="98" t="s">
        <v>657</v>
      </c>
      <c r="M38" s="98" t="s">
        <v>800</v>
      </c>
      <c r="N38" s="118" t="s">
        <v>778</v>
      </c>
      <c r="O38" s="98" t="s">
        <v>688</v>
      </c>
      <c r="P38" s="98" t="s">
        <v>689</v>
      </c>
      <c r="Q38" s="98"/>
      <c r="R38" s="98"/>
      <c r="S38" s="89"/>
      <c r="V38" s="59"/>
    </row>
    <row r="39" spans="2:22" s="64" customFormat="1" ht="60" customHeight="1">
      <c r="B39" s="60"/>
      <c r="C39" s="83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V39" s="65"/>
    </row>
    <row r="40" spans="2:22" s="1" customFormat="1" ht="36" customHeight="1">
      <c r="B40" s="55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86"/>
      <c r="V40" s="59"/>
    </row>
    <row r="41" spans="2:22" s="1" customFormat="1" ht="80.099999999999994" customHeight="1">
      <c r="B41" s="56">
        <f>B37+1</f>
        <v>10</v>
      </c>
      <c r="D41" s="90" t="str">
        <f>CHAR(10)</f>
        <v xml:space="preserve">
</v>
      </c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87"/>
      <c r="V41" s="59"/>
    </row>
    <row r="42" spans="2:22" s="1" customFormat="1" ht="36" customHeight="1">
      <c r="B42" s="57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89"/>
      <c r="V42" s="59"/>
    </row>
    <row r="43" spans="2:22" s="64" customFormat="1" ht="60" customHeight="1">
      <c r="B43" s="60"/>
      <c r="C43" s="83"/>
      <c r="D43" s="116"/>
      <c r="E43" s="76"/>
      <c r="F43" s="76"/>
      <c r="G43" s="76"/>
      <c r="H43" s="76" t="s">
        <v>552</v>
      </c>
      <c r="I43" s="76"/>
      <c r="J43" s="76"/>
      <c r="K43" s="76" t="s">
        <v>772</v>
      </c>
      <c r="L43" s="76"/>
      <c r="M43" s="76"/>
      <c r="N43" s="76"/>
      <c r="O43" s="76"/>
      <c r="P43" s="76"/>
      <c r="Q43" s="76"/>
      <c r="R43" s="116"/>
      <c r="V43" s="65"/>
    </row>
    <row r="44" spans="2:22" s="1" customFormat="1" ht="36" customHeight="1">
      <c r="B44" s="55"/>
      <c r="D44" s="117" t="s">
        <v>777</v>
      </c>
      <c r="E44" s="97" t="s">
        <v>327</v>
      </c>
      <c r="F44" s="97" t="s">
        <v>289</v>
      </c>
      <c r="G44" s="97" t="s">
        <v>302</v>
      </c>
      <c r="H44" s="97" t="s">
        <v>265</v>
      </c>
      <c r="I44" s="97" t="s">
        <v>303</v>
      </c>
      <c r="J44" s="97" t="s">
        <v>694</v>
      </c>
      <c r="K44" s="97" t="s">
        <v>773</v>
      </c>
      <c r="L44" s="97" t="s">
        <v>303</v>
      </c>
      <c r="M44" s="97" t="s">
        <v>305</v>
      </c>
      <c r="N44" s="97" t="s">
        <v>267</v>
      </c>
      <c r="O44" s="97" t="s">
        <v>698</v>
      </c>
      <c r="P44" s="97" t="s">
        <v>307</v>
      </c>
      <c r="Q44" s="97"/>
      <c r="R44" s="117" t="s">
        <v>777</v>
      </c>
      <c r="S44" s="86"/>
      <c r="V44" s="59"/>
    </row>
    <row r="45" spans="2:22" s="1" customFormat="1" ht="80.099999999999994" customHeight="1">
      <c r="B45" s="56">
        <f>B41+1</f>
        <v>11</v>
      </c>
      <c r="D45" s="115" t="s">
        <v>770</v>
      </c>
      <c r="E45" s="90" t="s">
        <v>243</v>
      </c>
      <c r="F45" s="90" t="s">
        <v>244</v>
      </c>
      <c r="G45" s="90" t="s">
        <v>188</v>
      </c>
      <c r="H45" s="90" t="s">
        <v>186</v>
      </c>
      <c r="I45" s="90" t="s">
        <v>245</v>
      </c>
      <c r="J45" s="90" t="s">
        <v>182</v>
      </c>
      <c r="K45" s="90" t="s">
        <v>771</v>
      </c>
      <c r="L45" s="90" t="s">
        <v>245</v>
      </c>
      <c r="M45" s="90" t="s">
        <v>246</v>
      </c>
      <c r="N45" s="90" t="s">
        <v>207</v>
      </c>
      <c r="O45" s="90" t="s">
        <v>247</v>
      </c>
      <c r="P45" s="90" t="s">
        <v>248</v>
      </c>
      <c r="Q45" s="90" t="s">
        <v>181</v>
      </c>
      <c r="R45" s="115" t="s">
        <v>770</v>
      </c>
      <c r="S45" s="87"/>
      <c r="V45" s="59"/>
    </row>
    <row r="46" spans="2:22" s="1" customFormat="1" ht="36" customHeight="1">
      <c r="B46" s="57"/>
      <c r="D46" s="118" t="s">
        <v>778</v>
      </c>
      <c r="E46" s="98" t="s">
        <v>690</v>
      </c>
      <c r="F46" s="98" t="s">
        <v>660</v>
      </c>
      <c r="G46" s="98" t="s">
        <v>691</v>
      </c>
      <c r="H46" s="98" t="s">
        <v>804</v>
      </c>
      <c r="I46" s="98" t="s">
        <v>692</v>
      </c>
      <c r="J46" s="98" t="s">
        <v>695</v>
      </c>
      <c r="K46" s="98" t="s">
        <v>775</v>
      </c>
      <c r="L46" s="98" t="s">
        <v>692</v>
      </c>
      <c r="M46" s="98" t="s">
        <v>696</v>
      </c>
      <c r="N46" s="98" t="s">
        <v>624</v>
      </c>
      <c r="O46" s="98" t="s">
        <v>699</v>
      </c>
      <c r="P46" s="98" t="s">
        <v>700</v>
      </c>
      <c r="Q46" s="98"/>
      <c r="R46" s="118" t="s">
        <v>778</v>
      </c>
      <c r="S46" s="89"/>
      <c r="V46" s="59"/>
    </row>
    <row r="47" spans="2:22" s="64" customFormat="1" ht="60" customHeight="1">
      <c r="B47" s="60"/>
      <c r="C47" s="83"/>
      <c r="D47" s="76"/>
      <c r="E47" s="76"/>
      <c r="F47" s="76"/>
      <c r="G47" s="76"/>
      <c r="H47" s="76" t="s">
        <v>772</v>
      </c>
      <c r="I47" s="76"/>
      <c r="J47" s="76"/>
      <c r="K47" s="76" t="s">
        <v>587</v>
      </c>
      <c r="L47" s="76"/>
      <c r="M47" s="76" t="s">
        <v>297</v>
      </c>
      <c r="N47" s="76"/>
      <c r="O47" s="76"/>
      <c r="P47" s="76"/>
      <c r="Q47" s="76"/>
      <c r="R47" s="76"/>
      <c r="V47" s="65"/>
    </row>
    <row r="48" spans="2:22" s="1" customFormat="1" ht="36" customHeight="1">
      <c r="B48" s="55"/>
      <c r="D48" s="97" t="s">
        <v>278</v>
      </c>
      <c r="E48" s="97" t="s">
        <v>314</v>
      </c>
      <c r="F48" s="97"/>
      <c r="G48" s="97" t="s">
        <v>280</v>
      </c>
      <c r="H48" s="97" t="s">
        <v>773</v>
      </c>
      <c r="I48" s="97" t="s">
        <v>321</v>
      </c>
      <c r="J48" s="97" t="s">
        <v>258</v>
      </c>
      <c r="K48" s="97" t="s">
        <v>297</v>
      </c>
      <c r="L48" s="97"/>
      <c r="M48" s="97" t="s">
        <v>297</v>
      </c>
      <c r="N48" s="97" t="s">
        <v>682</v>
      </c>
      <c r="O48" s="97" t="s">
        <v>647</v>
      </c>
      <c r="P48" s="97" t="s">
        <v>283</v>
      </c>
      <c r="Q48" s="97" t="s">
        <v>267</v>
      </c>
      <c r="R48" s="97" t="s">
        <v>308</v>
      </c>
      <c r="S48" s="86"/>
      <c r="V48" s="59"/>
    </row>
    <row r="49" spans="2:22" s="1" customFormat="1" ht="80.099999999999994" customHeight="1">
      <c r="B49" s="56">
        <f>B45+1</f>
        <v>12</v>
      </c>
      <c r="D49" s="90" t="s">
        <v>199</v>
      </c>
      <c r="E49" s="90" t="s">
        <v>217</v>
      </c>
      <c r="F49" s="90" t="s">
        <v>214</v>
      </c>
      <c r="G49" s="90" t="s">
        <v>221</v>
      </c>
      <c r="H49" s="90" t="s">
        <v>771</v>
      </c>
      <c r="I49" s="90" t="s">
        <v>215</v>
      </c>
      <c r="J49" s="90" t="s">
        <v>216</v>
      </c>
      <c r="K49" s="90" t="s">
        <v>239</v>
      </c>
      <c r="L49" s="90" t="s">
        <v>181</v>
      </c>
      <c r="M49" s="90" t="s">
        <v>239</v>
      </c>
      <c r="N49" s="90" t="s">
        <v>189</v>
      </c>
      <c r="O49" s="90" t="s">
        <v>223</v>
      </c>
      <c r="P49" s="90" t="s">
        <v>224</v>
      </c>
      <c r="Q49" s="90" t="s">
        <v>207</v>
      </c>
      <c r="R49" s="90" t="s">
        <v>249</v>
      </c>
      <c r="S49" s="87"/>
      <c r="V49" s="59"/>
    </row>
    <row r="50" spans="2:22" s="1" customFormat="1" ht="36" customHeight="1">
      <c r="B50" s="57"/>
      <c r="D50" s="98" t="s">
        <v>639</v>
      </c>
      <c r="E50" s="98" t="s">
        <v>640</v>
      </c>
      <c r="F50" s="98"/>
      <c r="G50" s="98" t="s">
        <v>643</v>
      </c>
      <c r="H50" s="98" t="s">
        <v>775</v>
      </c>
      <c r="I50" s="98" t="s">
        <v>636</v>
      </c>
      <c r="J50" s="98" t="s">
        <v>638</v>
      </c>
      <c r="K50" s="98" t="s">
        <v>780</v>
      </c>
      <c r="L50" s="98"/>
      <c r="M50" s="98" t="s">
        <v>780</v>
      </c>
      <c r="N50" s="98" t="s">
        <v>683</v>
      </c>
      <c r="O50" s="98" t="s">
        <v>648</v>
      </c>
      <c r="P50" s="98" t="s">
        <v>649</v>
      </c>
      <c r="Q50" s="98" t="s">
        <v>624</v>
      </c>
      <c r="R50" s="98" t="s">
        <v>656</v>
      </c>
      <c r="S50" s="89"/>
      <c r="V50" s="59"/>
    </row>
    <row r="51" spans="2:22" s="64" customFormat="1" ht="60" customHeight="1">
      <c r="B51" s="60"/>
      <c r="C51" s="83"/>
      <c r="D51" s="76"/>
      <c r="E51" s="76"/>
      <c r="F51" s="76"/>
      <c r="G51" s="76" t="s">
        <v>328</v>
      </c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V51" s="65"/>
    </row>
    <row r="52" spans="2:22" s="1" customFormat="1" ht="36" customHeight="1">
      <c r="B52" s="55"/>
      <c r="D52" s="97" t="s">
        <v>702</v>
      </c>
      <c r="E52" s="97"/>
      <c r="F52" s="97" t="s">
        <v>288</v>
      </c>
      <c r="G52" s="97" t="s">
        <v>328</v>
      </c>
      <c r="H52" s="97" t="s">
        <v>777</v>
      </c>
      <c r="I52" s="97" t="s">
        <v>281</v>
      </c>
      <c r="J52" s="97" t="s">
        <v>303</v>
      </c>
      <c r="K52" s="97" t="s">
        <v>267</v>
      </c>
      <c r="L52" s="97" t="s">
        <v>705</v>
      </c>
      <c r="M52" s="97" t="s">
        <v>311</v>
      </c>
      <c r="N52" s="97"/>
      <c r="O52" s="97"/>
      <c r="P52" s="97"/>
      <c r="Q52" s="97"/>
      <c r="R52" s="97"/>
      <c r="S52" s="86"/>
      <c r="V52" s="59"/>
    </row>
    <row r="53" spans="2:22" s="1" customFormat="1" ht="80.099999999999994" customHeight="1">
      <c r="B53" s="56">
        <f>B49+1</f>
        <v>13</v>
      </c>
      <c r="D53" s="90" t="s">
        <v>250</v>
      </c>
      <c r="E53" s="90" t="s">
        <v>181</v>
      </c>
      <c r="F53" s="90" t="s">
        <v>227</v>
      </c>
      <c r="G53" s="90" t="s">
        <v>317</v>
      </c>
      <c r="H53" s="90" t="s">
        <v>770</v>
      </c>
      <c r="I53" s="90" t="s">
        <v>232</v>
      </c>
      <c r="J53" s="90" t="s">
        <v>251</v>
      </c>
      <c r="K53" s="90" t="s">
        <v>207</v>
      </c>
      <c r="L53" s="90" t="s">
        <v>252</v>
      </c>
      <c r="M53" s="90" t="s">
        <v>253</v>
      </c>
      <c r="N53" s="90" t="s">
        <v>184</v>
      </c>
      <c r="O53" s="90" t="str">
        <f>CHAR(10)</f>
        <v xml:space="preserve">
</v>
      </c>
      <c r="P53" s="90"/>
      <c r="Q53" s="90"/>
      <c r="R53" s="90"/>
      <c r="S53" s="87"/>
      <c r="V53" s="59"/>
    </row>
    <row r="54" spans="2:22" s="1" customFormat="1" ht="36" customHeight="1">
      <c r="B54" s="57"/>
      <c r="D54" s="98" t="s">
        <v>703</v>
      </c>
      <c r="E54" s="98"/>
      <c r="F54" s="98" t="s">
        <v>657</v>
      </c>
      <c r="G54" s="98" t="s">
        <v>800</v>
      </c>
      <c r="H54" s="98" t="s">
        <v>778</v>
      </c>
      <c r="I54" s="98" t="s">
        <v>645</v>
      </c>
      <c r="J54" s="98" t="s">
        <v>692</v>
      </c>
      <c r="K54" s="98" t="s">
        <v>624</v>
      </c>
      <c r="L54" s="98" t="s">
        <v>706</v>
      </c>
      <c r="M54" s="98" t="s">
        <v>707</v>
      </c>
      <c r="N54" s="98"/>
      <c r="O54" s="98"/>
      <c r="P54" s="98"/>
      <c r="Q54" s="98"/>
      <c r="R54" s="98"/>
      <c r="S54" s="89"/>
      <c r="V54" s="59"/>
    </row>
    <row r="55" spans="2:22" s="64" customFormat="1" ht="60" customHeight="1">
      <c r="B55" s="60"/>
      <c r="C55" s="83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V55" s="65"/>
    </row>
    <row r="56" spans="2:22" s="1" customFormat="1" ht="36" customHeight="1">
      <c r="B56" s="55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86"/>
      <c r="V56" s="59"/>
    </row>
    <row r="57" spans="2:22" s="1" customFormat="1" ht="80.099999999999994" customHeight="1">
      <c r="B57" s="56">
        <f>B53+1</f>
        <v>14</v>
      </c>
      <c r="D57" s="90" t="s">
        <v>548</v>
      </c>
      <c r="E57" s="90"/>
      <c r="F57" s="90"/>
      <c r="G57" s="91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87"/>
      <c r="V57" s="59"/>
    </row>
    <row r="58" spans="2:22" s="1" customFormat="1" ht="36" customHeight="1">
      <c r="B58" s="57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89"/>
      <c r="V58" s="59"/>
    </row>
    <row r="59" spans="2:22" s="64" customFormat="1" ht="60" customHeight="1">
      <c r="B59" s="60"/>
      <c r="C59" s="83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V59" s="65"/>
    </row>
    <row r="60" spans="2:22" s="1" customFormat="1" ht="36" customHeight="1">
      <c r="B60" s="55"/>
      <c r="D60" s="97"/>
      <c r="E60" s="97"/>
      <c r="F60" s="97"/>
      <c r="G60" s="9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86"/>
      <c r="V60" s="59"/>
    </row>
    <row r="61" spans="2:22" s="1" customFormat="1" ht="80.099999999999994" customHeight="1">
      <c r="B61" s="56">
        <f>B57+1</f>
        <v>15</v>
      </c>
      <c r="D61" s="90"/>
      <c r="E61" s="90"/>
      <c r="F61" s="90"/>
      <c r="G61" s="91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87"/>
      <c r="V61" s="59"/>
    </row>
    <row r="62" spans="2:22" s="1" customFormat="1" ht="36" customHeight="1">
      <c r="B62" s="57"/>
      <c r="D62" s="98"/>
      <c r="E62" s="98"/>
      <c r="F62" s="98"/>
      <c r="G62" s="9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89"/>
      <c r="V62" s="59"/>
    </row>
    <row r="63" spans="2:22" s="64" customFormat="1" ht="60" customHeight="1">
      <c r="B63" s="60"/>
      <c r="C63" s="83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V63" s="65"/>
    </row>
    <row r="64" spans="2:22" s="1" customFormat="1" ht="36" customHeight="1">
      <c r="B64" s="55"/>
      <c r="D64" s="9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86"/>
      <c r="V64" s="59"/>
    </row>
    <row r="65" spans="2:22" s="1" customFormat="1" ht="80.099999999999994" customHeight="1">
      <c r="B65" s="56">
        <f>B61+1</f>
        <v>16</v>
      </c>
      <c r="D65" s="90"/>
      <c r="E65" s="90"/>
      <c r="F65" s="90"/>
      <c r="G65" s="91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87"/>
      <c r="V65" s="59"/>
    </row>
    <row r="66" spans="2:22" s="1" customFormat="1" ht="36" customHeight="1">
      <c r="B66" s="57"/>
      <c r="D66" s="9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89"/>
      <c r="V66" s="59"/>
    </row>
    <row r="67" spans="2:22" s="64" customFormat="1" ht="60" customHeight="1">
      <c r="B67" s="60"/>
      <c r="C67" s="83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V67" s="65"/>
    </row>
    <row r="68" spans="2:22" s="1" customFormat="1" ht="36" customHeight="1">
      <c r="B68" s="55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86"/>
      <c r="V68" s="59"/>
    </row>
    <row r="69" spans="2:22" s="1" customFormat="1" ht="80.099999999999994" customHeight="1">
      <c r="B69" s="56">
        <f>B65+1</f>
        <v>17</v>
      </c>
      <c r="D69" s="90"/>
      <c r="E69" s="90"/>
      <c r="F69" s="90"/>
      <c r="G69" s="91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87"/>
      <c r="V69" s="59"/>
    </row>
    <row r="70" spans="2:22" s="1" customFormat="1" ht="36" customHeight="1">
      <c r="B70" s="57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89"/>
      <c r="V70" s="59"/>
    </row>
    <row r="71" spans="2:22" s="64" customFormat="1" ht="60" customHeight="1">
      <c r="B71" s="60"/>
      <c r="C71" s="83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V71" s="65"/>
    </row>
    <row r="72" spans="2:22" s="1" customFormat="1" ht="36" customHeight="1">
      <c r="B72" s="55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86"/>
      <c r="V72" s="59"/>
    </row>
    <row r="73" spans="2:22" s="1" customFormat="1" ht="80.099999999999994" customHeight="1">
      <c r="B73" s="56">
        <f>B69+1</f>
        <v>18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87"/>
      <c r="V73" s="59"/>
    </row>
    <row r="74" spans="2:22" s="1" customFormat="1" ht="36" customHeight="1">
      <c r="B74" s="57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89"/>
      <c r="V74" s="59"/>
    </row>
    <row r="75" spans="2:22" s="64" customFormat="1" ht="60" customHeight="1">
      <c r="B75" s="60"/>
      <c r="C75" s="83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V75" s="65"/>
    </row>
    <row r="76" spans="2:22" s="1" customFormat="1" ht="36" customHeight="1">
      <c r="B76" s="55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86"/>
      <c r="V76" s="59"/>
    </row>
    <row r="77" spans="2:22" s="1" customFormat="1" ht="80.099999999999994" customHeight="1">
      <c r="B77" s="56">
        <f>B73+1</f>
        <v>19</v>
      </c>
      <c r="D77" s="90"/>
      <c r="E77" s="90"/>
      <c r="F77" s="90"/>
      <c r="G77" s="91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87"/>
      <c r="V77" s="59"/>
    </row>
    <row r="78" spans="2:22" s="1" customFormat="1" ht="36" customHeight="1">
      <c r="B78" s="57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89"/>
      <c r="V78" s="59"/>
    </row>
    <row r="79" spans="2:22" s="64" customFormat="1" ht="60" customHeight="1">
      <c r="B79" s="60"/>
      <c r="C79" s="83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V79" s="65"/>
    </row>
    <row r="80" spans="2:22" s="1" customFormat="1" ht="36" customHeight="1">
      <c r="B80" s="55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86"/>
      <c r="V80" s="59"/>
    </row>
    <row r="81" spans="2:22" s="1" customFormat="1" ht="80.099999999999994" customHeight="1">
      <c r="B81" s="56">
        <f>B77+1</f>
        <v>20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87"/>
      <c r="V81" s="59"/>
    </row>
    <row r="82" spans="2:22" s="1" customFormat="1" ht="36" customHeight="1">
      <c r="B82" s="57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89"/>
      <c r="V82" s="59"/>
    </row>
    <row r="83" spans="2:22" s="64" customFormat="1" ht="60" customHeight="1">
      <c r="B83" s="60"/>
      <c r="C83" s="83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V83" s="65"/>
    </row>
    <row r="84" spans="2:22" s="1" customFormat="1" ht="36" customHeight="1">
      <c r="B84" s="55"/>
      <c r="D84" s="97"/>
      <c r="E84" s="9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86"/>
      <c r="V84" s="59"/>
    </row>
    <row r="85" spans="2:22" s="1" customFormat="1" ht="80.099999999999994" customHeight="1">
      <c r="B85" s="56">
        <f>B81+1</f>
        <v>21</v>
      </c>
      <c r="D85" s="90"/>
      <c r="E85" s="90"/>
      <c r="F85" s="90"/>
      <c r="G85" s="91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87"/>
      <c r="V85" s="59"/>
    </row>
    <row r="86" spans="2:22" s="1" customFormat="1" ht="36" customHeight="1">
      <c r="B86" s="57"/>
      <c r="D86" s="98"/>
      <c r="E86" s="9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89"/>
      <c r="V86" s="59"/>
    </row>
    <row r="87" spans="2:22" s="64" customFormat="1" ht="60" customHeight="1">
      <c r="B87" s="60"/>
      <c r="C87" s="83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V87" s="65"/>
    </row>
    <row r="88" spans="2:22" s="1" customFormat="1" ht="36" customHeight="1">
      <c r="B88" s="55"/>
      <c r="D88" s="9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86"/>
      <c r="V88" s="59"/>
    </row>
    <row r="89" spans="2:22" s="1" customFormat="1" ht="80.099999999999994" customHeight="1">
      <c r="B89" s="56">
        <f>B85+1</f>
        <v>22</v>
      </c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87"/>
      <c r="V89" s="59"/>
    </row>
    <row r="90" spans="2:22" s="1" customFormat="1" ht="36" customHeight="1">
      <c r="B90" s="57"/>
      <c r="D90" s="9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89"/>
      <c r="V90" s="59"/>
    </row>
    <row r="91" spans="2:22" s="64" customFormat="1" ht="60" customHeight="1">
      <c r="B91" s="60"/>
      <c r="C91" s="83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V91" s="65"/>
    </row>
    <row r="92" spans="2:22" s="1" customFormat="1" ht="36" customHeight="1">
      <c r="B92" s="55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86"/>
      <c r="V92" s="59"/>
    </row>
    <row r="93" spans="2:22" s="1" customFormat="1" ht="80.099999999999994" customHeight="1">
      <c r="B93" s="56">
        <f>B89+1</f>
        <v>23</v>
      </c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87"/>
      <c r="V93" s="59"/>
    </row>
    <row r="94" spans="2:22" s="1" customFormat="1" ht="36" customHeight="1">
      <c r="B94" s="57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89"/>
      <c r="V94" s="59"/>
    </row>
    <row r="95" spans="2:22" s="64" customFormat="1" ht="60" customHeight="1">
      <c r="B95" s="60"/>
      <c r="C95" s="83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V95" s="65"/>
    </row>
    <row r="96" spans="2:22" s="1" customFormat="1" ht="36" customHeight="1">
      <c r="B96" s="55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77"/>
      <c r="P96" s="77"/>
      <c r="Q96" s="77"/>
      <c r="R96" s="77"/>
      <c r="S96" s="86"/>
      <c r="V96" s="59"/>
    </row>
    <row r="97" spans="2:22" s="1" customFormat="1" ht="80.099999999999994" customHeight="1">
      <c r="B97" s="56">
        <f>B93+1</f>
        <v>24</v>
      </c>
      <c r="D97" s="90"/>
      <c r="E97" s="90"/>
      <c r="F97" s="90"/>
      <c r="G97" s="91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87"/>
      <c r="V97" s="59"/>
    </row>
    <row r="98" spans="2:22" s="1" customFormat="1" ht="36" customHeight="1">
      <c r="B98" s="57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78"/>
      <c r="P98" s="78"/>
      <c r="Q98" s="78"/>
      <c r="R98" s="78"/>
      <c r="S98" s="89"/>
      <c r="V98" s="59"/>
    </row>
    <row r="99" spans="2:22" s="64" customFormat="1" ht="60" customHeight="1">
      <c r="B99" s="60"/>
      <c r="C99" s="83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V99" s="65"/>
    </row>
    <row r="100" spans="2:22" s="1" customFormat="1" ht="36" customHeight="1">
      <c r="B100" s="55"/>
      <c r="D100" s="9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86"/>
      <c r="V100" s="59"/>
    </row>
    <row r="101" spans="2:22" s="1" customFormat="1" ht="80.099999999999994" customHeight="1">
      <c r="B101" s="56">
        <f>B97+1</f>
        <v>25</v>
      </c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87"/>
      <c r="V101" s="59"/>
    </row>
    <row r="102" spans="2:22" s="1" customFormat="1" ht="36" customHeight="1">
      <c r="B102" s="57"/>
      <c r="D102" s="9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89"/>
      <c r="V102" s="59"/>
    </row>
    <row r="103" spans="2:22" s="64" customFormat="1" ht="60" customHeight="1">
      <c r="B103" s="60"/>
      <c r="C103" s="83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V103" s="65"/>
    </row>
    <row r="104" spans="2:22" s="1" customFormat="1" ht="36" customHeight="1">
      <c r="B104" s="55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86"/>
      <c r="V104" s="59"/>
    </row>
    <row r="105" spans="2:22" s="1" customFormat="1" ht="80.099999999999994" customHeight="1">
      <c r="B105" s="56">
        <f>B101+1</f>
        <v>26</v>
      </c>
      <c r="D105" s="90"/>
      <c r="E105" s="90"/>
      <c r="F105" s="90"/>
      <c r="G105" s="91"/>
      <c r="H105" s="90"/>
      <c r="I105" s="90"/>
      <c r="J105" s="90"/>
      <c r="K105" s="90"/>
      <c r="L105" s="90"/>
      <c r="M105" s="90"/>
      <c r="N105" s="90"/>
      <c r="O105" s="92"/>
      <c r="P105" s="90"/>
      <c r="Q105" s="90"/>
      <c r="R105" s="90"/>
      <c r="S105" s="87"/>
      <c r="V105" s="59"/>
    </row>
    <row r="106" spans="2:22" s="1" customFormat="1" ht="36" customHeight="1">
      <c r="B106" s="57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89"/>
      <c r="V106" s="59"/>
    </row>
    <row r="107" spans="2:22" s="64" customFormat="1" ht="60" customHeight="1">
      <c r="B107" s="60"/>
      <c r="C107" s="83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V107" s="65"/>
    </row>
    <row r="108" spans="2:22" s="1" customFormat="1" ht="36" customHeight="1">
      <c r="B108" s="55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86"/>
      <c r="V108" s="59"/>
    </row>
    <row r="109" spans="2:22" s="1" customFormat="1" ht="80.099999999999994" customHeight="1">
      <c r="B109" s="56">
        <f>B105+1</f>
        <v>27</v>
      </c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87"/>
      <c r="V109" s="59"/>
    </row>
    <row r="110" spans="2:22" s="1" customFormat="1" ht="36" customHeight="1">
      <c r="B110" s="57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89"/>
      <c r="V110" s="59"/>
    </row>
    <row r="111" spans="2:22" s="64" customFormat="1" ht="60" customHeight="1">
      <c r="B111" s="60"/>
      <c r="C111" s="83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V111" s="65"/>
    </row>
    <row r="112" spans="2:22" s="1" customFormat="1" ht="36" customHeight="1">
      <c r="B112" s="55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77"/>
      <c r="Q112" s="77"/>
      <c r="R112" s="77"/>
      <c r="S112" s="86"/>
      <c r="V112" s="59"/>
    </row>
    <row r="113" spans="2:22" s="1" customFormat="1" ht="80.099999999999994" customHeight="1">
      <c r="B113" s="56">
        <f>B109+1</f>
        <v>28</v>
      </c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2"/>
      <c r="P113" s="90"/>
      <c r="Q113" s="90"/>
      <c r="R113" s="90"/>
      <c r="S113" s="87"/>
      <c r="V113" s="59"/>
    </row>
    <row r="114" spans="2:22" s="1" customFormat="1" ht="36" customHeight="1">
      <c r="B114" s="57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78"/>
      <c r="Q114" s="78"/>
      <c r="R114" s="78"/>
      <c r="S114" s="89"/>
      <c r="V114" s="59"/>
    </row>
    <row r="115" spans="2:22" s="64" customFormat="1" ht="60" customHeight="1">
      <c r="B115" s="60"/>
      <c r="C115" s="83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V115" s="65"/>
    </row>
    <row r="116" spans="2:22" s="1" customFormat="1" ht="36" customHeight="1">
      <c r="B116" s="55"/>
      <c r="D116" s="9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86"/>
      <c r="V116" s="59"/>
    </row>
    <row r="117" spans="2:22" s="1" customFormat="1" ht="80.099999999999994" customHeight="1">
      <c r="B117" s="56">
        <f>B113+1</f>
        <v>29</v>
      </c>
      <c r="D117" s="90"/>
      <c r="E117" s="90"/>
      <c r="F117" s="91"/>
      <c r="G117" s="91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87"/>
      <c r="V117" s="59"/>
    </row>
    <row r="118" spans="2:22" s="1" customFormat="1" ht="36" customHeight="1">
      <c r="B118" s="57"/>
      <c r="D118" s="9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89"/>
      <c r="V118" s="59"/>
    </row>
    <row r="119" spans="2:22" s="64" customFormat="1" ht="60" customHeight="1">
      <c r="B119" s="60"/>
      <c r="C119" s="83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V119" s="65"/>
    </row>
    <row r="120" spans="2:22" s="1" customFormat="1" ht="36" customHeight="1">
      <c r="B120" s="55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86"/>
      <c r="V120" s="59"/>
    </row>
    <row r="121" spans="2:22" s="1" customFormat="1" ht="80.099999999999994" customHeight="1">
      <c r="B121" s="56">
        <f>B117+1</f>
        <v>30</v>
      </c>
      <c r="D121" s="90"/>
      <c r="E121" s="90"/>
      <c r="F121" s="90"/>
      <c r="G121" s="91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87"/>
      <c r="V121" s="59"/>
    </row>
    <row r="122" spans="2:22" s="1" customFormat="1" ht="36" customHeight="1">
      <c r="B122" s="57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89"/>
      <c r="V122" s="59"/>
    </row>
    <row r="123" spans="2:22" s="64" customFormat="1" ht="60" customHeight="1">
      <c r="B123" s="60"/>
      <c r="C123" s="83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V123" s="65"/>
    </row>
    <row r="124" spans="2:22" s="1" customFormat="1" ht="36" customHeight="1">
      <c r="B124" s="55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86"/>
      <c r="V124" s="59"/>
    </row>
    <row r="125" spans="2:22" s="1" customFormat="1" ht="80.099999999999994" customHeight="1">
      <c r="B125" s="56">
        <f>B121+1</f>
        <v>31</v>
      </c>
      <c r="D125" s="90"/>
      <c r="E125" s="90"/>
      <c r="F125" s="90"/>
      <c r="G125" s="91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87"/>
      <c r="V125" s="59"/>
    </row>
    <row r="126" spans="2:22" s="1" customFormat="1" ht="36" customHeight="1">
      <c r="B126" s="57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89"/>
      <c r="V126" s="59"/>
    </row>
    <row r="127" spans="2:22" s="64" customFormat="1" ht="60" customHeight="1">
      <c r="B127" s="60"/>
      <c r="C127" s="83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V127" s="65"/>
    </row>
    <row r="128" spans="2:22" s="1" customFormat="1" ht="36" customHeight="1">
      <c r="B128" s="55"/>
      <c r="D128" s="97"/>
      <c r="E128" s="97"/>
      <c r="F128" s="97"/>
      <c r="G128" s="97"/>
      <c r="H128" s="97"/>
      <c r="I128" s="97"/>
      <c r="J128" s="97"/>
      <c r="K128" s="97"/>
      <c r="L128" s="77"/>
      <c r="M128" s="77"/>
      <c r="N128" s="77"/>
      <c r="O128" s="77"/>
      <c r="P128" s="77"/>
      <c r="Q128" s="77"/>
      <c r="R128" s="77"/>
      <c r="S128" s="86"/>
      <c r="V128" s="59"/>
    </row>
    <row r="129" spans="2:22" s="1" customFormat="1" ht="80.099999999999994" customHeight="1">
      <c r="B129" s="56">
        <f>B125+1</f>
        <v>32</v>
      </c>
      <c r="D129" s="90"/>
      <c r="E129" s="90"/>
      <c r="F129" s="90"/>
      <c r="G129" s="90"/>
      <c r="H129" s="90"/>
      <c r="I129" s="90"/>
      <c r="J129" s="90"/>
      <c r="K129" s="90"/>
      <c r="L129" s="99"/>
      <c r="M129" s="90"/>
      <c r="N129" s="90"/>
      <c r="O129" s="90"/>
      <c r="P129" s="90"/>
      <c r="Q129" s="90"/>
      <c r="R129" s="90"/>
      <c r="S129" s="87"/>
      <c r="V129" s="59"/>
    </row>
    <row r="130" spans="2:22" s="1" customFormat="1" ht="36" customHeight="1">
      <c r="B130" s="57"/>
      <c r="D130" s="98"/>
      <c r="E130" s="98"/>
      <c r="F130" s="98"/>
      <c r="G130" s="98"/>
      <c r="H130" s="98"/>
      <c r="I130" s="98"/>
      <c r="J130" s="98"/>
      <c r="K130" s="98"/>
      <c r="L130" s="78"/>
      <c r="M130" s="78"/>
      <c r="N130" s="78"/>
      <c r="O130" s="78"/>
      <c r="P130" s="78"/>
      <c r="Q130" s="78"/>
      <c r="R130" s="78"/>
      <c r="S130" s="89"/>
      <c r="V130" s="59"/>
    </row>
    <row r="131" spans="2:22" s="64" customFormat="1" ht="60" customHeight="1">
      <c r="B131" s="60"/>
      <c r="C131" s="83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V131" s="65"/>
    </row>
    <row r="132" spans="2:22" s="1" customFormat="1" ht="36" customHeight="1">
      <c r="B132" s="55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86"/>
      <c r="V132" s="59"/>
    </row>
    <row r="133" spans="2:22" s="1" customFormat="1" ht="80.099999999999994" customHeight="1">
      <c r="B133" s="56">
        <f>B129+1</f>
        <v>33</v>
      </c>
      <c r="D133" s="90"/>
      <c r="E133" s="90"/>
      <c r="F133" s="90"/>
      <c r="G133" s="91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87"/>
      <c r="V133" s="59"/>
    </row>
    <row r="134" spans="2:22" s="1" customFormat="1" ht="36" customHeight="1">
      <c r="B134" s="57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89"/>
      <c r="V134" s="59"/>
    </row>
    <row r="135" spans="2:22" s="64" customFormat="1" ht="60" customHeight="1">
      <c r="B135" s="60"/>
      <c r="C135" s="83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V135" s="65"/>
    </row>
    <row r="136" spans="2:22" s="1" customFormat="1" ht="36" customHeight="1">
      <c r="B136" s="55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86"/>
      <c r="V136" s="59"/>
    </row>
    <row r="137" spans="2:22" s="1" customFormat="1" ht="80.099999999999994" customHeight="1">
      <c r="B137" s="56">
        <f>B133+1</f>
        <v>34</v>
      </c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87"/>
      <c r="V137" s="59"/>
    </row>
    <row r="138" spans="2:22" s="1" customFormat="1" ht="36" customHeight="1">
      <c r="B138" s="57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89"/>
      <c r="V138" s="59"/>
    </row>
    <row r="139" spans="2:22" s="64" customFormat="1" ht="60" customHeight="1">
      <c r="B139" s="60"/>
      <c r="C139" s="83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V139" s="65"/>
    </row>
    <row r="140" spans="2:22" s="1" customFormat="1" ht="36" customHeight="1">
      <c r="B140" s="55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86"/>
      <c r="V140" s="59"/>
    </row>
    <row r="141" spans="2:22" s="1" customFormat="1" ht="80.099999999999994" customHeight="1">
      <c r="B141" s="56">
        <f>B137+1</f>
        <v>35</v>
      </c>
      <c r="D141" s="90"/>
      <c r="E141" s="90"/>
      <c r="F141" s="90"/>
      <c r="G141" s="91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87"/>
      <c r="V141" s="59"/>
    </row>
    <row r="142" spans="2:22" s="1" customFormat="1" ht="36" customHeight="1">
      <c r="B142" s="57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89"/>
      <c r="V142" s="59"/>
    </row>
    <row r="143" spans="2:22" s="64" customFormat="1" ht="60" customHeight="1">
      <c r="B143" s="60"/>
      <c r="C143" s="83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V143" s="65"/>
    </row>
    <row r="144" spans="2:22" s="1" customFormat="1" ht="36" customHeight="1">
      <c r="B144" s="55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86"/>
      <c r="V144" s="59"/>
    </row>
    <row r="145" spans="2:22" s="1" customFormat="1" ht="80.099999999999994" customHeight="1">
      <c r="B145" s="56">
        <f>B141+1</f>
        <v>36</v>
      </c>
      <c r="D145" s="90"/>
      <c r="E145" s="90"/>
      <c r="F145" s="90"/>
      <c r="G145" s="91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87"/>
      <c r="V145" s="59"/>
    </row>
    <row r="146" spans="2:22" s="1" customFormat="1" ht="36" customHeight="1">
      <c r="B146" s="57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89"/>
      <c r="V146" s="59"/>
    </row>
    <row r="147" spans="2:22" s="64" customFormat="1" ht="60" customHeight="1">
      <c r="B147" s="60"/>
      <c r="C147" s="83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V147" s="65"/>
    </row>
    <row r="148" spans="2:22" s="1" customFormat="1" ht="36" customHeight="1">
      <c r="B148" s="55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86"/>
      <c r="V148" s="59"/>
    </row>
    <row r="149" spans="2:22" s="1" customFormat="1" ht="80.099999999999994" customHeight="1">
      <c r="B149" s="56">
        <f>B145+1</f>
        <v>37</v>
      </c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87"/>
      <c r="V149" s="59"/>
    </row>
    <row r="150" spans="2:22" s="1" customFormat="1" ht="36" customHeight="1">
      <c r="B150" s="57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89"/>
      <c r="V150" s="59"/>
    </row>
    <row r="151" spans="2:22" s="64" customFormat="1" ht="60" customHeight="1">
      <c r="B151" s="60"/>
      <c r="C151" s="83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V151" s="65"/>
    </row>
    <row r="152" spans="2:22" s="1" customFormat="1" ht="36" customHeight="1">
      <c r="B152" s="55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86"/>
      <c r="V152" s="59"/>
    </row>
    <row r="153" spans="2:22" s="1" customFormat="1" ht="80.099999999999994" customHeight="1">
      <c r="B153" s="56">
        <f>B149+1</f>
        <v>38</v>
      </c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87"/>
      <c r="V153" s="59"/>
    </row>
    <row r="154" spans="2:22" s="1" customFormat="1" ht="36" customHeight="1">
      <c r="B154" s="57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89"/>
      <c r="V154" s="59"/>
    </row>
    <row r="155" spans="2:22" s="64" customFormat="1" ht="60" customHeight="1">
      <c r="B155" s="60"/>
      <c r="C155" s="83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V155" s="65"/>
    </row>
    <row r="156" spans="2:22" s="1" customFormat="1" ht="36" customHeight="1">
      <c r="B156" s="55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86"/>
      <c r="V156" s="59"/>
    </row>
    <row r="157" spans="2:22" s="1" customFormat="1" ht="80.099999999999994" customHeight="1">
      <c r="B157" s="56">
        <f>B153+1</f>
        <v>39</v>
      </c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87"/>
      <c r="V157" s="59"/>
    </row>
    <row r="158" spans="2:22" s="1" customFormat="1" ht="36" customHeight="1">
      <c r="B158" s="57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89"/>
      <c r="V158" s="59"/>
    </row>
    <row r="159" spans="2:22" s="64" customFormat="1" ht="60" customHeight="1">
      <c r="B159" s="60"/>
      <c r="C159" s="83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V159" s="65"/>
    </row>
    <row r="160" spans="2:22" s="1" customFormat="1" ht="36" customHeight="1">
      <c r="B160" s="55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86"/>
      <c r="V160" s="59"/>
    </row>
    <row r="161" spans="2:22" s="1" customFormat="1" ht="80.099999999999994" customHeight="1">
      <c r="B161" s="56">
        <f>B157+1</f>
        <v>40</v>
      </c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87"/>
      <c r="V161" s="59"/>
    </row>
    <row r="162" spans="2:22" s="1" customFormat="1" ht="36" customHeight="1">
      <c r="B162" s="57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89"/>
      <c r="V162" s="59"/>
    </row>
    <row r="163" spans="2:22" s="64" customFormat="1" ht="60" customHeight="1">
      <c r="B163" s="60"/>
      <c r="C163" s="83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V163" s="65"/>
    </row>
    <row r="164" spans="2:22" s="1" customFormat="1" ht="36" customHeight="1">
      <c r="B164" s="55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86"/>
      <c r="V164" s="59"/>
    </row>
    <row r="165" spans="2:22" s="1" customFormat="1" ht="80.099999999999994" customHeight="1">
      <c r="B165" s="56">
        <f>B161+1</f>
        <v>41</v>
      </c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87"/>
      <c r="V165" s="59"/>
    </row>
    <row r="166" spans="2:22" s="1" customFormat="1" ht="36" customHeight="1">
      <c r="B166" s="57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89"/>
      <c r="V166" s="59"/>
    </row>
    <row r="167" spans="2:22">
      <c r="B167" s="60"/>
      <c r="C167" s="83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22" ht="39.75">
      <c r="B168" s="55"/>
      <c r="C168" s="1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2:22" ht="58.5">
      <c r="B169" s="56">
        <f>B165+1</f>
        <v>42</v>
      </c>
      <c r="C169" s="1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spans="2:22">
      <c r="B170" s="57"/>
      <c r="C170" s="1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</row>
    <row r="171" spans="2:22">
      <c r="B171" s="60"/>
      <c r="C171" s="83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22" ht="39.75">
      <c r="B172" s="55"/>
      <c r="C172" s="1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2:22" ht="58.5">
      <c r="B173" s="56">
        <f>B169+1</f>
        <v>43</v>
      </c>
      <c r="C173" s="1"/>
      <c r="D173" s="90"/>
      <c r="E173" s="90"/>
      <c r="F173" s="90"/>
      <c r="G173" s="91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</row>
    <row r="174" spans="2:22">
      <c r="B174" s="57"/>
      <c r="C174" s="1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</row>
    <row r="175" spans="2:22">
      <c r="B175" s="60"/>
      <c r="C175" s="83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22" ht="39.75">
      <c r="B176" s="55"/>
      <c r="C176" s="1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2:18" ht="58.5">
      <c r="B177" s="56">
        <f>B173+1</f>
        <v>44</v>
      </c>
      <c r="C177" s="1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</row>
    <row r="178" spans="2:18">
      <c r="B178" s="57"/>
      <c r="C178" s="1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</row>
    <row r="179" spans="2:18">
      <c r="B179" s="60"/>
      <c r="C179" s="83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39.75">
      <c r="B180" s="55"/>
      <c r="C180" s="1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2:18" ht="58.5">
      <c r="B181" s="56">
        <f>B177+1</f>
        <v>45</v>
      </c>
      <c r="C181" s="1"/>
      <c r="D181" s="90"/>
      <c r="E181" s="90"/>
      <c r="F181" s="90"/>
      <c r="G181" s="91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</row>
    <row r="182" spans="2:18">
      <c r="B182" s="57"/>
      <c r="C182" s="1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</row>
    <row r="183" spans="2:18">
      <c r="B183" s="60"/>
      <c r="C183" s="83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39.75">
      <c r="B184" s="55"/>
      <c r="C184" s="1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2:18" ht="58.5">
      <c r="B185" s="56">
        <f>B181+1</f>
        <v>46</v>
      </c>
      <c r="C185" s="1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2:18">
      <c r="B186" s="57"/>
      <c r="C186" s="1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</row>
    <row r="187" spans="2:18">
      <c r="B187" s="60"/>
      <c r="C187" s="83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39.75">
      <c r="B188" s="55"/>
      <c r="C188" s="1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2:18" ht="58.5">
      <c r="B189" s="56">
        <f>B185+1</f>
        <v>47</v>
      </c>
      <c r="C189" s="1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2:18">
      <c r="B190" s="57"/>
      <c r="C190" s="1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</row>
    <row r="191" spans="2:18">
      <c r="B191" s="60"/>
      <c r="C191" s="8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39.75">
      <c r="B192" s="55"/>
      <c r="C192" s="1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2:18" ht="58.5">
      <c r="B193" s="56">
        <f>B189+1</f>
        <v>48</v>
      </c>
      <c r="C193" s="1"/>
      <c r="D193" s="90"/>
      <c r="E193" s="90"/>
      <c r="F193" s="90"/>
      <c r="G193" s="91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</row>
    <row r="194" spans="2:18">
      <c r="B194" s="57"/>
      <c r="C194" s="1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</row>
    <row r="195" spans="2:18">
      <c r="B195" s="60"/>
      <c r="C195" s="83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39.75">
      <c r="B196" s="55"/>
      <c r="C196" s="1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2:18" ht="58.5">
      <c r="B197" s="56">
        <f>B193+1</f>
        <v>49</v>
      </c>
      <c r="C197" s="1"/>
      <c r="D197" s="90"/>
      <c r="E197" s="90"/>
      <c r="F197" s="90"/>
      <c r="G197" s="91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</row>
    <row r="198" spans="2:18">
      <c r="B198" s="57"/>
      <c r="C198" s="1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</row>
    <row r="199" spans="2:18">
      <c r="B199" s="60"/>
      <c r="C199" s="83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39.75">
      <c r="B200" s="55"/>
      <c r="C200" s="1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2:18" ht="58.5">
      <c r="B201" s="56">
        <f>B197+1</f>
        <v>50</v>
      </c>
      <c r="C201" s="1"/>
      <c r="D201" s="90"/>
      <c r="E201" s="90"/>
      <c r="F201" s="90"/>
      <c r="G201" s="91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</row>
    <row r="202" spans="2:18">
      <c r="B202" s="57"/>
      <c r="C202" s="1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</row>
    <row r="203" spans="2:18">
      <c r="B203" s="60"/>
      <c r="C203" s="83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39.75">
      <c r="B204" s="55"/>
      <c r="C204" s="1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2:18" ht="58.5">
      <c r="B205" s="56">
        <f>B201+1</f>
        <v>51</v>
      </c>
      <c r="C205" s="1"/>
      <c r="D205" s="90"/>
      <c r="E205" s="90"/>
      <c r="F205" s="90"/>
      <c r="G205" s="91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</row>
    <row r="206" spans="2:18">
      <c r="B206" s="57"/>
      <c r="C206" s="1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</row>
    <row r="207" spans="2:18">
      <c r="B207" s="60"/>
      <c r="C207" s="83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39.75">
      <c r="B208" s="55"/>
      <c r="C208" s="1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2:18" ht="58.5">
      <c r="B209" s="56">
        <f>B205+1</f>
        <v>52</v>
      </c>
      <c r="C209" s="1"/>
      <c r="D209" s="90"/>
      <c r="E209" s="90"/>
      <c r="F209" s="90"/>
      <c r="G209" s="91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spans="2:18">
      <c r="B210" s="57"/>
      <c r="C210" s="1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</row>
    <row r="211" spans="2:18">
      <c r="B211" s="60"/>
      <c r="C211" s="83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39.75">
      <c r="B212" s="55"/>
      <c r="C212" s="1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2:18" ht="58.5">
      <c r="B213" s="56">
        <f>B209+1</f>
        <v>53</v>
      </c>
      <c r="C213" s="1"/>
      <c r="D213" s="90"/>
      <c r="E213" s="90"/>
      <c r="F213" s="90"/>
      <c r="G213" s="91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spans="2:18">
      <c r="B214" s="57"/>
      <c r="C214" s="1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</row>
    <row r="215" spans="2:18">
      <c r="B215" s="60"/>
      <c r="C215" s="83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39.75">
      <c r="B216" s="55"/>
      <c r="C216" s="1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2:18" ht="58.5">
      <c r="B217" s="56">
        <f>B213+1</f>
        <v>54</v>
      </c>
      <c r="C217" s="1"/>
      <c r="D217" s="90"/>
      <c r="E217" s="90"/>
      <c r="F217" s="90"/>
      <c r="G217" s="91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2:18">
      <c r="B218" s="57"/>
      <c r="C218" s="1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</row>
    <row r="219" spans="2:18">
      <c r="B219" s="60"/>
      <c r="C219" s="83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39.75">
      <c r="B220" s="55"/>
      <c r="C220" s="1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2:18" ht="58.5">
      <c r="B221" s="56">
        <f>B217+1</f>
        <v>55</v>
      </c>
      <c r="C221" s="1"/>
      <c r="D221" s="90"/>
      <c r="E221" s="90"/>
      <c r="F221" s="90"/>
      <c r="G221" s="91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2:18">
      <c r="B222" s="57"/>
      <c r="C222" s="1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</row>
    <row r="223" spans="2:18">
      <c r="B223" s="60"/>
      <c r="C223" s="83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39.75">
      <c r="B224" s="55"/>
      <c r="C224" s="1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2:18" ht="58.5">
      <c r="B225" s="56">
        <f>B221+1</f>
        <v>56</v>
      </c>
      <c r="C225" s="1"/>
      <c r="D225" s="90"/>
      <c r="E225" s="90"/>
      <c r="F225" s="90"/>
      <c r="G225" s="91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2:18">
      <c r="B226" s="57"/>
      <c r="C226" s="1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</row>
    <row r="227" spans="2:18">
      <c r="B227" s="60"/>
      <c r="C227" s="83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39.75">
      <c r="B228" s="55"/>
      <c r="C228" s="1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</row>
    <row r="229" spans="2:18" ht="58.5">
      <c r="B229" s="56">
        <f>B225+1</f>
        <v>57</v>
      </c>
      <c r="C229" s="1"/>
      <c r="D229" s="90"/>
      <c r="E229" s="90"/>
      <c r="F229" s="90"/>
      <c r="G229" s="91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2:18">
      <c r="B230" s="57"/>
      <c r="C230" s="1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</row>
    <row r="231" spans="2:18">
      <c r="B231" s="60"/>
      <c r="C231" s="83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39.75">
      <c r="B232" s="55"/>
      <c r="C232" s="1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</row>
    <row r="233" spans="2:18" ht="58.5">
      <c r="B233" s="56">
        <f>B229+1</f>
        <v>58</v>
      </c>
      <c r="C233" s="1"/>
      <c r="D233" s="90"/>
      <c r="E233" s="90"/>
      <c r="F233" s="90"/>
      <c r="G233" s="91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2:18">
      <c r="B234" s="57"/>
      <c r="C234" s="1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</row>
    <row r="235" spans="2:18">
      <c r="B235" s="60"/>
      <c r="C235" s="83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39.75">
      <c r="B236" s="55"/>
      <c r="C236" s="1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</row>
    <row r="237" spans="2:18" ht="58.5">
      <c r="B237" s="56">
        <f>B233+1</f>
        <v>59</v>
      </c>
      <c r="C237" s="1"/>
      <c r="D237" s="90"/>
      <c r="E237" s="90"/>
      <c r="F237" s="90"/>
      <c r="G237" s="91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2:18">
      <c r="B238" s="57"/>
      <c r="C238" s="1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</row>
    <row r="239" spans="2:18">
      <c r="B239" s="60"/>
      <c r="C239" s="83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39.75">
      <c r="B240" s="55"/>
      <c r="C240" s="1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</row>
    <row r="241" spans="2:18" ht="58.5">
      <c r="B241" s="56">
        <f>B237+1</f>
        <v>60</v>
      </c>
      <c r="C241" s="1"/>
      <c r="D241" s="90"/>
      <c r="E241" s="90"/>
      <c r="F241" s="90"/>
      <c r="G241" s="91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spans="2:18">
      <c r="B242" s="57"/>
      <c r="C242" s="1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</row>
  </sheetData>
  <mergeCells count="1">
    <mergeCell ref="V3:V22"/>
  </mergeCells>
  <phoneticPr fontId="1" type="noConversion"/>
  <conditionalFormatting sqref="D3:R3">
    <cfRule type="expression" dxfId="195" priority="3">
      <formula>顯示注音輸入</formula>
    </cfRule>
    <cfRule type="expression" dxfId="194" priority="4">
      <formula>"'= TRUE(顯示注音輸入)"</formula>
    </cfRule>
  </conditionalFormatting>
  <conditionalFormatting sqref="D7:R7">
    <cfRule type="expression" dxfId="193" priority="5">
      <formula>顯示注音輸入</formula>
    </cfRule>
    <cfRule type="expression" dxfId="192" priority="6">
      <formula>"'= TRUE(顯示注音輸入)"</formula>
    </cfRule>
  </conditionalFormatting>
  <conditionalFormatting sqref="D11:R11">
    <cfRule type="expression" dxfId="191" priority="41">
      <formula>顯示注音輸入</formula>
    </cfRule>
    <cfRule type="expression" dxfId="190" priority="42">
      <formula>"'= TRUE(顯示注音輸入)"</formula>
    </cfRule>
  </conditionalFormatting>
  <conditionalFormatting sqref="D15:R15">
    <cfRule type="expression" dxfId="189" priority="39">
      <formula>顯示注音輸入</formula>
    </cfRule>
    <cfRule type="expression" dxfId="188" priority="40">
      <formula>"'= TRUE(顯示注音輸入)"</formula>
    </cfRule>
  </conditionalFormatting>
  <conditionalFormatting sqref="D19:R19">
    <cfRule type="expression" dxfId="187" priority="37">
      <formula>顯示注音輸入</formula>
    </cfRule>
    <cfRule type="expression" dxfId="186" priority="38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85" priority="51">
      <formula>顯示注音輸入</formula>
    </cfRule>
    <cfRule type="expression" dxfId="184" priority="52">
      <formula>"'= TRUE(顯示注音輸入)"</formula>
    </cfRule>
  </conditionalFormatting>
  <conditionalFormatting sqref="D27:R27">
    <cfRule type="expression" dxfId="183" priority="35">
      <formula>顯示注音輸入</formula>
    </cfRule>
    <cfRule type="expression" dxfId="182" priority="36">
      <formula>"'= TRUE(顯示注音輸入)"</formula>
    </cfRule>
  </conditionalFormatting>
  <conditionalFormatting sqref="D31:R31">
    <cfRule type="expression" dxfId="181" priority="33">
      <formula>顯示注音輸入</formula>
    </cfRule>
    <cfRule type="expression" dxfId="180" priority="34">
      <formula>"'= TRUE(顯示注音輸入)"</formula>
    </cfRule>
  </conditionalFormatting>
  <conditionalFormatting sqref="D35:L35 N35:R35">
    <cfRule type="expression" dxfId="179" priority="31">
      <formula>顯示注音輸入</formula>
    </cfRule>
    <cfRule type="expression" dxfId="178" priority="32">
      <formula>"'= TRUE(顯示注音輸入)"</formula>
    </cfRule>
  </conditionalFormatting>
  <conditionalFormatting sqref="D43:R43">
    <cfRule type="expression" dxfId="177" priority="29">
      <formula>顯示注音輸入</formula>
    </cfRule>
    <cfRule type="expression" dxfId="176" priority="30">
      <formula>"'= TRUE(顯示注音輸入)"</formula>
    </cfRule>
  </conditionalFormatting>
  <conditionalFormatting sqref="D47:R47">
    <cfRule type="expression" dxfId="175" priority="27">
      <formula>顯示注音輸入</formula>
    </cfRule>
    <cfRule type="expression" dxfId="174" priority="28">
      <formula>"'= TRUE(顯示注音輸入)"</formula>
    </cfRule>
  </conditionalFormatting>
  <conditionalFormatting sqref="D51:R51">
    <cfRule type="expression" dxfId="173" priority="25">
      <formula>顯示注音輸入</formula>
    </cfRule>
    <cfRule type="expression" dxfId="172" priority="26">
      <formula>"'= TRUE(顯示注音輸入)"</formula>
    </cfRule>
  </conditionalFormatting>
  <conditionalFormatting sqref="D55:R55">
    <cfRule type="expression" dxfId="171" priority="23">
      <formula>顯示注音輸入</formula>
    </cfRule>
    <cfRule type="expression" dxfId="170" priority="24">
      <formula>"'= TRUE(顯示注音輸入)"</formula>
    </cfRule>
  </conditionalFormatting>
  <conditionalFormatting sqref="D59:R59">
    <cfRule type="expression" dxfId="169" priority="21">
      <formula>顯示注音輸入</formula>
    </cfRule>
    <cfRule type="expression" dxfId="168" priority="22">
      <formula>"'= TRUE(顯示注音輸入)"</formula>
    </cfRule>
  </conditionalFormatting>
  <conditionalFormatting sqref="D63:R63">
    <cfRule type="expression" dxfId="167" priority="19">
      <formula>顯示注音輸入</formula>
    </cfRule>
    <cfRule type="expression" dxfId="166" priority="20">
      <formula>"'= TRUE(顯示注音輸入)"</formula>
    </cfRule>
  </conditionalFormatting>
  <conditionalFormatting sqref="D67:R67">
    <cfRule type="expression" dxfId="165" priority="17">
      <formula>顯示注音輸入</formula>
    </cfRule>
    <cfRule type="expression" dxfId="164" priority="18">
      <formula>"'= TRUE(顯示注音輸入)"</formula>
    </cfRule>
  </conditionalFormatting>
  <conditionalFormatting sqref="D71:R71">
    <cfRule type="expression" dxfId="163" priority="15">
      <formula>顯示注音輸入</formula>
    </cfRule>
    <cfRule type="expression" dxfId="162" priority="16">
      <formula>"'= TRUE(顯示注音輸入)"</formula>
    </cfRule>
  </conditionalFormatting>
  <conditionalFormatting sqref="D75:R75">
    <cfRule type="expression" dxfId="161" priority="13">
      <formula>顯示注音輸入</formula>
    </cfRule>
    <cfRule type="expression" dxfId="160" priority="14">
      <formula>"'= TRUE(顯示注音輸入)"</formula>
    </cfRule>
  </conditionalFormatting>
  <conditionalFormatting sqref="D79:R79">
    <cfRule type="expression" dxfId="159" priority="11">
      <formula>顯示注音輸入</formula>
    </cfRule>
    <cfRule type="expression" dxfId="158" priority="12">
      <formula>"'= TRUE(顯示注音輸入)"</formula>
    </cfRule>
  </conditionalFormatting>
  <conditionalFormatting sqref="D83:R83">
    <cfRule type="expression" dxfId="157" priority="9">
      <formula>顯示注音輸入</formula>
    </cfRule>
    <cfRule type="expression" dxfId="156" priority="10">
      <formula>"'= TRUE(顯示注音輸入)"</formula>
    </cfRule>
  </conditionalFormatting>
  <conditionalFormatting sqref="D107:R107">
    <cfRule type="expression" dxfId="155" priority="7">
      <formula>顯示注音輸入</formula>
    </cfRule>
    <cfRule type="expression" dxfId="154" priority="8">
      <formula>"'= TRUE(顯示注音輸入)"</formula>
    </cfRule>
  </conditionalFormatting>
  <conditionalFormatting sqref="D167:R167 D171:R171 D175:R175 D179:R179 D183:R183 D187:R187 D191:R191 D195:R195 D199:R199">
    <cfRule type="expression" dxfId="153" priority="49">
      <formula>顯示注音輸入</formula>
    </cfRule>
    <cfRule type="expression" dxfId="152" priority="50">
      <formula>"'= TRUE(顯示注音輸入)"</formula>
    </cfRule>
  </conditionalFormatting>
  <conditionalFormatting sqref="D203:R203">
    <cfRule type="expression" dxfId="151" priority="47">
      <formula>顯示注音輸入</formula>
    </cfRule>
    <cfRule type="expression" dxfId="150" priority="48">
      <formula>"'= TRUE(顯示注音輸入)"</formula>
    </cfRule>
  </conditionalFormatting>
  <conditionalFormatting sqref="D207:R207 D211:R211 D215:R215 D219:R219 D223:R223 D227:R227 D231:R231 D235:R235 D239:R239">
    <cfRule type="expression" dxfId="149" priority="45">
      <formula>顯示注音輸入</formula>
    </cfRule>
    <cfRule type="expression" dxfId="148" priority="46">
      <formula>"'= TRUE(顯示注音輸入)"</formula>
    </cfRule>
  </conditionalFormatting>
  <conditionalFormatting sqref="M35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3E86-A5C1-4222-BCA3-005E9B6E10C2}">
  <dimension ref="B2:AC242"/>
  <sheetViews>
    <sheetView showGridLines="0" topLeftCell="A38" zoomScale="50" zoomScaleNormal="50" workbookViewId="0">
      <selection activeCell="A53" sqref="A53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75" customWidth="1"/>
    <col min="19" max="19" width="3.69921875" style="1" customWidth="1"/>
    <col min="20" max="20" width="2.796875" customWidth="1"/>
    <col min="21" max="21" width="6.19921875" customWidth="1"/>
    <col min="22" max="22" width="71.69921875" style="59" customWidth="1"/>
    <col min="23" max="23" width="10.19921875" bestFit="1" customWidth="1"/>
  </cols>
  <sheetData>
    <row r="2" spans="2:29" s="51" customFormat="1" ht="36" customHeight="1"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84"/>
      <c r="V2" s="58">
        <f xml:space="preserve"> LEN(V3)</f>
        <v>143</v>
      </c>
    </row>
    <row r="3" spans="2:29" s="61" customFormat="1" ht="60" customHeight="1">
      <c r="B3" s="60"/>
      <c r="C3" s="79"/>
      <c r="D3" s="76"/>
      <c r="E3" s="76"/>
      <c r="F3" s="76"/>
      <c r="G3" s="76"/>
      <c r="H3" s="76"/>
      <c r="I3" s="76" t="s">
        <v>466</v>
      </c>
      <c r="J3" s="76"/>
      <c r="K3" s="76"/>
      <c r="L3" s="76"/>
      <c r="M3" s="76"/>
      <c r="N3" s="76"/>
      <c r="O3" s="76"/>
      <c r="P3" s="76"/>
      <c r="Q3" s="76"/>
      <c r="R3" s="76"/>
      <c r="T3" s="85"/>
      <c r="V3" s="100" t="s">
        <v>203</v>
      </c>
    </row>
    <row r="4" spans="2:29" s="1" customFormat="1" ht="36" customHeight="1">
      <c r="B4" s="55"/>
      <c r="D4" s="77" t="s">
        <v>264</v>
      </c>
      <c r="E4" s="77" t="s">
        <v>469</v>
      </c>
      <c r="F4" s="77" t="s">
        <v>266</v>
      </c>
      <c r="G4" s="77" t="s">
        <v>467</v>
      </c>
      <c r="H4" s="77" t="s">
        <v>470</v>
      </c>
      <c r="I4" s="77" t="s">
        <v>268</v>
      </c>
      <c r="J4" s="77" t="s">
        <v>269</v>
      </c>
      <c r="K4" s="77" t="s">
        <v>270</v>
      </c>
      <c r="L4" s="77" t="s">
        <v>271</v>
      </c>
      <c r="M4" s="77" t="s">
        <v>272</v>
      </c>
      <c r="N4" s="77"/>
      <c r="O4" s="77"/>
      <c r="P4" s="77"/>
      <c r="Q4" s="77"/>
      <c r="R4" s="77"/>
      <c r="S4" s="86"/>
      <c r="V4" s="101"/>
    </row>
    <row r="5" spans="2:29" s="1" customFormat="1" ht="80.099999999999994" customHeight="1">
      <c r="B5" s="56">
        <v>1</v>
      </c>
      <c r="D5" s="90" t="s">
        <v>204</v>
      </c>
      <c r="E5" s="90" t="s">
        <v>186</v>
      </c>
      <c r="F5" s="93" t="s">
        <v>205</v>
      </c>
      <c r="G5" s="90" t="s">
        <v>206</v>
      </c>
      <c r="H5" s="93" t="s">
        <v>207</v>
      </c>
      <c r="I5" s="90" t="s">
        <v>201</v>
      </c>
      <c r="J5" s="90" t="s">
        <v>190</v>
      </c>
      <c r="K5" s="90" t="s">
        <v>208</v>
      </c>
      <c r="L5" s="90" t="s">
        <v>209</v>
      </c>
      <c r="M5" s="90" t="s">
        <v>202</v>
      </c>
      <c r="N5" s="93"/>
      <c r="O5" s="90"/>
      <c r="P5" s="90"/>
      <c r="Q5" s="90"/>
      <c r="R5" s="90"/>
      <c r="S5" s="87"/>
      <c r="V5" s="101"/>
    </row>
    <row r="6" spans="2:29" s="50" customFormat="1" ht="36" customHeight="1">
      <c r="B6" s="57"/>
      <c r="C6" s="80"/>
      <c r="D6" s="78" t="s">
        <v>479</v>
      </c>
      <c r="E6" s="78" t="s">
        <v>480</v>
      </c>
      <c r="F6" s="78" t="s">
        <v>481</v>
      </c>
      <c r="G6" s="78" t="s">
        <v>482</v>
      </c>
      <c r="H6" s="78" t="s">
        <v>483</v>
      </c>
      <c r="I6" s="78" t="s">
        <v>484</v>
      </c>
      <c r="J6" s="78" t="s">
        <v>485</v>
      </c>
      <c r="K6" s="78" t="s">
        <v>486</v>
      </c>
      <c r="L6" s="78" t="s">
        <v>487</v>
      </c>
      <c r="M6" s="78" t="s">
        <v>488</v>
      </c>
      <c r="N6" s="78"/>
      <c r="O6" s="78"/>
      <c r="P6" s="78"/>
      <c r="Q6" s="78"/>
      <c r="R6" s="78"/>
      <c r="S6" s="88"/>
      <c r="V6" s="101"/>
    </row>
    <row r="7" spans="2:29" s="49" customFormat="1" ht="60" customHeight="1">
      <c r="B7" s="54"/>
      <c r="C7" s="81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63"/>
      <c r="V7" s="101"/>
    </row>
    <row r="8" spans="2:29" s="1" customFormat="1" ht="36" customHeight="1">
      <c r="B8" s="55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86"/>
      <c r="V8" s="101"/>
    </row>
    <row r="9" spans="2:29" s="1" customFormat="1" ht="80.099999999999994" customHeight="1">
      <c r="B9" s="56">
        <f>B5+1</f>
        <v>2</v>
      </c>
      <c r="D9" s="93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87"/>
      <c r="T9" s="85"/>
      <c r="V9" s="101"/>
    </row>
    <row r="10" spans="2:29" s="1" customFormat="1" ht="36" customHeight="1">
      <c r="B10" s="57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89"/>
      <c r="V10" s="101"/>
      <c r="AA10" s="1" t="s">
        <v>180</v>
      </c>
    </row>
    <row r="11" spans="2:29" s="63" customFormat="1" ht="60" customHeight="1">
      <c r="B11" s="62"/>
      <c r="C11" s="82"/>
      <c r="D11" s="76"/>
      <c r="E11" s="76"/>
      <c r="F11" s="76"/>
      <c r="G11" s="76"/>
      <c r="H11" s="76"/>
      <c r="I11" s="76"/>
      <c r="J11" s="76"/>
      <c r="K11" s="76"/>
      <c r="L11" s="76" t="s">
        <v>258</v>
      </c>
      <c r="M11" s="76"/>
      <c r="N11" s="76"/>
      <c r="O11" s="76"/>
      <c r="P11" s="76"/>
      <c r="Q11" s="76"/>
      <c r="R11" s="76"/>
      <c r="V11" s="101"/>
    </row>
    <row r="12" spans="2:29" s="1" customFormat="1" ht="36" customHeight="1">
      <c r="B12" s="55"/>
      <c r="D12" s="77" t="s">
        <v>273</v>
      </c>
      <c r="E12" s="77" t="s">
        <v>274</v>
      </c>
      <c r="F12" s="77" t="s">
        <v>275</v>
      </c>
      <c r="G12" s="77" t="s">
        <v>471</v>
      </c>
      <c r="H12" s="77" t="s">
        <v>276</v>
      </c>
      <c r="I12" s="77" t="s">
        <v>277</v>
      </c>
      <c r="J12" s="77"/>
      <c r="K12" s="77" t="s">
        <v>321</v>
      </c>
      <c r="L12" s="77" t="s">
        <v>258</v>
      </c>
      <c r="M12" s="77"/>
      <c r="N12" s="77" t="s">
        <v>278</v>
      </c>
      <c r="O12" s="77" t="s">
        <v>314</v>
      </c>
      <c r="P12" s="77"/>
      <c r="Q12" s="77" t="s">
        <v>279</v>
      </c>
      <c r="R12" s="77" t="s">
        <v>322</v>
      </c>
      <c r="S12" s="86"/>
      <c r="V12" s="101"/>
    </row>
    <row r="13" spans="2:29" s="1" customFormat="1" ht="80.099999999999994" customHeight="1">
      <c r="B13" s="56">
        <f>B9+1</f>
        <v>3</v>
      </c>
      <c r="D13" s="93" t="s">
        <v>210</v>
      </c>
      <c r="E13" s="90" t="s">
        <v>211</v>
      </c>
      <c r="F13" s="90" t="s">
        <v>212</v>
      </c>
      <c r="G13" s="93" t="s">
        <v>316</v>
      </c>
      <c r="H13" s="90" t="s">
        <v>213</v>
      </c>
      <c r="I13" s="90" t="s">
        <v>198</v>
      </c>
      <c r="J13" s="90" t="s">
        <v>214</v>
      </c>
      <c r="K13" s="90" t="s">
        <v>215</v>
      </c>
      <c r="L13" s="90" t="s">
        <v>216</v>
      </c>
      <c r="M13" s="90" t="s">
        <v>214</v>
      </c>
      <c r="N13" s="90" t="s">
        <v>199</v>
      </c>
      <c r="O13" s="93" t="s">
        <v>217</v>
      </c>
      <c r="P13" s="90" t="s">
        <v>214</v>
      </c>
      <c r="Q13" s="90" t="s">
        <v>218</v>
      </c>
      <c r="R13" s="90" t="s">
        <v>219</v>
      </c>
      <c r="S13" s="87"/>
      <c r="V13" s="101"/>
    </row>
    <row r="14" spans="2:29" s="1" customFormat="1" ht="36" customHeight="1">
      <c r="B14" s="57"/>
      <c r="D14" s="78" t="s">
        <v>489</v>
      </c>
      <c r="E14" s="78" t="s">
        <v>490</v>
      </c>
      <c r="F14" s="78" t="s">
        <v>491</v>
      </c>
      <c r="G14" s="78" t="s">
        <v>492</v>
      </c>
      <c r="H14" s="78" t="s">
        <v>493</v>
      </c>
      <c r="I14" s="78" t="s">
        <v>494</v>
      </c>
      <c r="J14" s="78"/>
      <c r="K14" s="78" t="s">
        <v>495</v>
      </c>
      <c r="L14" s="78" t="s">
        <v>496</v>
      </c>
      <c r="M14" s="78"/>
      <c r="N14" s="78" t="s">
        <v>497</v>
      </c>
      <c r="O14" s="78" t="s">
        <v>498</v>
      </c>
      <c r="P14" s="78"/>
      <c r="Q14" s="78" t="s">
        <v>499</v>
      </c>
      <c r="R14" s="78" t="s">
        <v>500</v>
      </c>
      <c r="S14" s="89"/>
      <c r="V14" s="101"/>
    </row>
    <row r="15" spans="2:29" s="64" customFormat="1" ht="60" customHeight="1">
      <c r="B15" s="60"/>
      <c r="C15" s="83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V15" s="101"/>
      <c r="AC15" s="64" t="s">
        <v>180</v>
      </c>
    </row>
    <row r="16" spans="2:29" s="1" customFormat="1" ht="36" customHeight="1">
      <c r="B16" s="55"/>
      <c r="D16" s="77" t="s">
        <v>331</v>
      </c>
      <c r="E16" s="77" t="s">
        <v>472</v>
      </c>
      <c r="F16" s="77" t="s">
        <v>323</v>
      </c>
      <c r="G16" s="77" t="s">
        <v>281</v>
      </c>
      <c r="H16" s="77" t="s">
        <v>470</v>
      </c>
      <c r="I16" s="77" t="s">
        <v>282</v>
      </c>
      <c r="J16" s="77" t="s">
        <v>283</v>
      </c>
      <c r="K16" s="77"/>
      <c r="L16" s="77" t="s">
        <v>324</v>
      </c>
      <c r="M16" s="77" t="s">
        <v>284</v>
      </c>
      <c r="N16" s="77" t="s">
        <v>285</v>
      </c>
      <c r="O16" s="77" t="s">
        <v>282</v>
      </c>
      <c r="P16" s="77" t="s">
        <v>470</v>
      </c>
      <c r="Q16" s="77" t="s">
        <v>282</v>
      </c>
      <c r="R16" s="77" t="s">
        <v>283</v>
      </c>
      <c r="S16" s="86"/>
      <c r="V16" s="101"/>
    </row>
    <row r="17" spans="2:22" s="1" customFormat="1" ht="80.099999999999994" customHeight="1">
      <c r="B17" s="56">
        <f>B13+1</f>
        <v>4</v>
      </c>
      <c r="D17" s="93" t="s">
        <v>318</v>
      </c>
      <c r="E17" s="90" t="s">
        <v>221</v>
      </c>
      <c r="F17" s="90" t="s">
        <v>222</v>
      </c>
      <c r="G17" s="90" t="s">
        <v>200</v>
      </c>
      <c r="H17" s="93" t="s">
        <v>207</v>
      </c>
      <c r="I17" s="90" t="s">
        <v>223</v>
      </c>
      <c r="J17" s="90" t="s">
        <v>224</v>
      </c>
      <c r="K17" s="90" t="s">
        <v>181</v>
      </c>
      <c r="L17" s="90" t="s">
        <v>195</v>
      </c>
      <c r="M17" s="90" t="s">
        <v>225</v>
      </c>
      <c r="N17" s="90" t="s">
        <v>183</v>
      </c>
      <c r="O17" s="90" t="s">
        <v>223</v>
      </c>
      <c r="P17" s="93" t="s">
        <v>207</v>
      </c>
      <c r="Q17" s="90" t="s">
        <v>223</v>
      </c>
      <c r="R17" s="90" t="s">
        <v>224</v>
      </c>
      <c r="S17" s="87"/>
      <c r="V17" s="101"/>
    </row>
    <row r="18" spans="2:22" s="1" customFormat="1" ht="36" customHeight="1">
      <c r="B18" s="57"/>
      <c r="D18" s="78" t="s">
        <v>501</v>
      </c>
      <c r="E18" s="78" t="s">
        <v>421</v>
      </c>
      <c r="F18" s="78" t="s">
        <v>502</v>
      </c>
      <c r="G18" s="78" t="s">
        <v>503</v>
      </c>
      <c r="H18" s="78" t="s">
        <v>483</v>
      </c>
      <c r="I18" s="78" t="s">
        <v>504</v>
      </c>
      <c r="J18" s="78" t="s">
        <v>505</v>
      </c>
      <c r="K18" s="78"/>
      <c r="L18" s="78" t="s">
        <v>506</v>
      </c>
      <c r="M18" s="78" t="s">
        <v>507</v>
      </c>
      <c r="N18" s="78" t="s">
        <v>508</v>
      </c>
      <c r="O18" s="78" t="s">
        <v>504</v>
      </c>
      <c r="P18" s="78" t="s">
        <v>483</v>
      </c>
      <c r="Q18" s="78" t="s">
        <v>504</v>
      </c>
      <c r="R18" s="78" t="s">
        <v>505</v>
      </c>
      <c r="S18" s="89"/>
      <c r="V18" s="101"/>
    </row>
    <row r="19" spans="2:22" s="64" customFormat="1" ht="60" customHeight="1">
      <c r="B19" s="60"/>
      <c r="C19" s="83"/>
      <c r="D19" s="76"/>
      <c r="E19" s="76"/>
      <c r="F19" s="76"/>
      <c r="G19" s="76"/>
      <c r="H19" s="76"/>
      <c r="I19" s="76"/>
      <c r="J19" s="76"/>
      <c r="K19" s="76"/>
      <c r="L19" s="76"/>
      <c r="M19" s="76" t="s">
        <v>465</v>
      </c>
      <c r="N19" s="76"/>
      <c r="O19" s="76"/>
      <c r="P19" s="76" t="s">
        <v>312</v>
      </c>
      <c r="Q19" s="76"/>
      <c r="R19" s="76"/>
      <c r="V19" s="101"/>
    </row>
    <row r="20" spans="2:22" s="1" customFormat="1" ht="36" customHeight="1">
      <c r="B20" s="55"/>
      <c r="D20" s="77"/>
      <c r="E20" s="77" t="s">
        <v>264</v>
      </c>
      <c r="F20" s="77" t="s">
        <v>473</v>
      </c>
      <c r="G20" s="77" t="s">
        <v>287</v>
      </c>
      <c r="H20" s="77" t="s">
        <v>470</v>
      </c>
      <c r="I20" s="77" t="s">
        <v>282</v>
      </c>
      <c r="J20" s="77" t="s">
        <v>283</v>
      </c>
      <c r="K20" s="77"/>
      <c r="L20" s="77" t="s">
        <v>288</v>
      </c>
      <c r="M20" s="77" t="s">
        <v>465</v>
      </c>
      <c r="N20" s="77" t="s">
        <v>289</v>
      </c>
      <c r="O20" s="77" t="s">
        <v>290</v>
      </c>
      <c r="P20" s="77" t="s">
        <v>312</v>
      </c>
      <c r="Q20" s="77" t="s">
        <v>291</v>
      </c>
      <c r="R20" s="77"/>
      <c r="S20" s="86"/>
      <c r="V20" s="101"/>
    </row>
    <row r="21" spans="2:22" s="1" customFormat="1" ht="80.099999999999994" customHeight="1">
      <c r="B21" s="56">
        <f>B17+1</f>
        <v>5</v>
      </c>
      <c r="D21" s="90" t="s">
        <v>181</v>
      </c>
      <c r="E21" s="90" t="s">
        <v>259</v>
      </c>
      <c r="F21" s="90" t="s">
        <v>226</v>
      </c>
      <c r="G21" s="90" t="s">
        <v>193</v>
      </c>
      <c r="H21" s="90" t="s">
        <v>207</v>
      </c>
      <c r="I21" s="90" t="s">
        <v>223</v>
      </c>
      <c r="J21" s="90" t="s">
        <v>224</v>
      </c>
      <c r="K21" s="90" t="s">
        <v>181</v>
      </c>
      <c r="L21" s="90" t="s">
        <v>227</v>
      </c>
      <c r="M21" s="94" t="s">
        <v>318</v>
      </c>
      <c r="N21" s="90" t="s">
        <v>228</v>
      </c>
      <c r="O21" s="90" t="s">
        <v>229</v>
      </c>
      <c r="P21" s="90" t="s">
        <v>194</v>
      </c>
      <c r="Q21" s="90" t="s">
        <v>230</v>
      </c>
      <c r="R21" s="90" t="s">
        <v>214</v>
      </c>
      <c r="S21" s="87"/>
      <c r="V21" s="101"/>
    </row>
    <row r="22" spans="2:22" s="1" customFormat="1" ht="36" customHeight="1">
      <c r="B22" s="57"/>
      <c r="D22" s="78"/>
      <c r="E22" s="78" t="s">
        <v>479</v>
      </c>
      <c r="F22" s="78" t="s">
        <v>509</v>
      </c>
      <c r="G22" s="78" t="s">
        <v>510</v>
      </c>
      <c r="H22" s="78" t="s">
        <v>483</v>
      </c>
      <c r="I22" s="78" t="s">
        <v>504</v>
      </c>
      <c r="J22" s="78" t="s">
        <v>505</v>
      </c>
      <c r="K22" s="78"/>
      <c r="L22" s="78" t="s">
        <v>431</v>
      </c>
      <c r="M22" s="78" t="s">
        <v>511</v>
      </c>
      <c r="N22" s="78" t="s">
        <v>512</v>
      </c>
      <c r="O22" s="78" t="s">
        <v>433</v>
      </c>
      <c r="P22" s="78" t="s">
        <v>434</v>
      </c>
      <c r="Q22" s="78" t="s">
        <v>513</v>
      </c>
      <c r="R22" s="78"/>
      <c r="S22" s="89"/>
      <c r="V22" s="102"/>
    </row>
    <row r="23" spans="2:22" s="64" customFormat="1" ht="60" customHeight="1">
      <c r="B23" s="60"/>
      <c r="C23" s="83"/>
      <c r="D23" s="76" t="s">
        <v>312</v>
      </c>
      <c r="E23" s="76"/>
      <c r="F23" s="76"/>
      <c r="G23" s="76" t="s">
        <v>313</v>
      </c>
      <c r="H23" s="76"/>
      <c r="I23" s="76"/>
      <c r="J23" s="76"/>
      <c r="K23" s="76"/>
      <c r="L23" s="76"/>
      <c r="M23" s="76" t="s">
        <v>260</v>
      </c>
      <c r="N23" s="76"/>
      <c r="O23" s="76"/>
      <c r="P23" s="76"/>
      <c r="Q23" s="76"/>
      <c r="R23" s="76"/>
      <c r="V23" s="65"/>
    </row>
    <row r="24" spans="2:22" s="1" customFormat="1" ht="36" customHeight="1">
      <c r="B24" s="55"/>
      <c r="D24" s="77" t="s">
        <v>312</v>
      </c>
      <c r="E24" s="77" t="s">
        <v>291</v>
      </c>
      <c r="F24" s="77" t="s">
        <v>325</v>
      </c>
      <c r="G24" s="77" t="s">
        <v>313</v>
      </c>
      <c r="H24" s="77" t="s">
        <v>331</v>
      </c>
      <c r="I24" s="77" t="s">
        <v>273</v>
      </c>
      <c r="J24" s="77" t="s">
        <v>281</v>
      </c>
      <c r="K24" s="77" t="s">
        <v>292</v>
      </c>
      <c r="L24" s="77" t="s">
        <v>470</v>
      </c>
      <c r="M24" s="77" t="s">
        <v>260</v>
      </c>
      <c r="N24" s="77" t="s">
        <v>293</v>
      </c>
      <c r="O24" s="77"/>
      <c r="P24" s="77"/>
      <c r="Q24" s="77"/>
      <c r="R24" s="77"/>
      <c r="S24" s="86"/>
      <c r="V24" s="59"/>
    </row>
    <row r="25" spans="2:22" s="1" customFormat="1" ht="80.099999999999994" customHeight="1">
      <c r="B25" s="56">
        <f>B21+1</f>
        <v>6</v>
      </c>
      <c r="D25" s="90" t="s">
        <v>194</v>
      </c>
      <c r="E25" s="90" t="s">
        <v>230</v>
      </c>
      <c r="F25" s="90" t="s">
        <v>197</v>
      </c>
      <c r="G25" s="90" t="s">
        <v>231</v>
      </c>
      <c r="H25" s="90" t="s">
        <v>318</v>
      </c>
      <c r="I25" s="93" t="s">
        <v>210</v>
      </c>
      <c r="J25" s="90" t="s">
        <v>232</v>
      </c>
      <c r="K25" s="90" t="s">
        <v>233</v>
      </c>
      <c r="L25" s="93" t="s">
        <v>207</v>
      </c>
      <c r="M25" s="93" t="s">
        <v>234</v>
      </c>
      <c r="N25" s="90" t="s">
        <v>235</v>
      </c>
      <c r="O25" s="90" t="s">
        <v>184</v>
      </c>
      <c r="P25" s="90"/>
      <c r="Q25" s="90"/>
      <c r="R25" s="90"/>
      <c r="S25" s="87"/>
      <c r="V25" s="59"/>
    </row>
    <row r="26" spans="2:22" s="1" customFormat="1" ht="36" customHeight="1">
      <c r="B26" s="57"/>
      <c r="D26" s="78" t="s">
        <v>434</v>
      </c>
      <c r="E26" s="78" t="s">
        <v>513</v>
      </c>
      <c r="F26" s="78" t="s">
        <v>514</v>
      </c>
      <c r="G26" s="78" t="s">
        <v>515</v>
      </c>
      <c r="H26" s="78" t="s">
        <v>501</v>
      </c>
      <c r="I26" s="78" t="s">
        <v>489</v>
      </c>
      <c r="J26" s="78" t="s">
        <v>503</v>
      </c>
      <c r="K26" s="78" t="s">
        <v>516</v>
      </c>
      <c r="L26" s="78" t="s">
        <v>483</v>
      </c>
      <c r="M26" s="78" t="s">
        <v>517</v>
      </c>
      <c r="N26" s="78" t="s">
        <v>518</v>
      </c>
      <c r="O26" s="78"/>
      <c r="P26" s="78"/>
      <c r="Q26" s="78"/>
      <c r="R26" s="78"/>
      <c r="S26" s="89"/>
      <c r="U26" s="1" t="str">
        <f xml:space="preserve"> MID($N$26,3,1)</f>
        <v>u</v>
      </c>
      <c r="V26" s="59"/>
    </row>
    <row r="27" spans="2:22" s="64" customFormat="1" ht="60" customHeight="1">
      <c r="B27" s="60"/>
      <c r="C27" s="83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U27" s="64" t="str">
        <f t="shared" ref="U27:U32" si="0" xml:space="preserve"> MID($N$26,4,1)</f>
        <v>a</v>
      </c>
      <c r="V27" s="65"/>
    </row>
    <row r="28" spans="2:22" s="1" customFormat="1" ht="36" customHeight="1">
      <c r="B28" s="55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86"/>
      <c r="U28" s="64" t="str">
        <f t="shared" si="0"/>
        <v>a</v>
      </c>
      <c r="V28" s="59"/>
    </row>
    <row r="29" spans="2:22" s="1" customFormat="1" ht="80.099999999999994" customHeight="1">
      <c r="B29" s="56">
        <f>B25+1</f>
        <v>7</v>
      </c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87"/>
      <c r="U29" s="64" t="str">
        <f t="shared" si="0"/>
        <v>a</v>
      </c>
      <c r="V29" s="59"/>
    </row>
    <row r="30" spans="2:22" s="1" customFormat="1" ht="36" customHeight="1">
      <c r="B30" s="57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89"/>
      <c r="U30" s="64" t="str">
        <f t="shared" si="0"/>
        <v>a</v>
      </c>
      <c r="V30" s="59"/>
    </row>
    <row r="31" spans="2:22" s="64" customFormat="1" ht="60" customHeight="1">
      <c r="B31" s="60"/>
      <c r="C31" s="83"/>
      <c r="D31" s="76"/>
      <c r="E31" s="76"/>
      <c r="F31" s="76"/>
      <c r="G31" s="76"/>
      <c r="H31" s="76"/>
      <c r="I31" s="76"/>
      <c r="J31" s="76"/>
      <c r="K31" s="76" t="s">
        <v>258</v>
      </c>
      <c r="L31" s="76"/>
      <c r="M31" s="76"/>
      <c r="N31" s="76"/>
      <c r="O31" s="76" t="s">
        <v>261</v>
      </c>
      <c r="P31" s="76"/>
      <c r="Q31" s="76"/>
      <c r="R31" s="76"/>
      <c r="U31" s="64" t="str">
        <f t="shared" si="0"/>
        <v>a</v>
      </c>
      <c r="V31" s="65"/>
    </row>
    <row r="32" spans="2:22" s="1" customFormat="1" ht="36" customHeight="1">
      <c r="B32" s="55"/>
      <c r="D32" s="77" t="s">
        <v>273</v>
      </c>
      <c r="E32" s="77" t="s">
        <v>278</v>
      </c>
      <c r="F32" s="77" t="s">
        <v>314</v>
      </c>
      <c r="G32" s="77"/>
      <c r="H32" s="77" t="s">
        <v>472</v>
      </c>
      <c r="I32" s="77" t="s">
        <v>331</v>
      </c>
      <c r="J32" s="77" t="s">
        <v>321</v>
      </c>
      <c r="K32" s="77" t="s">
        <v>258</v>
      </c>
      <c r="L32" s="77" t="s">
        <v>282</v>
      </c>
      <c r="M32" s="77" t="s">
        <v>283</v>
      </c>
      <c r="N32" s="77" t="s">
        <v>474</v>
      </c>
      <c r="O32" s="77" t="s">
        <v>261</v>
      </c>
      <c r="P32" s="77" t="s">
        <v>470</v>
      </c>
      <c r="Q32" s="77" t="s">
        <v>295</v>
      </c>
      <c r="R32" s="77" t="s">
        <v>296</v>
      </c>
      <c r="S32" s="86"/>
      <c r="U32" s="64" t="str">
        <f t="shared" si="0"/>
        <v>a</v>
      </c>
      <c r="V32" s="59"/>
    </row>
    <row r="33" spans="2:22" s="1" customFormat="1" ht="80.099999999999994" customHeight="1">
      <c r="B33" s="56">
        <f>B29+1</f>
        <v>8</v>
      </c>
      <c r="D33" s="90" t="s">
        <v>210</v>
      </c>
      <c r="E33" s="90" t="s">
        <v>199</v>
      </c>
      <c r="F33" s="93" t="s">
        <v>217</v>
      </c>
      <c r="G33" s="90" t="s">
        <v>214</v>
      </c>
      <c r="H33" s="90" t="s">
        <v>221</v>
      </c>
      <c r="I33" s="93" t="s">
        <v>318</v>
      </c>
      <c r="J33" s="90" t="s">
        <v>215</v>
      </c>
      <c r="K33" s="90" t="s">
        <v>216</v>
      </c>
      <c r="L33" s="90" t="s">
        <v>223</v>
      </c>
      <c r="M33" s="90" t="s">
        <v>224</v>
      </c>
      <c r="N33" s="90" t="s">
        <v>236</v>
      </c>
      <c r="O33" s="90" t="s">
        <v>185</v>
      </c>
      <c r="P33" s="93" t="s">
        <v>207</v>
      </c>
      <c r="Q33" s="93" t="s">
        <v>237</v>
      </c>
      <c r="R33" s="93" t="s">
        <v>238</v>
      </c>
      <c r="S33" s="87"/>
      <c r="V33" s="59"/>
    </row>
    <row r="34" spans="2:22" s="1" customFormat="1" ht="36" customHeight="1">
      <c r="B34" s="57"/>
      <c r="D34" s="78" t="s">
        <v>489</v>
      </c>
      <c r="E34" s="78" t="s">
        <v>497</v>
      </c>
      <c r="F34" s="78" t="s">
        <v>498</v>
      </c>
      <c r="G34" s="78"/>
      <c r="H34" s="78" t="s">
        <v>421</v>
      </c>
      <c r="I34" s="78" t="s">
        <v>501</v>
      </c>
      <c r="J34" s="78" t="s">
        <v>495</v>
      </c>
      <c r="K34" s="78" t="s">
        <v>496</v>
      </c>
      <c r="L34" s="78" t="s">
        <v>504</v>
      </c>
      <c r="M34" s="78" t="s">
        <v>505</v>
      </c>
      <c r="N34" s="78" t="s">
        <v>519</v>
      </c>
      <c r="O34" s="78" t="s">
        <v>520</v>
      </c>
      <c r="P34" s="78" t="s">
        <v>483</v>
      </c>
      <c r="Q34" s="78" t="s">
        <v>521</v>
      </c>
      <c r="R34" s="78" t="s">
        <v>522</v>
      </c>
      <c r="S34" s="89"/>
      <c r="V34" s="59"/>
    </row>
    <row r="35" spans="2:22" s="64" customFormat="1" ht="60" customHeight="1">
      <c r="B35" s="60"/>
      <c r="C35" s="83"/>
      <c r="D35" s="76"/>
      <c r="E35" s="76"/>
      <c r="F35" s="76"/>
      <c r="G35" s="76"/>
      <c r="H35" s="76"/>
      <c r="I35" s="76"/>
      <c r="J35" s="76" t="s">
        <v>262</v>
      </c>
      <c r="K35" s="76"/>
      <c r="L35" s="76"/>
      <c r="M35" s="76"/>
      <c r="N35" s="76"/>
      <c r="O35" s="76"/>
      <c r="P35" s="76"/>
      <c r="Q35" s="76"/>
      <c r="R35" s="76"/>
      <c r="V35" s="65"/>
    </row>
    <row r="36" spans="2:22" s="1" customFormat="1" ht="36" customHeight="1">
      <c r="B36" s="55"/>
      <c r="D36" s="77"/>
      <c r="E36" s="77" t="s">
        <v>475</v>
      </c>
      <c r="F36" s="77" t="s">
        <v>298</v>
      </c>
      <c r="G36" s="77" t="s">
        <v>326</v>
      </c>
      <c r="H36" s="77" t="s">
        <v>299</v>
      </c>
      <c r="I36" s="77" t="s">
        <v>300</v>
      </c>
      <c r="J36" s="77" t="s">
        <v>262</v>
      </c>
      <c r="K36" s="77"/>
      <c r="L36" s="77" t="s">
        <v>288</v>
      </c>
      <c r="M36" s="77" t="s">
        <v>328</v>
      </c>
      <c r="N36" s="77" t="s">
        <v>273</v>
      </c>
      <c r="O36" s="77" t="s">
        <v>301</v>
      </c>
      <c r="P36" s="77" t="s">
        <v>315</v>
      </c>
      <c r="Q36" s="77"/>
      <c r="R36" s="77"/>
      <c r="S36" s="86"/>
      <c r="V36" s="59"/>
    </row>
    <row r="37" spans="2:22" s="1" customFormat="1" ht="80.099999999999994" customHeight="1">
      <c r="B37" s="56">
        <f>B33+1</f>
        <v>9</v>
      </c>
      <c r="D37" s="90" t="s">
        <v>181</v>
      </c>
      <c r="E37" s="90" t="s">
        <v>239</v>
      </c>
      <c r="F37" s="90" t="s">
        <v>189</v>
      </c>
      <c r="G37" s="90" t="s">
        <v>196</v>
      </c>
      <c r="H37" s="90" t="s">
        <v>187</v>
      </c>
      <c r="I37" s="93" t="s">
        <v>263</v>
      </c>
      <c r="J37" s="93" t="s">
        <v>240</v>
      </c>
      <c r="K37" s="90" t="s">
        <v>181</v>
      </c>
      <c r="L37" s="90" t="s">
        <v>227</v>
      </c>
      <c r="M37" s="95" t="s">
        <v>317</v>
      </c>
      <c r="N37" s="93" t="s">
        <v>210</v>
      </c>
      <c r="O37" s="90" t="s">
        <v>241</v>
      </c>
      <c r="P37" s="93" t="s">
        <v>242</v>
      </c>
      <c r="Q37" s="90" t="s">
        <v>184</v>
      </c>
      <c r="R37" s="90"/>
      <c r="S37" s="87"/>
      <c r="V37" s="59"/>
    </row>
    <row r="38" spans="2:22" s="1" customFormat="1" ht="36" customHeight="1">
      <c r="B38" s="57"/>
      <c r="D38" s="78"/>
      <c r="E38" s="78" t="s">
        <v>523</v>
      </c>
      <c r="F38" s="78" t="s">
        <v>524</v>
      </c>
      <c r="G38" s="78" t="s">
        <v>525</v>
      </c>
      <c r="H38" s="78" t="s">
        <v>526</v>
      </c>
      <c r="I38" s="78" t="s">
        <v>527</v>
      </c>
      <c r="J38" s="78" t="s">
        <v>528</v>
      </c>
      <c r="K38" s="78"/>
      <c r="L38" s="78" t="s">
        <v>431</v>
      </c>
      <c r="M38" s="78" t="s">
        <v>529</v>
      </c>
      <c r="N38" s="78" t="s">
        <v>489</v>
      </c>
      <c r="O38" s="78" t="s">
        <v>530</v>
      </c>
      <c r="P38" s="78" t="s">
        <v>531</v>
      </c>
      <c r="Q38" s="78"/>
      <c r="R38" s="78"/>
      <c r="S38" s="89"/>
      <c r="V38" s="59"/>
    </row>
    <row r="39" spans="2:22" s="64" customFormat="1" ht="60" customHeight="1">
      <c r="B39" s="60"/>
      <c r="C39" s="83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V39" s="65"/>
    </row>
    <row r="40" spans="2:22" s="1" customFormat="1" ht="36" customHeight="1">
      <c r="B40" s="55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86"/>
      <c r="V40" s="59"/>
    </row>
    <row r="41" spans="2:22" s="1" customFormat="1" ht="80.099999999999994" customHeight="1">
      <c r="B41" s="56">
        <f>B37+1</f>
        <v>10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87"/>
      <c r="V41" s="59"/>
    </row>
    <row r="42" spans="2:22" s="1" customFormat="1" ht="36" customHeight="1">
      <c r="B42" s="57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89"/>
      <c r="V42" s="59"/>
    </row>
    <row r="43" spans="2:22" s="64" customFormat="1" ht="60" customHeight="1">
      <c r="B43" s="60"/>
      <c r="C43" s="83"/>
      <c r="D43" s="76"/>
      <c r="E43" s="76"/>
      <c r="F43" s="76"/>
      <c r="G43" s="76"/>
      <c r="H43" s="76"/>
      <c r="I43" s="76"/>
      <c r="J43" s="76" t="s">
        <v>254</v>
      </c>
      <c r="K43" s="76"/>
      <c r="L43" s="76"/>
      <c r="M43" s="76"/>
      <c r="N43" s="76"/>
      <c r="O43" s="76"/>
      <c r="P43" s="76"/>
      <c r="Q43" s="76"/>
      <c r="R43" s="76"/>
      <c r="V43" s="65"/>
    </row>
    <row r="44" spans="2:22" s="1" customFormat="1" ht="36" customHeight="1">
      <c r="B44" s="55"/>
      <c r="D44" s="77" t="s">
        <v>273</v>
      </c>
      <c r="E44" s="77" t="s">
        <v>327</v>
      </c>
      <c r="F44" s="77" t="s">
        <v>289</v>
      </c>
      <c r="G44" s="77" t="s">
        <v>302</v>
      </c>
      <c r="H44" s="77" t="s">
        <v>469</v>
      </c>
      <c r="I44" s="77" t="s">
        <v>303</v>
      </c>
      <c r="J44" s="77" t="s">
        <v>468</v>
      </c>
      <c r="K44" s="77" t="s">
        <v>255</v>
      </c>
      <c r="L44" s="77" t="s">
        <v>303</v>
      </c>
      <c r="M44" s="77" t="s">
        <v>305</v>
      </c>
      <c r="N44" s="77" t="s">
        <v>470</v>
      </c>
      <c r="O44" s="77" t="s">
        <v>306</v>
      </c>
      <c r="P44" s="77" t="s">
        <v>307</v>
      </c>
      <c r="Q44" s="77"/>
      <c r="R44" s="77" t="s">
        <v>273</v>
      </c>
      <c r="S44" s="86"/>
      <c r="V44" s="59"/>
    </row>
    <row r="45" spans="2:22" s="1" customFormat="1" ht="80.099999999999994" customHeight="1">
      <c r="B45" s="56">
        <f>B41+1</f>
        <v>11</v>
      </c>
      <c r="D45" s="93" t="s">
        <v>210</v>
      </c>
      <c r="E45" s="90" t="s">
        <v>243</v>
      </c>
      <c r="F45" s="90" t="s">
        <v>244</v>
      </c>
      <c r="G45" s="90" t="s">
        <v>188</v>
      </c>
      <c r="H45" s="90" t="s">
        <v>186</v>
      </c>
      <c r="I45" s="93" t="s">
        <v>245</v>
      </c>
      <c r="J45" s="93" t="s">
        <v>182</v>
      </c>
      <c r="K45" s="90" t="s">
        <v>256</v>
      </c>
      <c r="L45" s="93" t="s">
        <v>245</v>
      </c>
      <c r="M45" s="90" t="s">
        <v>246</v>
      </c>
      <c r="N45" s="93" t="s">
        <v>207</v>
      </c>
      <c r="O45" s="90" t="s">
        <v>247</v>
      </c>
      <c r="P45" s="90" t="s">
        <v>248</v>
      </c>
      <c r="Q45" s="90" t="s">
        <v>181</v>
      </c>
      <c r="R45" s="93" t="s">
        <v>210</v>
      </c>
      <c r="S45" s="87"/>
      <c r="V45" s="59"/>
    </row>
    <row r="46" spans="2:22" s="1" customFormat="1" ht="36" customHeight="1">
      <c r="B46" s="57"/>
      <c r="D46" s="78" t="s">
        <v>489</v>
      </c>
      <c r="E46" s="78" t="s">
        <v>532</v>
      </c>
      <c r="F46" s="78" t="s">
        <v>512</v>
      </c>
      <c r="G46" s="78" t="s">
        <v>533</v>
      </c>
      <c r="H46" s="78" t="s">
        <v>480</v>
      </c>
      <c r="I46" s="78" t="s">
        <v>457</v>
      </c>
      <c r="J46" s="78" t="s">
        <v>534</v>
      </c>
      <c r="K46" s="78" t="s">
        <v>535</v>
      </c>
      <c r="L46" s="78" t="s">
        <v>457</v>
      </c>
      <c r="M46" s="78" t="s">
        <v>536</v>
      </c>
      <c r="N46" s="78" t="s">
        <v>483</v>
      </c>
      <c r="O46" s="78" t="s">
        <v>537</v>
      </c>
      <c r="P46" s="78" t="s">
        <v>460</v>
      </c>
      <c r="Q46" s="78"/>
      <c r="R46" s="78" t="s">
        <v>489</v>
      </c>
      <c r="S46" s="89"/>
      <c r="V46" s="59"/>
    </row>
    <row r="47" spans="2:22" s="64" customFormat="1" ht="60" customHeight="1">
      <c r="B47" s="60"/>
      <c r="C47" s="83"/>
      <c r="D47" s="76"/>
      <c r="E47" s="76"/>
      <c r="F47" s="76"/>
      <c r="G47" s="76"/>
      <c r="H47" s="76"/>
      <c r="I47" s="76"/>
      <c r="J47" s="76" t="s">
        <v>258</v>
      </c>
      <c r="K47" s="76"/>
      <c r="L47" s="76"/>
      <c r="M47" s="76"/>
      <c r="N47" s="76"/>
      <c r="O47" s="76"/>
      <c r="P47" s="76"/>
      <c r="Q47" s="76"/>
      <c r="R47" s="76"/>
      <c r="V47" s="65"/>
    </row>
    <row r="48" spans="2:22" s="1" customFormat="1" ht="36" customHeight="1">
      <c r="B48" s="55"/>
      <c r="D48" s="77" t="s">
        <v>278</v>
      </c>
      <c r="E48" s="77" t="s">
        <v>314</v>
      </c>
      <c r="F48" s="77"/>
      <c r="G48" s="77" t="s">
        <v>472</v>
      </c>
      <c r="H48" s="77" t="s">
        <v>255</v>
      </c>
      <c r="I48" s="77" t="s">
        <v>321</v>
      </c>
      <c r="J48" s="77" t="s">
        <v>258</v>
      </c>
      <c r="K48" s="77" t="s">
        <v>475</v>
      </c>
      <c r="L48" s="77"/>
      <c r="M48" s="77" t="s">
        <v>475</v>
      </c>
      <c r="N48" s="77" t="s">
        <v>298</v>
      </c>
      <c r="O48" s="77" t="s">
        <v>282</v>
      </c>
      <c r="P48" s="77" t="s">
        <v>283</v>
      </c>
      <c r="Q48" s="77" t="s">
        <v>470</v>
      </c>
      <c r="R48" s="77" t="s">
        <v>308</v>
      </c>
      <c r="S48" s="86"/>
      <c r="V48" s="59"/>
    </row>
    <row r="49" spans="2:22" s="1" customFormat="1" ht="80.099999999999994" customHeight="1">
      <c r="B49" s="56">
        <f>B45+1</f>
        <v>12</v>
      </c>
      <c r="D49" s="90" t="s">
        <v>199</v>
      </c>
      <c r="E49" s="93" t="s">
        <v>217</v>
      </c>
      <c r="F49" s="90" t="s">
        <v>214</v>
      </c>
      <c r="G49" s="90" t="s">
        <v>221</v>
      </c>
      <c r="H49" s="90" t="s">
        <v>220</v>
      </c>
      <c r="I49" s="90" t="s">
        <v>215</v>
      </c>
      <c r="J49" s="90" t="s">
        <v>216</v>
      </c>
      <c r="K49" s="93" t="s">
        <v>239</v>
      </c>
      <c r="L49" s="90" t="s">
        <v>181</v>
      </c>
      <c r="M49" s="90" t="s">
        <v>239</v>
      </c>
      <c r="N49" s="90" t="s">
        <v>189</v>
      </c>
      <c r="O49" s="90" t="s">
        <v>223</v>
      </c>
      <c r="P49" s="90" t="s">
        <v>224</v>
      </c>
      <c r="Q49" s="93" t="s">
        <v>207</v>
      </c>
      <c r="R49" s="90" t="s">
        <v>249</v>
      </c>
      <c r="S49" s="87"/>
      <c r="V49" s="59"/>
    </row>
    <row r="50" spans="2:22" s="1" customFormat="1" ht="36" customHeight="1">
      <c r="B50" s="57"/>
      <c r="D50" s="78" t="s">
        <v>497</v>
      </c>
      <c r="E50" s="78" t="s">
        <v>498</v>
      </c>
      <c r="F50" s="78"/>
      <c r="G50" s="78" t="s">
        <v>421</v>
      </c>
      <c r="H50" s="78" t="s">
        <v>535</v>
      </c>
      <c r="I50" s="78" t="s">
        <v>495</v>
      </c>
      <c r="J50" s="78" t="s">
        <v>496</v>
      </c>
      <c r="K50" s="78" t="s">
        <v>523</v>
      </c>
      <c r="L50" s="78"/>
      <c r="M50" s="78" t="s">
        <v>523</v>
      </c>
      <c r="N50" s="78" t="s">
        <v>524</v>
      </c>
      <c r="O50" s="78" t="s">
        <v>504</v>
      </c>
      <c r="P50" s="78" t="s">
        <v>505</v>
      </c>
      <c r="Q50" s="78" t="s">
        <v>483</v>
      </c>
      <c r="R50" s="78" t="s">
        <v>538</v>
      </c>
      <c r="S50" s="89"/>
      <c r="V50" s="59"/>
    </row>
    <row r="51" spans="2:22" s="64" customFormat="1" ht="60" customHeight="1">
      <c r="B51" s="60"/>
      <c r="C51" s="83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V51" s="65"/>
    </row>
    <row r="52" spans="2:22" s="1" customFormat="1" ht="36" customHeight="1">
      <c r="B52" s="55"/>
      <c r="D52" s="77" t="s">
        <v>309</v>
      </c>
      <c r="E52" s="77"/>
      <c r="F52" s="77" t="s">
        <v>288</v>
      </c>
      <c r="G52" s="77" t="s">
        <v>328</v>
      </c>
      <c r="H52" s="77" t="s">
        <v>273</v>
      </c>
      <c r="I52" s="77" t="s">
        <v>281</v>
      </c>
      <c r="J52" s="77" t="s">
        <v>303</v>
      </c>
      <c r="K52" s="77" t="s">
        <v>470</v>
      </c>
      <c r="L52" s="77" t="s">
        <v>310</v>
      </c>
      <c r="M52" s="77" t="s">
        <v>311</v>
      </c>
      <c r="N52" s="77"/>
      <c r="O52" s="77"/>
      <c r="P52" s="77"/>
      <c r="Q52" s="77"/>
      <c r="R52" s="77"/>
      <c r="S52" s="86"/>
      <c r="V52" s="59"/>
    </row>
    <row r="53" spans="2:22" s="1" customFormat="1" ht="80.099999999999994" customHeight="1">
      <c r="B53" s="56">
        <f>B49+1</f>
        <v>13</v>
      </c>
      <c r="D53" s="90" t="s">
        <v>250</v>
      </c>
      <c r="E53" s="90" t="s">
        <v>181</v>
      </c>
      <c r="F53" s="90" t="s">
        <v>227</v>
      </c>
      <c r="G53" s="95" t="s">
        <v>317</v>
      </c>
      <c r="H53" s="93" t="s">
        <v>210</v>
      </c>
      <c r="I53" s="90" t="s">
        <v>232</v>
      </c>
      <c r="J53" s="90" t="s">
        <v>251</v>
      </c>
      <c r="K53" s="93" t="s">
        <v>207</v>
      </c>
      <c r="L53" s="90" t="s">
        <v>252</v>
      </c>
      <c r="M53" s="90" t="s">
        <v>253</v>
      </c>
      <c r="N53" s="90" t="s">
        <v>184</v>
      </c>
      <c r="O53" s="90"/>
      <c r="P53" s="90"/>
      <c r="Q53" s="90"/>
      <c r="R53" s="90"/>
      <c r="S53" s="87"/>
      <c r="V53" s="59"/>
    </row>
    <row r="54" spans="2:22" s="1" customFormat="1" ht="36" customHeight="1">
      <c r="B54" s="57"/>
      <c r="D54" s="78" t="s">
        <v>539</v>
      </c>
      <c r="E54" s="78"/>
      <c r="F54" s="78" t="s">
        <v>431</v>
      </c>
      <c r="G54" s="78" t="s">
        <v>529</v>
      </c>
      <c r="H54" s="78" t="s">
        <v>489</v>
      </c>
      <c r="I54" s="78" t="s">
        <v>503</v>
      </c>
      <c r="J54" s="78" t="s">
        <v>457</v>
      </c>
      <c r="K54" s="78" t="s">
        <v>483</v>
      </c>
      <c r="L54" s="78" t="s">
        <v>540</v>
      </c>
      <c r="M54" s="78" t="s">
        <v>541</v>
      </c>
      <c r="N54" s="78"/>
      <c r="O54" s="78"/>
      <c r="P54" s="78"/>
      <c r="Q54" s="78"/>
      <c r="R54" s="78"/>
      <c r="S54" s="89"/>
      <c r="V54" s="59"/>
    </row>
    <row r="55" spans="2:22" s="64" customFormat="1" ht="60" customHeight="1">
      <c r="B55" s="60"/>
      <c r="C55" s="83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V55" s="65"/>
    </row>
    <row r="56" spans="2:22" s="1" customFormat="1" ht="36" customHeight="1">
      <c r="B56" s="55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86"/>
      <c r="V56" s="59"/>
    </row>
    <row r="57" spans="2:22" s="1" customFormat="1" ht="80.099999999999994" customHeight="1">
      <c r="B57" s="56">
        <f>B53+1</f>
        <v>14</v>
      </c>
      <c r="D57" s="90"/>
      <c r="E57" s="90"/>
      <c r="F57" s="90"/>
      <c r="G57" s="91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87"/>
      <c r="V57" s="59"/>
    </row>
    <row r="58" spans="2:22" s="1" customFormat="1" ht="36" customHeight="1">
      <c r="B58" s="57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89"/>
      <c r="V58" s="59"/>
    </row>
    <row r="59" spans="2:22" s="64" customFormat="1" ht="60" customHeight="1">
      <c r="B59" s="60"/>
      <c r="C59" s="83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V59" s="65"/>
    </row>
    <row r="60" spans="2:22" s="1" customFormat="1" ht="36" customHeight="1">
      <c r="B60" s="55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86"/>
      <c r="V60" s="59"/>
    </row>
    <row r="61" spans="2:22" s="1" customFormat="1" ht="80.099999999999994" customHeight="1">
      <c r="B61" s="56">
        <f>B57+1</f>
        <v>15</v>
      </c>
      <c r="D61" s="90"/>
      <c r="E61" s="90"/>
      <c r="F61" s="90"/>
      <c r="G61" s="91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87"/>
      <c r="V61" s="59"/>
    </row>
    <row r="62" spans="2:22" s="1" customFormat="1" ht="36" customHeight="1">
      <c r="B62" s="57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89"/>
      <c r="V62" s="59"/>
    </row>
    <row r="63" spans="2:22" s="64" customFormat="1" ht="60" customHeight="1">
      <c r="B63" s="60"/>
      <c r="C63" s="83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V63" s="65"/>
    </row>
    <row r="64" spans="2:22" s="1" customFormat="1" ht="36" customHeight="1">
      <c r="B64" s="55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86"/>
      <c r="V64" s="59"/>
    </row>
    <row r="65" spans="2:22" s="1" customFormat="1" ht="80.099999999999994" customHeight="1">
      <c r="B65" s="56">
        <f>B61+1</f>
        <v>16</v>
      </c>
      <c r="D65" s="90"/>
      <c r="E65" s="90"/>
      <c r="F65" s="90"/>
      <c r="G65" s="91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87"/>
      <c r="V65" s="59"/>
    </row>
    <row r="66" spans="2:22" s="1" customFormat="1" ht="36" customHeight="1">
      <c r="B66" s="57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89"/>
      <c r="V66" s="59"/>
    </row>
    <row r="67" spans="2:22" s="64" customFormat="1" ht="60" customHeight="1">
      <c r="B67" s="60"/>
      <c r="C67" s="83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V67" s="65"/>
    </row>
    <row r="68" spans="2:22" s="1" customFormat="1" ht="36" customHeight="1">
      <c r="B68" s="55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86"/>
      <c r="V68" s="59"/>
    </row>
    <row r="69" spans="2:22" s="1" customFormat="1" ht="80.099999999999994" customHeight="1">
      <c r="B69" s="56">
        <f>B65+1</f>
        <v>17</v>
      </c>
      <c r="D69" s="90"/>
      <c r="E69" s="90"/>
      <c r="F69" s="90"/>
      <c r="G69" s="91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87"/>
      <c r="V69" s="59"/>
    </row>
    <row r="70" spans="2:22" s="1" customFormat="1" ht="36" customHeight="1">
      <c r="B70" s="57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89"/>
      <c r="V70" s="59"/>
    </row>
    <row r="71" spans="2:22" s="64" customFormat="1" ht="60" customHeight="1">
      <c r="B71" s="60"/>
      <c r="C71" s="83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V71" s="65"/>
    </row>
    <row r="72" spans="2:22" s="1" customFormat="1" ht="36" customHeight="1">
      <c r="B72" s="55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86"/>
      <c r="V72" s="59"/>
    </row>
    <row r="73" spans="2:22" s="1" customFormat="1" ht="80.099999999999994" customHeight="1">
      <c r="B73" s="56">
        <f>B69+1</f>
        <v>18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87"/>
      <c r="V73" s="59"/>
    </row>
    <row r="74" spans="2:22" s="1" customFormat="1" ht="36" customHeight="1">
      <c r="B74" s="57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89"/>
      <c r="V74" s="59"/>
    </row>
    <row r="75" spans="2:22" s="64" customFormat="1" ht="60" customHeight="1">
      <c r="B75" s="60"/>
      <c r="C75" s="83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V75" s="65"/>
    </row>
    <row r="76" spans="2:22" s="1" customFormat="1" ht="36" customHeight="1">
      <c r="B76" s="55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86"/>
      <c r="V76" s="59"/>
    </row>
    <row r="77" spans="2:22" s="1" customFormat="1" ht="80.099999999999994" customHeight="1">
      <c r="B77" s="56">
        <f>B73+1</f>
        <v>19</v>
      </c>
      <c r="D77" s="90"/>
      <c r="E77" s="90"/>
      <c r="F77" s="90"/>
      <c r="G77" s="91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87"/>
      <c r="V77" s="59"/>
    </row>
    <row r="78" spans="2:22" s="1" customFormat="1" ht="36" customHeight="1">
      <c r="B78" s="57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89"/>
      <c r="V78" s="59"/>
    </row>
    <row r="79" spans="2:22" s="64" customFormat="1" ht="60" customHeight="1">
      <c r="B79" s="60"/>
      <c r="C79" s="83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V79" s="65"/>
    </row>
    <row r="80" spans="2:22" s="1" customFormat="1" ht="36" customHeight="1">
      <c r="B80" s="55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86"/>
      <c r="V80" s="59"/>
    </row>
    <row r="81" spans="2:22" s="1" customFormat="1" ht="80.099999999999994" customHeight="1">
      <c r="B81" s="56">
        <f>B77+1</f>
        <v>20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87"/>
      <c r="V81" s="59"/>
    </row>
    <row r="82" spans="2:22" s="1" customFormat="1" ht="36" customHeight="1">
      <c r="B82" s="57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89"/>
      <c r="V82" s="59"/>
    </row>
    <row r="83" spans="2:22" s="64" customFormat="1" ht="60" customHeight="1">
      <c r="B83" s="60"/>
      <c r="C83" s="83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V83" s="65"/>
    </row>
    <row r="84" spans="2:22" s="1" customFormat="1" ht="36" customHeight="1">
      <c r="B84" s="55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86"/>
      <c r="V84" s="59"/>
    </row>
    <row r="85" spans="2:22" s="1" customFormat="1" ht="80.099999999999994" customHeight="1">
      <c r="B85" s="56">
        <f>B81+1</f>
        <v>21</v>
      </c>
      <c r="D85" s="90"/>
      <c r="E85" s="90"/>
      <c r="F85" s="90"/>
      <c r="G85" s="91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87"/>
      <c r="V85" s="59"/>
    </row>
    <row r="86" spans="2:22" s="1" customFormat="1" ht="36" customHeight="1">
      <c r="B86" s="57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89"/>
      <c r="V86" s="59"/>
    </row>
    <row r="87" spans="2:22" s="64" customFormat="1" ht="60" customHeight="1">
      <c r="B87" s="60"/>
      <c r="C87" s="83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V87" s="65"/>
    </row>
    <row r="88" spans="2:22" s="1" customFormat="1" ht="36" customHeight="1">
      <c r="B88" s="55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86"/>
      <c r="V88" s="59"/>
    </row>
    <row r="89" spans="2:22" s="1" customFormat="1" ht="80.099999999999994" customHeight="1">
      <c r="B89" s="56">
        <f>B85+1</f>
        <v>22</v>
      </c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87"/>
      <c r="V89" s="59"/>
    </row>
    <row r="90" spans="2:22" s="1" customFormat="1" ht="36" customHeight="1">
      <c r="B90" s="57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89"/>
      <c r="V90" s="59"/>
    </row>
    <row r="91" spans="2:22" s="64" customFormat="1" ht="60" customHeight="1">
      <c r="B91" s="60"/>
      <c r="C91" s="83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V91" s="65"/>
    </row>
    <row r="92" spans="2:22" s="1" customFormat="1" ht="36" customHeight="1">
      <c r="B92" s="55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86"/>
      <c r="V92" s="59"/>
    </row>
    <row r="93" spans="2:22" s="1" customFormat="1" ht="80.099999999999994" customHeight="1">
      <c r="B93" s="56">
        <f>B89+1</f>
        <v>23</v>
      </c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87"/>
      <c r="V93" s="59"/>
    </row>
    <row r="94" spans="2:22" s="1" customFormat="1" ht="36" customHeight="1">
      <c r="B94" s="57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89"/>
      <c r="V94" s="59"/>
    </row>
    <row r="95" spans="2:22" s="64" customFormat="1" ht="60" customHeight="1">
      <c r="B95" s="60"/>
      <c r="C95" s="83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V95" s="65"/>
    </row>
    <row r="96" spans="2:22" s="1" customFormat="1" ht="36" customHeight="1">
      <c r="B96" s="55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86"/>
      <c r="V96" s="59"/>
    </row>
    <row r="97" spans="2:22" s="1" customFormat="1" ht="80.099999999999994" customHeight="1">
      <c r="B97" s="56">
        <f>B93+1</f>
        <v>24</v>
      </c>
      <c r="D97" s="90"/>
      <c r="E97" s="90"/>
      <c r="F97" s="90"/>
      <c r="G97" s="91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87"/>
      <c r="V97" s="59"/>
    </row>
    <row r="98" spans="2:22" s="1" customFormat="1" ht="36" customHeight="1">
      <c r="B98" s="57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89"/>
      <c r="V98" s="59"/>
    </row>
    <row r="99" spans="2:22" s="64" customFormat="1" ht="60" customHeight="1">
      <c r="B99" s="60"/>
      <c r="C99" s="83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V99" s="65"/>
    </row>
    <row r="100" spans="2:22" s="1" customFormat="1" ht="36" customHeight="1">
      <c r="B100" s="55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86"/>
      <c r="V100" s="59"/>
    </row>
    <row r="101" spans="2:22" s="1" customFormat="1" ht="80.099999999999994" customHeight="1">
      <c r="B101" s="56">
        <f>B97+1</f>
        <v>25</v>
      </c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87"/>
      <c r="V101" s="59"/>
    </row>
    <row r="102" spans="2:22" s="1" customFormat="1" ht="36" customHeight="1">
      <c r="B102" s="57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89"/>
      <c r="V102" s="59"/>
    </row>
    <row r="103" spans="2:22" s="64" customFormat="1" ht="60" customHeight="1">
      <c r="B103" s="60"/>
      <c r="C103" s="83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V103" s="65"/>
    </row>
    <row r="104" spans="2:22" s="1" customFormat="1" ht="36" customHeight="1">
      <c r="B104" s="55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86"/>
      <c r="V104" s="59"/>
    </row>
    <row r="105" spans="2:22" s="1" customFormat="1" ht="80.099999999999994" customHeight="1">
      <c r="B105" s="56">
        <f>B101+1</f>
        <v>26</v>
      </c>
      <c r="D105" s="90"/>
      <c r="E105" s="90"/>
      <c r="F105" s="90"/>
      <c r="G105" s="91"/>
      <c r="H105" s="90"/>
      <c r="I105" s="90"/>
      <c r="J105" s="90"/>
      <c r="K105" s="90"/>
      <c r="L105" s="90"/>
      <c r="M105" s="90"/>
      <c r="N105" s="90"/>
      <c r="O105" s="92"/>
      <c r="P105" s="90"/>
      <c r="Q105" s="90"/>
      <c r="R105" s="90"/>
      <c r="S105" s="87"/>
      <c r="V105" s="59"/>
    </row>
    <row r="106" spans="2:22" s="1" customFormat="1" ht="36" customHeight="1">
      <c r="B106" s="57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89"/>
      <c r="V106" s="59"/>
    </row>
    <row r="107" spans="2:22" s="64" customFormat="1" ht="60" customHeight="1">
      <c r="B107" s="60"/>
      <c r="C107" s="83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V107" s="65"/>
    </row>
    <row r="108" spans="2:22" s="1" customFormat="1" ht="36" customHeight="1">
      <c r="B108" s="55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86"/>
      <c r="V108" s="59"/>
    </row>
    <row r="109" spans="2:22" s="1" customFormat="1" ht="80.099999999999994" customHeight="1">
      <c r="B109" s="56">
        <f>B105+1</f>
        <v>27</v>
      </c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87"/>
      <c r="V109" s="59"/>
    </row>
    <row r="110" spans="2:22" s="1" customFormat="1" ht="36" customHeight="1">
      <c r="B110" s="57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89"/>
      <c r="V110" s="59"/>
    </row>
    <row r="111" spans="2:22" s="64" customFormat="1" ht="60" customHeight="1">
      <c r="B111" s="60"/>
      <c r="C111" s="83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V111" s="65"/>
    </row>
    <row r="112" spans="2:22" s="1" customFormat="1" ht="36" customHeight="1">
      <c r="B112" s="55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86"/>
      <c r="V112" s="59"/>
    </row>
    <row r="113" spans="2:22" s="1" customFormat="1" ht="80.099999999999994" customHeight="1">
      <c r="B113" s="56">
        <f>B109+1</f>
        <v>28</v>
      </c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2"/>
      <c r="P113" s="90"/>
      <c r="Q113" s="90"/>
      <c r="R113" s="90"/>
      <c r="S113" s="87"/>
      <c r="V113" s="59"/>
    </row>
    <row r="114" spans="2:22" s="1" customFormat="1" ht="36" customHeight="1">
      <c r="B114" s="57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89"/>
      <c r="V114" s="59"/>
    </row>
    <row r="115" spans="2:22" s="64" customFormat="1" ht="60" customHeight="1">
      <c r="B115" s="60"/>
      <c r="C115" s="83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V115" s="65"/>
    </row>
    <row r="116" spans="2:22" s="1" customFormat="1" ht="36" customHeight="1">
      <c r="B116" s="55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86"/>
      <c r="V116" s="59"/>
    </row>
    <row r="117" spans="2:22" s="1" customFormat="1" ht="80.099999999999994" customHeight="1">
      <c r="B117" s="56">
        <f>B113+1</f>
        <v>29</v>
      </c>
      <c r="D117" s="90"/>
      <c r="E117" s="90"/>
      <c r="F117" s="91"/>
      <c r="G117" s="91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87"/>
      <c r="V117" s="59"/>
    </row>
    <row r="118" spans="2:22" s="1" customFormat="1" ht="36" customHeight="1">
      <c r="B118" s="57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89"/>
      <c r="V118" s="59"/>
    </row>
    <row r="119" spans="2:22" s="64" customFormat="1" ht="60" customHeight="1">
      <c r="B119" s="60"/>
      <c r="C119" s="83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V119" s="65"/>
    </row>
    <row r="120" spans="2:22" s="1" customFormat="1" ht="36" customHeight="1">
      <c r="B120" s="55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86"/>
      <c r="V120" s="59"/>
    </row>
    <row r="121" spans="2:22" s="1" customFormat="1" ht="80.099999999999994" customHeight="1">
      <c r="B121" s="56">
        <f>B117+1</f>
        <v>30</v>
      </c>
      <c r="D121" s="90"/>
      <c r="E121" s="90"/>
      <c r="F121" s="90"/>
      <c r="G121" s="91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87"/>
      <c r="V121" s="59"/>
    </row>
    <row r="122" spans="2:22" s="1" customFormat="1" ht="36" customHeight="1">
      <c r="B122" s="57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89"/>
      <c r="V122" s="59"/>
    </row>
    <row r="123" spans="2:22" s="64" customFormat="1" ht="60" customHeight="1">
      <c r="B123" s="60"/>
      <c r="C123" s="83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V123" s="65"/>
    </row>
    <row r="124" spans="2:22" s="1" customFormat="1" ht="36" customHeight="1">
      <c r="B124" s="55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86"/>
      <c r="V124" s="59"/>
    </row>
    <row r="125" spans="2:22" s="1" customFormat="1" ht="80.099999999999994" customHeight="1">
      <c r="B125" s="56">
        <f>B121+1</f>
        <v>31</v>
      </c>
      <c r="D125" s="90"/>
      <c r="E125" s="90"/>
      <c r="F125" s="90"/>
      <c r="G125" s="91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87"/>
      <c r="V125" s="59"/>
    </row>
    <row r="126" spans="2:22" s="1" customFormat="1" ht="36" customHeight="1">
      <c r="B126" s="57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89"/>
      <c r="V126" s="59"/>
    </row>
    <row r="127" spans="2:22" s="64" customFormat="1" ht="60" customHeight="1">
      <c r="B127" s="60"/>
      <c r="C127" s="83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V127" s="65"/>
    </row>
    <row r="128" spans="2:22" s="1" customFormat="1" ht="36" customHeight="1">
      <c r="B128" s="55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86"/>
      <c r="V128" s="59"/>
    </row>
    <row r="129" spans="2:22" s="1" customFormat="1" ht="80.099999999999994" customHeight="1">
      <c r="B129" s="56">
        <f>B125+1</f>
        <v>32</v>
      </c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87"/>
      <c r="V129" s="59"/>
    </row>
    <row r="130" spans="2:22" s="1" customFormat="1" ht="36" customHeight="1">
      <c r="B130" s="57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89"/>
      <c r="V130" s="59"/>
    </row>
    <row r="131" spans="2:22" s="64" customFormat="1" ht="60" customHeight="1">
      <c r="B131" s="60"/>
      <c r="C131" s="83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V131" s="65"/>
    </row>
    <row r="132" spans="2:22" s="1" customFormat="1" ht="36" customHeight="1">
      <c r="B132" s="55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86"/>
      <c r="V132" s="59"/>
    </row>
    <row r="133" spans="2:22" s="1" customFormat="1" ht="80.099999999999994" customHeight="1">
      <c r="B133" s="56">
        <f>B129+1</f>
        <v>33</v>
      </c>
      <c r="D133" s="90"/>
      <c r="E133" s="90"/>
      <c r="F133" s="90"/>
      <c r="G133" s="91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87"/>
      <c r="V133" s="59"/>
    </row>
    <row r="134" spans="2:22" s="1" customFormat="1" ht="36" customHeight="1">
      <c r="B134" s="57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89"/>
      <c r="V134" s="59"/>
    </row>
    <row r="135" spans="2:22" s="64" customFormat="1" ht="60" customHeight="1">
      <c r="B135" s="60"/>
      <c r="C135" s="83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V135" s="65"/>
    </row>
    <row r="136" spans="2:22" s="1" customFormat="1" ht="36" customHeight="1">
      <c r="B136" s="55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86"/>
      <c r="V136" s="59"/>
    </row>
    <row r="137" spans="2:22" s="1" customFormat="1" ht="80.099999999999994" customHeight="1">
      <c r="B137" s="56">
        <f>B133+1</f>
        <v>34</v>
      </c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87"/>
      <c r="V137" s="59"/>
    </row>
    <row r="138" spans="2:22" s="1" customFormat="1" ht="36" customHeight="1">
      <c r="B138" s="57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89"/>
      <c r="V138" s="59"/>
    </row>
    <row r="139" spans="2:22" s="64" customFormat="1" ht="60" customHeight="1">
      <c r="B139" s="60"/>
      <c r="C139" s="83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V139" s="65"/>
    </row>
    <row r="140" spans="2:22" s="1" customFormat="1" ht="36" customHeight="1">
      <c r="B140" s="55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86"/>
      <c r="V140" s="59"/>
    </row>
    <row r="141" spans="2:22" s="1" customFormat="1" ht="80.099999999999994" customHeight="1">
      <c r="B141" s="56">
        <f>B137+1</f>
        <v>35</v>
      </c>
      <c r="D141" s="90"/>
      <c r="E141" s="90"/>
      <c r="F141" s="90"/>
      <c r="G141" s="91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87"/>
      <c r="V141" s="59"/>
    </row>
    <row r="142" spans="2:22" s="1" customFormat="1" ht="36" customHeight="1">
      <c r="B142" s="57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89"/>
      <c r="V142" s="59"/>
    </row>
    <row r="143" spans="2:22" s="64" customFormat="1" ht="60" customHeight="1">
      <c r="B143" s="60"/>
      <c r="C143" s="83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V143" s="65"/>
    </row>
    <row r="144" spans="2:22" s="1" customFormat="1" ht="36" customHeight="1">
      <c r="B144" s="55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86"/>
      <c r="V144" s="59"/>
    </row>
    <row r="145" spans="2:22" s="1" customFormat="1" ht="80.099999999999994" customHeight="1">
      <c r="B145" s="56">
        <f>B141+1</f>
        <v>36</v>
      </c>
      <c r="D145" s="90"/>
      <c r="E145" s="90"/>
      <c r="F145" s="90"/>
      <c r="G145" s="91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87"/>
      <c r="V145" s="59"/>
    </row>
    <row r="146" spans="2:22" s="1" customFormat="1" ht="36" customHeight="1">
      <c r="B146" s="57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89"/>
      <c r="V146" s="59"/>
    </row>
    <row r="147" spans="2:22" s="64" customFormat="1" ht="60" customHeight="1">
      <c r="B147" s="60"/>
      <c r="C147" s="83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V147" s="65"/>
    </row>
    <row r="148" spans="2:22" s="1" customFormat="1" ht="36" customHeight="1">
      <c r="B148" s="55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86"/>
      <c r="V148" s="59"/>
    </row>
    <row r="149" spans="2:22" s="1" customFormat="1" ht="80.099999999999994" customHeight="1">
      <c r="B149" s="56">
        <f>B145+1</f>
        <v>37</v>
      </c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87"/>
      <c r="V149" s="59"/>
    </row>
    <row r="150" spans="2:22" s="1" customFormat="1" ht="36" customHeight="1">
      <c r="B150" s="57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89"/>
      <c r="V150" s="59"/>
    </row>
    <row r="151" spans="2:22" s="64" customFormat="1" ht="60" customHeight="1">
      <c r="B151" s="60"/>
      <c r="C151" s="83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V151" s="65"/>
    </row>
    <row r="152" spans="2:22" s="1" customFormat="1" ht="36" customHeight="1">
      <c r="B152" s="55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86"/>
      <c r="V152" s="59"/>
    </row>
    <row r="153" spans="2:22" s="1" customFormat="1" ht="80.099999999999994" customHeight="1">
      <c r="B153" s="56">
        <f>B149+1</f>
        <v>38</v>
      </c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87"/>
      <c r="V153" s="59"/>
    </row>
    <row r="154" spans="2:22" s="1" customFormat="1" ht="36" customHeight="1">
      <c r="B154" s="57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89"/>
      <c r="V154" s="59"/>
    </row>
    <row r="155" spans="2:22" s="64" customFormat="1" ht="60" customHeight="1">
      <c r="B155" s="60"/>
      <c r="C155" s="83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V155" s="65"/>
    </row>
    <row r="156" spans="2:22" s="1" customFormat="1" ht="36" customHeight="1">
      <c r="B156" s="55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86"/>
      <c r="V156" s="59"/>
    </row>
    <row r="157" spans="2:22" s="1" customFormat="1" ht="80.099999999999994" customHeight="1">
      <c r="B157" s="56">
        <f>B153+1</f>
        <v>39</v>
      </c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87"/>
      <c r="V157" s="59"/>
    </row>
    <row r="158" spans="2:22" s="1" customFormat="1" ht="36" customHeight="1">
      <c r="B158" s="57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89"/>
      <c r="V158" s="59"/>
    </row>
    <row r="159" spans="2:22" s="64" customFormat="1" ht="60" customHeight="1">
      <c r="B159" s="60"/>
      <c r="C159" s="83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V159" s="65"/>
    </row>
    <row r="160" spans="2:22" s="1" customFormat="1" ht="36" customHeight="1">
      <c r="B160" s="55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86"/>
      <c r="V160" s="59"/>
    </row>
    <row r="161" spans="2:22" s="1" customFormat="1" ht="80.099999999999994" customHeight="1">
      <c r="B161" s="56">
        <f>B157+1</f>
        <v>40</v>
      </c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87"/>
      <c r="V161" s="59"/>
    </row>
    <row r="162" spans="2:22" s="1" customFormat="1" ht="36" customHeight="1">
      <c r="B162" s="57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89"/>
      <c r="V162" s="59"/>
    </row>
    <row r="163" spans="2:22" s="64" customFormat="1" ht="60" customHeight="1">
      <c r="B163" s="60"/>
      <c r="C163" s="83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V163" s="65"/>
    </row>
    <row r="164" spans="2:22" s="1" customFormat="1" ht="36" customHeight="1">
      <c r="B164" s="55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86"/>
      <c r="V164" s="59"/>
    </row>
    <row r="165" spans="2:22" s="1" customFormat="1" ht="80.099999999999994" customHeight="1">
      <c r="B165" s="56">
        <f>B161+1</f>
        <v>41</v>
      </c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87"/>
      <c r="V165" s="59"/>
    </row>
    <row r="166" spans="2:22" s="1" customFormat="1" ht="36" customHeight="1">
      <c r="B166" s="57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89"/>
      <c r="V166" s="59"/>
    </row>
    <row r="167" spans="2:22">
      <c r="B167" s="60"/>
      <c r="C167" s="83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22" ht="39.75">
      <c r="B168" s="55"/>
      <c r="C168" s="1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2:22" ht="58.5">
      <c r="B169" s="56">
        <f>B165+1</f>
        <v>42</v>
      </c>
      <c r="C169" s="1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spans="2:22">
      <c r="B170" s="57"/>
      <c r="C170" s="1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</row>
    <row r="171" spans="2:22">
      <c r="B171" s="60"/>
      <c r="C171" s="83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22" ht="39.75">
      <c r="B172" s="55"/>
      <c r="C172" s="1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2:22" ht="58.5">
      <c r="B173" s="56">
        <f>B169+1</f>
        <v>43</v>
      </c>
      <c r="C173" s="1"/>
      <c r="D173" s="90"/>
      <c r="E173" s="90"/>
      <c r="F173" s="90"/>
      <c r="G173" s="91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</row>
    <row r="174" spans="2:22">
      <c r="B174" s="57"/>
      <c r="C174" s="1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</row>
    <row r="175" spans="2:22">
      <c r="B175" s="60"/>
      <c r="C175" s="83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22" ht="39.75">
      <c r="B176" s="55"/>
      <c r="C176" s="1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2:18" ht="58.5">
      <c r="B177" s="56">
        <f>B173+1</f>
        <v>44</v>
      </c>
      <c r="C177" s="1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</row>
    <row r="178" spans="2:18">
      <c r="B178" s="57"/>
      <c r="C178" s="1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</row>
    <row r="179" spans="2:18">
      <c r="B179" s="60"/>
      <c r="C179" s="83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39.75">
      <c r="B180" s="55"/>
      <c r="C180" s="1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2:18" ht="58.5">
      <c r="B181" s="56">
        <f>B177+1</f>
        <v>45</v>
      </c>
      <c r="C181" s="1"/>
      <c r="D181" s="90"/>
      <c r="E181" s="90"/>
      <c r="F181" s="90"/>
      <c r="G181" s="91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</row>
    <row r="182" spans="2:18">
      <c r="B182" s="57"/>
      <c r="C182" s="1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</row>
    <row r="183" spans="2:18">
      <c r="B183" s="60"/>
      <c r="C183" s="83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39.75">
      <c r="B184" s="55"/>
      <c r="C184" s="1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2:18" ht="58.5">
      <c r="B185" s="56">
        <f>B181+1</f>
        <v>46</v>
      </c>
      <c r="C185" s="1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2:18">
      <c r="B186" s="57"/>
      <c r="C186" s="1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</row>
    <row r="187" spans="2:18">
      <c r="B187" s="60"/>
      <c r="C187" s="83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39.75">
      <c r="B188" s="55"/>
      <c r="C188" s="1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2:18" ht="58.5">
      <c r="B189" s="56">
        <f>B185+1</f>
        <v>47</v>
      </c>
      <c r="C189" s="1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2:18">
      <c r="B190" s="57"/>
      <c r="C190" s="1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</row>
    <row r="191" spans="2:18">
      <c r="B191" s="60"/>
      <c r="C191" s="8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39.75">
      <c r="B192" s="55"/>
      <c r="C192" s="1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2:18" ht="58.5">
      <c r="B193" s="56">
        <f>B189+1</f>
        <v>48</v>
      </c>
      <c r="C193" s="1"/>
      <c r="D193" s="90"/>
      <c r="E193" s="90"/>
      <c r="F193" s="90"/>
      <c r="G193" s="91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</row>
    <row r="194" spans="2:18">
      <c r="B194" s="57"/>
      <c r="C194" s="1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</row>
    <row r="195" spans="2:18">
      <c r="B195" s="60"/>
      <c r="C195" s="83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39.75">
      <c r="B196" s="55"/>
      <c r="C196" s="1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2:18" ht="58.5">
      <c r="B197" s="56">
        <f>B193+1</f>
        <v>49</v>
      </c>
      <c r="C197" s="1"/>
      <c r="D197" s="90"/>
      <c r="E197" s="90"/>
      <c r="F197" s="90"/>
      <c r="G197" s="91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</row>
    <row r="198" spans="2:18">
      <c r="B198" s="57"/>
      <c r="C198" s="1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</row>
    <row r="199" spans="2:18">
      <c r="B199" s="60"/>
      <c r="C199" s="83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39.75">
      <c r="B200" s="55"/>
      <c r="C200" s="1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2:18" ht="58.5">
      <c r="B201" s="56">
        <f>B197+1</f>
        <v>50</v>
      </c>
      <c r="C201" s="1"/>
      <c r="D201" s="90"/>
      <c r="E201" s="90"/>
      <c r="F201" s="90"/>
      <c r="G201" s="91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</row>
    <row r="202" spans="2:18">
      <c r="B202" s="57"/>
      <c r="C202" s="1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</row>
    <row r="203" spans="2:18">
      <c r="B203" s="60"/>
      <c r="C203" s="83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39.75">
      <c r="B204" s="55"/>
      <c r="C204" s="1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2:18" ht="58.5">
      <c r="B205" s="56">
        <f>B201+1</f>
        <v>51</v>
      </c>
      <c r="C205" s="1"/>
      <c r="D205" s="90"/>
      <c r="E205" s="90"/>
      <c r="F205" s="90"/>
      <c r="G205" s="91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</row>
    <row r="206" spans="2:18">
      <c r="B206" s="57"/>
      <c r="C206" s="1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</row>
    <row r="207" spans="2:18">
      <c r="B207" s="60"/>
      <c r="C207" s="83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39.75">
      <c r="B208" s="55"/>
      <c r="C208" s="1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2:18" ht="58.5">
      <c r="B209" s="56">
        <f>B205+1</f>
        <v>52</v>
      </c>
      <c r="C209" s="1"/>
      <c r="D209" s="90"/>
      <c r="E209" s="90"/>
      <c r="F209" s="90"/>
      <c r="G209" s="91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spans="2:18">
      <c r="B210" s="57"/>
      <c r="C210" s="1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</row>
    <row r="211" spans="2:18">
      <c r="B211" s="60"/>
      <c r="C211" s="83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39.75">
      <c r="B212" s="55"/>
      <c r="C212" s="1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2:18" ht="58.5">
      <c r="B213" s="56">
        <f>B209+1</f>
        <v>53</v>
      </c>
      <c r="C213" s="1"/>
      <c r="D213" s="90"/>
      <c r="E213" s="90"/>
      <c r="F213" s="90"/>
      <c r="G213" s="91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spans="2:18">
      <c r="B214" s="57"/>
      <c r="C214" s="1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</row>
    <row r="215" spans="2:18">
      <c r="B215" s="60"/>
      <c r="C215" s="83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39.75">
      <c r="B216" s="55"/>
      <c r="C216" s="1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2:18" ht="58.5">
      <c r="B217" s="56">
        <f>B213+1</f>
        <v>54</v>
      </c>
      <c r="C217" s="1"/>
      <c r="D217" s="90"/>
      <c r="E217" s="90"/>
      <c r="F217" s="90"/>
      <c r="G217" s="91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2:18">
      <c r="B218" s="57"/>
      <c r="C218" s="1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</row>
    <row r="219" spans="2:18">
      <c r="B219" s="60"/>
      <c r="C219" s="83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39.75">
      <c r="B220" s="55"/>
      <c r="C220" s="1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2:18" ht="58.5">
      <c r="B221" s="56">
        <f>B217+1</f>
        <v>55</v>
      </c>
      <c r="C221" s="1"/>
      <c r="D221" s="90"/>
      <c r="E221" s="90"/>
      <c r="F221" s="90"/>
      <c r="G221" s="91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2:18">
      <c r="B222" s="57"/>
      <c r="C222" s="1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</row>
    <row r="223" spans="2:18">
      <c r="B223" s="60"/>
      <c r="C223" s="83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39.75">
      <c r="B224" s="55"/>
      <c r="C224" s="1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2:18" ht="58.5">
      <c r="B225" s="56">
        <f>B221+1</f>
        <v>56</v>
      </c>
      <c r="C225" s="1"/>
      <c r="D225" s="90"/>
      <c r="E225" s="90"/>
      <c r="F225" s="90"/>
      <c r="G225" s="91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2:18">
      <c r="B226" s="57"/>
      <c r="C226" s="1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</row>
    <row r="227" spans="2:18">
      <c r="B227" s="60"/>
      <c r="C227" s="83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39.75">
      <c r="B228" s="55"/>
      <c r="C228" s="1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</row>
    <row r="229" spans="2:18" ht="58.5">
      <c r="B229" s="56">
        <f>B225+1</f>
        <v>57</v>
      </c>
      <c r="C229" s="1"/>
      <c r="D229" s="90"/>
      <c r="E229" s="90"/>
      <c r="F229" s="90"/>
      <c r="G229" s="91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2:18">
      <c r="B230" s="57"/>
      <c r="C230" s="1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</row>
    <row r="231" spans="2:18">
      <c r="B231" s="60"/>
      <c r="C231" s="83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39.75">
      <c r="B232" s="55"/>
      <c r="C232" s="1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</row>
    <row r="233" spans="2:18" ht="58.5">
      <c r="B233" s="56">
        <f>B229+1</f>
        <v>58</v>
      </c>
      <c r="C233" s="1"/>
      <c r="D233" s="90"/>
      <c r="E233" s="90"/>
      <c r="F233" s="90"/>
      <c r="G233" s="91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2:18">
      <c r="B234" s="57"/>
      <c r="C234" s="1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</row>
    <row r="235" spans="2:18">
      <c r="B235" s="60"/>
      <c r="C235" s="83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39.75">
      <c r="B236" s="55"/>
      <c r="C236" s="1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</row>
    <row r="237" spans="2:18" ht="58.5">
      <c r="B237" s="56">
        <f>B233+1</f>
        <v>59</v>
      </c>
      <c r="C237" s="1"/>
      <c r="D237" s="90"/>
      <c r="E237" s="90"/>
      <c r="F237" s="90"/>
      <c r="G237" s="91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2:18">
      <c r="B238" s="57"/>
      <c r="C238" s="1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</row>
    <row r="239" spans="2:18">
      <c r="B239" s="60"/>
      <c r="C239" s="83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39.75">
      <c r="B240" s="55"/>
      <c r="C240" s="1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</row>
    <row r="241" spans="2:18" ht="58.5">
      <c r="B241" s="56">
        <f>B237+1</f>
        <v>60</v>
      </c>
      <c r="C241" s="1"/>
      <c r="D241" s="90"/>
      <c r="E241" s="90"/>
      <c r="F241" s="90"/>
      <c r="G241" s="91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spans="2:18">
      <c r="B242" s="57"/>
      <c r="C242" s="1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</row>
  </sheetData>
  <mergeCells count="1">
    <mergeCell ref="V3:V22"/>
  </mergeCells>
  <phoneticPr fontId="1" type="noConversion"/>
  <conditionalFormatting sqref="D3:R3">
    <cfRule type="expression" dxfId="147" priority="1">
      <formula>顯示注音輸入</formula>
    </cfRule>
    <cfRule type="expression" dxfId="146" priority="2">
      <formula>"'= TRUE(顯示注音輸入)"</formula>
    </cfRule>
  </conditionalFormatting>
  <conditionalFormatting sqref="D7:R7">
    <cfRule type="expression" dxfId="145" priority="3">
      <formula>顯示注音輸入</formula>
    </cfRule>
    <cfRule type="expression" dxfId="144" priority="4">
      <formula>"'= TRUE(顯示注音輸入)"</formula>
    </cfRule>
  </conditionalFormatting>
  <conditionalFormatting sqref="D11:R11">
    <cfRule type="expression" dxfId="143" priority="39">
      <formula>顯示注音輸入</formula>
    </cfRule>
    <cfRule type="expression" dxfId="142" priority="40">
      <formula>"'= TRUE(顯示注音輸入)"</formula>
    </cfRule>
  </conditionalFormatting>
  <conditionalFormatting sqref="D15:R15">
    <cfRule type="expression" dxfId="141" priority="37">
      <formula>顯示注音輸入</formula>
    </cfRule>
    <cfRule type="expression" dxfId="140" priority="38">
      <formula>"'= TRUE(顯示注音輸入)"</formula>
    </cfRule>
  </conditionalFormatting>
  <conditionalFormatting sqref="D19:R19">
    <cfRule type="expression" dxfId="139" priority="35">
      <formula>顯示注音輸入</formula>
    </cfRule>
    <cfRule type="expression" dxfId="138" priority="36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37" priority="47">
      <formula>顯示注音輸入</formula>
    </cfRule>
    <cfRule type="expression" dxfId="136" priority="48">
      <formula>"'= TRUE(顯示注音輸入)"</formula>
    </cfRule>
  </conditionalFormatting>
  <conditionalFormatting sqref="D27:R27">
    <cfRule type="expression" dxfId="135" priority="33">
      <formula>顯示注音輸入</formula>
    </cfRule>
    <cfRule type="expression" dxfId="134" priority="34">
      <formula>"'= TRUE(顯示注音輸入)"</formula>
    </cfRule>
  </conditionalFormatting>
  <conditionalFormatting sqref="D31:R31">
    <cfRule type="expression" dxfId="133" priority="31">
      <formula>顯示注音輸入</formula>
    </cfRule>
    <cfRule type="expression" dxfId="132" priority="32">
      <formula>"'= TRUE(顯示注音輸入)"</formula>
    </cfRule>
  </conditionalFormatting>
  <conditionalFormatting sqref="D35:R35">
    <cfRule type="expression" dxfId="131" priority="29">
      <formula>顯示注音輸入</formula>
    </cfRule>
    <cfRule type="expression" dxfId="130" priority="30">
      <formula>"'= TRUE(顯示注音輸入)"</formula>
    </cfRule>
  </conditionalFormatting>
  <conditionalFormatting sqref="D43:R43">
    <cfRule type="expression" dxfId="129" priority="27">
      <formula>顯示注音輸入</formula>
    </cfRule>
    <cfRule type="expression" dxfId="128" priority="28">
      <formula>"'= TRUE(顯示注音輸入)"</formula>
    </cfRule>
  </conditionalFormatting>
  <conditionalFormatting sqref="D47:R47">
    <cfRule type="expression" dxfId="127" priority="25">
      <formula>顯示注音輸入</formula>
    </cfRule>
    <cfRule type="expression" dxfId="126" priority="26">
      <formula>"'= TRUE(顯示注音輸入)"</formula>
    </cfRule>
  </conditionalFormatting>
  <conditionalFormatting sqref="D51:R51">
    <cfRule type="expression" dxfId="125" priority="23">
      <formula>顯示注音輸入</formula>
    </cfRule>
    <cfRule type="expression" dxfId="124" priority="24">
      <formula>"'= TRUE(顯示注音輸入)"</formula>
    </cfRule>
  </conditionalFormatting>
  <conditionalFormatting sqref="D55:R55">
    <cfRule type="expression" dxfId="123" priority="21">
      <formula>顯示注音輸入</formula>
    </cfRule>
    <cfRule type="expression" dxfId="122" priority="22">
      <formula>"'= TRUE(顯示注音輸入)"</formula>
    </cfRule>
  </conditionalFormatting>
  <conditionalFormatting sqref="D59:R59">
    <cfRule type="expression" dxfId="121" priority="19">
      <formula>顯示注音輸入</formula>
    </cfRule>
    <cfRule type="expression" dxfId="120" priority="20">
      <formula>"'= TRUE(顯示注音輸入)"</formula>
    </cfRule>
  </conditionalFormatting>
  <conditionalFormatting sqref="D63:R63">
    <cfRule type="expression" dxfId="119" priority="17">
      <formula>顯示注音輸入</formula>
    </cfRule>
    <cfRule type="expression" dxfId="118" priority="18">
      <formula>"'= TRUE(顯示注音輸入)"</formula>
    </cfRule>
  </conditionalFormatting>
  <conditionalFormatting sqref="D67:R67">
    <cfRule type="expression" dxfId="117" priority="15">
      <formula>顯示注音輸入</formula>
    </cfRule>
    <cfRule type="expression" dxfId="116" priority="16">
      <formula>"'= TRUE(顯示注音輸入)"</formula>
    </cfRule>
  </conditionalFormatting>
  <conditionalFormatting sqref="D71:R71">
    <cfRule type="expression" dxfId="115" priority="13">
      <formula>顯示注音輸入</formula>
    </cfRule>
    <cfRule type="expression" dxfId="114" priority="14">
      <formula>"'= TRUE(顯示注音輸入)"</formula>
    </cfRule>
  </conditionalFormatting>
  <conditionalFormatting sqref="D75:R75">
    <cfRule type="expression" dxfId="113" priority="11">
      <formula>顯示注音輸入</formula>
    </cfRule>
    <cfRule type="expression" dxfId="112" priority="12">
      <formula>"'= TRUE(顯示注音輸入)"</formula>
    </cfRule>
  </conditionalFormatting>
  <conditionalFormatting sqref="D79:R79">
    <cfRule type="expression" dxfId="111" priority="9">
      <formula>顯示注音輸入</formula>
    </cfRule>
    <cfRule type="expression" dxfId="110" priority="10">
      <formula>"'= TRUE(顯示注音輸入)"</formula>
    </cfRule>
  </conditionalFormatting>
  <conditionalFormatting sqref="D83:R83">
    <cfRule type="expression" dxfId="109" priority="7">
      <formula>顯示注音輸入</formula>
    </cfRule>
    <cfRule type="expression" dxfId="108" priority="8">
      <formula>"'= TRUE(顯示注音輸入)"</formula>
    </cfRule>
  </conditionalFormatting>
  <conditionalFormatting sqref="D107:R107">
    <cfRule type="expression" dxfId="107" priority="5">
      <formula>顯示注音輸入</formula>
    </cfRule>
    <cfRule type="expression" dxfId="106" priority="6">
      <formula>"'= TRUE(顯示注音輸入)"</formula>
    </cfRule>
  </conditionalFormatting>
  <conditionalFormatting sqref="D167:R167 D171:R171 D175:R175 D179:R179 D183:R183 D187:R187 D191:R191 D195:R195 D199:R199">
    <cfRule type="expression" dxfId="105" priority="45">
      <formula>顯示注音輸入</formula>
    </cfRule>
    <cfRule type="expression" dxfId="104" priority="46">
      <formula>"'= TRUE(顯示注音輸入)"</formula>
    </cfRule>
  </conditionalFormatting>
  <conditionalFormatting sqref="D203:R203">
    <cfRule type="expression" dxfId="103" priority="43">
      <formula>顯示注音輸入</formula>
    </cfRule>
    <cfRule type="expression" dxfId="102" priority="44">
      <formula>"'= TRUE(顯示注音輸入)"</formula>
    </cfRule>
  </conditionalFormatting>
  <conditionalFormatting sqref="D207:R207 D211:R211 D215:R215 D219:R219 D223:R223 D227:R227 D231:R231 D235:R235 D239:R239">
    <cfRule type="expression" dxfId="101" priority="41">
      <formula>顯示注音輸入</formula>
    </cfRule>
    <cfRule type="expression" dxfId="10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58CB-2FC9-452E-BF1F-EE89F77A8897}">
  <dimension ref="B2:AC242"/>
  <sheetViews>
    <sheetView showGridLines="0" topLeftCell="A38" zoomScale="50" zoomScaleNormal="50" workbookViewId="0">
      <selection activeCell="A53" sqref="A53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75" customWidth="1"/>
    <col min="19" max="19" width="3.69921875" style="1" customWidth="1"/>
    <col min="20" max="20" width="2.796875" customWidth="1"/>
    <col min="21" max="21" width="6.19921875" customWidth="1"/>
    <col min="22" max="22" width="71.69921875" style="59" customWidth="1"/>
    <col min="23" max="23" width="10.19921875" bestFit="1" customWidth="1"/>
  </cols>
  <sheetData>
    <row r="2" spans="2:29" s="51" customFormat="1" ht="36" customHeight="1"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84"/>
      <c r="V2" s="58">
        <f xml:space="preserve"> LEN(V3)</f>
        <v>143</v>
      </c>
    </row>
    <row r="3" spans="2:29" s="61" customFormat="1" ht="60" customHeight="1">
      <c r="B3" s="60"/>
      <c r="C3" s="79"/>
      <c r="D3" s="76"/>
      <c r="E3" s="76"/>
      <c r="F3" s="76"/>
      <c r="G3" s="76"/>
      <c r="H3" s="76"/>
      <c r="I3" s="76" t="s">
        <v>466</v>
      </c>
      <c r="J3" s="76"/>
      <c r="K3" s="76"/>
      <c r="L3" s="76"/>
      <c r="M3" s="76"/>
      <c r="N3" s="76"/>
      <c r="O3" s="76"/>
      <c r="P3" s="76"/>
      <c r="Q3" s="76"/>
      <c r="R3" s="76"/>
      <c r="T3" s="85"/>
      <c r="V3" s="100" t="s">
        <v>203</v>
      </c>
    </row>
    <row r="4" spans="2:29" s="1" customFormat="1" ht="36" customHeight="1">
      <c r="B4" s="55"/>
      <c r="D4" s="77" t="s">
        <v>264</v>
      </c>
      <c r="E4" s="77" t="s">
        <v>469</v>
      </c>
      <c r="F4" s="77" t="s">
        <v>266</v>
      </c>
      <c r="G4" s="77" t="s">
        <v>467</v>
      </c>
      <c r="H4" s="77" t="s">
        <v>470</v>
      </c>
      <c r="I4" s="77" t="s">
        <v>268</v>
      </c>
      <c r="J4" s="77" t="s">
        <v>269</v>
      </c>
      <c r="K4" s="77" t="s">
        <v>270</v>
      </c>
      <c r="L4" s="77" t="s">
        <v>271</v>
      </c>
      <c r="M4" s="77" t="s">
        <v>272</v>
      </c>
      <c r="N4" s="77"/>
      <c r="O4" s="77"/>
      <c r="P4" s="77"/>
      <c r="Q4" s="77"/>
      <c r="R4" s="77"/>
      <c r="S4" s="86"/>
      <c r="V4" s="101"/>
    </row>
    <row r="5" spans="2:29" s="1" customFormat="1" ht="80.099999999999994" customHeight="1">
      <c r="B5" s="56">
        <v>1</v>
      </c>
      <c r="D5" s="90" t="s">
        <v>204</v>
      </c>
      <c r="E5" s="90" t="s">
        <v>186</v>
      </c>
      <c r="F5" s="93" t="s">
        <v>205</v>
      </c>
      <c r="G5" s="90" t="s">
        <v>206</v>
      </c>
      <c r="H5" s="93" t="s">
        <v>207</v>
      </c>
      <c r="I5" s="90" t="s">
        <v>201</v>
      </c>
      <c r="J5" s="90" t="s">
        <v>190</v>
      </c>
      <c r="K5" s="90" t="s">
        <v>208</v>
      </c>
      <c r="L5" s="90" t="s">
        <v>209</v>
      </c>
      <c r="M5" s="90" t="s">
        <v>202</v>
      </c>
      <c r="N5" s="93"/>
      <c r="O5" s="90"/>
      <c r="P5" s="90"/>
      <c r="Q5" s="90"/>
      <c r="R5" s="90"/>
      <c r="S5" s="87"/>
      <c r="V5" s="101"/>
    </row>
    <row r="6" spans="2:29" s="50" customFormat="1" ht="36" customHeight="1">
      <c r="B6" s="57"/>
      <c r="C6" s="80"/>
      <c r="D6" s="78" t="s">
        <v>332</v>
      </c>
      <c r="E6" s="78" t="s">
        <v>333</v>
      </c>
      <c r="F6" s="78" t="s">
        <v>334</v>
      </c>
      <c r="G6" s="78" t="s">
        <v>476</v>
      </c>
      <c r="H6" s="78" t="s">
        <v>335</v>
      </c>
      <c r="I6" s="78" t="s">
        <v>336</v>
      </c>
      <c r="J6" s="78" t="s">
        <v>337</v>
      </c>
      <c r="K6" s="78" t="s">
        <v>338</v>
      </c>
      <c r="L6" s="78" t="s">
        <v>339</v>
      </c>
      <c r="M6" s="78" t="s">
        <v>340</v>
      </c>
      <c r="N6" s="78"/>
      <c r="O6" s="78"/>
      <c r="P6" s="78"/>
      <c r="Q6" s="78"/>
      <c r="R6" s="78"/>
      <c r="S6" s="88"/>
      <c r="V6" s="101"/>
    </row>
    <row r="7" spans="2:29" s="49" customFormat="1" ht="60" customHeight="1">
      <c r="B7" s="54"/>
      <c r="C7" s="81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63"/>
      <c r="V7" s="101"/>
    </row>
    <row r="8" spans="2:29" s="1" customFormat="1" ht="36" customHeight="1">
      <c r="B8" s="55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86"/>
      <c r="V8" s="101"/>
    </row>
    <row r="9" spans="2:29" s="1" customFormat="1" ht="80.099999999999994" customHeight="1">
      <c r="B9" s="56">
        <f>B5+1</f>
        <v>2</v>
      </c>
      <c r="D9" s="93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87"/>
      <c r="T9" s="85"/>
      <c r="V9" s="101"/>
    </row>
    <row r="10" spans="2:29" s="1" customFormat="1" ht="36" customHeight="1">
      <c r="B10" s="57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89"/>
      <c r="V10" s="101"/>
      <c r="AA10" s="1" t="s">
        <v>180</v>
      </c>
    </row>
    <row r="11" spans="2:29" s="63" customFormat="1" ht="60" customHeight="1">
      <c r="B11" s="62"/>
      <c r="C11" s="82"/>
      <c r="D11" s="76"/>
      <c r="E11" s="76"/>
      <c r="F11" s="76"/>
      <c r="G11" s="76"/>
      <c r="H11" s="76"/>
      <c r="I11" s="76"/>
      <c r="J11" s="76"/>
      <c r="K11" s="76"/>
      <c r="L11" s="76" t="s">
        <v>258</v>
      </c>
      <c r="M11" s="76"/>
      <c r="N11" s="76"/>
      <c r="O11" s="76"/>
      <c r="P11" s="76"/>
      <c r="Q11" s="76"/>
      <c r="R11" s="76"/>
      <c r="V11" s="101"/>
    </row>
    <row r="12" spans="2:29" s="1" customFormat="1" ht="36" customHeight="1">
      <c r="B12" s="55"/>
      <c r="D12" s="77" t="s">
        <v>273</v>
      </c>
      <c r="E12" s="77" t="s">
        <v>274</v>
      </c>
      <c r="F12" s="77" t="s">
        <v>275</v>
      </c>
      <c r="G12" s="77" t="s">
        <v>471</v>
      </c>
      <c r="H12" s="77" t="s">
        <v>276</v>
      </c>
      <c r="I12" s="77" t="s">
        <v>277</v>
      </c>
      <c r="J12" s="77"/>
      <c r="K12" s="77" t="s">
        <v>321</v>
      </c>
      <c r="L12" s="77" t="s">
        <v>258</v>
      </c>
      <c r="M12" s="77"/>
      <c r="N12" s="77" t="s">
        <v>278</v>
      </c>
      <c r="O12" s="77" t="s">
        <v>314</v>
      </c>
      <c r="P12" s="77"/>
      <c r="Q12" s="77" t="s">
        <v>279</v>
      </c>
      <c r="R12" s="77" t="s">
        <v>322</v>
      </c>
      <c r="S12" s="86"/>
      <c r="V12" s="101"/>
    </row>
    <row r="13" spans="2:29" s="1" customFormat="1" ht="80.099999999999994" customHeight="1">
      <c r="B13" s="56">
        <f>B9+1</f>
        <v>3</v>
      </c>
      <c r="D13" s="93" t="s">
        <v>210</v>
      </c>
      <c r="E13" s="90" t="s">
        <v>211</v>
      </c>
      <c r="F13" s="90" t="s">
        <v>212</v>
      </c>
      <c r="G13" s="93" t="s">
        <v>316</v>
      </c>
      <c r="H13" s="90" t="s">
        <v>213</v>
      </c>
      <c r="I13" s="90" t="s">
        <v>198</v>
      </c>
      <c r="J13" s="90" t="s">
        <v>214</v>
      </c>
      <c r="K13" s="90" t="s">
        <v>215</v>
      </c>
      <c r="L13" s="90" t="s">
        <v>216</v>
      </c>
      <c r="M13" s="90" t="s">
        <v>214</v>
      </c>
      <c r="N13" s="90" t="s">
        <v>199</v>
      </c>
      <c r="O13" s="93" t="s">
        <v>217</v>
      </c>
      <c r="P13" s="90" t="s">
        <v>214</v>
      </c>
      <c r="Q13" s="90" t="s">
        <v>218</v>
      </c>
      <c r="R13" s="90" t="s">
        <v>219</v>
      </c>
      <c r="S13" s="87"/>
      <c r="V13" s="101"/>
    </row>
    <row r="14" spans="2:29" s="1" customFormat="1" ht="36" customHeight="1">
      <c r="B14" s="57"/>
      <c r="D14" s="78" t="s">
        <v>341</v>
      </c>
      <c r="E14" s="78" t="s">
        <v>342</v>
      </c>
      <c r="F14" s="78" t="s">
        <v>343</v>
      </c>
      <c r="G14" s="78" t="s">
        <v>344</v>
      </c>
      <c r="H14" s="78" t="s">
        <v>345</v>
      </c>
      <c r="I14" s="78" t="s">
        <v>346</v>
      </c>
      <c r="J14" s="78"/>
      <c r="K14" s="78" t="s">
        <v>347</v>
      </c>
      <c r="L14" s="78" t="s">
        <v>348</v>
      </c>
      <c r="M14" s="78"/>
      <c r="N14" s="78" t="s">
        <v>349</v>
      </c>
      <c r="O14" s="78" t="s">
        <v>350</v>
      </c>
      <c r="P14" s="78"/>
      <c r="Q14" s="78" t="s">
        <v>351</v>
      </c>
      <c r="R14" s="78" t="s">
        <v>352</v>
      </c>
      <c r="S14" s="89"/>
      <c r="V14" s="101"/>
    </row>
    <row r="15" spans="2:29" s="64" customFormat="1" ht="60" customHeight="1">
      <c r="B15" s="60"/>
      <c r="C15" s="83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V15" s="101"/>
      <c r="AC15" s="64" t="s">
        <v>180</v>
      </c>
    </row>
    <row r="16" spans="2:29" s="1" customFormat="1" ht="36" customHeight="1">
      <c r="B16" s="55"/>
      <c r="D16" s="77" t="s">
        <v>331</v>
      </c>
      <c r="E16" s="77" t="s">
        <v>472</v>
      </c>
      <c r="F16" s="77" t="s">
        <v>323</v>
      </c>
      <c r="G16" s="77" t="s">
        <v>281</v>
      </c>
      <c r="H16" s="77" t="s">
        <v>470</v>
      </c>
      <c r="I16" s="77" t="s">
        <v>282</v>
      </c>
      <c r="J16" s="77" t="s">
        <v>283</v>
      </c>
      <c r="K16" s="77"/>
      <c r="L16" s="77" t="s">
        <v>324</v>
      </c>
      <c r="M16" s="77" t="s">
        <v>284</v>
      </c>
      <c r="N16" s="77" t="s">
        <v>285</v>
      </c>
      <c r="O16" s="77" t="s">
        <v>282</v>
      </c>
      <c r="P16" s="77" t="s">
        <v>470</v>
      </c>
      <c r="Q16" s="77" t="s">
        <v>282</v>
      </c>
      <c r="R16" s="77" t="s">
        <v>283</v>
      </c>
      <c r="S16" s="86"/>
      <c r="V16" s="101"/>
    </row>
    <row r="17" spans="2:22" s="1" customFormat="1" ht="80.099999999999994" customHeight="1">
      <c r="B17" s="56">
        <f>B13+1</f>
        <v>4</v>
      </c>
      <c r="D17" s="93" t="s">
        <v>318</v>
      </c>
      <c r="E17" s="90" t="s">
        <v>221</v>
      </c>
      <c r="F17" s="90" t="s">
        <v>222</v>
      </c>
      <c r="G17" s="90" t="s">
        <v>200</v>
      </c>
      <c r="H17" s="93" t="s">
        <v>207</v>
      </c>
      <c r="I17" s="90" t="s">
        <v>223</v>
      </c>
      <c r="J17" s="90" t="s">
        <v>224</v>
      </c>
      <c r="K17" s="90" t="s">
        <v>181</v>
      </c>
      <c r="L17" s="90" t="s">
        <v>195</v>
      </c>
      <c r="M17" s="90" t="s">
        <v>225</v>
      </c>
      <c r="N17" s="90" t="s">
        <v>183</v>
      </c>
      <c r="O17" s="90" t="s">
        <v>223</v>
      </c>
      <c r="P17" s="93" t="s">
        <v>207</v>
      </c>
      <c r="Q17" s="90" t="s">
        <v>223</v>
      </c>
      <c r="R17" s="90" t="s">
        <v>224</v>
      </c>
      <c r="S17" s="87"/>
      <c r="V17" s="101"/>
    </row>
    <row r="18" spans="2:22" s="1" customFormat="1" ht="36" customHeight="1">
      <c r="B18" s="57"/>
      <c r="D18" s="78" t="s">
        <v>353</v>
      </c>
      <c r="E18" s="78" t="s">
        <v>354</v>
      </c>
      <c r="F18" s="78" t="s">
        <v>355</v>
      </c>
      <c r="G18" s="78" t="s">
        <v>356</v>
      </c>
      <c r="H18" s="78" t="s">
        <v>335</v>
      </c>
      <c r="I18" s="78" t="s">
        <v>357</v>
      </c>
      <c r="J18" s="78" t="s">
        <v>358</v>
      </c>
      <c r="K18" s="78"/>
      <c r="L18" s="78" t="s">
        <v>359</v>
      </c>
      <c r="M18" s="78" t="s">
        <v>360</v>
      </c>
      <c r="N18" s="78" t="s">
        <v>361</v>
      </c>
      <c r="O18" s="78" t="s">
        <v>357</v>
      </c>
      <c r="P18" s="78" t="s">
        <v>335</v>
      </c>
      <c r="Q18" s="78" t="s">
        <v>357</v>
      </c>
      <c r="R18" s="78" t="s">
        <v>358</v>
      </c>
      <c r="S18" s="89"/>
      <c r="V18" s="101"/>
    </row>
    <row r="19" spans="2:22" s="64" customFormat="1" ht="60" customHeight="1">
      <c r="B19" s="60"/>
      <c r="C19" s="83"/>
      <c r="D19" s="76"/>
      <c r="E19" s="76"/>
      <c r="F19" s="76"/>
      <c r="G19" s="76"/>
      <c r="H19" s="76"/>
      <c r="I19" s="76"/>
      <c r="J19" s="76"/>
      <c r="K19" s="76"/>
      <c r="L19" s="76"/>
      <c r="M19" s="76" t="s">
        <v>465</v>
      </c>
      <c r="N19" s="76"/>
      <c r="O19" s="76"/>
      <c r="P19" s="76" t="s">
        <v>312</v>
      </c>
      <c r="Q19" s="76"/>
      <c r="R19" s="76"/>
      <c r="V19" s="101"/>
    </row>
    <row r="20" spans="2:22" s="1" customFormat="1" ht="36" customHeight="1">
      <c r="B20" s="55"/>
      <c r="D20" s="77"/>
      <c r="E20" s="77" t="s">
        <v>264</v>
      </c>
      <c r="F20" s="77" t="s">
        <v>473</v>
      </c>
      <c r="G20" s="77" t="s">
        <v>287</v>
      </c>
      <c r="H20" s="77" t="s">
        <v>470</v>
      </c>
      <c r="I20" s="77" t="s">
        <v>282</v>
      </c>
      <c r="J20" s="77" t="s">
        <v>283</v>
      </c>
      <c r="K20" s="77"/>
      <c r="L20" s="77" t="s">
        <v>288</v>
      </c>
      <c r="M20" s="77" t="s">
        <v>465</v>
      </c>
      <c r="N20" s="77" t="s">
        <v>289</v>
      </c>
      <c r="O20" s="77" t="s">
        <v>290</v>
      </c>
      <c r="P20" s="77" t="s">
        <v>312</v>
      </c>
      <c r="Q20" s="77" t="s">
        <v>291</v>
      </c>
      <c r="R20" s="77"/>
      <c r="S20" s="86"/>
      <c r="V20" s="101"/>
    </row>
    <row r="21" spans="2:22" s="1" customFormat="1" ht="80.099999999999994" customHeight="1">
      <c r="B21" s="56">
        <f>B17+1</f>
        <v>5</v>
      </c>
      <c r="D21" s="90" t="s">
        <v>181</v>
      </c>
      <c r="E21" s="90" t="s">
        <v>259</v>
      </c>
      <c r="F21" s="90" t="s">
        <v>226</v>
      </c>
      <c r="G21" s="90" t="s">
        <v>193</v>
      </c>
      <c r="H21" s="90" t="s">
        <v>207</v>
      </c>
      <c r="I21" s="90" t="s">
        <v>223</v>
      </c>
      <c r="J21" s="90" t="s">
        <v>224</v>
      </c>
      <c r="K21" s="90" t="s">
        <v>181</v>
      </c>
      <c r="L21" s="90" t="s">
        <v>227</v>
      </c>
      <c r="M21" s="94" t="s">
        <v>318</v>
      </c>
      <c r="N21" s="90" t="s">
        <v>228</v>
      </c>
      <c r="O21" s="90" t="s">
        <v>229</v>
      </c>
      <c r="P21" s="90" t="s">
        <v>194</v>
      </c>
      <c r="Q21" s="90" t="s">
        <v>230</v>
      </c>
      <c r="R21" s="90" t="s">
        <v>214</v>
      </c>
      <c r="S21" s="87"/>
      <c r="V21" s="101"/>
    </row>
    <row r="22" spans="2:22" s="1" customFormat="1" ht="36" customHeight="1">
      <c r="B22" s="57"/>
      <c r="D22" s="78"/>
      <c r="E22" s="78" t="s">
        <v>332</v>
      </c>
      <c r="F22" s="78" t="s">
        <v>362</v>
      </c>
      <c r="G22" s="78" t="s">
        <v>363</v>
      </c>
      <c r="H22" s="78" t="s">
        <v>335</v>
      </c>
      <c r="I22" s="78" t="s">
        <v>357</v>
      </c>
      <c r="J22" s="78" t="s">
        <v>358</v>
      </c>
      <c r="K22" s="78"/>
      <c r="L22" s="78" t="s">
        <v>364</v>
      </c>
      <c r="M22" s="78" t="s">
        <v>477</v>
      </c>
      <c r="N22" s="78" t="s">
        <v>365</v>
      </c>
      <c r="O22" s="78" t="s">
        <v>366</v>
      </c>
      <c r="P22" s="78" t="s">
        <v>367</v>
      </c>
      <c r="Q22" s="78" t="s">
        <v>368</v>
      </c>
      <c r="R22" s="78"/>
      <c r="S22" s="89"/>
      <c r="V22" s="102"/>
    </row>
    <row r="23" spans="2:22" s="64" customFormat="1" ht="60" customHeight="1">
      <c r="B23" s="60"/>
      <c r="C23" s="83"/>
      <c r="D23" s="76" t="s">
        <v>312</v>
      </c>
      <c r="E23" s="76"/>
      <c r="F23" s="76"/>
      <c r="G23" s="76" t="s">
        <v>313</v>
      </c>
      <c r="H23" s="76"/>
      <c r="I23" s="76"/>
      <c r="J23" s="76"/>
      <c r="K23" s="76"/>
      <c r="L23" s="76"/>
      <c r="M23" s="76" t="s">
        <v>260</v>
      </c>
      <c r="N23" s="76"/>
      <c r="O23" s="76"/>
      <c r="P23" s="76"/>
      <c r="Q23" s="76"/>
      <c r="R23" s="76"/>
      <c r="V23" s="65"/>
    </row>
    <row r="24" spans="2:22" s="1" customFormat="1" ht="36" customHeight="1">
      <c r="B24" s="55"/>
      <c r="D24" s="77" t="s">
        <v>312</v>
      </c>
      <c r="E24" s="77" t="s">
        <v>291</v>
      </c>
      <c r="F24" s="77" t="s">
        <v>325</v>
      </c>
      <c r="G24" s="77" t="s">
        <v>313</v>
      </c>
      <c r="H24" s="77" t="s">
        <v>331</v>
      </c>
      <c r="I24" s="77" t="s">
        <v>273</v>
      </c>
      <c r="J24" s="77" t="s">
        <v>281</v>
      </c>
      <c r="K24" s="77" t="s">
        <v>292</v>
      </c>
      <c r="L24" s="77" t="s">
        <v>470</v>
      </c>
      <c r="M24" s="77" t="s">
        <v>260</v>
      </c>
      <c r="N24" s="77" t="s">
        <v>293</v>
      </c>
      <c r="O24" s="77"/>
      <c r="P24" s="77"/>
      <c r="Q24" s="77"/>
      <c r="R24" s="77"/>
      <c r="S24" s="86"/>
      <c r="V24" s="59"/>
    </row>
    <row r="25" spans="2:22" s="1" customFormat="1" ht="80.099999999999994" customHeight="1">
      <c r="B25" s="56">
        <f>B21+1</f>
        <v>6</v>
      </c>
      <c r="D25" s="90" t="s">
        <v>194</v>
      </c>
      <c r="E25" s="90" t="s">
        <v>230</v>
      </c>
      <c r="F25" s="90" t="s">
        <v>197</v>
      </c>
      <c r="G25" s="90" t="s">
        <v>231</v>
      </c>
      <c r="H25" s="90" t="s">
        <v>318</v>
      </c>
      <c r="I25" s="93" t="s">
        <v>210</v>
      </c>
      <c r="J25" s="90" t="s">
        <v>232</v>
      </c>
      <c r="K25" s="90" t="s">
        <v>233</v>
      </c>
      <c r="L25" s="93" t="s">
        <v>207</v>
      </c>
      <c r="M25" s="93" t="s">
        <v>234</v>
      </c>
      <c r="N25" s="90" t="s">
        <v>235</v>
      </c>
      <c r="O25" s="90" t="s">
        <v>184</v>
      </c>
      <c r="P25" s="90"/>
      <c r="Q25" s="90"/>
      <c r="R25" s="90"/>
      <c r="S25" s="87"/>
      <c r="V25" s="59"/>
    </row>
    <row r="26" spans="2:22" s="1" customFormat="1" ht="36" customHeight="1">
      <c r="B26" s="57"/>
      <c r="D26" s="78" t="s">
        <v>367</v>
      </c>
      <c r="E26" s="78" t="s">
        <v>368</v>
      </c>
      <c r="F26" s="78" t="s">
        <v>369</v>
      </c>
      <c r="G26" s="78" t="s">
        <v>370</v>
      </c>
      <c r="H26" s="78" t="s">
        <v>353</v>
      </c>
      <c r="I26" s="78" t="s">
        <v>341</v>
      </c>
      <c r="J26" s="78" t="s">
        <v>356</v>
      </c>
      <c r="K26" s="78" t="s">
        <v>372</v>
      </c>
      <c r="L26" s="78" t="s">
        <v>335</v>
      </c>
      <c r="M26" s="78" t="s">
        <v>373</v>
      </c>
      <c r="N26" s="78" t="s">
        <v>374</v>
      </c>
      <c r="O26" s="78"/>
      <c r="P26" s="78"/>
      <c r="Q26" s="78"/>
      <c r="R26" s="78"/>
      <c r="S26" s="89"/>
      <c r="U26" s="1" t="str">
        <f xml:space="preserve"> MID($N$26,3,1)</f>
        <v>他</v>
      </c>
      <c r="V26" s="59"/>
    </row>
    <row r="27" spans="2:22" s="64" customFormat="1" ht="60" customHeight="1">
      <c r="B27" s="60"/>
      <c r="C27" s="83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U27" s="64" t="str">
        <f t="shared" ref="U27:U32" si="0" xml:space="preserve"> MID($N$26,4,1)</f>
        <v/>
      </c>
      <c r="V27" s="65"/>
    </row>
    <row r="28" spans="2:22" s="1" customFormat="1" ht="36" customHeight="1">
      <c r="B28" s="55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86"/>
      <c r="U28" s="64" t="str">
        <f t="shared" si="0"/>
        <v/>
      </c>
      <c r="V28" s="59"/>
    </row>
    <row r="29" spans="2:22" s="1" customFormat="1" ht="80.099999999999994" customHeight="1">
      <c r="B29" s="56">
        <f>B25+1</f>
        <v>7</v>
      </c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87"/>
      <c r="U29" s="64" t="str">
        <f t="shared" si="0"/>
        <v/>
      </c>
      <c r="V29" s="59"/>
    </row>
    <row r="30" spans="2:22" s="1" customFormat="1" ht="36" customHeight="1">
      <c r="B30" s="57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89"/>
      <c r="U30" s="64" t="str">
        <f t="shared" si="0"/>
        <v/>
      </c>
      <c r="V30" s="59"/>
    </row>
    <row r="31" spans="2:22" s="64" customFormat="1" ht="60" customHeight="1">
      <c r="B31" s="60"/>
      <c r="C31" s="83"/>
      <c r="D31" s="76"/>
      <c r="E31" s="76"/>
      <c r="F31" s="76"/>
      <c r="G31" s="76"/>
      <c r="H31" s="76"/>
      <c r="I31" s="76"/>
      <c r="J31" s="76"/>
      <c r="K31" s="76" t="s">
        <v>258</v>
      </c>
      <c r="L31" s="76"/>
      <c r="M31" s="76"/>
      <c r="N31" s="76"/>
      <c r="O31" s="76" t="s">
        <v>261</v>
      </c>
      <c r="P31" s="76"/>
      <c r="Q31" s="76"/>
      <c r="R31" s="76"/>
      <c r="U31" s="64" t="str">
        <f t="shared" si="0"/>
        <v/>
      </c>
      <c r="V31" s="65"/>
    </row>
    <row r="32" spans="2:22" s="1" customFormat="1" ht="36" customHeight="1">
      <c r="B32" s="55"/>
      <c r="D32" s="77" t="s">
        <v>273</v>
      </c>
      <c r="E32" s="77" t="s">
        <v>278</v>
      </c>
      <c r="F32" s="77" t="s">
        <v>314</v>
      </c>
      <c r="G32" s="77"/>
      <c r="H32" s="77" t="s">
        <v>472</v>
      </c>
      <c r="I32" s="77" t="s">
        <v>331</v>
      </c>
      <c r="J32" s="77" t="s">
        <v>321</v>
      </c>
      <c r="K32" s="77" t="s">
        <v>258</v>
      </c>
      <c r="L32" s="77" t="s">
        <v>282</v>
      </c>
      <c r="M32" s="77" t="s">
        <v>283</v>
      </c>
      <c r="N32" s="77" t="s">
        <v>474</v>
      </c>
      <c r="O32" s="77" t="s">
        <v>261</v>
      </c>
      <c r="P32" s="77" t="s">
        <v>470</v>
      </c>
      <c r="Q32" s="77" t="s">
        <v>295</v>
      </c>
      <c r="R32" s="77" t="s">
        <v>296</v>
      </c>
      <c r="S32" s="86"/>
      <c r="U32" s="64" t="str">
        <f t="shared" si="0"/>
        <v/>
      </c>
      <c r="V32" s="59"/>
    </row>
    <row r="33" spans="2:22" s="1" customFormat="1" ht="80.099999999999994" customHeight="1">
      <c r="B33" s="56">
        <f>B29+1</f>
        <v>8</v>
      </c>
      <c r="D33" s="90" t="s">
        <v>210</v>
      </c>
      <c r="E33" s="90" t="s">
        <v>199</v>
      </c>
      <c r="F33" s="93" t="s">
        <v>217</v>
      </c>
      <c r="G33" s="90" t="s">
        <v>214</v>
      </c>
      <c r="H33" s="90" t="s">
        <v>221</v>
      </c>
      <c r="I33" s="93" t="s">
        <v>318</v>
      </c>
      <c r="J33" s="90" t="s">
        <v>215</v>
      </c>
      <c r="K33" s="90" t="s">
        <v>216</v>
      </c>
      <c r="L33" s="90" t="s">
        <v>223</v>
      </c>
      <c r="M33" s="90" t="s">
        <v>224</v>
      </c>
      <c r="N33" s="90" t="s">
        <v>236</v>
      </c>
      <c r="O33" s="90" t="s">
        <v>185</v>
      </c>
      <c r="P33" s="93" t="s">
        <v>207</v>
      </c>
      <c r="Q33" s="93" t="s">
        <v>237</v>
      </c>
      <c r="R33" s="93" t="s">
        <v>238</v>
      </c>
      <c r="S33" s="87"/>
      <c r="V33" s="59"/>
    </row>
    <row r="34" spans="2:22" s="1" customFormat="1" ht="36" customHeight="1">
      <c r="B34" s="57"/>
      <c r="D34" s="78" t="s">
        <v>341</v>
      </c>
      <c r="E34" s="78" t="s">
        <v>349</v>
      </c>
      <c r="F34" s="78" t="s">
        <v>350</v>
      </c>
      <c r="G34" s="78"/>
      <c r="H34" s="78" t="s">
        <v>354</v>
      </c>
      <c r="I34" s="78" t="s">
        <v>353</v>
      </c>
      <c r="J34" s="78" t="s">
        <v>347</v>
      </c>
      <c r="K34" s="78" t="s">
        <v>348</v>
      </c>
      <c r="L34" s="78" t="s">
        <v>357</v>
      </c>
      <c r="M34" s="78" t="s">
        <v>358</v>
      </c>
      <c r="N34" s="78" t="s">
        <v>375</v>
      </c>
      <c r="O34" s="78" t="s">
        <v>376</v>
      </c>
      <c r="P34" s="78" t="s">
        <v>335</v>
      </c>
      <c r="Q34" s="78" t="s">
        <v>377</v>
      </c>
      <c r="R34" s="78" t="s">
        <v>378</v>
      </c>
      <c r="S34" s="89"/>
      <c r="V34" s="59"/>
    </row>
    <row r="35" spans="2:22" s="64" customFormat="1" ht="60" customHeight="1">
      <c r="B35" s="60"/>
      <c r="C35" s="83"/>
      <c r="D35" s="76"/>
      <c r="E35" s="76"/>
      <c r="F35" s="76"/>
      <c r="G35" s="76"/>
      <c r="H35" s="76"/>
      <c r="I35" s="76"/>
      <c r="J35" s="76" t="s">
        <v>262</v>
      </c>
      <c r="K35" s="76"/>
      <c r="L35" s="76"/>
      <c r="M35" s="76"/>
      <c r="N35" s="76"/>
      <c r="O35" s="76"/>
      <c r="P35" s="76"/>
      <c r="Q35" s="76"/>
      <c r="R35" s="76"/>
      <c r="V35" s="65"/>
    </row>
    <row r="36" spans="2:22" s="1" customFormat="1" ht="36" customHeight="1">
      <c r="B36" s="55"/>
      <c r="D36" s="77"/>
      <c r="E36" s="77" t="s">
        <v>475</v>
      </c>
      <c r="F36" s="77" t="s">
        <v>298</v>
      </c>
      <c r="G36" s="77" t="s">
        <v>326</v>
      </c>
      <c r="H36" s="77" t="s">
        <v>299</v>
      </c>
      <c r="I36" s="77" t="s">
        <v>300</v>
      </c>
      <c r="J36" s="77" t="s">
        <v>262</v>
      </c>
      <c r="K36" s="77"/>
      <c r="L36" s="77" t="s">
        <v>288</v>
      </c>
      <c r="M36" s="77" t="s">
        <v>328</v>
      </c>
      <c r="N36" s="77" t="s">
        <v>273</v>
      </c>
      <c r="O36" s="77" t="s">
        <v>301</v>
      </c>
      <c r="P36" s="77" t="s">
        <v>315</v>
      </c>
      <c r="Q36" s="77"/>
      <c r="R36" s="77"/>
      <c r="S36" s="86"/>
      <c r="V36" s="59"/>
    </row>
    <row r="37" spans="2:22" s="1" customFormat="1" ht="80.099999999999994" customHeight="1">
      <c r="B37" s="56">
        <f>B33+1</f>
        <v>9</v>
      </c>
      <c r="D37" s="90" t="s">
        <v>181</v>
      </c>
      <c r="E37" s="90" t="s">
        <v>239</v>
      </c>
      <c r="F37" s="90" t="s">
        <v>189</v>
      </c>
      <c r="G37" s="90" t="s">
        <v>196</v>
      </c>
      <c r="H37" s="90" t="s">
        <v>187</v>
      </c>
      <c r="I37" s="93" t="s">
        <v>263</v>
      </c>
      <c r="J37" s="93" t="s">
        <v>240</v>
      </c>
      <c r="K37" s="90" t="s">
        <v>181</v>
      </c>
      <c r="L37" s="90" t="s">
        <v>227</v>
      </c>
      <c r="M37" s="95" t="s">
        <v>317</v>
      </c>
      <c r="N37" s="93" t="s">
        <v>210</v>
      </c>
      <c r="O37" s="90" t="s">
        <v>241</v>
      </c>
      <c r="P37" s="93" t="s">
        <v>242</v>
      </c>
      <c r="Q37" s="90" t="s">
        <v>184</v>
      </c>
      <c r="R37" s="90"/>
      <c r="S37" s="87"/>
      <c r="V37" s="59"/>
    </row>
    <row r="38" spans="2:22" s="1" customFormat="1" ht="36" customHeight="1">
      <c r="B38" s="57"/>
      <c r="D38" s="78"/>
      <c r="E38" s="78" t="s">
        <v>379</v>
      </c>
      <c r="F38" s="78" t="s">
        <v>380</v>
      </c>
      <c r="G38" s="78" t="s">
        <v>381</v>
      </c>
      <c r="H38" s="78" t="s">
        <v>382</v>
      </c>
      <c r="I38" s="78" t="s">
        <v>383</v>
      </c>
      <c r="J38" s="78" t="s">
        <v>384</v>
      </c>
      <c r="K38" s="78"/>
      <c r="L38" s="78" t="s">
        <v>364</v>
      </c>
      <c r="M38" s="78" t="s">
        <v>385</v>
      </c>
      <c r="N38" s="78" t="s">
        <v>341</v>
      </c>
      <c r="O38" s="78" t="s">
        <v>386</v>
      </c>
      <c r="P38" s="78" t="s">
        <v>387</v>
      </c>
      <c r="Q38" s="78"/>
      <c r="R38" s="78"/>
      <c r="S38" s="89"/>
      <c r="V38" s="59"/>
    </row>
    <row r="39" spans="2:22" s="64" customFormat="1" ht="60" customHeight="1">
      <c r="B39" s="60"/>
      <c r="C39" s="83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V39" s="65"/>
    </row>
    <row r="40" spans="2:22" s="1" customFormat="1" ht="36" customHeight="1">
      <c r="B40" s="55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86"/>
      <c r="V40" s="59"/>
    </row>
    <row r="41" spans="2:22" s="1" customFormat="1" ht="80.099999999999994" customHeight="1">
      <c r="B41" s="56">
        <f>B37+1</f>
        <v>10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87"/>
      <c r="V41" s="59"/>
    </row>
    <row r="42" spans="2:22" s="1" customFormat="1" ht="36" customHeight="1">
      <c r="B42" s="57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89"/>
      <c r="V42" s="59"/>
    </row>
    <row r="43" spans="2:22" s="64" customFormat="1" ht="60" customHeight="1">
      <c r="B43" s="60"/>
      <c r="C43" s="83"/>
      <c r="D43" s="76"/>
      <c r="E43" s="76"/>
      <c r="F43" s="76"/>
      <c r="G43" s="76"/>
      <c r="H43" s="76"/>
      <c r="I43" s="76"/>
      <c r="J43" s="76" t="s">
        <v>254</v>
      </c>
      <c r="K43" s="76"/>
      <c r="L43" s="76"/>
      <c r="M43" s="76"/>
      <c r="N43" s="76"/>
      <c r="O43" s="76"/>
      <c r="P43" s="76"/>
      <c r="Q43" s="76"/>
      <c r="R43" s="76"/>
      <c r="V43" s="65"/>
    </row>
    <row r="44" spans="2:22" s="1" customFormat="1" ht="36" customHeight="1">
      <c r="B44" s="55"/>
      <c r="D44" s="77" t="s">
        <v>273</v>
      </c>
      <c r="E44" s="77" t="s">
        <v>327</v>
      </c>
      <c r="F44" s="77" t="s">
        <v>289</v>
      </c>
      <c r="G44" s="77" t="s">
        <v>302</v>
      </c>
      <c r="H44" s="77" t="s">
        <v>469</v>
      </c>
      <c r="I44" s="77" t="s">
        <v>303</v>
      </c>
      <c r="J44" s="77" t="s">
        <v>468</v>
      </c>
      <c r="K44" s="77" t="s">
        <v>255</v>
      </c>
      <c r="L44" s="77" t="s">
        <v>303</v>
      </c>
      <c r="M44" s="77" t="s">
        <v>305</v>
      </c>
      <c r="N44" s="77" t="s">
        <v>470</v>
      </c>
      <c r="O44" s="77" t="s">
        <v>306</v>
      </c>
      <c r="P44" s="77" t="s">
        <v>307</v>
      </c>
      <c r="Q44" s="77"/>
      <c r="R44" s="77" t="s">
        <v>273</v>
      </c>
      <c r="S44" s="86"/>
      <c r="V44" s="59"/>
    </row>
    <row r="45" spans="2:22" s="1" customFormat="1" ht="80.099999999999994" customHeight="1">
      <c r="B45" s="56">
        <f>B41+1</f>
        <v>11</v>
      </c>
      <c r="D45" s="93" t="s">
        <v>210</v>
      </c>
      <c r="E45" s="90" t="s">
        <v>243</v>
      </c>
      <c r="F45" s="90" t="s">
        <v>244</v>
      </c>
      <c r="G45" s="90" t="s">
        <v>188</v>
      </c>
      <c r="H45" s="90" t="s">
        <v>186</v>
      </c>
      <c r="I45" s="93" t="s">
        <v>245</v>
      </c>
      <c r="J45" s="93" t="s">
        <v>182</v>
      </c>
      <c r="K45" s="90" t="s">
        <v>256</v>
      </c>
      <c r="L45" s="93" t="s">
        <v>245</v>
      </c>
      <c r="M45" s="90" t="s">
        <v>246</v>
      </c>
      <c r="N45" s="93" t="s">
        <v>207</v>
      </c>
      <c r="O45" s="90" t="s">
        <v>247</v>
      </c>
      <c r="P45" s="90" t="s">
        <v>248</v>
      </c>
      <c r="Q45" s="90" t="s">
        <v>181</v>
      </c>
      <c r="R45" s="93" t="s">
        <v>210</v>
      </c>
      <c r="S45" s="87"/>
      <c r="V45" s="59"/>
    </row>
    <row r="46" spans="2:22" s="1" customFormat="1" ht="36" customHeight="1">
      <c r="B46" s="57"/>
      <c r="D46" s="78" t="s">
        <v>341</v>
      </c>
      <c r="E46" s="78" t="s">
        <v>388</v>
      </c>
      <c r="F46" s="78" t="s">
        <v>365</v>
      </c>
      <c r="G46" s="78" t="s">
        <v>389</v>
      </c>
      <c r="H46" s="78" t="s">
        <v>333</v>
      </c>
      <c r="I46" s="78" t="s">
        <v>390</v>
      </c>
      <c r="J46" s="78" t="s">
        <v>478</v>
      </c>
      <c r="K46" s="78" t="s">
        <v>371</v>
      </c>
      <c r="L46" s="78" t="s">
        <v>390</v>
      </c>
      <c r="M46" s="78" t="s">
        <v>391</v>
      </c>
      <c r="N46" s="78" t="s">
        <v>335</v>
      </c>
      <c r="O46" s="78" t="s">
        <v>392</v>
      </c>
      <c r="P46" s="78" t="s">
        <v>393</v>
      </c>
      <c r="Q46" s="78"/>
      <c r="R46" s="78" t="s">
        <v>341</v>
      </c>
      <c r="S46" s="89"/>
      <c r="V46" s="59"/>
    </row>
    <row r="47" spans="2:22" s="64" customFormat="1" ht="60" customHeight="1">
      <c r="B47" s="60"/>
      <c r="C47" s="83"/>
      <c r="D47" s="76"/>
      <c r="E47" s="76"/>
      <c r="F47" s="76"/>
      <c r="G47" s="76"/>
      <c r="H47" s="76"/>
      <c r="I47" s="76"/>
      <c r="J47" s="76" t="s">
        <v>258</v>
      </c>
      <c r="K47" s="76"/>
      <c r="L47" s="76"/>
      <c r="M47" s="76"/>
      <c r="N47" s="76"/>
      <c r="O47" s="76"/>
      <c r="P47" s="76"/>
      <c r="Q47" s="76"/>
      <c r="R47" s="76"/>
      <c r="V47" s="65"/>
    </row>
    <row r="48" spans="2:22" s="1" customFormat="1" ht="36" customHeight="1">
      <c r="B48" s="55"/>
      <c r="D48" s="77" t="s">
        <v>278</v>
      </c>
      <c r="E48" s="77" t="s">
        <v>314</v>
      </c>
      <c r="F48" s="77"/>
      <c r="G48" s="77" t="s">
        <v>472</v>
      </c>
      <c r="H48" s="77" t="s">
        <v>255</v>
      </c>
      <c r="I48" s="77" t="s">
        <v>321</v>
      </c>
      <c r="J48" s="77" t="s">
        <v>258</v>
      </c>
      <c r="K48" s="77" t="s">
        <v>475</v>
      </c>
      <c r="L48" s="77"/>
      <c r="M48" s="77" t="s">
        <v>475</v>
      </c>
      <c r="N48" s="77" t="s">
        <v>298</v>
      </c>
      <c r="O48" s="77" t="s">
        <v>282</v>
      </c>
      <c r="P48" s="77" t="s">
        <v>283</v>
      </c>
      <c r="Q48" s="77" t="s">
        <v>470</v>
      </c>
      <c r="R48" s="77" t="s">
        <v>308</v>
      </c>
      <c r="S48" s="86"/>
      <c r="V48" s="59"/>
    </row>
    <row r="49" spans="2:22" s="1" customFormat="1" ht="80.099999999999994" customHeight="1">
      <c r="B49" s="56">
        <f>B45+1</f>
        <v>12</v>
      </c>
      <c r="D49" s="90" t="s">
        <v>199</v>
      </c>
      <c r="E49" s="93" t="s">
        <v>217</v>
      </c>
      <c r="F49" s="90" t="s">
        <v>214</v>
      </c>
      <c r="G49" s="90" t="s">
        <v>221</v>
      </c>
      <c r="H49" s="90" t="s">
        <v>220</v>
      </c>
      <c r="I49" s="90" t="s">
        <v>215</v>
      </c>
      <c r="J49" s="90" t="s">
        <v>216</v>
      </c>
      <c r="K49" s="93" t="s">
        <v>239</v>
      </c>
      <c r="L49" s="90" t="s">
        <v>181</v>
      </c>
      <c r="M49" s="90" t="s">
        <v>239</v>
      </c>
      <c r="N49" s="90" t="s">
        <v>189</v>
      </c>
      <c r="O49" s="90" t="s">
        <v>223</v>
      </c>
      <c r="P49" s="90" t="s">
        <v>224</v>
      </c>
      <c r="Q49" s="93" t="s">
        <v>207</v>
      </c>
      <c r="R49" s="90" t="s">
        <v>249</v>
      </c>
      <c r="S49" s="87"/>
      <c r="V49" s="59"/>
    </row>
    <row r="50" spans="2:22" s="1" customFormat="1" ht="36" customHeight="1">
      <c r="B50" s="57"/>
      <c r="D50" s="78" t="s">
        <v>349</v>
      </c>
      <c r="E50" s="78" t="s">
        <v>350</v>
      </c>
      <c r="F50" s="78"/>
      <c r="G50" s="78" t="s">
        <v>354</v>
      </c>
      <c r="H50" s="78" t="s">
        <v>371</v>
      </c>
      <c r="I50" s="78" t="s">
        <v>347</v>
      </c>
      <c r="J50" s="78" t="s">
        <v>348</v>
      </c>
      <c r="K50" s="78" t="s">
        <v>379</v>
      </c>
      <c r="L50" s="78"/>
      <c r="M50" s="78" t="s">
        <v>379</v>
      </c>
      <c r="N50" s="78" t="s">
        <v>380</v>
      </c>
      <c r="O50" s="78" t="s">
        <v>357</v>
      </c>
      <c r="P50" s="78" t="s">
        <v>358</v>
      </c>
      <c r="Q50" s="78" t="s">
        <v>335</v>
      </c>
      <c r="R50" s="78" t="s">
        <v>394</v>
      </c>
      <c r="S50" s="89"/>
      <c r="V50" s="59"/>
    </row>
    <row r="51" spans="2:22" s="64" customFormat="1" ht="60" customHeight="1">
      <c r="B51" s="60"/>
      <c r="C51" s="83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V51" s="65"/>
    </row>
    <row r="52" spans="2:22" s="1" customFormat="1" ht="36" customHeight="1">
      <c r="B52" s="55"/>
      <c r="D52" s="77" t="s">
        <v>309</v>
      </c>
      <c r="E52" s="77"/>
      <c r="F52" s="77" t="s">
        <v>288</v>
      </c>
      <c r="G52" s="77" t="s">
        <v>328</v>
      </c>
      <c r="H52" s="77" t="s">
        <v>273</v>
      </c>
      <c r="I52" s="77" t="s">
        <v>281</v>
      </c>
      <c r="J52" s="77" t="s">
        <v>303</v>
      </c>
      <c r="K52" s="77" t="s">
        <v>470</v>
      </c>
      <c r="L52" s="77" t="s">
        <v>310</v>
      </c>
      <c r="M52" s="77" t="s">
        <v>311</v>
      </c>
      <c r="N52" s="77"/>
      <c r="O52" s="77"/>
      <c r="P52" s="77"/>
      <c r="Q52" s="77"/>
      <c r="R52" s="77"/>
      <c r="S52" s="86"/>
      <c r="V52" s="59"/>
    </row>
    <row r="53" spans="2:22" s="1" customFormat="1" ht="80.099999999999994" customHeight="1">
      <c r="B53" s="56">
        <f>B49+1</f>
        <v>13</v>
      </c>
      <c r="D53" s="90" t="s">
        <v>250</v>
      </c>
      <c r="E53" s="90" t="s">
        <v>181</v>
      </c>
      <c r="F53" s="90" t="s">
        <v>227</v>
      </c>
      <c r="G53" s="95" t="s">
        <v>317</v>
      </c>
      <c r="H53" s="93" t="s">
        <v>210</v>
      </c>
      <c r="I53" s="90" t="s">
        <v>232</v>
      </c>
      <c r="J53" s="90" t="s">
        <v>251</v>
      </c>
      <c r="K53" s="93" t="s">
        <v>207</v>
      </c>
      <c r="L53" s="90" t="s">
        <v>252</v>
      </c>
      <c r="M53" s="90" t="s">
        <v>253</v>
      </c>
      <c r="N53" s="90" t="s">
        <v>184</v>
      </c>
      <c r="O53" s="90"/>
      <c r="P53" s="90"/>
      <c r="Q53" s="90"/>
      <c r="R53" s="90"/>
      <c r="S53" s="87"/>
      <c r="V53" s="59"/>
    </row>
    <row r="54" spans="2:22" s="1" customFormat="1" ht="36" customHeight="1">
      <c r="B54" s="57"/>
      <c r="D54" s="78" t="s">
        <v>395</v>
      </c>
      <c r="E54" s="78"/>
      <c r="F54" s="78" t="s">
        <v>364</v>
      </c>
      <c r="G54" s="78" t="s">
        <v>385</v>
      </c>
      <c r="H54" s="78" t="s">
        <v>341</v>
      </c>
      <c r="I54" s="78" t="s">
        <v>356</v>
      </c>
      <c r="J54" s="78" t="s">
        <v>390</v>
      </c>
      <c r="K54" s="78" t="s">
        <v>335</v>
      </c>
      <c r="L54" s="78" t="s">
        <v>396</v>
      </c>
      <c r="M54" s="78" t="s">
        <v>397</v>
      </c>
      <c r="N54" s="78"/>
      <c r="O54" s="78"/>
      <c r="P54" s="78"/>
      <c r="Q54" s="78"/>
      <c r="R54" s="78"/>
      <c r="S54" s="89"/>
      <c r="V54" s="59"/>
    </row>
    <row r="55" spans="2:22" s="64" customFormat="1" ht="60" customHeight="1">
      <c r="B55" s="60"/>
      <c r="C55" s="83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V55" s="65"/>
    </row>
    <row r="56" spans="2:22" s="1" customFormat="1" ht="36" customHeight="1">
      <c r="B56" s="55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86"/>
      <c r="V56" s="59"/>
    </row>
    <row r="57" spans="2:22" s="1" customFormat="1" ht="80.099999999999994" customHeight="1">
      <c r="B57" s="56">
        <f>B53+1</f>
        <v>14</v>
      </c>
      <c r="D57" s="90"/>
      <c r="E57" s="90"/>
      <c r="F57" s="90"/>
      <c r="G57" s="91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87"/>
      <c r="V57" s="59"/>
    </row>
    <row r="58" spans="2:22" s="1" customFormat="1" ht="36" customHeight="1">
      <c r="B58" s="57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89"/>
      <c r="V58" s="59"/>
    </row>
    <row r="59" spans="2:22" s="64" customFormat="1" ht="60" customHeight="1">
      <c r="B59" s="60"/>
      <c r="C59" s="83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V59" s="65"/>
    </row>
    <row r="60" spans="2:22" s="1" customFormat="1" ht="36" customHeight="1">
      <c r="B60" s="55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86"/>
      <c r="V60" s="59"/>
    </row>
    <row r="61" spans="2:22" s="1" customFormat="1" ht="80.099999999999994" customHeight="1">
      <c r="B61" s="56">
        <f>B57+1</f>
        <v>15</v>
      </c>
      <c r="D61" s="90"/>
      <c r="E61" s="90"/>
      <c r="F61" s="90"/>
      <c r="G61" s="91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87"/>
      <c r="V61" s="59"/>
    </row>
    <row r="62" spans="2:22" s="1" customFormat="1" ht="36" customHeight="1">
      <c r="B62" s="57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89"/>
      <c r="V62" s="59"/>
    </row>
    <row r="63" spans="2:22" s="64" customFormat="1" ht="60" customHeight="1">
      <c r="B63" s="60"/>
      <c r="C63" s="83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V63" s="65"/>
    </row>
    <row r="64" spans="2:22" s="1" customFormat="1" ht="36" customHeight="1">
      <c r="B64" s="55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86"/>
      <c r="V64" s="59"/>
    </row>
    <row r="65" spans="2:22" s="1" customFormat="1" ht="80.099999999999994" customHeight="1">
      <c r="B65" s="56">
        <f>B61+1</f>
        <v>16</v>
      </c>
      <c r="D65" s="90"/>
      <c r="E65" s="90"/>
      <c r="F65" s="90"/>
      <c r="G65" s="91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87"/>
      <c r="V65" s="59"/>
    </row>
    <row r="66" spans="2:22" s="1" customFormat="1" ht="36" customHeight="1">
      <c r="B66" s="57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89"/>
      <c r="V66" s="59"/>
    </row>
    <row r="67" spans="2:22" s="64" customFormat="1" ht="60" customHeight="1">
      <c r="B67" s="60"/>
      <c r="C67" s="83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V67" s="65"/>
    </row>
    <row r="68" spans="2:22" s="1" customFormat="1" ht="36" customHeight="1">
      <c r="B68" s="55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86"/>
      <c r="V68" s="59"/>
    </row>
    <row r="69" spans="2:22" s="1" customFormat="1" ht="80.099999999999994" customHeight="1">
      <c r="B69" s="56">
        <f>B65+1</f>
        <v>17</v>
      </c>
      <c r="D69" s="90"/>
      <c r="E69" s="90"/>
      <c r="F69" s="90"/>
      <c r="G69" s="91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87"/>
      <c r="V69" s="59"/>
    </row>
    <row r="70" spans="2:22" s="1" customFormat="1" ht="36" customHeight="1">
      <c r="B70" s="57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89"/>
      <c r="V70" s="59"/>
    </row>
    <row r="71" spans="2:22" s="64" customFormat="1" ht="60" customHeight="1">
      <c r="B71" s="60"/>
      <c r="C71" s="83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V71" s="65"/>
    </row>
    <row r="72" spans="2:22" s="1" customFormat="1" ht="36" customHeight="1">
      <c r="B72" s="55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86"/>
      <c r="V72" s="59"/>
    </row>
    <row r="73" spans="2:22" s="1" customFormat="1" ht="80.099999999999994" customHeight="1">
      <c r="B73" s="56">
        <f>B69+1</f>
        <v>18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87"/>
      <c r="V73" s="59"/>
    </row>
    <row r="74" spans="2:22" s="1" customFormat="1" ht="36" customHeight="1">
      <c r="B74" s="57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89"/>
      <c r="V74" s="59"/>
    </row>
    <row r="75" spans="2:22" s="64" customFormat="1" ht="60" customHeight="1">
      <c r="B75" s="60"/>
      <c r="C75" s="83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V75" s="65"/>
    </row>
    <row r="76" spans="2:22" s="1" customFormat="1" ht="36" customHeight="1">
      <c r="B76" s="55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86"/>
      <c r="V76" s="59"/>
    </row>
    <row r="77" spans="2:22" s="1" customFormat="1" ht="80.099999999999994" customHeight="1">
      <c r="B77" s="56">
        <f>B73+1</f>
        <v>19</v>
      </c>
      <c r="D77" s="90"/>
      <c r="E77" s="90"/>
      <c r="F77" s="90"/>
      <c r="G77" s="91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87"/>
      <c r="V77" s="59"/>
    </row>
    <row r="78" spans="2:22" s="1" customFormat="1" ht="36" customHeight="1">
      <c r="B78" s="57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89"/>
      <c r="V78" s="59"/>
    </row>
    <row r="79" spans="2:22" s="64" customFormat="1" ht="60" customHeight="1">
      <c r="B79" s="60"/>
      <c r="C79" s="83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V79" s="65"/>
    </row>
    <row r="80" spans="2:22" s="1" customFormat="1" ht="36" customHeight="1">
      <c r="B80" s="55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86"/>
      <c r="V80" s="59"/>
    </row>
    <row r="81" spans="2:22" s="1" customFormat="1" ht="80.099999999999994" customHeight="1">
      <c r="B81" s="56">
        <f>B77+1</f>
        <v>20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87"/>
      <c r="V81" s="59"/>
    </row>
    <row r="82" spans="2:22" s="1" customFormat="1" ht="36" customHeight="1">
      <c r="B82" s="57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89"/>
      <c r="V82" s="59"/>
    </row>
    <row r="83" spans="2:22" s="64" customFormat="1" ht="60" customHeight="1">
      <c r="B83" s="60"/>
      <c r="C83" s="83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V83" s="65"/>
    </row>
    <row r="84" spans="2:22" s="1" customFormat="1" ht="36" customHeight="1">
      <c r="B84" s="55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86"/>
      <c r="V84" s="59"/>
    </row>
    <row r="85" spans="2:22" s="1" customFormat="1" ht="80.099999999999994" customHeight="1">
      <c r="B85" s="56">
        <f>B81+1</f>
        <v>21</v>
      </c>
      <c r="D85" s="90"/>
      <c r="E85" s="90"/>
      <c r="F85" s="90"/>
      <c r="G85" s="91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87"/>
      <c r="V85" s="59"/>
    </row>
    <row r="86" spans="2:22" s="1" customFormat="1" ht="36" customHeight="1">
      <c r="B86" s="57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89"/>
      <c r="V86" s="59"/>
    </row>
    <row r="87" spans="2:22" s="64" customFormat="1" ht="60" customHeight="1">
      <c r="B87" s="60"/>
      <c r="C87" s="83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V87" s="65"/>
    </row>
    <row r="88" spans="2:22" s="1" customFormat="1" ht="36" customHeight="1">
      <c r="B88" s="55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86"/>
      <c r="V88" s="59"/>
    </row>
    <row r="89" spans="2:22" s="1" customFormat="1" ht="80.099999999999994" customHeight="1">
      <c r="B89" s="56">
        <f>B85+1</f>
        <v>22</v>
      </c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87"/>
      <c r="V89" s="59"/>
    </row>
    <row r="90" spans="2:22" s="1" customFormat="1" ht="36" customHeight="1">
      <c r="B90" s="57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89"/>
      <c r="V90" s="59"/>
    </row>
    <row r="91" spans="2:22" s="64" customFormat="1" ht="60" customHeight="1">
      <c r="B91" s="60"/>
      <c r="C91" s="83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V91" s="65"/>
    </row>
    <row r="92" spans="2:22" s="1" customFormat="1" ht="36" customHeight="1">
      <c r="B92" s="55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86"/>
      <c r="V92" s="59"/>
    </row>
    <row r="93" spans="2:22" s="1" customFormat="1" ht="80.099999999999994" customHeight="1">
      <c r="B93" s="56">
        <f>B89+1</f>
        <v>23</v>
      </c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87"/>
      <c r="V93" s="59"/>
    </row>
    <row r="94" spans="2:22" s="1" customFormat="1" ht="36" customHeight="1">
      <c r="B94" s="57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89"/>
      <c r="V94" s="59"/>
    </row>
    <row r="95" spans="2:22" s="64" customFormat="1" ht="60" customHeight="1">
      <c r="B95" s="60"/>
      <c r="C95" s="83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V95" s="65"/>
    </row>
    <row r="96" spans="2:22" s="1" customFormat="1" ht="36" customHeight="1">
      <c r="B96" s="55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86"/>
      <c r="V96" s="59"/>
    </row>
    <row r="97" spans="2:22" s="1" customFormat="1" ht="80.099999999999994" customHeight="1">
      <c r="B97" s="56">
        <f>B93+1</f>
        <v>24</v>
      </c>
      <c r="D97" s="90"/>
      <c r="E97" s="90"/>
      <c r="F97" s="90"/>
      <c r="G97" s="91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87"/>
      <c r="V97" s="59"/>
    </row>
    <row r="98" spans="2:22" s="1" customFormat="1" ht="36" customHeight="1">
      <c r="B98" s="57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89"/>
      <c r="V98" s="59"/>
    </row>
    <row r="99" spans="2:22" s="64" customFormat="1" ht="60" customHeight="1">
      <c r="B99" s="60"/>
      <c r="C99" s="83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V99" s="65"/>
    </row>
    <row r="100" spans="2:22" s="1" customFormat="1" ht="36" customHeight="1">
      <c r="B100" s="55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86"/>
      <c r="V100" s="59"/>
    </row>
    <row r="101" spans="2:22" s="1" customFormat="1" ht="80.099999999999994" customHeight="1">
      <c r="B101" s="56">
        <f>B97+1</f>
        <v>25</v>
      </c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87"/>
      <c r="V101" s="59"/>
    </row>
    <row r="102" spans="2:22" s="1" customFormat="1" ht="36" customHeight="1">
      <c r="B102" s="57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89"/>
      <c r="V102" s="59"/>
    </row>
    <row r="103" spans="2:22" s="64" customFormat="1" ht="60" customHeight="1">
      <c r="B103" s="60"/>
      <c r="C103" s="83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V103" s="65"/>
    </row>
    <row r="104" spans="2:22" s="1" customFormat="1" ht="36" customHeight="1">
      <c r="B104" s="55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86"/>
      <c r="V104" s="59"/>
    </row>
    <row r="105" spans="2:22" s="1" customFormat="1" ht="80.099999999999994" customHeight="1">
      <c r="B105" s="56">
        <f>B101+1</f>
        <v>26</v>
      </c>
      <c r="D105" s="90"/>
      <c r="E105" s="90"/>
      <c r="F105" s="90"/>
      <c r="G105" s="91"/>
      <c r="H105" s="90"/>
      <c r="I105" s="90"/>
      <c r="J105" s="90"/>
      <c r="K105" s="90"/>
      <c r="L105" s="90"/>
      <c r="M105" s="90"/>
      <c r="N105" s="90"/>
      <c r="O105" s="92"/>
      <c r="P105" s="90"/>
      <c r="Q105" s="90"/>
      <c r="R105" s="90"/>
      <c r="S105" s="87"/>
      <c r="V105" s="59"/>
    </row>
    <row r="106" spans="2:22" s="1" customFormat="1" ht="36" customHeight="1">
      <c r="B106" s="57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89"/>
      <c r="V106" s="59"/>
    </row>
    <row r="107" spans="2:22" s="64" customFormat="1" ht="60" customHeight="1">
      <c r="B107" s="60"/>
      <c r="C107" s="83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V107" s="65"/>
    </row>
    <row r="108" spans="2:22" s="1" customFormat="1" ht="36" customHeight="1">
      <c r="B108" s="55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86"/>
      <c r="V108" s="59"/>
    </row>
    <row r="109" spans="2:22" s="1" customFormat="1" ht="80.099999999999994" customHeight="1">
      <c r="B109" s="56">
        <f>B105+1</f>
        <v>27</v>
      </c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87"/>
      <c r="V109" s="59"/>
    </row>
    <row r="110" spans="2:22" s="1" customFormat="1" ht="36" customHeight="1">
      <c r="B110" s="57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89"/>
      <c r="V110" s="59"/>
    </row>
    <row r="111" spans="2:22" s="64" customFormat="1" ht="60" customHeight="1">
      <c r="B111" s="60"/>
      <c r="C111" s="83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V111" s="65"/>
    </row>
    <row r="112" spans="2:22" s="1" customFormat="1" ht="36" customHeight="1">
      <c r="B112" s="55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86"/>
      <c r="V112" s="59"/>
    </row>
    <row r="113" spans="2:22" s="1" customFormat="1" ht="80.099999999999994" customHeight="1">
      <c r="B113" s="56">
        <f>B109+1</f>
        <v>28</v>
      </c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2"/>
      <c r="P113" s="90"/>
      <c r="Q113" s="90"/>
      <c r="R113" s="90"/>
      <c r="S113" s="87"/>
      <c r="V113" s="59"/>
    </row>
    <row r="114" spans="2:22" s="1" customFormat="1" ht="36" customHeight="1">
      <c r="B114" s="57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89"/>
      <c r="V114" s="59"/>
    </row>
    <row r="115" spans="2:22" s="64" customFormat="1" ht="60" customHeight="1">
      <c r="B115" s="60"/>
      <c r="C115" s="83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V115" s="65"/>
    </row>
    <row r="116" spans="2:22" s="1" customFormat="1" ht="36" customHeight="1">
      <c r="B116" s="55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86"/>
      <c r="V116" s="59"/>
    </row>
    <row r="117" spans="2:22" s="1" customFormat="1" ht="80.099999999999994" customHeight="1">
      <c r="B117" s="56">
        <f>B113+1</f>
        <v>29</v>
      </c>
      <c r="D117" s="90"/>
      <c r="E117" s="90"/>
      <c r="F117" s="91"/>
      <c r="G117" s="91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87"/>
      <c r="V117" s="59"/>
    </row>
    <row r="118" spans="2:22" s="1" customFormat="1" ht="36" customHeight="1">
      <c r="B118" s="57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89"/>
      <c r="V118" s="59"/>
    </row>
    <row r="119" spans="2:22" s="64" customFormat="1" ht="60" customHeight="1">
      <c r="B119" s="60"/>
      <c r="C119" s="83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V119" s="65"/>
    </row>
    <row r="120" spans="2:22" s="1" customFormat="1" ht="36" customHeight="1">
      <c r="B120" s="55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86"/>
      <c r="V120" s="59"/>
    </row>
    <row r="121" spans="2:22" s="1" customFormat="1" ht="80.099999999999994" customHeight="1">
      <c r="B121" s="56">
        <f>B117+1</f>
        <v>30</v>
      </c>
      <c r="D121" s="90"/>
      <c r="E121" s="90"/>
      <c r="F121" s="90"/>
      <c r="G121" s="91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87"/>
      <c r="V121" s="59"/>
    </row>
    <row r="122" spans="2:22" s="1" customFormat="1" ht="36" customHeight="1">
      <c r="B122" s="57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89"/>
      <c r="V122" s="59"/>
    </row>
    <row r="123" spans="2:22" s="64" customFormat="1" ht="60" customHeight="1">
      <c r="B123" s="60"/>
      <c r="C123" s="83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V123" s="65"/>
    </row>
    <row r="124" spans="2:22" s="1" customFormat="1" ht="36" customHeight="1">
      <c r="B124" s="55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86"/>
      <c r="V124" s="59"/>
    </row>
    <row r="125" spans="2:22" s="1" customFormat="1" ht="80.099999999999994" customHeight="1">
      <c r="B125" s="56">
        <f>B121+1</f>
        <v>31</v>
      </c>
      <c r="D125" s="90"/>
      <c r="E125" s="90"/>
      <c r="F125" s="90"/>
      <c r="G125" s="91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87"/>
      <c r="V125" s="59"/>
    </row>
    <row r="126" spans="2:22" s="1" customFormat="1" ht="36" customHeight="1">
      <c r="B126" s="57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89"/>
      <c r="V126" s="59"/>
    </row>
    <row r="127" spans="2:22" s="64" customFormat="1" ht="60" customHeight="1">
      <c r="B127" s="60"/>
      <c r="C127" s="83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V127" s="65"/>
    </row>
    <row r="128" spans="2:22" s="1" customFormat="1" ht="36" customHeight="1">
      <c r="B128" s="55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86"/>
      <c r="V128" s="59"/>
    </row>
    <row r="129" spans="2:22" s="1" customFormat="1" ht="80.099999999999994" customHeight="1">
      <c r="B129" s="56">
        <f>B125+1</f>
        <v>32</v>
      </c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87"/>
      <c r="V129" s="59"/>
    </row>
    <row r="130" spans="2:22" s="1" customFormat="1" ht="36" customHeight="1">
      <c r="B130" s="57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89"/>
      <c r="V130" s="59"/>
    </row>
    <row r="131" spans="2:22" s="64" customFormat="1" ht="60" customHeight="1">
      <c r="B131" s="60"/>
      <c r="C131" s="83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V131" s="65"/>
    </row>
    <row r="132" spans="2:22" s="1" customFormat="1" ht="36" customHeight="1">
      <c r="B132" s="55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86"/>
      <c r="V132" s="59"/>
    </row>
    <row r="133" spans="2:22" s="1" customFormat="1" ht="80.099999999999994" customHeight="1">
      <c r="B133" s="56">
        <f>B129+1</f>
        <v>33</v>
      </c>
      <c r="D133" s="90"/>
      <c r="E133" s="90"/>
      <c r="F133" s="90"/>
      <c r="G133" s="91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87"/>
      <c r="V133" s="59"/>
    </row>
    <row r="134" spans="2:22" s="1" customFormat="1" ht="36" customHeight="1">
      <c r="B134" s="57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89"/>
      <c r="V134" s="59"/>
    </row>
    <row r="135" spans="2:22" s="64" customFormat="1" ht="60" customHeight="1">
      <c r="B135" s="60"/>
      <c r="C135" s="83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V135" s="65"/>
    </row>
    <row r="136" spans="2:22" s="1" customFormat="1" ht="36" customHeight="1">
      <c r="B136" s="55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86"/>
      <c r="V136" s="59"/>
    </row>
    <row r="137" spans="2:22" s="1" customFormat="1" ht="80.099999999999994" customHeight="1">
      <c r="B137" s="56">
        <f>B133+1</f>
        <v>34</v>
      </c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87"/>
      <c r="V137" s="59"/>
    </row>
    <row r="138" spans="2:22" s="1" customFormat="1" ht="36" customHeight="1">
      <c r="B138" s="57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89"/>
      <c r="V138" s="59"/>
    </row>
    <row r="139" spans="2:22" s="64" customFormat="1" ht="60" customHeight="1">
      <c r="B139" s="60"/>
      <c r="C139" s="83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V139" s="65"/>
    </row>
    <row r="140" spans="2:22" s="1" customFormat="1" ht="36" customHeight="1">
      <c r="B140" s="55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86"/>
      <c r="V140" s="59"/>
    </row>
    <row r="141" spans="2:22" s="1" customFormat="1" ht="80.099999999999994" customHeight="1">
      <c r="B141" s="56">
        <f>B137+1</f>
        <v>35</v>
      </c>
      <c r="D141" s="90"/>
      <c r="E141" s="90"/>
      <c r="F141" s="90"/>
      <c r="G141" s="91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87"/>
      <c r="V141" s="59"/>
    </row>
    <row r="142" spans="2:22" s="1" customFormat="1" ht="36" customHeight="1">
      <c r="B142" s="57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89"/>
      <c r="V142" s="59"/>
    </row>
    <row r="143" spans="2:22" s="64" customFormat="1" ht="60" customHeight="1">
      <c r="B143" s="60"/>
      <c r="C143" s="83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V143" s="65"/>
    </row>
    <row r="144" spans="2:22" s="1" customFormat="1" ht="36" customHeight="1">
      <c r="B144" s="55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86"/>
      <c r="V144" s="59"/>
    </row>
    <row r="145" spans="2:22" s="1" customFormat="1" ht="80.099999999999994" customHeight="1">
      <c r="B145" s="56">
        <f>B141+1</f>
        <v>36</v>
      </c>
      <c r="D145" s="90"/>
      <c r="E145" s="90"/>
      <c r="F145" s="90"/>
      <c r="G145" s="91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87"/>
      <c r="V145" s="59"/>
    </row>
    <row r="146" spans="2:22" s="1" customFormat="1" ht="36" customHeight="1">
      <c r="B146" s="57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89"/>
      <c r="V146" s="59"/>
    </row>
    <row r="147" spans="2:22" s="64" customFormat="1" ht="60" customHeight="1">
      <c r="B147" s="60"/>
      <c r="C147" s="83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V147" s="65"/>
    </row>
    <row r="148" spans="2:22" s="1" customFormat="1" ht="36" customHeight="1">
      <c r="B148" s="55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86"/>
      <c r="V148" s="59"/>
    </row>
    <row r="149" spans="2:22" s="1" customFormat="1" ht="80.099999999999994" customHeight="1">
      <c r="B149" s="56">
        <f>B145+1</f>
        <v>37</v>
      </c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87"/>
      <c r="V149" s="59"/>
    </row>
    <row r="150" spans="2:22" s="1" customFormat="1" ht="36" customHeight="1">
      <c r="B150" s="57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89"/>
      <c r="V150" s="59"/>
    </row>
    <row r="151" spans="2:22" s="64" customFormat="1" ht="60" customHeight="1">
      <c r="B151" s="60"/>
      <c r="C151" s="83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V151" s="65"/>
    </row>
    <row r="152" spans="2:22" s="1" customFormat="1" ht="36" customHeight="1">
      <c r="B152" s="55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86"/>
      <c r="V152" s="59"/>
    </row>
    <row r="153" spans="2:22" s="1" customFormat="1" ht="80.099999999999994" customHeight="1">
      <c r="B153" s="56">
        <f>B149+1</f>
        <v>38</v>
      </c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87"/>
      <c r="V153" s="59"/>
    </row>
    <row r="154" spans="2:22" s="1" customFormat="1" ht="36" customHeight="1">
      <c r="B154" s="57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89"/>
      <c r="V154" s="59"/>
    </row>
    <row r="155" spans="2:22" s="64" customFormat="1" ht="60" customHeight="1">
      <c r="B155" s="60"/>
      <c r="C155" s="83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V155" s="65"/>
    </row>
    <row r="156" spans="2:22" s="1" customFormat="1" ht="36" customHeight="1">
      <c r="B156" s="55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86"/>
      <c r="V156" s="59"/>
    </row>
    <row r="157" spans="2:22" s="1" customFormat="1" ht="80.099999999999994" customHeight="1">
      <c r="B157" s="56">
        <f>B153+1</f>
        <v>39</v>
      </c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87"/>
      <c r="V157" s="59"/>
    </row>
    <row r="158" spans="2:22" s="1" customFormat="1" ht="36" customHeight="1">
      <c r="B158" s="57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89"/>
      <c r="V158" s="59"/>
    </row>
    <row r="159" spans="2:22" s="64" customFormat="1" ht="60" customHeight="1">
      <c r="B159" s="60"/>
      <c r="C159" s="83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V159" s="65"/>
    </row>
    <row r="160" spans="2:22" s="1" customFormat="1" ht="36" customHeight="1">
      <c r="B160" s="55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86"/>
      <c r="V160" s="59"/>
    </row>
    <row r="161" spans="2:22" s="1" customFormat="1" ht="80.099999999999994" customHeight="1">
      <c r="B161" s="56">
        <f>B157+1</f>
        <v>40</v>
      </c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87"/>
      <c r="V161" s="59"/>
    </row>
    <row r="162" spans="2:22" s="1" customFormat="1" ht="36" customHeight="1">
      <c r="B162" s="57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89"/>
      <c r="V162" s="59"/>
    </row>
    <row r="163" spans="2:22" s="64" customFormat="1" ht="60" customHeight="1">
      <c r="B163" s="60"/>
      <c r="C163" s="83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V163" s="65"/>
    </row>
    <row r="164" spans="2:22" s="1" customFormat="1" ht="36" customHeight="1">
      <c r="B164" s="55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86"/>
      <c r="V164" s="59"/>
    </row>
    <row r="165" spans="2:22" s="1" customFormat="1" ht="80.099999999999994" customHeight="1">
      <c r="B165" s="56">
        <f>B161+1</f>
        <v>41</v>
      </c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87"/>
      <c r="V165" s="59"/>
    </row>
    <row r="166" spans="2:22" s="1" customFormat="1" ht="36" customHeight="1">
      <c r="B166" s="57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89"/>
      <c r="V166" s="59"/>
    </row>
    <row r="167" spans="2:22">
      <c r="B167" s="60"/>
      <c r="C167" s="83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22" ht="39.75">
      <c r="B168" s="55"/>
      <c r="C168" s="1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2:22" ht="58.5">
      <c r="B169" s="56">
        <f>B165+1</f>
        <v>42</v>
      </c>
      <c r="C169" s="1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spans="2:22">
      <c r="B170" s="57"/>
      <c r="C170" s="1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</row>
    <row r="171" spans="2:22">
      <c r="B171" s="60"/>
      <c r="C171" s="83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22" ht="39.75">
      <c r="B172" s="55"/>
      <c r="C172" s="1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2:22" ht="58.5">
      <c r="B173" s="56">
        <f>B169+1</f>
        <v>43</v>
      </c>
      <c r="C173" s="1"/>
      <c r="D173" s="90"/>
      <c r="E173" s="90"/>
      <c r="F173" s="90"/>
      <c r="G173" s="91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</row>
    <row r="174" spans="2:22">
      <c r="B174" s="57"/>
      <c r="C174" s="1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</row>
    <row r="175" spans="2:22">
      <c r="B175" s="60"/>
      <c r="C175" s="83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22" ht="39.75">
      <c r="B176" s="55"/>
      <c r="C176" s="1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2:18" ht="58.5">
      <c r="B177" s="56">
        <f>B173+1</f>
        <v>44</v>
      </c>
      <c r="C177" s="1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</row>
    <row r="178" spans="2:18">
      <c r="B178" s="57"/>
      <c r="C178" s="1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</row>
    <row r="179" spans="2:18">
      <c r="B179" s="60"/>
      <c r="C179" s="83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39.75">
      <c r="B180" s="55"/>
      <c r="C180" s="1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2:18" ht="58.5">
      <c r="B181" s="56">
        <f>B177+1</f>
        <v>45</v>
      </c>
      <c r="C181" s="1"/>
      <c r="D181" s="90"/>
      <c r="E181" s="90"/>
      <c r="F181" s="90"/>
      <c r="G181" s="91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</row>
    <row r="182" spans="2:18">
      <c r="B182" s="57"/>
      <c r="C182" s="1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</row>
    <row r="183" spans="2:18">
      <c r="B183" s="60"/>
      <c r="C183" s="83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39.75">
      <c r="B184" s="55"/>
      <c r="C184" s="1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2:18" ht="58.5">
      <c r="B185" s="56">
        <f>B181+1</f>
        <v>46</v>
      </c>
      <c r="C185" s="1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2:18">
      <c r="B186" s="57"/>
      <c r="C186" s="1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</row>
    <row r="187" spans="2:18">
      <c r="B187" s="60"/>
      <c r="C187" s="83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39.75">
      <c r="B188" s="55"/>
      <c r="C188" s="1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2:18" ht="58.5">
      <c r="B189" s="56">
        <f>B185+1</f>
        <v>47</v>
      </c>
      <c r="C189" s="1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2:18">
      <c r="B190" s="57"/>
      <c r="C190" s="1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</row>
    <row r="191" spans="2:18">
      <c r="B191" s="60"/>
      <c r="C191" s="8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39.75">
      <c r="B192" s="55"/>
      <c r="C192" s="1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2:18" ht="58.5">
      <c r="B193" s="56">
        <f>B189+1</f>
        <v>48</v>
      </c>
      <c r="C193" s="1"/>
      <c r="D193" s="90"/>
      <c r="E193" s="90"/>
      <c r="F193" s="90"/>
      <c r="G193" s="91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</row>
    <row r="194" spans="2:18">
      <c r="B194" s="57"/>
      <c r="C194" s="1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</row>
    <row r="195" spans="2:18">
      <c r="B195" s="60"/>
      <c r="C195" s="83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39.75">
      <c r="B196" s="55"/>
      <c r="C196" s="1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2:18" ht="58.5">
      <c r="B197" s="56">
        <f>B193+1</f>
        <v>49</v>
      </c>
      <c r="C197" s="1"/>
      <c r="D197" s="90"/>
      <c r="E197" s="90"/>
      <c r="F197" s="90"/>
      <c r="G197" s="91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</row>
    <row r="198" spans="2:18">
      <c r="B198" s="57"/>
      <c r="C198" s="1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</row>
    <row r="199" spans="2:18">
      <c r="B199" s="60"/>
      <c r="C199" s="83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39.75">
      <c r="B200" s="55"/>
      <c r="C200" s="1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2:18" ht="58.5">
      <c r="B201" s="56">
        <f>B197+1</f>
        <v>50</v>
      </c>
      <c r="C201" s="1"/>
      <c r="D201" s="90"/>
      <c r="E201" s="90"/>
      <c r="F201" s="90"/>
      <c r="G201" s="91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</row>
    <row r="202" spans="2:18">
      <c r="B202" s="57"/>
      <c r="C202" s="1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</row>
    <row r="203" spans="2:18">
      <c r="B203" s="60"/>
      <c r="C203" s="83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39.75">
      <c r="B204" s="55"/>
      <c r="C204" s="1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2:18" ht="58.5">
      <c r="B205" s="56">
        <f>B201+1</f>
        <v>51</v>
      </c>
      <c r="C205" s="1"/>
      <c r="D205" s="90"/>
      <c r="E205" s="90"/>
      <c r="F205" s="90"/>
      <c r="G205" s="91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</row>
    <row r="206" spans="2:18">
      <c r="B206" s="57"/>
      <c r="C206" s="1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</row>
    <row r="207" spans="2:18">
      <c r="B207" s="60"/>
      <c r="C207" s="83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39.75">
      <c r="B208" s="55"/>
      <c r="C208" s="1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2:18" ht="58.5">
      <c r="B209" s="56">
        <f>B205+1</f>
        <v>52</v>
      </c>
      <c r="C209" s="1"/>
      <c r="D209" s="90"/>
      <c r="E209" s="90"/>
      <c r="F209" s="90"/>
      <c r="G209" s="91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spans="2:18">
      <c r="B210" s="57"/>
      <c r="C210" s="1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</row>
    <row r="211" spans="2:18">
      <c r="B211" s="60"/>
      <c r="C211" s="83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39.75">
      <c r="B212" s="55"/>
      <c r="C212" s="1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2:18" ht="58.5">
      <c r="B213" s="56">
        <f>B209+1</f>
        <v>53</v>
      </c>
      <c r="C213" s="1"/>
      <c r="D213" s="90"/>
      <c r="E213" s="90"/>
      <c r="F213" s="90"/>
      <c r="G213" s="91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spans="2:18">
      <c r="B214" s="57"/>
      <c r="C214" s="1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</row>
    <row r="215" spans="2:18">
      <c r="B215" s="60"/>
      <c r="C215" s="83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39.75">
      <c r="B216" s="55"/>
      <c r="C216" s="1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2:18" ht="58.5">
      <c r="B217" s="56">
        <f>B213+1</f>
        <v>54</v>
      </c>
      <c r="C217" s="1"/>
      <c r="D217" s="90"/>
      <c r="E217" s="90"/>
      <c r="F217" s="90"/>
      <c r="G217" s="91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2:18">
      <c r="B218" s="57"/>
      <c r="C218" s="1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</row>
    <row r="219" spans="2:18">
      <c r="B219" s="60"/>
      <c r="C219" s="83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39.75">
      <c r="B220" s="55"/>
      <c r="C220" s="1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2:18" ht="58.5">
      <c r="B221" s="56">
        <f>B217+1</f>
        <v>55</v>
      </c>
      <c r="C221" s="1"/>
      <c r="D221" s="90"/>
      <c r="E221" s="90"/>
      <c r="F221" s="90"/>
      <c r="G221" s="91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2:18">
      <c r="B222" s="57"/>
      <c r="C222" s="1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</row>
    <row r="223" spans="2:18">
      <c r="B223" s="60"/>
      <c r="C223" s="83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39.75">
      <c r="B224" s="55"/>
      <c r="C224" s="1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2:18" ht="58.5">
      <c r="B225" s="56">
        <f>B221+1</f>
        <v>56</v>
      </c>
      <c r="C225" s="1"/>
      <c r="D225" s="90"/>
      <c r="E225" s="90"/>
      <c r="F225" s="90"/>
      <c r="G225" s="91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2:18">
      <c r="B226" s="57"/>
      <c r="C226" s="1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</row>
    <row r="227" spans="2:18">
      <c r="B227" s="60"/>
      <c r="C227" s="83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39.75">
      <c r="B228" s="55"/>
      <c r="C228" s="1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</row>
    <row r="229" spans="2:18" ht="58.5">
      <c r="B229" s="56">
        <f>B225+1</f>
        <v>57</v>
      </c>
      <c r="C229" s="1"/>
      <c r="D229" s="90"/>
      <c r="E229" s="90"/>
      <c r="F229" s="90"/>
      <c r="G229" s="91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2:18">
      <c r="B230" s="57"/>
      <c r="C230" s="1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</row>
    <row r="231" spans="2:18">
      <c r="B231" s="60"/>
      <c r="C231" s="83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39.75">
      <c r="B232" s="55"/>
      <c r="C232" s="1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</row>
    <row r="233" spans="2:18" ht="58.5">
      <c r="B233" s="56">
        <f>B229+1</f>
        <v>58</v>
      </c>
      <c r="C233" s="1"/>
      <c r="D233" s="90"/>
      <c r="E233" s="90"/>
      <c r="F233" s="90"/>
      <c r="G233" s="91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2:18">
      <c r="B234" s="57"/>
      <c r="C234" s="1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</row>
    <row r="235" spans="2:18">
      <c r="B235" s="60"/>
      <c r="C235" s="83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39.75">
      <c r="B236" s="55"/>
      <c r="C236" s="1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</row>
    <row r="237" spans="2:18" ht="58.5">
      <c r="B237" s="56">
        <f>B233+1</f>
        <v>59</v>
      </c>
      <c r="C237" s="1"/>
      <c r="D237" s="90"/>
      <c r="E237" s="90"/>
      <c r="F237" s="90"/>
      <c r="G237" s="91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2:18">
      <c r="B238" s="57"/>
      <c r="C238" s="1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</row>
    <row r="239" spans="2:18">
      <c r="B239" s="60"/>
      <c r="C239" s="83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39.75">
      <c r="B240" s="55"/>
      <c r="C240" s="1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</row>
    <row r="241" spans="2:18" ht="58.5">
      <c r="B241" s="56">
        <f>B237+1</f>
        <v>60</v>
      </c>
      <c r="C241" s="1"/>
      <c r="D241" s="90"/>
      <c r="E241" s="90"/>
      <c r="F241" s="90"/>
      <c r="G241" s="91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spans="2:18">
      <c r="B242" s="57"/>
      <c r="C242" s="1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</row>
  </sheetData>
  <mergeCells count="1">
    <mergeCell ref="V3:V22"/>
  </mergeCells>
  <phoneticPr fontId="1" type="noConversion"/>
  <conditionalFormatting sqref="D3:R3">
    <cfRule type="expression" dxfId="99" priority="1">
      <formula>顯示注音輸入</formula>
    </cfRule>
    <cfRule type="expression" dxfId="98" priority="2">
      <formula>"'= TRUE(顯示注音輸入)"</formula>
    </cfRule>
  </conditionalFormatting>
  <conditionalFormatting sqref="D7:R7">
    <cfRule type="expression" dxfId="97" priority="3">
      <formula>顯示注音輸入</formula>
    </cfRule>
    <cfRule type="expression" dxfId="96" priority="4">
      <formula>"'= TRUE(顯示注音輸入)"</formula>
    </cfRule>
  </conditionalFormatting>
  <conditionalFormatting sqref="D11:R11">
    <cfRule type="expression" dxfId="95" priority="39">
      <formula>顯示注音輸入</formula>
    </cfRule>
    <cfRule type="expression" dxfId="94" priority="40">
      <formula>"'= TRUE(顯示注音輸入)"</formula>
    </cfRule>
  </conditionalFormatting>
  <conditionalFormatting sqref="D15:R15">
    <cfRule type="expression" dxfId="93" priority="37">
      <formula>顯示注音輸入</formula>
    </cfRule>
    <cfRule type="expression" dxfId="92" priority="38">
      <formula>"'= TRUE(顯示注音輸入)"</formula>
    </cfRule>
  </conditionalFormatting>
  <conditionalFormatting sqref="D19:R19">
    <cfRule type="expression" dxfId="91" priority="35">
      <formula>顯示注音輸入</formula>
    </cfRule>
    <cfRule type="expression" dxfId="90" priority="36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89" priority="47">
      <formula>顯示注音輸入</formula>
    </cfRule>
    <cfRule type="expression" dxfId="88" priority="48">
      <formula>"'= TRUE(顯示注音輸入)"</formula>
    </cfRule>
  </conditionalFormatting>
  <conditionalFormatting sqref="D27:R27">
    <cfRule type="expression" dxfId="87" priority="33">
      <formula>顯示注音輸入</formula>
    </cfRule>
    <cfRule type="expression" dxfId="86" priority="34">
      <formula>"'= TRUE(顯示注音輸入)"</formula>
    </cfRule>
  </conditionalFormatting>
  <conditionalFormatting sqref="D31:R31">
    <cfRule type="expression" dxfId="85" priority="31">
      <formula>顯示注音輸入</formula>
    </cfRule>
    <cfRule type="expression" dxfId="84" priority="32">
      <formula>"'= TRUE(顯示注音輸入)"</formula>
    </cfRule>
  </conditionalFormatting>
  <conditionalFormatting sqref="D35:R35">
    <cfRule type="expression" dxfId="83" priority="29">
      <formula>顯示注音輸入</formula>
    </cfRule>
    <cfRule type="expression" dxfId="82" priority="30">
      <formula>"'= TRUE(顯示注音輸入)"</formula>
    </cfRule>
  </conditionalFormatting>
  <conditionalFormatting sqref="D43:R43">
    <cfRule type="expression" dxfId="81" priority="27">
      <formula>顯示注音輸入</formula>
    </cfRule>
    <cfRule type="expression" dxfId="80" priority="28">
      <formula>"'= TRUE(顯示注音輸入)"</formula>
    </cfRule>
  </conditionalFormatting>
  <conditionalFormatting sqref="D47:R47">
    <cfRule type="expression" dxfId="79" priority="25">
      <formula>顯示注音輸入</formula>
    </cfRule>
    <cfRule type="expression" dxfId="78" priority="26">
      <formula>"'= TRUE(顯示注音輸入)"</formula>
    </cfRule>
  </conditionalFormatting>
  <conditionalFormatting sqref="D51:R51">
    <cfRule type="expression" dxfId="77" priority="23">
      <formula>顯示注音輸入</formula>
    </cfRule>
    <cfRule type="expression" dxfId="76" priority="24">
      <formula>"'= TRUE(顯示注音輸入)"</formula>
    </cfRule>
  </conditionalFormatting>
  <conditionalFormatting sqref="D55:R55">
    <cfRule type="expression" dxfId="75" priority="21">
      <formula>顯示注音輸入</formula>
    </cfRule>
    <cfRule type="expression" dxfId="74" priority="22">
      <formula>"'= TRUE(顯示注音輸入)"</formula>
    </cfRule>
  </conditionalFormatting>
  <conditionalFormatting sqref="D59:R59">
    <cfRule type="expression" dxfId="73" priority="19">
      <formula>顯示注音輸入</formula>
    </cfRule>
    <cfRule type="expression" dxfId="72" priority="20">
      <formula>"'= TRUE(顯示注音輸入)"</formula>
    </cfRule>
  </conditionalFormatting>
  <conditionalFormatting sqref="D63:R63">
    <cfRule type="expression" dxfId="71" priority="17">
      <formula>顯示注音輸入</formula>
    </cfRule>
    <cfRule type="expression" dxfId="70" priority="18">
      <formula>"'= TRUE(顯示注音輸入)"</formula>
    </cfRule>
  </conditionalFormatting>
  <conditionalFormatting sqref="D67:R67">
    <cfRule type="expression" dxfId="69" priority="15">
      <formula>顯示注音輸入</formula>
    </cfRule>
    <cfRule type="expression" dxfId="68" priority="16">
      <formula>"'= TRUE(顯示注音輸入)"</formula>
    </cfRule>
  </conditionalFormatting>
  <conditionalFormatting sqref="D71:R71">
    <cfRule type="expression" dxfId="67" priority="13">
      <formula>顯示注音輸入</formula>
    </cfRule>
    <cfRule type="expression" dxfId="66" priority="14">
      <formula>"'= TRUE(顯示注音輸入)"</formula>
    </cfRule>
  </conditionalFormatting>
  <conditionalFormatting sqref="D75:R75">
    <cfRule type="expression" dxfId="65" priority="11">
      <formula>顯示注音輸入</formula>
    </cfRule>
    <cfRule type="expression" dxfId="64" priority="12">
      <formula>"'= TRUE(顯示注音輸入)"</formula>
    </cfRule>
  </conditionalFormatting>
  <conditionalFormatting sqref="D79:R79">
    <cfRule type="expression" dxfId="63" priority="9">
      <formula>顯示注音輸入</formula>
    </cfRule>
    <cfRule type="expression" dxfId="62" priority="10">
      <formula>"'= TRUE(顯示注音輸入)"</formula>
    </cfRule>
  </conditionalFormatting>
  <conditionalFormatting sqref="D83:R83">
    <cfRule type="expression" dxfId="61" priority="7">
      <formula>顯示注音輸入</formula>
    </cfRule>
    <cfRule type="expression" dxfId="60" priority="8">
      <formula>"'= TRUE(顯示注音輸入)"</formula>
    </cfRule>
  </conditionalFormatting>
  <conditionalFormatting sqref="D107:R107">
    <cfRule type="expression" dxfId="59" priority="5">
      <formula>顯示注音輸入</formula>
    </cfRule>
    <cfRule type="expression" dxfId="58" priority="6">
      <formula>"'= TRUE(顯示注音輸入)"</formula>
    </cfRule>
  </conditionalFormatting>
  <conditionalFormatting sqref="D167:R167 D171:R171 D175:R175 D179:R179 D183:R183 D187:R187 D191:R191 D195:R195 D199:R199">
    <cfRule type="expression" dxfId="57" priority="45">
      <formula>顯示注音輸入</formula>
    </cfRule>
    <cfRule type="expression" dxfId="56" priority="46">
      <formula>"'= TRUE(顯示注音輸入)"</formula>
    </cfRule>
  </conditionalFormatting>
  <conditionalFormatting sqref="D203:R203">
    <cfRule type="expression" dxfId="55" priority="43">
      <formula>顯示注音輸入</formula>
    </cfRule>
    <cfRule type="expression" dxfId="54" priority="44">
      <formula>"'= TRUE(顯示注音輸入)"</formula>
    </cfRule>
  </conditionalFormatting>
  <conditionalFormatting sqref="D207:R207 D211:R211 D215:R215 D219:R219 D223:R223 D227:R227 D231:R231 D235:R235 D239:R239">
    <cfRule type="expression" dxfId="53" priority="41">
      <formula>顯示注音輸入</formula>
    </cfRule>
    <cfRule type="expression" dxfId="52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F640-A47F-4E5D-97CC-218D5DA42E2F}">
  <dimension ref="B2:AC242"/>
  <sheetViews>
    <sheetView showGridLines="0" topLeftCell="A10" zoomScale="50" zoomScaleNormal="50" workbookViewId="0">
      <selection activeCell="A53" sqref="A53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75" customWidth="1"/>
    <col min="19" max="19" width="3.69921875" style="1" customWidth="1"/>
    <col min="20" max="20" width="2.796875" customWidth="1"/>
    <col min="21" max="21" width="6.19921875" customWidth="1"/>
    <col min="22" max="22" width="71.69921875" style="59" customWidth="1"/>
    <col min="23" max="23" width="10.19921875" bestFit="1" customWidth="1"/>
  </cols>
  <sheetData>
    <row r="2" spans="2:29" s="51" customFormat="1" ht="36" customHeight="1"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84"/>
      <c r="V2" s="58">
        <f xml:space="preserve"> LEN(V3)</f>
        <v>143</v>
      </c>
    </row>
    <row r="3" spans="2:29" s="61" customFormat="1" ht="60" customHeight="1">
      <c r="B3" s="60"/>
      <c r="C3" s="79"/>
      <c r="D3" s="76"/>
      <c r="E3" s="76"/>
      <c r="F3" s="76"/>
      <c r="G3" s="76" t="s">
        <v>257</v>
      </c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T3" s="85"/>
      <c r="V3" s="100" t="s">
        <v>203</v>
      </c>
    </row>
    <row r="4" spans="2:29" s="1" customFormat="1" ht="36" customHeight="1">
      <c r="B4" s="55"/>
      <c r="D4" s="77" t="s">
        <v>264</v>
      </c>
      <c r="E4" s="77" t="s">
        <v>265</v>
      </c>
      <c r="F4" s="77" t="s">
        <v>266</v>
      </c>
      <c r="G4" s="77" t="s">
        <v>257</v>
      </c>
      <c r="H4" s="77" t="s">
        <v>267</v>
      </c>
      <c r="I4" s="77" t="s">
        <v>268</v>
      </c>
      <c r="J4" s="77" t="s">
        <v>269</v>
      </c>
      <c r="K4" s="77" t="s">
        <v>270</v>
      </c>
      <c r="L4" s="77" t="s">
        <v>271</v>
      </c>
      <c r="M4" s="77" t="s">
        <v>272</v>
      </c>
      <c r="N4" s="77"/>
      <c r="O4" s="77"/>
      <c r="P4" s="77"/>
      <c r="Q4" s="77"/>
      <c r="R4" s="77"/>
      <c r="S4" s="86"/>
      <c r="V4" s="101"/>
    </row>
    <row r="5" spans="2:29" s="1" customFormat="1" ht="80.099999999999994" customHeight="1">
      <c r="B5" s="56">
        <v>1</v>
      </c>
      <c r="D5" s="90" t="s">
        <v>204</v>
      </c>
      <c r="E5" s="90" t="s">
        <v>186</v>
      </c>
      <c r="F5" s="93" t="s">
        <v>205</v>
      </c>
      <c r="G5" s="90" t="s">
        <v>206</v>
      </c>
      <c r="H5" s="93" t="s">
        <v>207</v>
      </c>
      <c r="I5" s="90" t="s">
        <v>201</v>
      </c>
      <c r="J5" s="90" t="s">
        <v>190</v>
      </c>
      <c r="K5" s="90" t="s">
        <v>208</v>
      </c>
      <c r="L5" s="90" t="s">
        <v>209</v>
      </c>
      <c r="M5" s="90" t="s">
        <v>202</v>
      </c>
      <c r="N5" s="90"/>
      <c r="O5" s="90"/>
      <c r="P5" s="90"/>
      <c r="Q5" s="90"/>
      <c r="R5" s="90"/>
      <c r="S5" s="87"/>
      <c r="V5" s="101"/>
    </row>
    <row r="6" spans="2:29" s="50" customFormat="1" ht="36" customHeight="1">
      <c r="B6" s="57"/>
      <c r="C6" s="80"/>
      <c r="D6" s="78" t="s">
        <v>398</v>
      </c>
      <c r="E6" s="78" t="s">
        <v>399</v>
      </c>
      <c r="F6" s="78" t="s">
        <v>400</v>
      </c>
      <c r="G6" s="78" t="s">
        <v>401</v>
      </c>
      <c r="H6" s="78" t="s">
        <v>402</v>
      </c>
      <c r="I6" s="78" t="s">
        <v>403</v>
      </c>
      <c r="J6" s="78" t="s">
        <v>404</v>
      </c>
      <c r="K6" s="78" t="s">
        <v>405</v>
      </c>
      <c r="L6" s="78" t="s">
        <v>406</v>
      </c>
      <c r="M6" s="78" t="s">
        <v>407</v>
      </c>
      <c r="N6" s="78"/>
      <c r="O6" s="78"/>
      <c r="P6" s="78"/>
      <c r="Q6" s="78"/>
      <c r="R6" s="78"/>
      <c r="S6" s="88"/>
      <c r="V6" s="101"/>
    </row>
    <row r="7" spans="2:29" s="49" customFormat="1" ht="60" customHeight="1">
      <c r="B7" s="54"/>
      <c r="C7" s="81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63"/>
      <c r="V7" s="101"/>
    </row>
    <row r="8" spans="2:29" s="1" customFormat="1" ht="36" customHeight="1">
      <c r="B8" s="55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86"/>
      <c r="V8" s="101"/>
    </row>
    <row r="9" spans="2:29" s="1" customFormat="1" ht="80.099999999999994" customHeight="1">
      <c r="B9" s="56">
        <f>B5+1</f>
        <v>2</v>
      </c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87"/>
      <c r="T9" s="85"/>
      <c r="V9" s="101"/>
    </row>
    <row r="10" spans="2:29" s="1" customFormat="1" ht="36" customHeight="1">
      <c r="B10" s="57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89"/>
      <c r="V10" s="101"/>
    </row>
    <row r="11" spans="2:29" s="63" customFormat="1" ht="60" customHeight="1">
      <c r="B11" s="62"/>
      <c r="C11" s="82"/>
      <c r="D11" s="76"/>
      <c r="E11" s="76"/>
      <c r="F11" s="76"/>
      <c r="G11" s="76"/>
      <c r="H11" s="76"/>
      <c r="I11" s="76"/>
      <c r="J11" s="76"/>
      <c r="K11" s="76"/>
      <c r="L11" s="76" t="s">
        <v>258</v>
      </c>
      <c r="M11" s="76"/>
      <c r="N11" s="76"/>
      <c r="O11" s="76"/>
      <c r="P11" s="76"/>
      <c r="Q11" s="76"/>
      <c r="R11" s="76"/>
      <c r="V11" s="101"/>
    </row>
    <row r="12" spans="2:29" s="1" customFormat="1" ht="36" customHeight="1">
      <c r="B12" s="55"/>
      <c r="D12" s="77" t="s">
        <v>273</v>
      </c>
      <c r="E12" s="77" t="s">
        <v>274</v>
      </c>
      <c r="F12" s="77" t="s">
        <v>275</v>
      </c>
      <c r="G12" s="77" t="s">
        <v>330</v>
      </c>
      <c r="H12" s="77" t="s">
        <v>276</v>
      </c>
      <c r="I12" s="77" t="s">
        <v>277</v>
      </c>
      <c r="J12" s="77"/>
      <c r="K12" s="77" t="s">
        <v>321</v>
      </c>
      <c r="L12" s="77" t="s">
        <v>258</v>
      </c>
      <c r="M12" s="77"/>
      <c r="N12" s="77" t="s">
        <v>278</v>
      </c>
      <c r="O12" s="77" t="s">
        <v>314</v>
      </c>
      <c r="P12" s="77"/>
      <c r="Q12" s="77" t="s">
        <v>279</v>
      </c>
      <c r="R12" s="77" t="s">
        <v>322</v>
      </c>
      <c r="S12" s="86"/>
      <c r="V12" s="101"/>
    </row>
    <row r="13" spans="2:29" s="1" customFormat="1" ht="80.099999999999994" customHeight="1">
      <c r="B13" s="56">
        <f>B9+1</f>
        <v>3</v>
      </c>
      <c r="D13" s="93" t="s">
        <v>210</v>
      </c>
      <c r="E13" s="90" t="s">
        <v>211</v>
      </c>
      <c r="F13" s="90" t="s">
        <v>212</v>
      </c>
      <c r="G13" s="93" t="s">
        <v>316</v>
      </c>
      <c r="H13" s="90" t="s">
        <v>213</v>
      </c>
      <c r="I13" s="90" t="s">
        <v>198</v>
      </c>
      <c r="J13" s="90" t="s">
        <v>214</v>
      </c>
      <c r="K13" s="90" t="s">
        <v>215</v>
      </c>
      <c r="L13" s="90" t="s">
        <v>216</v>
      </c>
      <c r="M13" s="90" t="s">
        <v>214</v>
      </c>
      <c r="N13" s="90" t="s">
        <v>199</v>
      </c>
      <c r="O13" s="93" t="s">
        <v>217</v>
      </c>
      <c r="P13" s="90" t="s">
        <v>214</v>
      </c>
      <c r="Q13" s="90" t="s">
        <v>218</v>
      </c>
      <c r="R13" s="90" t="s">
        <v>219</v>
      </c>
      <c r="S13" s="87"/>
      <c r="V13" s="101"/>
    </row>
    <row r="14" spans="2:29" s="1" customFormat="1" ht="36" customHeight="1">
      <c r="B14" s="57"/>
      <c r="D14" s="78" t="s">
        <v>408</v>
      </c>
      <c r="E14" s="78" t="s">
        <v>409</v>
      </c>
      <c r="F14" s="78" t="s">
        <v>410</v>
      </c>
      <c r="G14" s="78" t="s">
        <v>411</v>
      </c>
      <c r="H14" s="78" t="s">
        <v>412</v>
      </c>
      <c r="I14" s="78" t="s">
        <v>413</v>
      </c>
      <c r="J14" s="78"/>
      <c r="K14" s="78" t="s">
        <v>414</v>
      </c>
      <c r="L14" s="78" t="s">
        <v>415</v>
      </c>
      <c r="M14" s="78"/>
      <c r="N14" s="78" t="s">
        <v>416</v>
      </c>
      <c r="O14" s="78" t="s">
        <v>417</v>
      </c>
      <c r="P14" s="78"/>
      <c r="Q14" s="78" t="s">
        <v>418</v>
      </c>
      <c r="R14" s="78" t="s">
        <v>419</v>
      </c>
      <c r="S14" s="89"/>
      <c r="V14" s="101"/>
    </row>
    <row r="15" spans="2:29" s="64" customFormat="1" ht="60" customHeight="1">
      <c r="B15" s="60"/>
      <c r="C15" s="83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V15" s="101"/>
      <c r="AC15" s="64" t="s">
        <v>180</v>
      </c>
    </row>
    <row r="16" spans="2:29" s="1" customFormat="1" ht="36" customHeight="1">
      <c r="B16" s="55"/>
      <c r="D16" s="77" t="s">
        <v>331</v>
      </c>
      <c r="E16" s="77" t="s">
        <v>280</v>
      </c>
      <c r="F16" s="77" t="s">
        <v>323</v>
      </c>
      <c r="G16" s="77" t="s">
        <v>281</v>
      </c>
      <c r="H16" s="77" t="s">
        <v>267</v>
      </c>
      <c r="I16" s="77" t="s">
        <v>282</v>
      </c>
      <c r="J16" s="77" t="s">
        <v>283</v>
      </c>
      <c r="K16" s="77"/>
      <c r="L16" s="77" t="s">
        <v>324</v>
      </c>
      <c r="M16" s="77" t="s">
        <v>284</v>
      </c>
      <c r="N16" s="77" t="s">
        <v>285</v>
      </c>
      <c r="O16" s="77" t="s">
        <v>282</v>
      </c>
      <c r="P16" s="77" t="s">
        <v>267</v>
      </c>
      <c r="Q16" s="77" t="s">
        <v>282</v>
      </c>
      <c r="R16" s="77" t="s">
        <v>283</v>
      </c>
      <c r="S16" s="86"/>
      <c r="V16" s="101"/>
    </row>
    <row r="17" spans="2:22" s="1" customFormat="1" ht="80.099999999999994" customHeight="1">
      <c r="B17" s="56">
        <f>B13+1</f>
        <v>4</v>
      </c>
      <c r="D17" s="93" t="s">
        <v>329</v>
      </c>
      <c r="E17" s="90" t="s">
        <v>221</v>
      </c>
      <c r="F17" s="90" t="s">
        <v>222</v>
      </c>
      <c r="G17" s="90" t="s">
        <v>200</v>
      </c>
      <c r="H17" s="93" t="s">
        <v>207</v>
      </c>
      <c r="I17" s="90" t="s">
        <v>223</v>
      </c>
      <c r="J17" s="90" t="s">
        <v>224</v>
      </c>
      <c r="K17" s="90" t="s">
        <v>181</v>
      </c>
      <c r="L17" s="90" t="s">
        <v>195</v>
      </c>
      <c r="M17" s="90" t="s">
        <v>225</v>
      </c>
      <c r="N17" s="90" t="s">
        <v>183</v>
      </c>
      <c r="O17" s="90" t="s">
        <v>223</v>
      </c>
      <c r="P17" s="93" t="s">
        <v>207</v>
      </c>
      <c r="Q17" s="90" t="s">
        <v>223</v>
      </c>
      <c r="R17" s="90" t="s">
        <v>224</v>
      </c>
      <c r="S17" s="87"/>
      <c r="V17" s="101"/>
    </row>
    <row r="18" spans="2:22" s="1" customFormat="1" ht="36" customHeight="1">
      <c r="B18" s="57"/>
      <c r="D18" s="78" t="s">
        <v>420</v>
      </c>
      <c r="E18" s="78" t="s">
        <v>421</v>
      </c>
      <c r="F18" s="78" t="s">
        <v>422</v>
      </c>
      <c r="G18" s="78" t="s">
        <v>423</v>
      </c>
      <c r="H18" s="78" t="s">
        <v>402</v>
      </c>
      <c r="I18" s="78" t="s">
        <v>424</v>
      </c>
      <c r="J18" s="78" t="s">
        <v>425</v>
      </c>
      <c r="K18" s="78"/>
      <c r="L18" s="78" t="s">
        <v>426</v>
      </c>
      <c r="M18" s="78" t="s">
        <v>427</v>
      </c>
      <c r="N18" s="78" t="s">
        <v>428</v>
      </c>
      <c r="O18" s="78" t="s">
        <v>424</v>
      </c>
      <c r="P18" s="78" t="s">
        <v>402</v>
      </c>
      <c r="Q18" s="78" t="s">
        <v>424</v>
      </c>
      <c r="R18" s="78" t="s">
        <v>425</v>
      </c>
      <c r="S18" s="89"/>
      <c r="V18" s="101"/>
    </row>
    <row r="19" spans="2:22" s="64" customFormat="1" ht="60" customHeight="1">
      <c r="B19" s="60"/>
      <c r="C19" s="83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 t="s">
        <v>312</v>
      </c>
      <c r="Q19" s="76"/>
      <c r="R19" s="76"/>
      <c r="V19" s="101"/>
    </row>
    <row r="20" spans="2:22" s="1" customFormat="1" ht="36" customHeight="1">
      <c r="B20" s="55"/>
      <c r="D20" s="77"/>
      <c r="E20" s="77" t="s">
        <v>264</v>
      </c>
      <c r="F20" s="77" t="s">
        <v>286</v>
      </c>
      <c r="G20" s="77" t="s">
        <v>287</v>
      </c>
      <c r="H20" s="77" t="s">
        <v>267</v>
      </c>
      <c r="I20" s="77" t="s">
        <v>282</v>
      </c>
      <c r="J20" s="77" t="s">
        <v>283</v>
      </c>
      <c r="K20" s="77"/>
      <c r="L20" s="77" t="s">
        <v>288</v>
      </c>
      <c r="M20" s="77" t="s">
        <v>331</v>
      </c>
      <c r="N20" s="77" t="s">
        <v>289</v>
      </c>
      <c r="O20" s="77" t="s">
        <v>290</v>
      </c>
      <c r="P20" s="77" t="s">
        <v>312</v>
      </c>
      <c r="Q20" s="77" t="s">
        <v>291</v>
      </c>
      <c r="R20" s="77"/>
      <c r="S20" s="86"/>
      <c r="V20" s="101"/>
    </row>
    <row r="21" spans="2:22" s="1" customFormat="1" ht="80.099999999999994" customHeight="1">
      <c r="B21" s="56">
        <f>B17+1</f>
        <v>5</v>
      </c>
      <c r="D21" s="90" t="s">
        <v>181</v>
      </c>
      <c r="E21" s="90" t="s">
        <v>259</v>
      </c>
      <c r="F21" s="90" t="s">
        <v>226</v>
      </c>
      <c r="G21" s="90" t="s">
        <v>193</v>
      </c>
      <c r="H21" s="90" t="s">
        <v>207</v>
      </c>
      <c r="I21" s="90" t="s">
        <v>223</v>
      </c>
      <c r="J21" s="90" t="s">
        <v>224</v>
      </c>
      <c r="K21" s="90" t="s">
        <v>181</v>
      </c>
      <c r="L21" s="90" t="s">
        <v>227</v>
      </c>
      <c r="M21" s="94" t="s">
        <v>318</v>
      </c>
      <c r="N21" s="90" t="s">
        <v>228</v>
      </c>
      <c r="O21" s="90" t="s">
        <v>229</v>
      </c>
      <c r="P21" s="90" t="s">
        <v>194</v>
      </c>
      <c r="Q21" s="90" t="s">
        <v>230</v>
      </c>
      <c r="R21" s="90" t="s">
        <v>214</v>
      </c>
      <c r="S21" s="87"/>
      <c r="V21" s="101"/>
    </row>
    <row r="22" spans="2:22" s="1" customFormat="1" ht="36" customHeight="1">
      <c r="B22" s="57"/>
      <c r="D22" s="78"/>
      <c r="E22" s="78" t="s">
        <v>398</v>
      </c>
      <c r="F22" s="78" t="s">
        <v>429</v>
      </c>
      <c r="G22" s="78" t="s">
        <v>430</v>
      </c>
      <c r="H22" s="78" t="s">
        <v>402</v>
      </c>
      <c r="I22" s="78" t="s">
        <v>424</v>
      </c>
      <c r="J22" s="78" t="s">
        <v>425</v>
      </c>
      <c r="K22" s="78"/>
      <c r="L22" s="78" t="s">
        <v>431</v>
      </c>
      <c r="M22" s="78" t="s">
        <v>420</v>
      </c>
      <c r="N22" s="78" t="s">
        <v>432</v>
      </c>
      <c r="O22" s="78" t="s">
        <v>433</v>
      </c>
      <c r="P22" s="78" t="s">
        <v>434</v>
      </c>
      <c r="Q22" s="78" t="s">
        <v>435</v>
      </c>
      <c r="R22" s="78"/>
      <c r="S22" s="89"/>
      <c r="V22" s="102"/>
    </row>
    <row r="23" spans="2:22" s="64" customFormat="1" ht="60" customHeight="1">
      <c r="B23" s="60"/>
      <c r="C23" s="83"/>
      <c r="D23" s="76" t="s">
        <v>312</v>
      </c>
      <c r="E23" s="76"/>
      <c r="F23" s="76"/>
      <c r="G23" s="76" t="s">
        <v>313</v>
      </c>
      <c r="H23" s="76"/>
      <c r="I23" s="76"/>
      <c r="J23" s="76"/>
      <c r="K23" s="76"/>
      <c r="L23" s="76"/>
      <c r="M23" s="76" t="s">
        <v>260</v>
      </c>
      <c r="N23" s="76"/>
      <c r="O23" s="76"/>
      <c r="P23" s="76"/>
      <c r="Q23" s="76"/>
      <c r="R23" s="76"/>
      <c r="V23" s="65"/>
    </row>
    <row r="24" spans="2:22" s="1" customFormat="1" ht="36" customHeight="1">
      <c r="B24" s="55"/>
      <c r="D24" s="77" t="s">
        <v>312</v>
      </c>
      <c r="E24" s="77" t="s">
        <v>291</v>
      </c>
      <c r="F24" s="77" t="s">
        <v>325</v>
      </c>
      <c r="G24" s="77" t="s">
        <v>313</v>
      </c>
      <c r="H24" s="77" t="s">
        <v>255</v>
      </c>
      <c r="I24" s="77" t="s">
        <v>273</v>
      </c>
      <c r="J24" s="77" t="s">
        <v>281</v>
      </c>
      <c r="K24" s="77" t="s">
        <v>292</v>
      </c>
      <c r="L24" s="77" t="s">
        <v>267</v>
      </c>
      <c r="M24" s="77" t="s">
        <v>260</v>
      </c>
      <c r="N24" s="77" t="s">
        <v>293</v>
      </c>
      <c r="O24" s="77"/>
      <c r="P24" s="77"/>
      <c r="Q24" s="77"/>
      <c r="R24" s="77"/>
      <c r="S24" s="86"/>
      <c r="V24" s="59"/>
    </row>
    <row r="25" spans="2:22" s="1" customFormat="1" ht="80.099999999999994" customHeight="1">
      <c r="B25" s="56">
        <f>B21+1</f>
        <v>6</v>
      </c>
      <c r="D25" s="90" t="s">
        <v>194</v>
      </c>
      <c r="E25" s="90" t="s">
        <v>230</v>
      </c>
      <c r="F25" s="90" t="s">
        <v>197</v>
      </c>
      <c r="G25" s="90" t="s">
        <v>231</v>
      </c>
      <c r="H25" s="90" t="s">
        <v>329</v>
      </c>
      <c r="I25" s="93" t="s">
        <v>210</v>
      </c>
      <c r="J25" s="90" t="s">
        <v>232</v>
      </c>
      <c r="K25" s="90" t="s">
        <v>233</v>
      </c>
      <c r="L25" s="93" t="s">
        <v>207</v>
      </c>
      <c r="M25" s="93" t="s">
        <v>234</v>
      </c>
      <c r="N25" s="90" t="s">
        <v>235</v>
      </c>
      <c r="O25" s="90" t="s">
        <v>184</v>
      </c>
      <c r="P25" s="90"/>
      <c r="Q25" s="90"/>
      <c r="R25" s="90"/>
      <c r="S25" s="87"/>
      <c r="V25" s="59"/>
    </row>
    <row r="26" spans="2:22" s="1" customFormat="1" ht="36" customHeight="1">
      <c r="B26" s="57"/>
      <c r="D26" s="78" t="s">
        <v>434</v>
      </c>
      <c r="E26" s="78" t="s">
        <v>435</v>
      </c>
      <c r="F26" s="78" t="s">
        <v>436</v>
      </c>
      <c r="G26" s="78" t="s">
        <v>437</v>
      </c>
      <c r="H26" s="78" t="s">
        <v>438</v>
      </c>
      <c r="I26" s="78" t="s">
        <v>408</v>
      </c>
      <c r="J26" s="78" t="s">
        <v>423</v>
      </c>
      <c r="K26" s="78" t="s">
        <v>439</v>
      </c>
      <c r="L26" s="78" t="s">
        <v>402</v>
      </c>
      <c r="M26" s="78" t="s">
        <v>440</v>
      </c>
      <c r="N26" s="78" t="s">
        <v>441</v>
      </c>
      <c r="O26" s="78"/>
      <c r="P26" s="78"/>
      <c r="Q26" s="78"/>
      <c r="R26" s="78"/>
      <c r="S26" s="89"/>
      <c r="U26" s="1" t="str">
        <f xml:space="preserve"> MID($N$26,3,1)</f>
        <v>̄</v>
      </c>
      <c r="V26" s="59"/>
    </row>
    <row r="27" spans="2:22" s="64" customFormat="1" ht="60" customHeight="1">
      <c r="B27" s="60"/>
      <c r="C27" s="83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U27" s="64" t="str">
        <f t="shared" ref="U27:U32" si="0" xml:space="preserve"> MID($N$26,4,1)</f>
        <v>a</v>
      </c>
      <c r="V27" s="65"/>
    </row>
    <row r="28" spans="2:22" s="1" customFormat="1" ht="36" customHeight="1">
      <c r="B28" s="55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86"/>
      <c r="U28" s="64" t="str">
        <f t="shared" si="0"/>
        <v>a</v>
      </c>
      <c r="V28" s="59"/>
    </row>
    <row r="29" spans="2:22" s="1" customFormat="1" ht="80.099999999999994" customHeight="1">
      <c r="B29" s="56">
        <f>B25+1</f>
        <v>7</v>
      </c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87"/>
      <c r="U29" s="64" t="str">
        <f t="shared" si="0"/>
        <v>a</v>
      </c>
      <c r="V29" s="59"/>
    </row>
    <row r="30" spans="2:22" s="1" customFormat="1" ht="36" customHeight="1">
      <c r="B30" s="57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89"/>
      <c r="U30" s="64" t="str">
        <f t="shared" si="0"/>
        <v>a</v>
      </c>
      <c r="V30" s="59"/>
    </row>
    <row r="31" spans="2:22" s="64" customFormat="1" ht="60" customHeight="1">
      <c r="B31" s="60"/>
      <c r="C31" s="83"/>
      <c r="D31" s="76"/>
      <c r="E31" s="76"/>
      <c r="F31" s="76"/>
      <c r="G31" s="76"/>
      <c r="H31" s="76"/>
      <c r="I31" s="76"/>
      <c r="J31" s="76"/>
      <c r="K31" s="76" t="s">
        <v>258</v>
      </c>
      <c r="L31" s="76"/>
      <c r="M31" s="76"/>
      <c r="N31" s="76"/>
      <c r="O31" s="76" t="s">
        <v>261</v>
      </c>
      <c r="P31" s="76"/>
      <c r="Q31" s="76"/>
      <c r="R31" s="76"/>
      <c r="U31" s="64" t="str">
        <f t="shared" si="0"/>
        <v>a</v>
      </c>
      <c r="V31" s="65"/>
    </row>
    <row r="32" spans="2:22" s="1" customFormat="1" ht="36" customHeight="1">
      <c r="B32" s="55"/>
      <c r="D32" s="77" t="s">
        <v>273</v>
      </c>
      <c r="E32" s="77" t="s">
        <v>278</v>
      </c>
      <c r="F32" s="77" t="s">
        <v>314</v>
      </c>
      <c r="G32" s="77"/>
      <c r="H32" s="77" t="s">
        <v>280</v>
      </c>
      <c r="I32" s="77" t="s">
        <v>331</v>
      </c>
      <c r="J32" s="77" t="s">
        <v>321</v>
      </c>
      <c r="K32" s="77" t="s">
        <v>258</v>
      </c>
      <c r="L32" s="77" t="s">
        <v>282</v>
      </c>
      <c r="M32" s="77" t="s">
        <v>283</v>
      </c>
      <c r="N32" s="77" t="s">
        <v>294</v>
      </c>
      <c r="O32" s="77" t="s">
        <v>261</v>
      </c>
      <c r="P32" s="77" t="s">
        <v>267</v>
      </c>
      <c r="Q32" s="77" t="s">
        <v>295</v>
      </c>
      <c r="R32" s="77" t="s">
        <v>296</v>
      </c>
      <c r="S32" s="86"/>
      <c r="U32" s="64" t="str">
        <f t="shared" si="0"/>
        <v>a</v>
      </c>
      <c r="V32" s="59"/>
    </row>
    <row r="33" spans="2:22" s="1" customFormat="1" ht="80.099999999999994" customHeight="1">
      <c r="B33" s="56">
        <f>B29+1</f>
        <v>8</v>
      </c>
      <c r="D33" s="90" t="s">
        <v>210</v>
      </c>
      <c r="E33" s="90" t="s">
        <v>199</v>
      </c>
      <c r="F33" s="93" t="s">
        <v>217</v>
      </c>
      <c r="G33" s="90" t="s">
        <v>214</v>
      </c>
      <c r="H33" s="90" t="s">
        <v>221</v>
      </c>
      <c r="I33" s="93" t="s">
        <v>329</v>
      </c>
      <c r="J33" s="90" t="s">
        <v>215</v>
      </c>
      <c r="K33" s="90" t="s">
        <v>216</v>
      </c>
      <c r="L33" s="90" t="s">
        <v>223</v>
      </c>
      <c r="M33" s="90" t="s">
        <v>224</v>
      </c>
      <c r="N33" s="90" t="s">
        <v>236</v>
      </c>
      <c r="O33" s="90" t="s">
        <v>185</v>
      </c>
      <c r="P33" s="93" t="s">
        <v>207</v>
      </c>
      <c r="Q33" s="93" t="s">
        <v>237</v>
      </c>
      <c r="R33" s="93" t="s">
        <v>238</v>
      </c>
      <c r="S33" s="87"/>
      <c r="V33" s="59"/>
    </row>
    <row r="34" spans="2:22" s="1" customFormat="1" ht="36" customHeight="1">
      <c r="B34" s="57"/>
      <c r="D34" s="78" t="s">
        <v>408</v>
      </c>
      <c r="E34" s="78" t="s">
        <v>416</v>
      </c>
      <c r="F34" s="78" t="s">
        <v>417</v>
      </c>
      <c r="G34" s="78"/>
      <c r="H34" s="78" t="s">
        <v>421</v>
      </c>
      <c r="I34" s="78" t="s">
        <v>420</v>
      </c>
      <c r="J34" s="78" t="s">
        <v>414</v>
      </c>
      <c r="K34" s="78" t="s">
        <v>415</v>
      </c>
      <c r="L34" s="78" t="s">
        <v>424</v>
      </c>
      <c r="M34" s="78" t="s">
        <v>425</v>
      </c>
      <c r="N34" s="78" t="s">
        <v>442</v>
      </c>
      <c r="O34" s="78" t="s">
        <v>443</v>
      </c>
      <c r="P34" s="78" t="s">
        <v>402</v>
      </c>
      <c r="Q34" s="78" t="s">
        <v>444</v>
      </c>
      <c r="R34" s="78" t="s">
        <v>445</v>
      </c>
      <c r="S34" s="89"/>
      <c r="V34" s="59"/>
    </row>
    <row r="35" spans="2:22" s="64" customFormat="1" ht="60" customHeight="1">
      <c r="B35" s="60"/>
      <c r="C35" s="83"/>
      <c r="D35" s="76"/>
      <c r="E35" s="76"/>
      <c r="F35" s="76"/>
      <c r="G35" s="76"/>
      <c r="H35" s="76"/>
      <c r="I35" s="76"/>
      <c r="J35" s="76" t="s">
        <v>262</v>
      </c>
      <c r="K35" s="76"/>
      <c r="L35" s="76"/>
      <c r="M35" s="76"/>
      <c r="N35" s="76"/>
      <c r="O35" s="76"/>
      <c r="P35" s="76"/>
      <c r="Q35" s="76"/>
      <c r="R35" s="76"/>
      <c r="V35" s="65"/>
    </row>
    <row r="36" spans="2:22" s="1" customFormat="1" ht="36" customHeight="1">
      <c r="B36" s="55"/>
      <c r="D36" s="77"/>
      <c r="E36" s="77" t="s">
        <v>297</v>
      </c>
      <c r="F36" s="77" t="s">
        <v>298</v>
      </c>
      <c r="G36" s="77" t="s">
        <v>326</v>
      </c>
      <c r="H36" s="77" t="s">
        <v>299</v>
      </c>
      <c r="I36" s="77" t="s">
        <v>300</v>
      </c>
      <c r="J36" s="77" t="s">
        <v>262</v>
      </c>
      <c r="K36" s="77"/>
      <c r="L36" s="77" t="s">
        <v>288</v>
      </c>
      <c r="M36" s="77" t="s">
        <v>328</v>
      </c>
      <c r="N36" s="77" t="s">
        <v>273</v>
      </c>
      <c r="O36" s="77" t="s">
        <v>301</v>
      </c>
      <c r="P36" s="77" t="s">
        <v>315</v>
      </c>
      <c r="Q36" s="77"/>
      <c r="R36" s="77"/>
      <c r="S36" s="86"/>
      <c r="V36" s="59"/>
    </row>
    <row r="37" spans="2:22" s="1" customFormat="1" ht="80.099999999999994" customHeight="1">
      <c r="B37" s="56">
        <f>B33+1</f>
        <v>9</v>
      </c>
      <c r="D37" s="90" t="s">
        <v>181</v>
      </c>
      <c r="E37" s="90" t="s">
        <v>239</v>
      </c>
      <c r="F37" s="90" t="s">
        <v>189</v>
      </c>
      <c r="G37" s="90" t="s">
        <v>196</v>
      </c>
      <c r="H37" s="90" t="s">
        <v>187</v>
      </c>
      <c r="I37" s="93" t="s">
        <v>263</v>
      </c>
      <c r="J37" s="93" t="s">
        <v>240</v>
      </c>
      <c r="K37" s="90" t="s">
        <v>181</v>
      </c>
      <c r="L37" s="90" t="s">
        <v>227</v>
      </c>
      <c r="M37" s="95" t="s">
        <v>317</v>
      </c>
      <c r="N37" s="93" t="s">
        <v>210</v>
      </c>
      <c r="O37" s="90" t="s">
        <v>241</v>
      </c>
      <c r="P37" s="93" t="s">
        <v>242</v>
      </c>
      <c r="Q37" s="90" t="s">
        <v>184</v>
      </c>
      <c r="R37" s="90"/>
      <c r="S37" s="87"/>
      <c r="V37" s="59"/>
    </row>
    <row r="38" spans="2:22" s="1" customFormat="1" ht="36" customHeight="1">
      <c r="B38" s="57"/>
      <c r="D38" s="78"/>
      <c r="E38" s="78" t="s">
        <v>446</v>
      </c>
      <c r="F38" s="78" t="s">
        <v>447</v>
      </c>
      <c r="G38" s="78" t="s">
        <v>448</v>
      </c>
      <c r="H38" s="78" t="s">
        <v>449</v>
      </c>
      <c r="I38" s="78" t="s">
        <v>450</v>
      </c>
      <c r="J38" s="78" t="s">
        <v>451</v>
      </c>
      <c r="K38" s="78"/>
      <c r="L38" s="78" t="s">
        <v>431</v>
      </c>
      <c r="M38" s="78" t="s">
        <v>452</v>
      </c>
      <c r="N38" s="78" t="s">
        <v>408</v>
      </c>
      <c r="O38" s="78" t="s">
        <v>453</v>
      </c>
      <c r="P38" s="78" t="s">
        <v>454</v>
      </c>
      <c r="Q38" s="78"/>
      <c r="R38" s="78"/>
      <c r="S38" s="89"/>
      <c r="V38" s="59"/>
    </row>
    <row r="39" spans="2:22" s="64" customFormat="1" ht="60" customHeight="1">
      <c r="B39" s="60"/>
      <c r="C39" s="83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V39" s="65"/>
    </row>
    <row r="40" spans="2:22" s="1" customFormat="1" ht="36" customHeight="1">
      <c r="B40" s="55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86"/>
      <c r="V40" s="59"/>
    </row>
    <row r="41" spans="2:22" s="1" customFormat="1" ht="80.099999999999994" customHeight="1">
      <c r="B41" s="56">
        <f>B37+1</f>
        <v>10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87"/>
      <c r="V41" s="59"/>
    </row>
    <row r="42" spans="2:22" s="1" customFormat="1" ht="36" customHeight="1">
      <c r="B42" s="57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89"/>
      <c r="V42" s="59"/>
    </row>
    <row r="43" spans="2:22" s="64" customFormat="1" ht="60" customHeight="1">
      <c r="B43" s="60"/>
      <c r="C43" s="83"/>
      <c r="D43" s="76"/>
      <c r="E43" s="76"/>
      <c r="F43" s="76"/>
      <c r="G43" s="76"/>
      <c r="H43" s="76"/>
      <c r="I43" s="76"/>
      <c r="J43" s="76" t="s">
        <v>254</v>
      </c>
      <c r="K43" s="76"/>
      <c r="L43" s="76"/>
      <c r="M43" s="76"/>
      <c r="N43" s="76"/>
      <c r="O43" s="76"/>
      <c r="P43" s="76"/>
      <c r="Q43" s="76"/>
      <c r="R43" s="76"/>
      <c r="V43" s="65"/>
    </row>
    <row r="44" spans="2:22" s="1" customFormat="1" ht="36" customHeight="1">
      <c r="B44" s="55"/>
      <c r="D44" s="77" t="s">
        <v>273</v>
      </c>
      <c r="E44" s="77" t="s">
        <v>327</v>
      </c>
      <c r="F44" s="77" t="s">
        <v>289</v>
      </c>
      <c r="G44" s="77" t="s">
        <v>302</v>
      </c>
      <c r="H44" s="77" t="s">
        <v>265</v>
      </c>
      <c r="I44" s="77" t="s">
        <v>303</v>
      </c>
      <c r="J44" s="77" t="s">
        <v>304</v>
      </c>
      <c r="K44" s="77" t="s">
        <v>255</v>
      </c>
      <c r="L44" s="77" t="s">
        <v>303</v>
      </c>
      <c r="M44" s="77" t="s">
        <v>305</v>
      </c>
      <c r="N44" s="77" t="s">
        <v>267</v>
      </c>
      <c r="O44" s="77" t="s">
        <v>306</v>
      </c>
      <c r="P44" s="77" t="s">
        <v>307</v>
      </c>
      <c r="Q44" s="77"/>
      <c r="R44" s="77" t="s">
        <v>273</v>
      </c>
      <c r="S44" s="86"/>
      <c r="V44" s="59"/>
    </row>
    <row r="45" spans="2:22" s="1" customFormat="1" ht="80.099999999999994" customHeight="1">
      <c r="B45" s="56">
        <f>B41+1</f>
        <v>11</v>
      </c>
      <c r="D45" s="93" t="s">
        <v>210</v>
      </c>
      <c r="E45" s="90" t="s">
        <v>243</v>
      </c>
      <c r="F45" s="90" t="s">
        <v>244</v>
      </c>
      <c r="G45" s="90" t="s">
        <v>188</v>
      </c>
      <c r="H45" s="90" t="s">
        <v>186</v>
      </c>
      <c r="I45" s="93" t="s">
        <v>245</v>
      </c>
      <c r="J45" s="93" t="s">
        <v>182</v>
      </c>
      <c r="K45" s="90" t="s">
        <v>256</v>
      </c>
      <c r="L45" s="93" t="s">
        <v>245</v>
      </c>
      <c r="M45" s="90" t="s">
        <v>246</v>
      </c>
      <c r="N45" s="93" t="s">
        <v>207</v>
      </c>
      <c r="O45" s="90" t="s">
        <v>247</v>
      </c>
      <c r="P45" s="90" t="s">
        <v>248</v>
      </c>
      <c r="Q45" s="90" t="s">
        <v>181</v>
      </c>
      <c r="R45" s="93" t="s">
        <v>210</v>
      </c>
      <c r="S45" s="87"/>
      <c r="V45" s="59"/>
    </row>
    <row r="46" spans="2:22" s="1" customFormat="1" ht="36" customHeight="1">
      <c r="B46" s="57"/>
      <c r="D46" s="78" t="s">
        <v>408</v>
      </c>
      <c r="E46" s="78" t="s">
        <v>455</v>
      </c>
      <c r="F46" s="78" t="s">
        <v>432</v>
      </c>
      <c r="G46" s="78" t="s">
        <v>456</v>
      </c>
      <c r="H46" s="78" t="s">
        <v>399</v>
      </c>
      <c r="I46" s="78" t="s">
        <v>457</v>
      </c>
      <c r="J46" s="78"/>
      <c r="K46" s="78" t="s">
        <v>438</v>
      </c>
      <c r="L46" s="78" t="s">
        <v>457</v>
      </c>
      <c r="M46" s="78" t="s">
        <v>458</v>
      </c>
      <c r="N46" s="78" t="s">
        <v>402</v>
      </c>
      <c r="O46" s="78" t="s">
        <v>459</v>
      </c>
      <c r="P46" s="78" t="s">
        <v>460</v>
      </c>
      <c r="Q46" s="78"/>
      <c r="R46" s="78" t="s">
        <v>408</v>
      </c>
      <c r="S46" s="89"/>
      <c r="V46" s="59"/>
    </row>
    <row r="47" spans="2:22" s="64" customFormat="1" ht="60" customHeight="1">
      <c r="B47" s="60"/>
      <c r="C47" s="83"/>
      <c r="D47" s="76"/>
      <c r="E47" s="76"/>
      <c r="F47" s="76"/>
      <c r="G47" s="76"/>
      <c r="H47" s="76"/>
      <c r="I47" s="76"/>
      <c r="J47" s="76" t="s">
        <v>258</v>
      </c>
      <c r="K47" s="76"/>
      <c r="L47" s="76"/>
      <c r="M47" s="76"/>
      <c r="N47" s="76"/>
      <c r="O47" s="76"/>
      <c r="P47" s="76"/>
      <c r="Q47" s="76"/>
      <c r="R47" s="76"/>
      <c r="V47" s="65"/>
    </row>
    <row r="48" spans="2:22" s="1" customFormat="1" ht="36" customHeight="1">
      <c r="B48" s="55"/>
      <c r="D48" s="77" t="s">
        <v>278</v>
      </c>
      <c r="E48" s="77" t="s">
        <v>314</v>
      </c>
      <c r="F48" s="77"/>
      <c r="G48" s="77" t="s">
        <v>280</v>
      </c>
      <c r="H48" s="77" t="s">
        <v>255</v>
      </c>
      <c r="I48" s="77" t="s">
        <v>321</v>
      </c>
      <c r="J48" s="77" t="s">
        <v>258</v>
      </c>
      <c r="K48" s="77" t="s">
        <v>297</v>
      </c>
      <c r="L48" s="77"/>
      <c r="M48" s="77" t="s">
        <v>297</v>
      </c>
      <c r="N48" s="77" t="s">
        <v>298</v>
      </c>
      <c r="O48" s="77" t="s">
        <v>282</v>
      </c>
      <c r="P48" s="77" t="s">
        <v>283</v>
      </c>
      <c r="Q48" s="77" t="s">
        <v>267</v>
      </c>
      <c r="R48" s="77" t="s">
        <v>308</v>
      </c>
      <c r="S48" s="86"/>
      <c r="V48" s="59"/>
    </row>
    <row r="49" spans="2:22" s="1" customFormat="1" ht="80.099999999999994" customHeight="1">
      <c r="B49" s="56">
        <f>B45+1</f>
        <v>12</v>
      </c>
      <c r="D49" s="90" t="s">
        <v>199</v>
      </c>
      <c r="E49" s="93" t="s">
        <v>217</v>
      </c>
      <c r="F49" s="90" t="s">
        <v>214</v>
      </c>
      <c r="G49" s="90" t="s">
        <v>221</v>
      </c>
      <c r="H49" s="90" t="s">
        <v>220</v>
      </c>
      <c r="I49" s="90" t="s">
        <v>215</v>
      </c>
      <c r="J49" s="90" t="s">
        <v>216</v>
      </c>
      <c r="K49" s="93" t="s">
        <v>239</v>
      </c>
      <c r="L49" s="90" t="s">
        <v>181</v>
      </c>
      <c r="M49" s="90" t="s">
        <v>239</v>
      </c>
      <c r="N49" s="90" t="s">
        <v>189</v>
      </c>
      <c r="O49" s="90" t="s">
        <v>223</v>
      </c>
      <c r="P49" s="90" t="s">
        <v>224</v>
      </c>
      <c r="Q49" s="93" t="s">
        <v>207</v>
      </c>
      <c r="R49" s="90" t="s">
        <v>249</v>
      </c>
      <c r="S49" s="87"/>
      <c r="V49" s="59"/>
    </row>
    <row r="50" spans="2:22" s="1" customFormat="1" ht="36" customHeight="1">
      <c r="B50" s="57"/>
      <c r="D50" s="78" t="s">
        <v>416</v>
      </c>
      <c r="E50" s="78" t="s">
        <v>417</v>
      </c>
      <c r="F50" s="78"/>
      <c r="G50" s="78" t="s">
        <v>421</v>
      </c>
      <c r="H50" s="78" t="s">
        <v>438</v>
      </c>
      <c r="I50" s="78" t="s">
        <v>414</v>
      </c>
      <c r="J50" s="78" t="s">
        <v>415</v>
      </c>
      <c r="K50" s="78" t="s">
        <v>446</v>
      </c>
      <c r="L50" s="78"/>
      <c r="M50" s="78" t="s">
        <v>446</v>
      </c>
      <c r="N50" s="78" t="s">
        <v>447</v>
      </c>
      <c r="O50" s="78" t="s">
        <v>424</v>
      </c>
      <c r="P50" s="78" t="s">
        <v>425</v>
      </c>
      <c r="Q50" s="78" t="s">
        <v>402</v>
      </c>
      <c r="R50" s="78" t="s">
        <v>461</v>
      </c>
      <c r="S50" s="89"/>
      <c r="V50" s="59"/>
    </row>
    <row r="51" spans="2:22" s="64" customFormat="1" ht="60" customHeight="1">
      <c r="B51" s="60"/>
      <c r="C51" s="83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V51" s="65"/>
    </row>
    <row r="52" spans="2:22" s="1" customFormat="1" ht="36" customHeight="1">
      <c r="B52" s="55"/>
      <c r="D52" s="77" t="s">
        <v>309</v>
      </c>
      <c r="E52" s="77"/>
      <c r="F52" s="77" t="s">
        <v>288</v>
      </c>
      <c r="G52" s="77" t="s">
        <v>328</v>
      </c>
      <c r="H52" s="77" t="s">
        <v>273</v>
      </c>
      <c r="I52" s="77" t="s">
        <v>281</v>
      </c>
      <c r="J52" s="77" t="s">
        <v>303</v>
      </c>
      <c r="K52" s="77" t="s">
        <v>267</v>
      </c>
      <c r="L52" s="77" t="s">
        <v>310</v>
      </c>
      <c r="M52" s="77" t="s">
        <v>311</v>
      </c>
      <c r="N52" s="77"/>
      <c r="O52" s="77"/>
      <c r="P52" s="77"/>
      <c r="Q52" s="77"/>
      <c r="R52" s="77"/>
      <c r="S52" s="86"/>
      <c r="V52" s="59"/>
    </row>
    <row r="53" spans="2:22" s="1" customFormat="1" ht="80.099999999999994" customHeight="1">
      <c r="B53" s="56">
        <f>B49+1</f>
        <v>13</v>
      </c>
      <c r="D53" s="90" t="s">
        <v>250</v>
      </c>
      <c r="E53" s="90" t="s">
        <v>181</v>
      </c>
      <c r="F53" s="90" t="s">
        <v>227</v>
      </c>
      <c r="G53" s="95" t="s">
        <v>317</v>
      </c>
      <c r="H53" s="93" t="s">
        <v>210</v>
      </c>
      <c r="I53" s="90" t="s">
        <v>232</v>
      </c>
      <c r="J53" s="90" t="s">
        <v>251</v>
      </c>
      <c r="K53" s="93" t="s">
        <v>207</v>
      </c>
      <c r="L53" s="90" t="s">
        <v>252</v>
      </c>
      <c r="M53" s="90" t="s">
        <v>253</v>
      </c>
      <c r="N53" s="90" t="s">
        <v>184</v>
      </c>
      <c r="O53" s="90"/>
      <c r="P53" s="90"/>
      <c r="Q53" s="90"/>
      <c r="R53" s="90"/>
      <c r="S53" s="87"/>
      <c r="V53" s="59"/>
    </row>
    <row r="54" spans="2:22" s="1" customFormat="1" ht="36" customHeight="1">
      <c r="B54" s="57"/>
      <c r="D54" s="78" t="s">
        <v>462</v>
      </c>
      <c r="E54" s="78"/>
      <c r="F54" s="78" t="s">
        <v>431</v>
      </c>
      <c r="G54" s="78" t="s">
        <v>452</v>
      </c>
      <c r="H54" s="78" t="s">
        <v>408</v>
      </c>
      <c r="I54" s="78" t="s">
        <v>423</v>
      </c>
      <c r="J54" s="78" t="s">
        <v>457</v>
      </c>
      <c r="K54" s="78" t="s">
        <v>402</v>
      </c>
      <c r="L54" s="78" t="s">
        <v>463</v>
      </c>
      <c r="M54" s="78" t="s">
        <v>464</v>
      </c>
      <c r="N54" s="78"/>
      <c r="O54" s="78"/>
      <c r="P54" s="78"/>
      <c r="Q54" s="78"/>
      <c r="R54" s="78"/>
      <c r="S54" s="89"/>
      <c r="V54" s="59"/>
    </row>
    <row r="55" spans="2:22" s="64" customFormat="1" ht="60" customHeight="1">
      <c r="B55" s="60"/>
      <c r="C55" s="83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V55" s="65"/>
    </row>
    <row r="56" spans="2:22" s="1" customFormat="1" ht="36" customHeight="1">
      <c r="B56" s="55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86"/>
      <c r="V56" s="59"/>
    </row>
    <row r="57" spans="2:22" s="1" customFormat="1" ht="80.099999999999994" customHeight="1">
      <c r="B57" s="56">
        <f>B53+1</f>
        <v>14</v>
      </c>
      <c r="D57" s="90"/>
      <c r="E57" s="90"/>
      <c r="F57" s="90"/>
      <c r="G57" s="91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87"/>
      <c r="V57" s="59"/>
    </row>
    <row r="58" spans="2:22" s="1" customFormat="1" ht="36" customHeight="1">
      <c r="B58" s="57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89"/>
      <c r="V58" s="59"/>
    </row>
    <row r="59" spans="2:22" s="64" customFormat="1" ht="60" customHeight="1">
      <c r="B59" s="60"/>
      <c r="C59" s="83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V59" s="65"/>
    </row>
    <row r="60" spans="2:22" s="1" customFormat="1" ht="36" customHeight="1">
      <c r="B60" s="55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86"/>
      <c r="V60" s="59"/>
    </row>
    <row r="61" spans="2:22" s="1" customFormat="1" ht="80.099999999999994" customHeight="1">
      <c r="B61" s="56">
        <f>B57+1</f>
        <v>15</v>
      </c>
      <c r="D61" s="90"/>
      <c r="E61" s="90"/>
      <c r="F61" s="90"/>
      <c r="G61" s="91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87"/>
      <c r="V61" s="59"/>
    </row>
    <row r="62" spans="2:22" s="1" customFormat="1" ht="36" customHeight="1">
      <c r="B62" s="57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89"/>
      <c r="V62" s="59"/>
    </row>
    <row r="63" spans="2:22" s="64" customFormat="1" ht="60" customHeight="1">
      <c r="B63" s="60"/>
      <c r="C63" s="83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V63" s="65"/>
    </row>
    <row r="64" spans="2:22" s="1" customFormat="1" ht="36" customHeight="1">
      <c r="B64" s="55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86"/>
      <c r="V64" s="59"/>
    </row>
    <row r="65" spans="2:22" s="1" customFormat="1" ht="80.099999999999994" customHeight="1">
      <c r="B65" s="56">
        <f>B61+1</f>
        <v>16</v>
      </c>
      <c r="D65" s="90"/>
      <c r="E65" s="90"/>
      <c r="F65" s="90"/>
      <c r="G65" s="91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87"/>
      <c r="V65" s="59"/>
    </row>
    <row r="66" spans="2:22" s="1" customFormat="1" ht="36" customHeight="1">
      <c r="B66" s="57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89"/>
      <c r="V66" s="59"/>
    </row>
    <row r="67" spans="2:22" s="64" customFormat="1" ht="60" customHeight="1">
      <c r="B67" s="60"/>
      <c r="C67" s="83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V67" s="65"/>
    </row>
    <row r="68" spans="2:22" s="1" customFormat="1" ht="36" customHeight="1">
      <c r="B68" s="55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86"/>
      <c r="V68" s="59"/>
    </row>
    <row r="69" spans="2:22" s="1" customFormat="1" ht="80.099999999999994" customHeight="1">
      <c r="B69" s="56">
        <f>B65+1</f>
        <v>17</v>
      </c>
      <c r="D69" s="90"/>
      <c r="E69" s="90"/>
      <c r="F69" s="90"/>
      <c r="G69" s="91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87"/>
      <c r="V69" s="59"/>
    </row>
    <row r="70" spans="2:22" s="1" customFormat="1" ht="36" customHeight="1">
      <c r="B70" s="57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89"/>
      <c r="V70" s="59"/>
    </row>
    <row r="71" spans="2:22" s="64" customFormat="1" ht="60" customHeight="1">
      <c r="B71" s="60"/>
      <c r="C71" s="83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V71" s="65"/>
    </row>
    <row r="72" spans="2:22" s="1" customFormat="1" ht="36" customHeight="1">
      <c r="B72" s="55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86"/>
      <c r="V72" s="59"/>
    </row>
    <row r="73" spans="2:22" s="1" customFormat="1" ht="80.099999999999994" customHeight="1">
      <c r="B73" s="56">
        <f>B69+1</f>
        <v>18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87"/>
      <c r="V73" s="59"/>
    </row>
    <row r="74" spans="2:22" s="1" customFormat="1" ht="36" customHeight="1">
      <c r="B74" s="57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89"/>
      <c r="V74" s="59"/>
    </row>
    <row r="75" spans="2:22" s="64" customFormat="1" ht="60" customHeight="1">
      <c r="B75" s="60"/>
      <c r="C75" s="83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V75" s="65"/>
    </row>
    <row r="76" spans="2:22" s="1" customFormat="1" ht="36" customHeight="1">
      <c r="B76" s="55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86"/>
      <c r="V76" s="59"/>
    </row>
    <row r="77" spans="2:22" s="1" customFormat="1" ht="80.099999999999994" customHeight="1">
      <c r="B77" s="56">
        <f>B73+1</f>
        <v>19</v>
      </c>
      <c r="D77" s="90"/>
      <c r="E77" s="90"/>
      <c r="F77" s="90"/>
      <c r="G77" s="91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87"/>
      <c r="V77" s="59"/>
    </row>
    <row r="78" spans="2:22" s="1" customFormat="1" ht="36" customHeight="1">
      <c r="B78" s="57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89"/>
      <c r="V78" s="59"/>
    </row>
    <row r="79" spans="2:22" s="64" customFormat="1" ht="60" customHeight="1">
      <c r="B79" s="60"/>
      <c r="C79" s="83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V79" s="65"/>
    </row>
    <row r="80" spans="2:22" s="1" customFormat="1" ht="36" customHeight="1">
      <c r="B80" s="55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86"/>
      <c r="V80" s="59"/>
    </row>
    <row r="81" spans="2:22" s="1" customFormat="1" ht="80.099999999999994" customHeight="1">
      <c r="B81" s="56">
        <f>B77+1</f>
        <v>20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87"/>
      <c r="V81" s="59"/>
    </row>
    <row r="82" spans="2:22" s="1" customFormat="1" ht="36" customHeight="1">
      <c r="B82" s="57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89"/>
      <c r="V82" s="59"/>
    </row>
    <row r="83" spans="2:22" s="64" customFormat="1" ht="60" customHeight="1">
      <c r="B83" s="60"/>
      <c r="C83" s="83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V83" s="65"/>
    </row>
    <row r="84" spans="2:22" s="1" customFormat="1" ht="36" customHeight="1">
      <c r="B84" s="55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86"/>
      <c r="V84" s="59"/>
    </row>
    <row r="85" spans="2:22" s="1" customFormat="1" ht="80.099999999999994" customHeight="1">
      <c r="B85" s="56">
        <f>B81+1</f>
        <v>21</v>
      </c>
      <c r="D85" s="90"/>
      <c r="E85" s="90"/>
      <c r="F85" s="90"/>
      <c r="G85" s="91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87"/>
      <c r="V85" s="59"/>
    </row>
    <row r="86" spans="2:22" s="1" customFormat="1" ht="36" customHeight="1">
      <c r="B86" s="57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89"/>
      <c r="V86" s="59"/>
    </row>
    <row r="87" spans="2:22" s="64" customFormat="1" ht="60" customHeight="1">
      <c r="B87" s="60"/>
      <c r="C87" s="83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V87" s="65"/>
    </row>
    <row r="88" spans="2:22" s="1" customFormat="1" ht="36" customHeight="1">
      <c r="B88" s="55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86"/>
      <c r="V88" s="59"/>
    </row>
    <row r="89" spans="2:22" s="1" customFormat="1" ht="80.099999999999994" customHeight="1">
      <c r="B89" s="56">
        <f>B85+1</f>
        <v>22</v>
      </c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87"/>
      <c r="V89" s="59"/>
    </row>
    <row r="90" spans="2:22" s="1" customFormat="1" ht="36" customHeight="1">
      <c r="B90" s="57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89"/>
      <c r="V90" s="59"/>
    </row>
    <row r="91" spans="2:22" s="64" customFormat="1" ht="60" customHeight="1">
      <c r="B91" s="60"/>
      <c r="C91" s="83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V91" s="65"/>
    </row>
    <row r="92" spans="2:22" s="1" customFormat="1" ht="36" customHeight="1">
      <c r="B92" s="55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86"/>
      <c r="V92" s="59"/>
    </row>
    <row r="93" spans="2:22" s="1" customFormat="1" ht="80.099999999999994" customHeight="1">
      <c r="B93" s="56">
        <f>B89+1</f>
        <v>23</v>
      </c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87"/>
      <c r="V93" s="59"/>
    </row>
    <row r="94" spans="2:22" s="1" customFormat="1" ht="36" customHeight="1">
      <c r="B94" s="57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89"/>
      <c r="V94" s="59"/>
    </row>
    <row r="95" spans="2:22" s="64" customFormat="1" ht="60" customHeight="1">
      <c r="B95" s="60"/>
      <c r="C95" s="83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V95" s="65"/>
    </row>
    <row r="96" spans="2:22" s="1" customFormat="1" ht="36" customHeight="1">
      <c r="B96" s="55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86"/>
      <c r="V96" s="59"/>
    </row>
    <row r="97" spans="2:22" s="1" customFormat="1" ht="80.099999999999994" customHeight="1">
      <c r="B97" s="56">
        <f>B93+1</f>
        <v>24</v>
      </c>
      <c r="D97" s="90"/>
      <c r="E97" s="90"/>
      <c r="F97" s="90"/>
      <c r="G97" s="91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87"/>
      <c r="V97" s="59"/>
    </row>
    <row r="98" spans="2:22" s="1" customFormat="1" ht="36" customHeight="1">
      <c r="B98" s="57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89"/>
      <c r="V98" s="59"/>
    </row>
    <row r="99" spans="2:22" s="64" customFormat="1" ht="60" customHeight="1">
      <c r="B99" s="60"/>
      <c r="C99" s="83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V99" s="65"/>
    </row>
    <row r="100" spans="2:22" s="1" customFormat="1" ht="36" customHeight="1">
      <c r="B100" s="55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86"/>
      <c r="V100" s="59"/>
    </row>
    <row r="101" spans="2:22" s="1" customFormat="1" ht="80.099999999999994" customHeight="1">
      <c r="B101" s="56">
        <f>B97+1</f>
        <v>25</v>
      </c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87"/>
      <c r="V101" s="59"/>
    </row>
    <row r="102" spans="2:22" s="1" customFormat="1" ht="36" customHeight="1">
      <c r="B102" s="57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89"/>
      <c r="V102" s="59"/>
    </row>
    <row r="103" spans="2:22" s="64" customFormat="1" ht="60" customHeight="1">
      <c r="B103" s="60"/>
      <c r="C103" s="83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V103" s="65"/>
    </row>
    <row r="104" spans="2:22" s="1" customFormat="1" ht="36" customHeight="1">
      <c r="B104" s="55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86"/>
      <c r="V104" s="59"/>
    </row>
    <row r="105" spans="2:22" s="1" customFormat="1" ht="80.099999999999994" customHeight="1">
      <c r="B105" s="56">
        <f>B101+1</f>
        <v>26</v>
      </c>
      <c r="D105" s="90"/>
      <c r="E105" s="90"/>
      <c r="F105" s="90"/>
      <c r="G105" s="91"/>
      <c r="H105" s="90"/>
      <c r="I105" s="90"/>
      <c r="J105" s="90"/>
      <c r="K105" s="90"/>
      <c r="L105" s="90"/>
      <c r="M105" s="90"/>
      <c r="N105" s="90"/>
      <c r="O105" s="92"/>
      <c r="P105" s="90"/>
      <c r="Q105" s="90"/>
      <c r="R105" s="90"/>
      <c r="S105" s="87"/>
      <c r="V105" s="59"/>
    </row>
    <row r="106" spans="2:22" s="1" customFormat="1" ht="36" customHeight="1">
      <c r="B106" s="57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89"/>
      <c r="V106" s="59"/>
    </row>
    <row r="107" spans="2:22" s="64" customFormat="1" ht="60" customHeight="1">
      <c r="B107" s="60"/>
      <c r="C107" s="83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V107" s="65"/>
    </row>
    <row r="108" spans="2:22" s="1" customFormat="1" ht="36" customHeight="1">
      <c r="B108" s="55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86"/>
      <c r="V108" s="59"/>
    </row>
    <row r="109" spans="2:22" s="1" customFormat="1" ht="80.099999999999994" customHeight="1">
      <c r="B109" s="56">
        <f>B105+1</f>
        <v>27</v>
      </c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87"/>
      <c r="V109" s="59"/>
    </row>
    <row r="110" spans="2:22" s="1" customFormat="1" ht="36" customHeight="1">
      <c r="B110" s="57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89"/>
      <c r="V110" s="59"/>
    </row>
    <row r="111" spans="2:22" s="64" customFormat="1" ht="60" customHeight="1">
      <c r="B111" s="60"/>
      <c r="C111" s="83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V111" s="65"/>
    </row>
    <row r="112" spans="2:22" s="1" customFormat="1" ht="36" customHeight="1">
      <c r="B112" s="55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86"/>
      <c r="V112" s="59"/>
    </row>
    <row r="113" spans="2:22" s="1" customFormat="1" ht="80.099999999999994" customHeight="1">
      <c r="B113" s="56">
        <f>B109+1</f>
        <v>28</v>
      </c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2"/>
      <c r="P113" s="90"/>
      <c r="Q113" s="90"/>
      <c r="R113" s="90"/>
      <c r="S113" s="87"/>
      <c r="V113" s="59"/>
    </row>
    <row r="114" spans="2:22" s="1" customFormat="1" ht="36" customHeight="1">
      <c r="B114" s="57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89"/>
      <c r="V114" s="59"/>
    </row>
    <row r="115" spans="2:22" s="64" customFormat="1" ht="60" customHeight="1">
      <c r="B115" s="60"/>
      <c r="C115" s="83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V115" s="65"/>
    </row>
    <row r="116" spans="2:22" s="1" customFormat="1" ht="36" customHeight="1">
      <c r="B116" s="55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86"/>
      <c r="V116" s="59"/>
    </row>
    <row r="117" spans="2:22" s="1" customFormat="1" ht="80.099999999999994" customHeight="1">
      <c r="B117" s="56">
        <f>B113+1</f>
        <v>29</v>
      </c>
      <c r="D117" s="90"/>
      <c r="E117" s="90"/>
      <c r="F117" s="91"/>
      <c r="G117" s="91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87"/>
      <c r="V117" s="59"/>
    </row>
    <row r="118" spans="2:22" s="1" customFormat="1" ht="36" customHeight="1">
      <c r="B118" s="57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89"/>
      <c r="V118" s="59"/>
    </row>
    <row r="119" spans="2:22" s="64" customFormat="1" ht="60" customHeight="1">
      <c r="B119" s="60"/>
      <c r="C119" s="83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V119" s="65"/>
    </row>
    <row r="120" spans="2:22" s="1" customFormat="1" ht="36" customHeight="1">
      <c r="B120" s="55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86"/>
      <c r="V120" s="59"/>
    </row>
    <row r="121" spans="2:22" s="1" customFormat="1" ht="80.099999999999994" customHeight="1">
      <c r="B121" s="56">
        <f>B117+1</f>
        <v>30</v>
      </c>
      <c r="D121" s="90"/>
      <c r="E121" s="90"/>
      <c r="F121" s="90"/>
      <c r="G121" s="91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87"/>
      <c r="V121" s="59"/>
    </row>
    <row r="122" spans="2:22" s="1" customFormat="1" ht="36" customHeight="1">
      <c r="B122" s="57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89"/>
      <c r="V122" s="59"/>
    </row>
    <row r="123" spans="2:22" s="64" customFormat="1" ht="60" customHeight="1">
      <c r="B123" s="60"/>
      <c r="C123" s="83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V123" s="65"/>
    </row>
    <row r="124" spans="2:22" s="1" customFormat="1" ht="36" customHeight="1">
      <c r="B124" s="55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86"/>
      <c r="V124" s="59"/>
    </row>
    <row r="125" spans="2:22" s="1" customFormat="1" ht="80.099999999999994" customHeight="1">
      <c r="B125" s="56">
        <f>B121+1</f>
        <v>31</v>
      </c>
      <c r="D125" s="90"/>
      <c r="E125" s="90"/>
      <c r="F125" s="90"/>
      <c r="G125" s="91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87"/>
      <c r="V125" s="59"/>
    </row>
    <row r="126" spans="2:22" s="1" customFormat="1" ht="36" customHeight="1">
      <c r="B126" s="57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89"/>
      <c r="V126" s="59"/>
    </row>
    <row r="127" spans="2:22" s="64" customFormat="1" ht="60" customHeight="1">
      <c r="B127" s="60"/>
      <c r="C127" s="83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V127" s="65"/>
    </row>
    <row r="128" spans="2:22" s="1" customFormat="1" ht="36" customHeight="1">
      <c r="B128" s="55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86"/>
      <c r="V128" s="59"/>
    </row>
    <row r="129" spans="2:22" s="1" customFormat="1" ht="80.099999999999994" customHeight="1">
      <c r="B129" s="56">
        <f>B125+1</f>
        <v>32</v>
      </c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87"/>
      <c r="V129" s="59"/>
    </row>
    <row r="130" spans="2:22" s="1" customFormat="1" ht="36" customHeight="1">
      <c r="B130" s="57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89"/>
      <c r="V130" s="59"/>
    </row>
    <row r="131" spans="2:22" s="64" customFormat="1" ht="60" customHeight="1">
      <c r="B131" s="60"/>
      <c r="C131" s="83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V131" s="65"/>
    </row>
    <row r="132" spans="2:22" s="1" customFormat="1" ht="36" customHeight="1">
      <c r="B132" s="55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86"/>
      <c r="V132" s="59"/>
    </row>
    <row r="133" spans="2:22" s="1" customFormat="1" ht="80.099999999999994" customHeight="1">
      <c r="B133" s="56">
        <f>B129+1</f>
        <v>33</v>
      </c>
      <c r="D133" s="90"/>
      <c r="E133" s="90"/>
      <c r="F133" s="90"/>
      <c r="G133" s="91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87"/>
      <c r="V133" s="59"/>
    </row>
    <row r="134" spans="2:22" s="1" customFormat="1" ht="36" customHeight="1">
      <c r="B134" s="57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89"/>
      <c r="V134" s="59"/>
    </row>
    <row r="135" spans="2:22" s="64" customFormat="1" ht="60" customHeight="1">
      <c r="B135" s="60"/>
      <c r="C135" s="83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V135" s="65"/>
    </row>
    <row r="136" spans="2:22" s="1" customFormat="1" ht="36" customHeight="1">
      <c r="B136" s="55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86"/>
      <c r="V136" s="59"/>
    </row>
    <row r="137" spans="2:22" s="1" customFormat="1" ht="80.099999999999994" customHeight="1">
      <c r="B137" s="56">
        <f>B133+1</f>
        <v>34</v>
      </c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87"/>
      <c r="V137" s="59"/>
    </row>
    <row r="138" spans="2:22" s="1" customFormat="1" ht="36" customHeight="1">
      <c r="B138" s="57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89"/>
      <c r="V138" s="59"/>
    </row>
    <row r="139" spans="2:22" s="64" customFormat="1" ht="60" customHeight="1">
      <c r="B139" s="60"/>
      <c r="C139" s="83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V139" s="65"/>
    </row>
    <row r="140" spans="2:22" s="1" customFormat="1" ht="36" customHeight="1">
      <c r="B140" s="55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86"/>
      <c r="V140" s="59"/>
    </row>
    <row r="141" spans="2:22" s="1" customFormat="1" ht="80.099999999999994" customHeight="1">
      <c r="B141" s="56">
        <f>B137+1</f>
        <v>35</v>
      </c>
      <c r="D141" s="90"/>
      <c r="E141" s="90"/>
      <c r="F141" s="90"/>
      <c r="G141" s="91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87"/>
      <c r="V141" s="59"/>
    </row>
    <row r="142" spans="2:22" s="1" customFormat="1" ht="36" customHeight="1">
      <c r="B142" s="57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89"/>
      <c r="V142" s="59"/>
    </row>
    <row r="143" spans="2:22" s="64" customFormat="1" ht="60" customHeight="1">
      <c r="B143" s="60"/>
      <c r="C143" s="83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V143" s="65"/>
    </row>
    <row r="144" spans="2:22" s="1" customFormat="1" ht="36" customHeight="1">
      <c r="B144" s="55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86"/>
      <c r="V144" s="59"/>
    </row>
    <row r="145" spans="2:22" s="1" customFormat="1" ht="80.099999999999994" customHeight="1">
      <c r="B145" s="56">
        <f>B141+1</f>
        <v>36</v>
      </c>
      <c r="D145" s="90"/>
      <c r="E145" s="90"/>
      <c r="F145" s="90"/>
      <c r="G145" s="91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87"/>
      <c r="V145" s="59"/>
    </row>
    <row r="146" spans="2:22" s="1" customFormat="1" ht="36" customHeight="1">
      <c r="B146" s="57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89"/>
      <c r="V146" s="59"/>
    </row>
    <row r="147" spans="2:22" s="64" customFormat="1" ht="60" customHeight="1">
      <c r="B147" s="60"/>
      <c r="C147" s="83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V147" s="65"/>
    </row>
    <row r="148" spans="2:22" s="1" customFormat="1" ht="36" customHeight="1">
      <c r="B148" s="55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86"/>
      <c r="V148" s="59"/>
    </row>
    <row r="149" spans="2:22" s="1" customFormat="1" ht="80.099999999999994" customHeight="1">
      <c r="B149" s="56">
        <f>B145+1</f>
        <v>37</v>
      </c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87"/>
      <c r="V149" s="59"/>
    </row>
    <row r="150" spans="2:22" s="1" customFormat="1" ht="36" customHeight="1">
      <c r="B150" s="57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89"/>
      <c r="V150" s="59"/>
    </row>
    <row r="151" spans="2:22" s="64" customFormat="1" ht="60" customHeight="1">
      <c r="B151" s="60"/>
      <c r="C151" s="83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V151" s="65"/>
    </row>
    <row r="152" spans="2:22" s="1" customFormat="1" ht="36" customHeight="1">
      <c r="B152" s="55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86"/>
      <c r="V152" s="59"/>
    </row>
    <row r="153" spans="2:22" s="1" customFormat="1" ht="80.099999999999994" customHeight="1">
      <c r="B153" s="56">
        <f>B149+1</f>
        <v>38</v>
      </c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87"/>
      <c r="V153" s="59"/>
    </row>
    <row r="154" spans="2:22" s="1" customFormat="1" ht="36" customHeight="1">
      <c r="B154" s="57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89"/>
      <c r="V154" s="59"/>
    </row>
    <row r="155" spans="2:22" s="64" customFormat="1" ht="60" customHeight="1">
      <c r="B155" s="60"/>
      <c r="C155" s="83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V155" s="65"/>
    </row>
    <row r="156" spans="2:22" s="1" customFormat="1" ht="36" customHeight="1">
      <c r="B156" s="55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86"/>
      <c r="V156" s="59"/>
    </row>
    <row r="157" spans="2:22" s="1" customFormat="1" ht="80.099999999999994" customHeight="1">
      <c r="B157" s="56">
        <f>B153+1</f>
        <v>39</v>
      </c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87"/>
      <c r="V157" s="59"/>
    </row>
    <row r="158" spans="2:22" s="1" customFormat="1" ht="36" customHeight="1">
      <c r="B158" s="57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89"/>
      <c r="V158" s="59"/>
    </row>
    <row r="159" spans="2:22" s="64" customFormat="1" ht="60" customHeight="1">
      <c r="B159" s="60"/>
      <c r="C159" s="83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V159" s="65"/>
    </row>
    <row r="160" spans="2:22" s="1" customFormat="1" ht="36" customHeight="1">
      <c r="B160" s="55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86"/>
      <c r="V160" s="59"/>
    </row>
    <row r="161" spans="2:22" s="1" customFormat="1" ht="80.099999999999994" customHeight="1">
      <c r="B161" s="56">
        <f>B157+1</f>
        <v>40</v>
      </c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87"/>
      <c r="V161" s="59"/>
    </row>
    <row r="162" spans="2:22" s="1" customFormat="1" ht="36" customHeight="1">
      <c r="B162" s="57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89"/>
      <c r="V162" s="59"/>
    </row>
    <row r="163" spans="2:22" s="64" customFormat="1" ht="60" customHeight="1">
      <c r="B163" s="60"/>
      <c r="C163" s="83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V163" s="65"/>
    </row>
    <row r="164" spans="2:22" s="1" customFormat="1" ht="36" customHeight="1">
      <c r="B164" s="55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86"/>
      <c r="V164" s="59"/>
    </row>
    <row r="165" spans="2:22" s="1" customFormat="1" ht="80.099999999999994" customHeight="1">
      <c r="B165" s="56">
        <f>B161+1</f>
        <v>41</v>
      </c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87"/>
      <c r="V165" s="59"/>
    </row>
    <row r="166" spans="2:22" s="1" customFormat="1" ht="36" customHeight="1">
      <c r="B166" s="57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89"/>
      <c r="V166" s="59"/>
    </row>
    <row r="167" spans="2:22">
      <c r="B167" s="60"/>
      <c r="C167" s="83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22" ht="39.75">
      <c r="B168" s="55"/>
      <c r="C168" s="1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2:22" ht="58.5">
      <c r="B169" s="56">
        <f>B165+1</f>
        <v>42</v>
      </c>
      <c r="C169" s="1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spans="2:22">
      <c r="B170" s="57"/>
      <c r="C170" s="1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</row>
    <row r="171" spans="2:22">
      <c r="B171" s="60"/>
      <c r="C171" s="83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22" ht="39.75">
      <c r="B172" s="55"/>
      <c r="C172" s="1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2:22" ht="58.5">
      <c r="B173" s="56">
        <f>B169+1</f>
        <v>43</v>
      </c>
      <c r="C173" s="1"/>
      <c r="D173" s="90"/>
      <c r="E173" s="90"/>
      <c r="F173" s="90"/>
      <c r="G173" s="91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</row>
    <row r="174" spans="2:22">
      <c r="B174" s="57"/>
      <c r="C174" s="1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</row>
    <row r="175" spans="2:22">
      <c r="B175" s="60"/>
      <c r="C175" s="83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22" ht="39.75">
      <c r="B176" s="55"/>
      <c r="C176" s="1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2:18" ht="58.5">
      <c r="B177" s="56">
        <f>B173+1</f>
        <v>44</v>
      </c>
      <c r="C177" s="1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</row>
    <row r="178" spans="2:18">
      <c r="B178" s="57"/>
      <c r="C178" s="1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</row>
    <row r="179" spans="2:18">
      <c r="B179" s="60"/>
      <c r="C179" s="83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39.75">
      <c r="B180" s="55"/>
      <c r="C180" s="1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2:18" ht="58.5">
      <c r="B181" s="56">
        <f>B177+1</f>
        <v>45</v>
      </c>
      <c r="C181" s="1"/>
      <c r="D181" s="90"/>
      <c r="E181" s="90"/>
      <c r="F181" s="90"/>
      <c r="G181" s="91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</row>
    <row r="182" spans="2:18">
      <c r="B182" s="57"/>
      <c r="C182" s="1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</row>
    <row r="183" spans="2:18">
      <c r="B183" s="60"/>
      <c r="C183" s="83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39.75">
      <c r="B184" s="55"/>
      <c r="C184" s="1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2:18" ht="58.5">
      <c r="B185" s="56">
        <f>B181+1</f>
        <v>46</v>
      </c>
      <c r="C185" s="1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2:18">
      <c r="B186" s="57"/>
      <c r="C186" s="1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</row>
    <row r="187" spans="2:18">
      <c r="B187" s="60"/>
      <c r="C187" s="83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39.75">
      <c r="B188" s="55"/>
      <c r="C188" s="1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2:18" ht="58.5">
      <c r="B189" s="56">
        <f>B185+1</f>
        <v>47</v>
      </c>
      <c r="C189" s="1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2:18">
      <c r="B190" s="57"/>
      <c r="C190" s="1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</row>
    <row r="191" spans="2:18">
      <c r="B191" s="60"/>
      <c r="C191" s="8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39.75">
      <c r="B192" s="55"/>
      <c r="C192" s="1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2:18" ht="58.5">
      <c r="B193" s="56">
        <f>B189+1</f>
        <v>48</v>
      </c>
      <c r="C193" s="1"/>
      <c r="D193" s="90"/>
      <c r="E193" s="90"/>
      <c r="F193" s="90"/>
      <c r="G193" s="91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</row>
    <row r="194" spans="2:18">
      <c r="B194" s="57"/>
      <c r="C194" s="1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</row>
    <row r="195" spans="2:18">
      <c r="B195" s="60"/>
      <c r="C195" s="83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39.75">
      <c r="B196" s="55"/>
      <c r="C196" s="1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2:18" ht="58.5">
      <c r="B197" s="56">
        <f>B193+1</f>
        <v>49</v>
      </c>
      <c r="C197" s="1"/>
      <c r="D197" s="90"/>
      <c r="E197" s="90"/>
      <c r="F197" s="90"/>
      <c r="G197" s="91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</row>
    <row r="198" spans="2:18">
      <c r="B198" s="57"/>
      <c r="C198" s="1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</row>
    <row r="199" spans="2:18">
      <c r="B199" s="60"/>
      <c r="C199" s="83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39.75">
      <c r="B200" s="55"/>
      <c r="C200" s="1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2:18" ht="58.5">
      <c r="B201" s="56">
        <f>B197+1</f>
        <v>50</v>
      </c>
      <c r="C201" s="1"/>
      <c r="D201" s="90"/>
      <c r="E201" s="90"/>
      <c r="F201" s="90"/>
      <c r="G201" s="91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</row>
    <row r="202" spans="2:18">
      <c r="B202" s="57"/>
      <c r="C202" s="1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</row>
    <row r="203" spans="2:18">
      <c r="B203" s="60"/>
      <c r="C203" s="83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39.75">
      <c r="B204" s="55"/>
      <c r="C204" s="1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2:18" ht="58.5">
      <c r="B205" s="56">
        <f>B201+1</f>
        <v>51</v>
      </c>
      <c r="C205" s="1"/>
      <c r="D205" s="90"/>
      <c r="E205" s="90"/>
      <c r="F205" s="90"/>
      <c r="G205" s="91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</row>
    <row r="206" spans="2:18">
      <c r="B206" s="57"/>
      <c r="C206" s="1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</row>
    <row r="207" spans="2:18">
      <c r="B207" s="60"/>
      <c r="C207" s="83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39.75">
      <c r="B208" s="55"/>
      <c r="C208" s="1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2:18" ht="58.5">
      <c r="B209" s="56">
        <f>B205+1</f>
        <v>52</v>
      </c>
      <c r="C209" s="1"/>
      <c r="D209" s="90"/>
      <c r="E209" s="90"/>
      <c r="F209" s="90"/>
      <c r="G209" s="91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spans="2:18">
      <c r="B210" s="57"/>
      <c r="C210" s="1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</row>
    <row r="211" spans="2:18">
      <c r="B211" s="60"/>
      <c r="C211" s="83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39.75">
      <c r="B212" s="55"/>
      <c r="C212" s="1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2:18" ht="58.5">
      <c r="B213" s="56">
        <f>B209+1</f>
        <v>53</v>
      </c>
      <c r="C213" s="1"/>
      <c r="D213" s="90"/>
      <c r="E213" s="90"/>
      <c r="F213" s="90"/>
      <c r="G213" s="91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spans="2:18">
      <c r="B214" s="57"/>
      <c r="C214" s="1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</row>
    <row r="215" spans="2:18">
      <c r="B215" s="60"/>
      <c r="C215" s="83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39.75">
      <c r="B216" s="55"/>
      <c r="C216" s="1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2:18" ht="58.5">
      <c r="B217" s="56">
        <f>B213+1</f>
        <v>54</v>
      </c>
      <c r="C217" s="1"/>
      <c r="D217" s="90"/>
      <c r="E217" s="90"/>
      <c r="F217" s="90"/>
      <c r="G217" s="91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2:18">
      <c r="B218" s="57"/>
      <c r="C218" s="1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</row>
    <row r="219" spans="2:18">
      <c r="B219" s="60"/>
      <c r="C219" s="83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39.75">
      <c r="B220" s="55"/>
      <c r="C220" s="1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2:18" ht="58.5">
      <c r="B221" s="56">
        <f>B217+1</f>
        <v>55</v>
      </c>
      <c r="C221" s="1"/>
      <c r="D221" s="90"/>
      <c r="E221" s="90"/>
      <c r="F221" s="90"/>
      <c r="G221" s="91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2:18">
      <c r="B222" s="57"/>
      <c r="C222" s="1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</row>
    <row r="223" spans="2:18">
      <c r="B223" s="60"/>
      <c r="C223" s="83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39.75">
      <c r="B224" s="55"/>
      <c r="C224" s="1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2:18" ht="58.5">
      <c r="B225" s="56">
        <f>B221+1</f>
        <v>56</v>
      </c>
      <c r="C225" s="1"/>
      <c r="D225" s="90"/>
      <c r="E225" s="90"/>
      <c r="F225" s="90"/>
      <c r="G225" s="91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2:18">
      <c r="B226" s="57"/>
      <c r="C226" s="1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</row>
    <row r="227" spans="2:18">
      <c r="B227" s="60"/>
      <c r="C227" s="83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39.75">
      <c r="B228" s="55"/>
      <c r="C228" s="1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</row>
    <row r="229" spans="2:18" ht="58.5">
      <c r="B229" s="56">
        <f>B225+1</f>
        <v>57</v>
      </c>
      <c r="C229" s="1"/>
      <c r="D229" s="90"/>
      <c r="E229" s="90"/>
      <c r="F229" s="90"/>
      <c r="G229" s="91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2:18">
      <c r="B230" s="57"/>
      <c r="C230" s="1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</row>
    <row r="231" spans="2:18">
      <c r="B231" s="60"/>
      <c r="C231" s="83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39.75">
      <c r="B232" s="55"/>
      <c r="C232" s="1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</row>
    <row r="233" spans="2:18" ht="58.5">
      <c r="B233" s="56">
        <f>B229+1</f>
        <v>58</v>
      </c>
      <c r="C233" s="1"/>
      <c r="D233" s="90"/>
      <c r="E233" s="90"/>
      <c r="F233" s="90"/>
      <c r="G233" s="91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2:18">
      <c r="B234" s="57"/>
      <c r="C234" s="1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</row>
    <row r="235" spans="2:18">
      <c r="B235" s="60"/>
      <c r="C235" s="83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39.75">
      <c r="B236" s="55"/>
      <c r="C236" s="1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</row>
    <row r="237" spans="2:18" ht="58.5">
      <c r="B237" s="56">
        <f>B233+1</f>
        <v>59</v>
      </c>
      <c r="C237" s="1"/>
      <c r="D237" s="90"/>
      <c r="E237" s="90"/>
      <c r="F237" s="90"/>
      <c r="G237" s="91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2:18">
      <c r="B238" s="57"/>
      <c r="C238" s="1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</row>
    <row r="239" spans="2:18">
      <c r="B239" s="60"/>
      <c r="C239" s="83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39.75">
      <c r="B240" s="55"/>
      <c r="C240" s="1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</row>
    <row r="241" spans="2:18" ht="58.5">
      <c r="B241" s="56">
        <f>B237+1</f>
        <v>60</v>
      </c>
      <c r="C241" s="1"/>
      <c r="D241" s="90"/>
      <c r="E241" s="90"/>
      <c r="F241" s="90"/>
      <c r="G241" s="91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spans="2:18">
      <c r="B242" s="57"/>
      <c r="C242" s="1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</row>
  </sheetData>
  <mergeCells count="1">
    <mergeCell ref="V3:V22"/>
  </mergeCells>
  <phoneticPr fontId="1" type="noConversion"/>
  <conditionalFormatting sqref="D3:R3">
    <cfRule type="expression" dxfId="51" priority="47">
      <formula>顯示注音輸入</formula>
    </cfRule>
    <cfRule type="expression" dxfId="50" priority="48">
      <formula>"'= TRUE(顯示注音輸入)"</formula>
    </cfRule>
  </conditionalFormatting>
  <conditionalFormatting sqref="D7:R7">
    <cfRule type="expression" dxfId="49" priority="37">
      <formula>顯示注音輸入</formula>
    </cfRule>
    <cfRule type="expression" dxfId="48" priority="38">
      <formula>"'= TRUE(顯示注音輸入)"</formula>
    </cfRule>
  </conditionalFormatting>
  <conditionalFormatting sqref="D11:R11">
    <cfRule type="expression" dxfId="47" priority="35">
      <formula>顯示注音輸入</formula>
    </cfRule>
    <cfRule type="expression" dxfId="46" priority="36">
      <formula>"'= TRUE(顯示注音輸入)"</formula>
    </cfRule>
  </conditionalFormatting>
  <conditionalFormatting sqref="D15:R15">
    <cfRule type="expression" dxfId="45" priority="33">
      <formula>顯示注音輸入</formula>
    </cfRule>
    <cfRule type="expression" dxfId="44" priority="34">
      <formula>"'= TRUE(顯示注音輸入)"</formula>
    </cfRule>
  </conditionalFormatting>
  <conditionalFormatting sqref="D19:R19">
    <cfRule type="expression" dxfId="43" priority="31">
      <formula>顯示注音輸入</formula>
    </cfRule>
    <cfRule type="expression" dxfId="42" priority="32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41" priority="45">
      <formula>顯示注音輸入</formula>
    </cfRule>
    <cfRule type="expression" dxfId="40" priority="46">
      <formula>"'= TRUE(顯示注音輸入)"</formula>
    </cfRule>
  </conditionalFormatting>
  <conditionalFormatting sqref="D27:R27">
    <cfRule type="expression" dxfId="39" priority="29">
      <formula>顯示注音輸入</formula>
    </cfRule>
    <cfRule type="expression" dxfId="38" priority="30">
      <formula>"'= TRUE(顯示注音輸入)"</formula>
    </cfRule>
  </conditionalFormatting>
  <conditionalFormatting sqref="D31:R31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35:R35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43:R43">
    <cfRule type="expression" dxfId="33" priority="23">
      <formula>顯示注音輸入</formula>
    </cfRule>
    <cfRule type="expression" dxfId="32" priority="24">
      <formula>"'= TRUE(顯示注音輸入)"</formula>
    </cfRule>
  </conditionalFormatting>
  <conditionalFormatting sqref="D47:R47">
    <cfRule type="expression" dxfId="31" priority="21">
      <formula>顯示注音輸入</formula>
    </cfRule>
    <cfRule type="expression" dxfId="30" priority="22">
      <formula>"'= TRUE(顯示注音輸入)"</formula>
    </cfRule>
  </conditionalFormatting>
  <conditionalFormatting sqref="D51:R51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55:R55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59:R59">
    <cfRule type="expression" dxfId="25" priority="15">
      <formula>顯示注音輸入</formula>
    </cfRule>
    <cfRule type="expression" dxfId="24" priority="16">
      <formula>"'= TRUE(顯示注音輸入)"</formula>
    </cfRule>
  </conditionalFormatting>
  <conditionalFormatting sqref="D63:R63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67:R67">
    <cfRule type="expression" dxfId="21" priority="11">
      <formula>顯示注音輸入</formula>
    </cfRule>
    <cfRule type="expression" dxfId="20" priority="12">
      <formula>"'= TRUE(顯示注音輸入)"</formula>
    </cfRule>
  </conditionalFormatting>
  <conditionalFormatting sqref="D71:R71">
    <cfRule type="expression" dxfId="19" priority="9">
      <formula>顯示注音輸入</formula>
    </cfRule>
    <cfRule type="expression" dxfId="18" priority="10">
      <formula>"'= TRUE(顯示注音輸入)"</formula>
    </cfRule>
  </conditionalFormatting>
  <conditionalFormatting sqref="D75:R75">
    <cfRule type="expression" dxfId="17" priority="7">
      <formula>顯示注音輸入</formula>
    </cfRule>
    <cfRule type="expression" dxfId="16" priority="8">
      <formula>"'= TRUE(顯示注音輸入)"</formula>
    </cfRule>
  </conditionalFormatting>
  <conditionalFormatting sqref="D79:R79">
    <cfRule type="expression" dxfId="15" priority="5">
      <formula>顯示注音輸入</formula>
    </cfRule>
    <cfRule type="expression" dxfId="14" priority="6">
      <formula>"'= TRUE(顯示注音輸入)"</formula>
    </cfRule>
  </conditionalFormatting>
  <conditionalFormatting sqref="D83:R83">
    <cfRule type="expression" dxfId="13" priority="3">
      <formula>顯示注音輸入</formula>
    </cfRule>
    <cfRule type="expression" dxfId="12" priority="4">
      <formula>"'= TRUE(顯示注音輸入)"</formula>
    </cfRule>
  </conditionalFormatting>
  <conditionalFormatting sqref="D107:R107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67:R167 D171:R171 D175:R175 D179:R179 D183:R183 D187:R187 D191:R191 D195:R195 D199:R199">
    <cfRule type="expression" dxfId="9" priority="43">
      <formula>顯示注音輸入</formula>
    </cfRule>
    <cfRule type="expression" dxfId="8" priority="44">
      <formula>"'= TRUE(顯示注音輸入)"</formula>
    </cfRule>
  </conditionalFormatting>
  <conditionalFormatting sqref="D203:R203">
    <cfRule type="expression" dxfId="7" priority="41">
      <formula>顯示注音輸入</formula>
    </cfRule>
    <cfRule type="expression" dxfId="6" priority="42">
      <formula>"'= TRUE(顯示注音輸入)"</formula>
    </cfRule>
  </conditionalFormatting>
  <conditionalFormatting sqref="D207:R207 D211:R211 D215:R215 D219:R219 D223:R223 D227:R227 D231:R231 D235:R235 D239:R239">
    <cfRule type="expression" dxfId="5" priority="39">
      <formula>顯示注音輸入</formula>
    </cfRule>
    <cfRule type="expression" dxfId="4" priority="4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C983-B125-4E67-81BB-FB3249D119F4}">
  <dimension ref="B2:R37"/>
  <sheetViews>
    <sheetView showGridLines="0" zoomScale="80" zoomScaleNormal="80" workbookViewId="0">
      <selection activeCell="J10" sqref="J10"/>
    </sheetView>
  </sheetViews>
  <sheetFormatPr defaultRowHeight="21"/>
  <cols>
    <col min="1" max="1" width="2.796875" customWidth="1"/>
    <col min="3" max="3" width="15" bestFit="1" customWidth="1"/>
    <col min="4" max="7" width="12.5" customWidth="1"/>
    <col min="8" max="8" width="8.3984375" customWidth="1"/>
    <col min="10" max="10" width="15" bestFit="1" customWidth="1"/>
    <col min="11" max="11" width="13.296875" style="66" customWidth="1"/>
    <col min="12" max="14" width="13.296875" customWidth="1"/>
    <col min="16" max="16" width="8.796875" style="3"/>
    <col min="17" max="17" width="8.796875" style="4"/>
    <col min="18" max="18" width="14.59765625" customWidth="1"/>
  </cols>
  <sheetData>
    <row r="2" spans="2:18" ht="45.75">
      <c r="B2" s="2" t="s">
        <v>0</v>
      </c>
      <c r="I2" s="2" t="s">
        <v>1</v>
      </c>
    </row>
    <row r="4" spans="2:18" ht="36.75" customHeight="1">
      <c r="D4" s="5" t="s">
        <v>2</v>
      </c>
      <c r="E4" s="5" t="s">
        <v>3</v>
      </c>
      <c r="F4" s="5" t="s">
        <v>4</v>
      </c>
      <c r="G4" s="5" t="s">
        <v>5</v>
      </c>
      <c r="K4" s="5" t="s">
        <v>2</v>
      </c>
      <c r="L4" s="5" t="s">
        <v>3</v>
      </c>
      <c r="M4" s="5" t="s">
        <v>4</v>
      </c>
      <c r="N4" s="5" t="s">
        <v>5</v>
      </c>
    </row>
    <row r="5" spans="2:18" ht="36.75" customHeight="1">
      <c r="B5" s="103" t="s">
        <v>6</v>
      </c>
      <c r="C5" s="6" t="s">
        <v>7</v>
      </c>
      <c r="D5" s="7" t="s">
        <v>8</v>
      </c>
      <c r="E5" s="7" t="s">
        <v>9</v>
      </c>
      <c r="F5" s="7" t="s">
        <v>10</v>
      </c>
      <c r="G5" s="7" t="s">
        <v>11</v>
      </c>
      <c r="I5" s="103" t="s">
        <v>6</v>
      </c>
      <c r="J5" s="6" t="s">
        <v>7</v>
      </c>
      <c r="K5" s="7" t="s">
        <v>12</v>
      </c>
      <c r="L5" s="7" t="s">
        <v>13</v>
      </c>
      <c r="M5" s="7" t="s">
        <v>14</v>
      </c>
      <c r="N5" s="7" t="s">
        <v>15</v>
      </c>
      <c r="P5" s="8">
        <v>1</v>
      </c>
      <c r="Q5" s="9"/>
      <c r="R5" s="10"/>
    </row>
    <row r="6" spans="2:18" ht="36.75" customHeight="1">
      <c r="B6" s="104"/>
      <c r="C6" s="11" t="s">
        <v>16</v>
      </c>
      <c r="D6" s="12" t="str">
        <f>$B5 &amp; D$4</f>
        <v>陰平</v>
      </c>
      <c r="E6" s="12" t="str">
        <f>$B5 &amp; E$4</f>
        <v>陰上</v>
      </c>
      <c r="F6" s="12" t="str">
        <f>$B5 &amp; F$4</f>
        <v>陰去</v>
      </c>
      <c r="G6" s="12" t="str">
        <f>$B5 &amp; G$4</f>
        <v>陰入</v>
      </c>
      <c r="I6" s="104"/>
      <c r="J6" s="11" t="s">
        <v>17</v>
      </c>
      <c r="K6" s="12" t="s">
        <v>18</v>
      </c>
      <c r="L6" s="12" t="s">
        <v>19</v>
      </c>
      <c r="M6" s="13" t="s">
        <v>20</v>
      </c>
      <c r="N6" s="12" t="s">
        <v>21</v>
      </c>
      <c r="P6" s="8">
        <v>2</v>
      </c>
      <c r="Q6" s="14"/>
    </row>
    <row r="7" spans="2:18" ht="36.75" customHeight="1">
      <c r="B7" s="104"/>
      <c r="C7" s="15" t="s">
        <v>22</v>
      </c>
      <c r="D7" s="16" t="s">
        <v>23</v>
      </c>
      <c r="E7" s="16">
        <v>53</v>
      </c>
      <c r="F7" s="16">
        <v>31</v>
      </c>
      <c r="G7" s="16">
        <v>30</v>
      </c>
      <c r="I7" s="104"/>
      <c r="J7" s="15" t="s">
        <v>22</v>
      </c>
      <c r="K7" s="16" t="s">
        <v>23</v>
      </c>
      <c r="L7" s="16">
        <v>53</v>
      </c>
      <c r="M7" s="16">
        <v>31</v>
      </c>
      <c r="N7" s="16">
        <v>30</v>
      </c>
      <c r="P7" s="8">
        <v>3</v>
      </c>
      <c r="Q7" s="14"/>
    </row>
    <row r="8" spans="2:18" ht="36.75" customHeight="1">
      <c r="B8" s="104"/>
      <c r="C8" s="11" t="s">
        <v>24</v>
      </c>
      <c r="D8" s="17" t="s">
        <v>25</v>
      </c>
      <c r="E8" s="17" t="s">
        <v>26</v>
      </c>
      <c r="F8" s="17" t="s">
        <v>27</v>
      </c>
      <c r="G8" s="17" t="s">
        <v>28</v>
      </c>
      <c r="I8" s="104"/>
      <c r="J8" s="18" t="s">
        <v>24</v>
      </c>
      <c r="K8" s="19" t="s">
        <v>29</v>
      </c>
      <c r="L8" s="20" t="s">
        <v>30</v>
      </c>
      <c r="M8" s="21" t="s">
        <v>31</v>
      </c>
      <c r="N8" s="22" t="s">
        <v>32</v>
      </c>
      <c r="P8" s="8">
        <v>4</v>
      </c>
      <c r="Q8" s="14"/>
    </row>
    <row r="9" spans="2:18" ht="36.75" customHeight="1">
      <c r="B9" s="104"/>
      <c r="C9" s="11" t="s">
        <v>33</v>
      </c>
      <c r="D9" s="23" t="s">
        <v>34</v>
      </c>
      <c r="E9" s="23" t="s">
        <v>35</v>
      </c>
      <c r="F9" s="24" t="s">
        <v>36</v>
      </c>
      <c r="G9" s="23" t="s">
        <v>37</v>
      </c>
      <c r="I9" s="104"/>
      <c r="J9" s="11" t="s">
        <v>33</v>
      </c>
      <c r="K9" s="23" t="s">
        <v>34</v>
      </c>
      <c r="L9" s="23" t="s">
        <v>35</v>
      </c>
      <c r="M9" s="24" t="s">
        <v>36</v>
      </c>
      <c r="N9" s="23" t="s">
        <v>37</v>
      </c>
      <c r="P9" s="8">
        <v>5</v>
      </c>
      <c r="Q9" s="14"/>
    </row>
    <row r="10" spans="2:18" ht="36.75" customHeight="1">
      <c r="B10" s="105"/>
      <c r="C10" s="11" t="s">
        <v>38</v>
      </c>
      <c r="D10" s="17" t="s">
        <v>39</v>
      </c>
      <c r="E10" s="17" t="s">
        <v>40</v>
      </c>
      <c r="F10" s="17" t="s">
        <v>41</v>
      </c>
      <c r="G10" s="17" t="s">
        <v>42</v>
      </c>
      <c r="I10" s="105"/>
      <c r="J10" s="11" t="s">
        <v>43</v>
      </c>
      <c r="K10" s="25" t="s">
        <v>44</v>
      </c>
      <c r="L10" s="26" t="s">
        <v>45</v>
      </c>
      <c r="M10" s="17" t="s">
        <v>46</v>
      </c>
      <c r="N10" s="25" t="s">
        <v>47</v>
      </c>
      <c r="P10" s="8">
        <v>6</v>
      </c>
      <c r="Q10" s="27"/>
      <c r="R10" s="28"/>
    </row>
    <row r="11" spans="2:18" ht="36.75" customHeight="1">
      <c r="B11" s="103" t="s">
        <v>48</v>
      </c>
      <c r="C11" s="6" t="s">
        <v>7</v>
      </c>
      <c r="D11" s="7" t="s">
        <v>49</v>
      </c>
      <c r="E11" s="7" t="s">
        <v>50</v>
      </c>
      <c r="F11" s="7" t="s">
        <v>51</v>
      </c>
      <c r="G11" s="7" t="s">
        <v>52</v>
      </c>
      <c r="I11" s="103" t="s">
        <v>48</v>
      </c>
      <c r="J11" s="6" t="s">
        <v>7</v>
      </c>
      <c r="K11" s="7" t="s">
        <v>53</v>
      </c>
      <c r="L11" s="29" t="s">
        <v>54</v>
      </c>
      <c r="M11" s="7" t="s">
        <v>55</v>
      </c>
      <c r="N11" s="7" t="s">
        <v>56</v>
      </c>
      <c r="P11" s="8">
        <v>7</v>
      </c>
      <c r="Q11" s="14"/>
    </row>
    <row r="12" spans="2:18" ht="36.75" customHeight="1">
      <c r="B12" s="104"/>
      <c r="C12" s="11" t="s">
        <v>16</v>
      </c>
      <c r="D12" s="12" t="str">
        <f>$B11 &amp; D$4</f>
        <v>陽平</v>
      </c>
      <c r="E12" s="12" t="str">
        <f>$B11 &amp; E$4</f>
        <v>陽上</v>
      </c>
      <c r="F12" s="12" t="str">
        <f>$B11 &amp; F$4</f>
        <v>陽去</v>
      </c>
      <c r="G12" s="12" t="str">
        <f>$B11 &amp; G$4</f>
        <v>陽入</v>
      </c>
      <c r="I12" s="104"/>
      <c r="J12" s="11" t="s">
        <v>17</v>
      </c>
      <c r="K12" s="13" t="s">
        <v>57</v>
      </c>
      <c r="L12" s="30"/>
      <c r="M12" s="12" t="s">
        <v>58</v>
      </c>
      <c r="N12" s="12" t="s">
        <v>59</v>
      </c>
      <c r="P12" s="8">
        <v>8</v>
      </c>
      <c r="Q12" s="14"/>
    </row>
    <row r="13" spans="2:18" ht="36.75" customHeight="1">
      <c r="B13" s="104"/>
      <c r="C13" s="15" t="s">
        <v>22</v>
      </c>
      <c r="D13" s="16">
        <v>24</v>
      </c>
      <c r="E13" s="30"/>
      <c r="F13" s="16" t="s">
        <v>60</v>
      </c>
      <c r="G13" s="16">
        <v>50</v>
      </c>
      <c r="I13" s="104"/>
      <c r="J13" s="15" t="s">
        <v>22</v>
      </c>
      <c r="K13" s="16">
        <v>24</v>
      </c>
      <c r="L13" s="30"/>
      <c r="M13" s="16" t="s">
        <v>60</v>
      </c>
      <c r="N13" s="16">
        <v>50</v>
      </c>
      <c r="P13" s="8">
        <v>9</v>
      </c>
      <c r="Q13" s="14"/>
    </row>
    <row r="14" spans="2:18" ht="36.75" customHeight="1">
      <c r="B14" s="104"/>
      <c r="C14" s="11" t="s">
        <v>24</v>
      </c>
      <c r="D14" s="17" t="s">
        <v>61</v>
      </c>
      <c r="E14" s="30"/>
      <c r="F14" s="17" t="s">
        <v>62</v>
      </c>
      <c r="G14" s="17" t="s">
        <v>63</v>
      </c>
      <c r="I14" s="104"/>
      <c r="J14" s="11" t="s">
        <v>24</v>
      </c>
      <c r="K14" s="19" t="s">
        <v>64</v>
      </c>
      <c r="L14" s="30"/>
      <c r="M14" s="21" t="s">
        <v>65</v>
      </c>
      <c r="N14" s="22" t="s">
        <v>66</v>
      </c>
      <c r="P14" s="8">
        <v>10</v>
      </c>
      <c r="Q14" s="14"/>
    </row>
    <row r="15" spans="2:18" ht="36.75" customHeight="1">
      <c r="B15" s="104"/>
      <c r="C15" s="11" t="s">
        <v>33</v>
      </c>
      <c r="D15" s="23" t="s">
        <v>67</v>
      </c>
      <c r="E15" s="30"/>
      <c r="F15" s="23" t="s">
        <v>68</v>
      </c>
      <c r="G15" s="23" t="s">
        <v>69</v>
      </c>
      <c r="I15" s="104"/>
      <c r="J15" s="11" t="s">
        <v>33</v>
      </c>
      <c r="K15" s="23" t="s">
        <v>67</v>
      </c>
      <c r="L15" s="30"/>
      <c r="M15" s="23" t="s">
        <v>68</v>
      </c>
      <c r="N15" s="23" t="s">
        <v>69</v>
      </c>
      <c r="P15" s="8">
        <v>11</v>
      </c>
      <c r="Q15" s="14"/>
    </row>
    <row r="16" spans="2:18" ht="36.75" customHeight="1">
      <c r="B16" s="105"/>
      <c r="C16" s="11" t="s">
        <v>38</v>
      </c>
      <c r="D16" s="17" t="s">
        <v>70</v>
      </c>
      <c r="E16" s="30"/>
      <c r="F16" s="17" t="s">
        <v>71</v>
      </c>
      <c r="G16" s="17" t="s">
        <v>72</v>
      </c>
      <c r="I16" s="105"/>
      <c r="J16" s="11" t="s">
        <v>43</v>
      </c>
      <c r="K16" s="25" t="s">
        <v>73</v>
      </c>
      <c r="L16" s="31"/>
      <c r="M16" s="32" t="s">
        <v>74</v>
      </c>
      <c r="N16" s="25" t="s">
        <v>75</v>
      </c>
      <c r="P16" s="8">
        <v>12</v>
      </c>
      <c r="Q16" s="9"/>
      <c r="R16" s="10"/>
    </row>
    <row r="18" spans="3:14" ht="39">
      <c r="C18" s="33"/>
      <c r="D18" s="34"/>
      <c r="E18" s="34"/>
      <c r="F18" s="34"/>
      <c r="G18" s="35"/>
      <c r="H18" s="36"/>
      <c r="J18" s="36"/>
      <c r="K18" s="37"/>
      <c r="L18" s="37"/>
      <c r="M18" s="37"/>
      <c r="N18" s="37"/>
    </row>
    <row r="19" spans="3:14" ht="42.75" customHeight="1">
      <c r="C19" s="36"/>
      <c r="J19" s="67">
        <v>1</v>
      </c>
      <c r="K19" s="68" t="s">
        <v>167</v>
      </c>
      <c r="L19" s="37"/>
      <c r="M19" s="37"/>
      <c r="N19" s="37"/>
    </row>
    <row r="20" spans="3:14" ht="42.75" customHeight="1">
      <c r="C20" s="36"/>
      <c r="J20" s="67">
        <v>7</v>
      </c>
      <c r="K20" s="68" t="s">
        <v>171</v>
      </c>
      <c r="L20" s="37"/>
      <c r="M20" s="37"/>
      <c r="N20" s="37"/>
    </row>
    <row r="21" spans="3:14" ht="42.75" customHeight="1">
      <c r="C21" s="36"/>
      <c r="J21" s="67">
        <v>3</v>
      </c>
      <c r="K21" s="68" t="s">
        <v>172</v>
      </c>
      <c r="L21" s="37"/>
      <c r="M21" s="37"/>
      <c r="N21" s="37"/>
    </row>
    <row r="22" spans="3:14" ht="42.75" customHeight="1">
      <c r="C22" s="36"/>
      <c r="J22" s="67">
        <v>2</v>
      </c>
      <c r="K22" s="69" t="s">
        <v>166</v>
      </c>
      <c r="L22" s="37"/>
      <c r="M22" s="37"/>
      <c r="N22" s="37"/>
    </row>
    <row r="23" spans="3:14" ht="42.75" customHeight="1">
      <c r="C23" s="36"/>
      <c r="J23" s="67">
        <v>5</v>
      </c>
      <c r="K23" s="69" t="s">
        <v>168</v>
      </c>
      <c r="L23" s="37"/>
      <c r="M23" s="37"/>
      <c r="N23" s="37"/>
    </row>
    <row r="24" spans="3:14" ht="42.75" customHeight="1">
      <c r="C24" s="36"/>
      <c r="J24" s="67" t="s">
        <v>173</v>
      </c>
      <c r="K24" s="70" t="s">
        <v>173</v>
      </c>
      <c r="L24" s="37"/>
      <c r="M24" s="37"/>
      <c r="N24" s="37"/>
    </row>
    <row r="25" spans="3:14" ht="42.75" customHeight="1">
      <c r="C25" s="36"/>
      <c r="J25" s="67">
        <v>4</v>
      </c>
      <c r="K25" s="68" t="s">
        <v>174</v>
      </c>
      <c r="L25" s="37"/>
      <c r="M25" s="37"/>
      <c r="N25" s="37"/>
    </row>
    <row r="26" spans="3:14" ht="42.75" customHeight="1">
      <c r="C26" s="36"/>
      <c r="J26" s="67">
        <v>8</v>
      </c>
      <c r="K26" s="68" t="s">
        <v>175</v>
      </c>
      <c r="L26" s="37"/>
      <c r="M26" s="37"/>
      <c r="N26" s="37"/>
    </row>
    <row r="27" spans="3:14">
      <c r="J27" s="36"/>
      <c r="K27" s="37"/>
      <c r="L27" s="37"/>
      <c r="M27" s="37"/>
      <c r="N27" s="37"/>
    </row>
    <row r="28" spans="3:14" ht="29.25" customHeight="1">
      <c r="J28" s="36"/>
      <c r="K28" s="37"/>
      <c r="L28" s="37"/>
      <c r="M28" s="37"/>
      <c r="N28" s="37"/>
    </row>
    <row r="29" spans="3:14">
      <c r="J29" s="36"/>
      <c r="K29" s="37"/>
      <c r="L29" s="37"/>
      <c r="M29" s="37"/>
      <c r="N29" s="37"/>
    </row>
    <row r="30" spans="3:14">
      <c r="J30" s="36"/>
      <c r="K30" s="37"/>
      <c r="L30" s="37"/>
      <c r="M30" s="37"/>
      <c r="N30" s="37"/>
    </row>
    <row r="31" spans="3:14">
      <c r="J31" s="36"/>
      <c r="K31" s="37"/>
      <c r="L31" s="37"/>
      <c r="M31" s="37"/>
      <c r="N31" s="37"/>
    </row>
    <row r="32" spans="3:14">
      <c r="J32" s="36"/>
      <c r="K32" s="37"/>
      <c r="L32" s="37"/>
      <c r="M32" s="37"/>
      <c r="N32" s="37"/>
    </row>
    <row r="33" spans="10:14">
      <c r="J33" s="36"/>
      <c r="K33" s="37"/>
      <c r="L33" s="37"/>
      <c r="M33" s="37"/>
      <c r="N33" s="37"/>
    </row>
    <row r="34" spans="10:14">
      <c r="J34" s="36"/>
      <c r="K34" s="37"/>
      <c r="L34" s="37"/>
      <c r="M34" s="37"/>
      <c r="N34" s="37"/>
    </row>
    <row r="35" spans="10:14">
      <c r="J35" s="36"/>
      <c r="K35" s="37"/>
      <c r="L35" s="37"/>
      <c r="M35" s="37"/>
      <c r="N35" s="37"/>
    </row>
    <row r="36" spans="10:14">
      <c r="J36" s="36"/>
      <c r="K36" s="37"/>
      <c r="L36" s="37"/>
      <c r="M36" s="37"/>
      <c r="N36" s="37"/>
    </row>
    <row r="37" spans="10:14">
      <c r="J37" s="36"/>
      <c r="K37" s="37"/>
      <c r="L37" s="37"/>
      <c r="M37" s="37"/>
      <c r="N37" s="37"/>
    </row>
  </sheetData>
  <mergeCells count="4">
    <mergeCell ref="B5:B10"/>
    <mergeCell ref="I5:I10"/>
    <mergeCell ref="B11:B16"/>
    <mergeCell ref="I11:I16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ADB1-5996-43FA-9088-1195345750BF}">
  <dimension ref="A2:Q30"/>
  <sheetViews>
    <sheetView workbookViewId="0">
      <selection activeCell="P17" sqref="P17"/>
    </sheetView>
  </sheetViews>
  <sheetFormatPr defaultRowHeight="25.5"/>
  <cols>
    <col min="1" max="1" width="2.19921875" customWidth="1"/>
    <col min="2" max="2" width="66.59765625" customWidth="1"/>
    <col min="3" max="3" width="2.5" customWidth="1"/>
    <col min="4" max="4" width="5.19921875" style="38" customWidth="1"/>
    <col min="5" max="5" width="34.59765625" style="38" bestFit="1" customWidth="1"/>
    <col min="6" max="6" width="8.69921875" style="39" customWidth="1"/>
    <col min="7" max="7" width="8.59765625" style="39" customWidth="1"/>
    <col min="8" max="8" width="9.19921875" style="39" customWidth="1"/>
    <col min="9" max="9" width="8.796875" style="38"/>
    <col min="10" max="10" width="10.5" style="40" customWidth="1"/>
    <col min="11" max="11" width="14.09765625" style="40" customWidth="1"/>
    <col min="12" max="12" width="8.796875" style="40"/>
    <col min="13" max="13" width="17.5" style="41" customWidth="1"/>
    <col min="14" max="14" width="5.796875" style="41" customWidth="1"/>
    <col min="15" max="16" width="17.5" style="41" customWidth="1"/>
    <col min="17" max="17" width="17.5" style="43" customWidth="1"/>
    <col min="18" max="16384" width="8.796875" style="38"/>
  </cols>
  <sheetData>
    <row r="2" spans="4:16">
      <c r="D2" s="38" t="s">
        <v>76</v>
      </c>
      <c r="O2" s="42" t="s">
        <v>77</v>
      </c>
    </row>
    <row r="3" spans="4:16" ht="31.5" customHeight="1">
      <c r="M3" s="41" t="s">
        <v>78</v>
      </c>
      <c r="O3" s="41" t="s">
        <v>79</v>
      </c>
      <c r="P3" s="41" t="s">
        <v>80</v>
      </c>
    </row>
    <row r="4" spans="4:16" ht="31.5" customHeight="1">
      <c r="D4" s="38">
        <v>1</v>
      </c>
      <c r="E4" s="38" t="s">
        <v>81</v>
      </c>
      <c r="F4" s="44" t="s">
        <v>166</v>
      </c>
      <c r="G4" s="45" t="s">
        <v>82</v>
      </c>
      <c r="H4" s="44" t="s">
        <v>167</v>
      </c>
      <c r="J4" s="40" t="s">
        <v>83</v>
      </c>
      <c r="K4" s="40" t="s">
        <v>84</v>
      </c>
      <c r="M4" s="41" t="s">
        <v>85</v>
      </c>
      <c r="O4" s="41" t="s">
        <v>85</v>
      </c>
      <c r="P4" s="41" t="s">
        <v>86</v>
      </c>
    </row>
    <row r="5" spans="4:16" ht="31.5" customHeight="1">
      <c r="F5" s="39">
        <v>53</v>
      </c>
      <c r="H5" s="39" t="s">
        <v>23</v>
      </c>
      <c r="J5" s="46">
        <v>2</v>
      </c>
      <c r="K5" s="46">
        <v>1</v>
      </c>
      <c r="M5" s="41" t="s">
        <v>87</v>
      </c>
      <c r="O5" s="41" t="s">
        <v>88</v>
      </c>
      <c r="P5" s="41" t="s">
        <v>89</v>
      </c>
    </row>
    <row r="6" spans="4:16" ht="31.5" customHeight="1">
      <c r="J6" s="46"/>
      <c r="K6" s="46"/>
    </row>
    <row r="7" spans="4:16" ht="31.5" customHeight="1">
      <c r="M7" s="41" t="s">
        <v>90</v>
      </c>
      <c r="O7" s="41" t="s">
        <v>91</v>
      </c>
      <c r="P7" s="41" t="s">
        <v>92</v>
      </c>
    </row>
    <row r="8" spans="4:16" ht="31.5" customHeight="1">
      <c r="D8" s="38">
        <v>2</v>
      </c>
      <c r="E8" s="38" t="s">
        <v>93</v>
      </c>
      <c r="F8" s="44" t="s">
        <v>168</v>
      </c>
      <c r="G8" s="45" t="s">
        <v>82</v>
      </c>
      <c r="H8" s="44" t="s">
        <v>169</v>
      </c>
      <c r="J8" s="40" t="s">
        <v>94</v>
      </c>
      <c r="K8" s="40" t="s">
        <v>95</v>
      </c>
      <c r="M8" s="41" t="s">
        <v>96</v>
      </c>
      <c r="O8" s="41" t="s">
        <v>96</v>
      </c>
      <c r="P8" s="41" t="s">
        <v>97</v>
      </c>
    </row>
    <row r="9" spans="4:16" ht="31.5" customHeight="1">
      <c r="F9" s="39">
        <v>13</v>
      </c>
      <c r="H9" s="39" t="s">
        <v>60</v>
      </c>
      <c r="J9" s="46">
        <v>5</v>
      </c>
      <c r="K9" s="46">
        <v>7</v>
      </c>
      <c r="M9" s="41" t="s">
        <v>98</v>
      </c>
      <c r="O9" s="41" t="s">
        <v>99</v>
      </c>
      <c r="P9" s="41" t="s">
        <v>100</v>
      </c>
    </row>
    <row r="10" spans="4:16" ht="31.5" customHeight="1"/>
    <row r="11" spans="4:16" ht="31.5" customHeight="1">
      <c r="M11" s="41" t="s">
        <v>101</v>
      </c>
      <c r="O11" s="41" t="s">
        <v>102</v>
      </c>
      <c r="P11" s="41" t="s">
        <v>103</v>
      </c>
    </row>
    <row r="12" spans="4:16" ht="31.5" customHeight="1">
      <c r="D12" s="38">
        <v>3</v>
      </c>
      <c r="E12" s="38" t="s">
        <v>104</v>
      </c>
      <c r="F12" s="44" t="s">
        <v>167</v>
      </c>
      <c r="G12" s="45" t="s">
        <v>82</v>
      </c>
      <c r="H12" s="44" t="s">
        <v>169</v>
      </c>
      <c r="J12" s="40" t="s">
        <v>105</v>
      </c>
      <c r="K12" s="40" t="s">
        <v>106</v>
      </c>
      <c r="M12" s="41" t="s">
        <v>107</v>
      </c>
      <c r="O12" s="41" t="s">
        <v>107</v>
      </c>
      <c r="P12" s="41" t="s">
        <v>108</v>
      </c>
    </row>
    <row r="13" spans="4:16" ht="31.5" customHeight="1">
      <c r="F13" s="39" t="s">
        <v>23</v>
      </c>
      <c r="H13" s="39" t="s">
        <v>60</v>
      </c>
      <c r="J13" s="46">
        <v>1</v>
      </c>
      <c r="K13" s="46">
        <v>7</v>
      </c>
      <c r="M13" s="41" t="s">
        <v>109</v>
      </c>
      <c r="O13" s="41" t="s">
        <v>110</v>
      </c>
      <c r="P13" s="41" t="s">
        <v>111</v>
      </c>
    </row>
    <row r="14" spans="4:16" ht="31.5" customHeight="1"/>
    <row r="15" spans="4:16" ht="31.5" customHeight="1">
      <c r="M15" s="41" t="s">
        <v>112</v>
      </c>
      <c r="O15" s="41" t="s">
        <v>113</v>
      </c>
      <c r="P15" s="41" t="s">
        <v>114</v>
      </c>
    </row>
    <row r="16" spans="4:16" ht="31.5" customHeight="1">
      <c r="D16" s="38">
        <v>4</v>
      </c>
      <c r="E16" s="38" t="s">
        <v>115</v>
      </c>
      <c r="F16" s="44" t="s">
        <v>169</v>
      </c>
      <c r="G16" s="45" t="s">
        <v>82</v>
      </c>
      <c r="H16" s="44" t="s">
        <v>170</v>
      </c>
      <c r="J16" s="40" t="s">
        <v>116</v>
      </c>
      <c r="K16" s="40" t="s">
        <v>117</v>
      </c>
      <c r="M16" s="41" t="s">
        <v>118</v>
      </c>
      <c r="O16" s="41" t="s">
        <v>118</v>
      </c>
      <c r="P16" s="41" t="s">
        <v>119</v>
      </c>
    </row>
    <row r="17" spans="4:16" ht="31.5" customHeight="1">
      <c r="F17" s="39" t="s">
        <v>60</v>
      </c>
      <c r="H17" s="39" t="s">
        <v>120</v>
      </c>
      <c r="J17" s="46">
        <v>7</v>
      </c>
      <c r="K17" s="46">
        <v>3</v>
      </c>
      <c r="M17" s="41" t="s">
        <v>121</v>
      </c>
      <c r="O17" s="41" t="s">
        <v>122</v>
      </c>
      <c r="P17" s="41" t="s">
        <v>123</v>
      </c>
    </row>
    <row r="18" spans="4:16" ht="31.5" customHeight="1"/>
    <row r="19" spans="4:16" ht="31.5" customHeight="1">
      <c r="M19" s="41" t="s">
        <v>124</v>
      </c>
      <c r="O19" s="41" t="s">
        <v>125</v>
      </c>
      <c r="P19" s="41" t="s">
        <v>126</v>
      </c>
    </row>
    <row r="20" spans="4:16" ht="31.5" customHeight="1">
      <c r="D20" s="38">
        <v>5</v>
      </c>
      <c r="E20" s="38" t="s">
        <v>127</v>
      </c>
      <c r="F20" s="44" t="s">
        <v>170</v>
      </c>
      <c r="G20" s="45" t="s">
        <v>82</v>
      </c>
      <c r="H20" s="44" t="s">
        <v>166</v>
      </c>
      <c r="J20" s="40" t="s">
        <v>128</v>
      </c>
      <c r="K20" s="40" t="s">
        <v>129</v>
      </c>
      <c r="M20" s="41" t="s">
        <v>130</v>
      </c>
      <c r="O20" s="41" t="s">
        <v>130</v>
      </c>
      <c r="P20" s="41" t="s">
        <v>131</v>
      </c>
    </row>
    <row r="21" spans="4:16" ht="31.5" customHeight="1">
      <c r="F21" s="39" t="s">
        <v>120</v>
      </c>
      <c r="H21" s="39">
        <v>53</v>
      </c>
      <c r="J21" s="46">
        <v>3</v>
      </c>
      <c r="K21" s="46">
        <v>2</v>
      </c>
      <c r="M21" s="41" t="s">
        <v>132</v>
      </c>
      <c r="O21" s="41" t="s">
        <v>133</v>
      </c>
      <c r="P21" s="47" t="s">
        <v>134</v>
      </c>
    </row>
    <row r="22" spans="4:16">
      <c r="P22" s="38"/>
    </row>
    <row r="23" spans="4:16">
      <c r="M23" s="41" t="s">
        <v>135</v>
      </c>
      <c r="O23" s="41" t="s">
        <v>136</v>
      </c>
      <c r="P23" s="41" t="s">
        <v>137</v>
      </c>
    </row>
    <row r="24" spans="4:16" ht="30">
      <c r="D24" s="38">
        <v>6</v>
      </c>
      <c r="E24" s="38" t="s">
        <v>138</v>
      </c>
      <c r="F24" s="48" t="s">
        <v>139</v>
      </c>
      <c r="G24" s="45" t="s">
        <v>82</v>
      </c>
      <c r="H24" s="48" t="s">
        <v>140</v>
      </c>
      <c r="J24" s="41" t="s">
        <v>141</v>
      </c>
      <c r="K24" s="41" t="s">
        <v>142</v>
      </c>
      <c r="M24" s="41" t="s">
        <v>143</v>
      </c>
      <c r="O24" s="41" t="s">
        <v>143</v>
      </c>
      <c r="P24" s="41" t="s">
        <v>144</v>
      </c>
    </row>
    <row r="25" spans="4:16">
      <c r="F25" s="39">
        <v>30</v>
      </c>
      <c r="H25" s="39">
        <v>50</v>
      </c>
      <c r="J25" s="46">
        <v>4</v>
      </c>
      <c r="K25" s="46">
        <v>8</v>
      </c>
      <c r="M25" s="47" t="s">
        <v>145</v>
      </c>
      <c r="O25" s="41" t="s">
        <v>146</v>
      </c>
      <c r="P25" s="41" t="s">
        <v>147</v>
      </c>
    </row>
    <row r="28" spans="4:16">
      <c r="M28" s="41" t="s">
        <v>148</v>
      </c>
      <c r="O28" s="41" t="s">
        <v>149</v>
      </c>
      <c r="P28" s="41" t="s">
        <v>150</v>
      </c>
    </row>
    <row r="29" spans="4:16" ht="30">
      <c r="D29" s="38">
        <v>7</v>
      </c>
      <c r="E29" s="38" t="s">
        <v>151</v>
      </c>
      <c r="F29" s="48" t="s">
        <v>140</v>
      </c>
      <c r="G29" s="45" t="s">
        <v>82</v>
      </c>
      <c r="H29" s="48" t="s">
        <v>139</v>
      </c>
      <c r="J29" s="41" t="s">
        <v>152</v>
      </c>
      <c r="K29" s="41" t="s">
        <v>153</v>
      </c>
      <c r="M29" s="41" t="s">
        <v>154</v>
      </c>
      <c r="O29" s="41" t="s">
        <v>154</v>
      </c>
      <c r="P29" s="41" t="s">
        <v>155</v>
      </c>
    </row>
    <row r="30" spans="4:16">
      <c r="F30" s="39">
        <v>50</v>
      </c>
      <c r="G30" s="38"/>
      <c r="H30" s="39">
        <v>30</v>
      </c>
      <c r="J30" s="46">
        <v>8</v>
      </c>
      <c r="K30" s="46">
        <v>4</v>
      </c>
      <c r="M30" s="47" t="s">
        <v>156</v>
      </c>
      <c r="O30" s="41" t="s">
        <v>157</v>
      </c>
      <c r="P30" s="41" t="s">
        <v>158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6769-E0A0-48CC-8CA4-0FCF71044A6B}">
  <dimension ref="A1"/>
  <sheetViews>
    <sheetView workbookViewId="0">
      <selection activeCell="S14" sqref="S14"/>
    </sheetView>
  </sheetViews>
  <sheetFormatPr defaultRowHeight="21"/>
  <sheetData/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19</vt:i4>
      </vt:variant>
    </vt:vector>
  </HeadingPairs>
  <TitlesOfParts>
    <vt:vector size="30" baseType="lpstr">
      <vt:lpstr>env</vt:lpstr>
      <vt:lpstr>缺字表</vt:lpstr>
      <vt:lpstr>標音字庫</vt:lpstr>
      <vt:lpstr>人工標音字庫</vt:lpstr>
      <vt:lpstr>漢字注音</vt:lpstr>
      <vt:lpstr>台羅拼音</vt:lpstr>
      <vt:lpstr>十五音</vt:lpstr>
      <vt:lpstr>閩拼方案</vt:lpstr>
      <vt:lpstr>135拼音-聲調符號</vt:lpstr>
      <vt:lpstr>135拼音-聲調轉換</vt:lpstr>
      <vt:lpstr>轉調助記圖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顯示注音輸入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正中 居</dc:creator>
  <cp:keywords/>
  <dc:description/>
  <cp:lastModifiedBy>正中 居</cp:lastModifiedBy>
  <cp:revision/>
  <dcterms:created xsi:type="dcterms:W3CDTF">2024-08-25T02:48:27Z</dcterms:created>
  <dcterms:modified xsi:type="dcterms:W3CDTF">2026-03-21T07:31:52Z</dcterms:modified>
  <cp:category/>
  <cp:contentStatus/>
</cp:coreProperties>
</file>