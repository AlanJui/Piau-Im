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97196133-64EE-4AEE-99D8-1DFDDEC4D1DC}" xr6:coauthVersionLast="47" xr6:coauthVersionMax="47" xr10:uidLastSave="{00000000-0000-0000-0000-000000000000}"/>
  <bookViews>
    <workbookView xWindow="37530" yWindow="825" windowWidth="28800" windowHeight="14805" activeTab="4" xr2:uid="{25A76161-EFED-4AC8-8EAA-A42737AE1909}"/>
  </bookViews>
  <sheets>
    <sheet name="env" sheetId="8" r:id="rId1"/>
    <sheet name="缺字表" sheetId="133" r:id="rId2"/>
    <sheet name="標音字庫" sheetId="132" r:id="rId3"/>
    <sheet name="人工標音字庫" sheetId="131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9" l="1"/>
  <c r="N25" i="9"/>
  <c r="N21" i="9"/>
  <c r="N17" i="9"/>
  <c r="N13" i="9"/>
  <c r="N9" i="9"/>
  <c r="P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D11" i="8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<sst xmlns="http://schemas.openxmlformats.org/spreadsheetml/2006/main" count="363" uniqueCount="168">
  <si>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</si>
  <si>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</si>
  <si>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</si>
  <si>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</si>
  <si>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</si>
  <si>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</si>
  <si>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</si>
  <si>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</si>
  <si>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</si>
  <si>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</si>
  <si>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</si>
  <si>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</si>
  <si>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</si>
  <si>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</si>
  <si>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</si>
  <si>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</si>
  <si>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</si>
  <si>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</si>
  <si>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有</t>
  </si>
  <si>
    <t>，</t>
  </si>
  <si>
    <t>與</t>
  </si>
  <si>
    <t>。</t>
  </si>
  <si>
    <t>一</t>
  </si>
  <si>
    <t>子</t>
  </si>
  <si>
    <t>人</t>
  </si>
  <si>
    <t>φ</t>
  </si>
  <si>
    <t>ling5</t>
  </si>
  <si>
    <t>jin5</t>
  </si>
  <si>
    <t>詩</t>
  </si>
  <si>
    <t>風</t>
  </si>
  <si>
    <t>zu2</t>
  </si>
  <si>
    <t>si1</t>
  </si>
  <si>
    <t>u2</t>
  </si>
  <si>
    <t>it4</t>
  </si>
  <si>
    <t>uan2</t>
  </si>
  <si>
    <t>ban7</t>
  </si>
  <si>
    <t>hong1</t>
  </si>
  <si>
    <t>iu2</t>
  </si>
  <si>
    <t>king1</t>
  </si>
  <si>
    <t>kai1</t>
  </si>
  <si>
    <t>N/A</t>
  </si>
  <si>
    <t>(5, 5)</t>
  </si>
  <si>
    <t>(5, 6)</t>
  </si>
  <si>
    <t>(17, 11)</t>
  </si>
  <si>
    <t>(29, 9)</t>
  </si>
  <si>
    <t>(29, 10)</t>
  </si>
  <si>
    <t>(29, 12)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</si>
  <si>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</si>
  <si>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</si>
  <si>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</si>
  <si>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</si>
  <si>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</si>
  <si>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</si>
  <si>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</si>
  <si>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</si>
  <si>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</si>
  <si>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</si>
  <si>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>《</t>
  </si>
  <si>
    <t>》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</si>
  <si>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</si>
  <si>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</si>
  <si>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</si>
  <si>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</si>
  <si>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閩拼調符</t>
  </si>
  <si>
    <t>經</t>
  </si>
  <si>
    <t>鄭</t>
  </si>
  <si>
    <t>兮</t>
  </si>
  <si>
    <t>he5</t>
  </si>
  <si>
    <t>(5, 8)</t>
  </si>
  <si>
    <t>(9, 11)</t>
  </si>
  <si>
    <t>野</t>
  </si>
  <si>
    <t>蔓</t>
  </si>
  <si>
    <t>草</t>
  </si>
  <si>
    <t>零</t>
  </si>
  <si>
    <t>露</t>
  </si>
  <si>
    <t>漙</t>
  </si>
  <si>
    <t>美</t>
  </si>
  <si>
    <t>清</t>
  </si>
  <si>
    <t>揚</t>
  </si>
  <si>
    <t>婉</t>
  </si>
  <si>
    <t>邂</t>
  </si>
  <si>
    <t>逅</t>
  </si>
  <si>
    <t>相</t>
  </si>
  <si>
    <t>遇</t>
  </si>
  <si>
    <t>適</t>
  </si>
  <si>
    <t>我</t>
  </si>
  <si>
    <t>願</t>
  </si>
  <si>
    <t>瀼</t>
  </si>
  <si>
    <t>如</t>
  </si>
  <si>
    <t>偕</t>
  </si>
  <si>
    <t>臧</t>
  </si>
  <si>
    <t xml:space="preserve">《詩經：鄭風。野有蔓草》
野有蔓草，零露漙兮。
有美一人，清揚婉兮。
邂逅相遇，適我願兮。
野有蔓草，零露瀼瀼。
有美一人，婉如清揚。
邂逅相遇，與子偕臧。
</t>
  </si>
  <si>
    <t>詩經：鄭風。野有蔓草</t>
    <phoneticPr fontId="1" type="noConversion"/>
  </si>
  <si>
    <t>sī</t>
  </si>
  <si>
    <t>gīng</t>
  </si>
  <si>
    <t>tenn7</t>
  </si>
  <si>
    <t>dnê</t>
  </si>
  <si>
    <t>hōng</t>
  </si>
  <si>
    <t>ia2</t>
  </si>
  <si>
    <t>yǎ</t>
  </si>
  <si>
    <t>yǔ</t>
  </si>
  <si>
    <t>bbân</t>
  </si>
  <si>
    <t>(5, 9)</t>
  </si>
  <si>
    <t>líng</t>
  </si>
  <si>
    <t>loo7</t>
  </si>
  <si>
    <t>lôo</t>
  </si>
  <si>
    <t>hé</t>
  </si>
  <si>
    <t>bi2</t>
  </si>
  <si>
    <t>bbǐ</t>
  </si>
  <si>
    <t>yīt</t>
  </si>
  <si>
    <t>zzín</t>
  </si>
  <si>
    <t>cing1</t>
  </si>
  <si>
    <t>cīng</t>
  </si>
  <si>
    <t>iong5</t>
  </si>
  <si>
    <t>yóng</t>
  </si>
  <si>
    <t>wǎn</t>
  </si>
  <si>
    <t>hai7</t>
  </si>
  <si>
    <t>hâi</t>
  </si>
  <si>
    <t>hio7</t>
  </si>
  <si>
    <t>hiô</t>
  </si>
  <si>
    <t>siong1</t>
  </si>
  <si>
    <t>siōng</t>
  </si>
  <si>
    <t>gu7</t>
  </si>
  <si>
    <t>ggû</t>
  </si>
  <si>
    <t>sik4</t>
  </si>
  <si>
    <t>sīk</t>
  </si>
  <si>
    <t>ngoo2</t>
  </si>
  <si>
    <t>ggnǒo</t>
  </si>
  <si>
    <t>guan7</t>
  </si>
  <si>
    <t>gguân</t>
  </si>
  <si>
    <t>(9, 12); (13, 12); (17, 12)</t>
  </si>
  <si>
    <t>(17, 9)</t>
  </si>
  <si>
    <t>(17, 10)</t>
  </si>
  <si>
    <t>(5, 11); (9, 4); (21, 4)</t>
  </si>
  <si>
    <t>(5, 13); (9, 6); (21, 6)</t>
  </si>
  <si>
    <t>(5, 14); (9, 7); (21, 7)</t>
  </si>
  <si>
    <t>(9, 9); (21, 9)</t>
  </si>
  <si>
    <t>(9, 10); (21, 10)</t>
  </si>
  <si>
    <t>(21, 11); (21, 12)</t>
  </si>
  <si>
    <t>ju5</t>
  </si>
  <si>
    <t>zzú</t>
  </si>
  <si>
    <t>(5, 12); (9, 5); (13, 4); (21, 5); (25, 4)</t>
  </si>
  <si>
    <t>(13, 5); (25, 5)</t>
  </si>
  <si>
    <t>(13, 6); (25, 6)</t>
  </si>
  <si>
    <t>(13, 7); (25, 7)</t>
  </si>
  <si>
    <t>(13, 9); (25, 11)</t>
  </si>
  <si>
    <t>(13, 10); (25, 12)</t>
  </si>
  <si>
    <t>(13, 11); (25, 9)</t>
  </si>
  <si>
    <t>(25, 10)</t>
  </si>
  <si>
    <t>wǔ</t>
  </si>
  <si>
    <t>zǔ</t>
  </si>
  <si>
    <t>gāi</t>
  </si>
  <si>
    <t>zong1</t>
  </si>
  <si>
    <t>zōng</t>
  </si>
  <si>
    <t>(17, 4); (29, 4)</t>
  </si>
  <si>
    <t>(17, 5); (29, 5)</t>
  </si>
  <si>
    <t>(17, 6); (29, 6)</t>
  </si>
  <si>
    <t>(17, 7); (29, 7)</t>
  </si>
  <si>
    <t>(29, 11)</t>
  </si>
  <si>
    <t>【河洛文讀注音-閩拼調符】《詩經：鄭風。野有蔓草》.xlsx</t>
    <phoneticPr fontId="1" type="noConversion"/>
  </si>
  <si>
    <t>jiong5</t>
  </si>
  <si>
    <t>tuan5</t>
  </si>
  <si>
    <t>duán</t>
  </si>
  <si>
    <t>zzióng</t>
  </si>
  <si>
    <t>cau2</t>
    <phoneticPr fontId="1" type="noConversion"/>
  </si>
  <si>
    <t>cǎo</t>
    <phoneticPr fontId="1" type="noConversion"/>
  </si>
  <si>
    <t>N/A</t>
    <phoneticPr fontId="1" type="noConversion"/>
  </si>
  <si>
    <t>野有蔓草.png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</si>
</sst>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27" fillId="4" borderId="0" xfId="4" applyFill="1" applyAlignment="1">
      <alignment vertical="center" readingOrder="1"/>
    </xf>
    <xf numFmtId="0" fontId="36" fillId="0" borderId="0" xfId="3" applyFont="1" applyAlignme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36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6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topLeftCell="A3" zoomScale="80" zoomScaleNormal="80" workbookViewId="0">
      <selection activeCell="C8" sqref="C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48</v>
      </c>
      <c r="C2" s="40">
        <v>1</v>
      </c>
    </row>
    <row r="3" spans="2:4" ht="30">
      <c r="B3" s="37" t="s">
        <v>49</v>
      </c>
      <c r="C3" s="45" t="s">
        <v>50</v>
      </c>
    </row>
    <row r="4" spans="2:4">
      <c r="B4" s="4" t="s">
        <v>2</v>
      </c>
      <c r="C4" s="2"/>
    </row>
    <row r="5" spans="2:4">
      <c r="B5" s="4" t="s">
        <v>3</v>
      </c>
      <c r="C5" s="2" t="s">
        <v>159</v>
      </c>
    </row>
    <row r="6" spans="2:4">
      <c r="B6" s="4" t="s">
        <v>4</v>
      </c>
      <c r="C6" s="3" t="s">
        <v>92</v>
      </c>
    </row>
    <row r="7" spans="2:4">
      <c r="B7" s="4" t="s">
        <v>5</v>
      </c>
      <c r="C7" s="49" t="s">
        <v>167</v>
      </c>
      <c r="D7" s="44"/>
    </row>
    <row r="8" spans="2:4">
      <c r="B8" s="4" t="s">
        <v>6</v>
      </c>
      <c r="C8" s="41" t="s">
        <v>56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8</v>
      </c>
      <c r="D11" s="1">
        <f>每頁總列數*4+5</f>
        <v>37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51</v>
      </c>
    </row>
    <row r="14" spans="2:4" ht="30">
      <c r="B14" s="37" t="s">
        <v>12</v>
      </c>
      <c r="C14" s="39" t="s">
        <v>52</v>
      </c>
    </row>
    <row r="15" spans="2:4" ht="30">
      <c r="B15" s="37" t="s">
        <v>13</v>
      </c>
      <c r="C15" s="39" t="s">
        <v>63</v>
      </c>
    </row>
    <row r="16" spans="2:4" ht="30">
      <c r="B16" s="37" t="s">
        <v>14</v>
      </c>
      <c r="C16" s="39" t="s">
        <v>53</v>
      </c>
    </row>
    <row r="17" spans="2:3" ht="30">
      <c r="B17" s="37" t="s">
        <v>15</v>
      </c>
      <c r="C17" s="39" t="s">
        <v>54</v>
      </c>
    </row>
    <row r="18" spans="2:3" ht="30">
      <c r="B18" s="37" t="s">
        <v>16</v>
      </c>
      <c r="C18" s="39" t="s">
        <v>63</v>
      </c>
    </row>
    <row r="19" spans="2:3" ht="30">
      <c r="B19" s="37" t="s">
        <v>17</v>
      </c>
      <c r="C19" s="39" t="s">
        <v>55</v>
      </c>
    </row>
    <row r="20" spans="2:3" ht="30">
      <c r="B20" s="37" t="s">
        <v>47</v>
      </c>
      <c r="C20" s="43">
        <v>0</v>
      </c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352B-38E8-46F1-9FA3-519F0EAA4E1B}">
  <dimension ref="A1:D3"/>
  <sheetViews>
    <sheetView workbookViewId="0">
      <selection activeCell="C3" sqref="C3"/>
    </sheetView>
  </sheetViews>
  <sheetFormatPr defaultRowHeight="16.5"/>
  <sheetData>
    <row r="1" spans="1:4">
      <c r="A1" t="s">
        <v>59</v>
      </c>
      <c r="B1" t="s">
        <v>60</v>
      </c>
      <c r="C1" t="s">
        <v>61</v>
      </c>
      <c r="D1" t="s">
        <v>62</v>
      </c>
    </row>
    <row r="2" spans="1:4">
      <c r="A2" t="s">
        <v>75</v>
      </c>
      <c r="B2" t="s">
        <v>40</v>
      </c>
      <c r="C2" t="s">
        <v>161</v>
      </c>
      <c r="D2" t="s">
        <v>69</v>
      </c>
    </row>
    <row r="3" spans="1:4">
      <c r="A3" t="s">
        <v>87</v>
      </c>
      <c r="B3" t="s">
        <v>40</v>
      </c>
      <c r="C3" t="s">
        <v>160</v>
      </c>
      <c r="D3" t="s">
        <v>138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FB26-106D-4716-9706-D6B78228FA71}">
  <dimension ref="A1:D32"/>
  <sheetViews>
    <sheetView workbookViewId="0">
      <selection activeCell="A33" sqref="A33"/>
    </sheetView>
  </sheetViews>
  <sheetFormatPr defaultRowHeight="16.5"/>
  <sheetData>
    <row r="1" spans="1:4">
      <c r="A1" t="s">
        <v>59</v>
      </c>
      <c r="B1" t="s">
        <v>60</v>
      </c>
      <c r="C1" t="s">
        <v>61</v>
      </c>
      <c r="D1" t="s">
        <v>62</v>
      </c>
    </row>
    <row r="2" spans="1:4">
      <c r="A2" t="s">
        <v>28</v>
      </c>
      <c r="B2" t="s">
        <v>31</v>
      </c>
      <c r="C2" t="s">
        <v>40</v>
      </c>
      <c r="D2" t="s">
        <v>41</v>
      </c>
    </row>
    <row r="3" spans="1:4">
      <c r="A3" t="s">
        <v>64</v>
      </c>
      <c r="B3" t="s">
        <v>38</v>
      </c>
      <c r="C3" t="s">
        <v>40</v>
      </c>
      <c r="D3" t="s">
        <v>42</v>
      </c>
    </row>
    <row r="4" spans="1:4">
      <c r="A4" t="s">
        <v>65</v>
      </c>
      <c r="B4" t="s">
        <v>95</v>
      </c>
      <c r="C4" t="s">
        <v>40</v>
      </c>
      <c r="D4" t="s">
        <v>68</v>
      </c>
    </row>
    <row r="5" spans="1:4">
      <c r="A5" t="s">
        <v>29</v>
      </c>
      <c r="B5" t="s">
        <v>36</v>
      </c>
      <c r="C5" t="s">
        <v>40</v>
      </c>
      <c r="D5" t="s">
        <v>102</v>
      </c>
    </row>
    <row r="6" spans="1:4">
      <c r="A6" t="s">
        <v>70</v>
      </c>
      <c r="B6" t="s">
        <v>98</v>
      </c>
      <c r="C6" t="s">
        <v>40</v>
      </c>
      <c r="D6" t="s">
        <v>133</v>
      </c>
    </row>
    <row r="7" spans="1:4">
      <c r="A7" t="s">
        <v>18</v>
      </c>
      <c r="B7" t="s">
        <v>37</v>
      </c>
      <c r="C7" t="s">
        <v>40</v>
      </c>
      <c r="D7" t="s">
        <v>141</v>
      </c>
    </row>
    <row r="8" spans="1:4">
      <c r="A8" t="s">
        <v>71</v>
      </c>
      <c r="B8" t="s">
        <v>35</v>
      </c>
      <c r="C8" t="s">
        <v>40</v>
      </c>
      <c r="D8" t="s">
        <v>134</v>
      </c>
    </row>
    <row r="9" spans="1:4">
      <c r="A9" t="s">
        <v>72</v>
      </c>
      <c r="B9" t="s">
        <v>164</v>
      </c>
      <c r="C9" t="s">
        <v>166</v>
      </c>
      <c r="D9" t="s">
        <v>135</v>
      </c>
    </row>
    <row r="10" spans="1:4">
      <c r="A10" t="s">
        <v>73</v>
      </c>
      <c r="B10" t="s">
        <v>26</v>
      </c>
      <c r="C10" t="s">
        <v>40</v>
      </c>
      <c r="D10" t="s">
        <v>136</v>
      </c>
    </row>
    <row r="11" spans="1:4">
      <c r="A11" t="s">
        <v>74</v>
      </c>
      <c r="B11" t="s">
        <v>104</v>
      </c>
      <c r="C11" t="s">
        <v>40</v>
      </c>
      <c r="D11" t="s">
        <v>137</v>
      </c>
    </row>
    <row r="12" spans="1:4">
      <c r="A12" t="s">
        <v>66</v>
      </c>
      <c r="B12" t="s">
        <v>67</v>
      </c>
      <c r="C12" t="s">
        <v>40</v>
      </c>
      <c r="D12" t="s">
        <v>130</v>
      </c>
    </row>
    <row r="13" spans="1:4">
      <c r="A13" t="s">
        <v>76</v>
      </c>
      <c r="B13" t="s">
        <v>107</v>
      </c>
      <c r="C13" t="s">
        <v>40</v>
      </c>
      <c r="D13" t="s">
        <v>142</v>
      </c>
    </row>
    <row r="14" spans="1:4">
      <c r="A14" t="s">
        <v>22</v>
      </c>
      <c r="B14" t="s">
        <v>33</v>
      </c>
      <c r="C14" t="s">
        <v>40</v>
      </c>
      <c r="D14" t="s">
        <v>143</v>
      </c>
    </row>
    <row r="15" spans="1:4">
      <c r="A15" t="s">
        <v>24</v>
      </c>
      <c r="B15" t="s">
        <v>27</v>
      </c>
      <c r="C15" t="s">
        <v>40</v>
      </c>
      <c r="D15" t="s">
        <v>144</v>
      </c>
    </row>
    <row r="16" spans="1:4">
      <c r="A16" t="s">
        <v>77</v>
      </c>
      <c r="B16" t="s">
        <v>111</v>
      </c>
      <c r="C16" t="s">
        <v>40</v>
      </c>
      <c r="D16" t="s">
        <v>145</v>
      </c>
    </row>
    <row r="17" spans="1:4">
      <c r="A17" t="s">
        <v>78</v>
      </c>
      <c r="B17" t="s">
        <v>113</v>
      </c>
      <c r="C17" t="s">
        <v>40</v>
      </c>
      <c r="D17" t="s">
        <v>146</v>
      </c>
    </row>
    <row r="18" spans="1:4">
      <c r="A18" t="s">
        <v>79</v>
      </c>
      <c r="B18" t="s">
        <v>34</v>
      </c>
      <c r="C18" t="s">
        <v>40</v>
      </c>
      <c r="D18" t="s">
        <v>147</v>
      </c>
    </row>
    <row r="19" spans="1:4">
      <c r="A19" t="s">
        <v>80</v>
      </c>
      <c r="B19" t="s">
        <v>116</v>
      </c>
      <c r="C19" t="s">
        <v>40</v>
      </c>
      <c r="D19" t="s">
        <v>154</v>
      </c>
    </row>
    <row r="20" spans="1:4">
      <c r="A20" t="s">
        <v>81</v>
      </c>
      <c r="B20" t="s">
        <v>118</v>
      </c>
      <c r="C20" t="s">
        <v>40</v>
      </c>
      <c r="D20" t="s">
        <v>155</v>
      </c>
    </row>
    <row r="21" spans="1:4">
      <c r="A21" t="s">
        <v>82</v>
      </c>
      <c r="B21" t="s">
        <v>120</v>
      </c>
      <c r="C21" t="s">
        <v>40</v>
      </c>
      <c r="D21" t="s">
        <v>156</v>
      </c>
    </row>
    <row r="22" spans="1:4">
      <c r="A22" t="s">
        <v>83</v>
      </c>
      <c r="B22" t="s">
        <v>122</v>
      </c>
      <c r="C22" t="s">
        <v>40</v>
      </c>
      <c r="D22" t="s">
        <v>157</v>
      </c>
    </row>
    <row r="23" spans="1:4">
      <c r="A23" t="s">
        <v>84</v>
      </c>
      <c r="B23" t="s">
        <v>124</v>
      </c>
      <c r="C23" t="s">
        <v>40</v>
      </c>
      <c r="D23" t="s">
        <v>131</v>
      </c>
    </row>
    <row r="24" spans="1:4">
      <c r="A24" t="s">
        <v>85</v>
      </c>
      <c r="B24" t="s">
        <v>126</v>
      </c>
      <c r="C24" t="s">
        <v>40</v>
      </c>
      <c r="D24" t="s">
        <v>132</v>
      </c>
    </row>
    <row r="25" spans="1:4">
      <c r="A25" t="s">
        <v>86</v>
      </c>
      <c r="B25" t="s">
        <v>128</v>
      </c>
      <c r="C25" t="s">
        <v>40</v>
      </c>
      <c r="D25" t="s">
        <v>43</v>
      </c>
    </row>
    <row r="26" spans="1:4">
      <c r="A26" t="s">
        <v>88</v>
      </c>
      <c r="B26" t="s">
        <v>139</v>
      </c>
      <c r="C26" t="s">
        <v>40</v>
      </c>
      <c r="D26" t="s">
        <v>148</v>
      </c>
    </row>
    <row r="27" spans="1:4">
      <c r="A27" t="s">
        <v>20</v>
      </c>
      <c r="B27" t="s">
        <v>32</v>
      </c>
      <c r="C27" t="s">
        <v>40</v>
      </c>
      <c r="D27" t="s">
        <v>44</v>
      </c>
    </row>
    <row r="28" spans="1:4">
      <c r="A28" t="s">
        <v>23</v>
      </c>
      <c r="B28" t="s">
        <v>30</v>
      </c>
      <c r="C28" t="s">
        <v>40</v>
      </c>
      <c r="D28" t="s">
        <v>45</v>
      </c>
    </row>
    <row r="29" spans="1:4">
      <c r="A29" t="s">
        <v>89</v>
      </c>
      <c r="B29" t="s">
        <v>39</v>
      </c>
      <c r="C29" t="s">
        <v>40</v>
      </c>
      <c r="D29" t="s">
        <v>158</v>
      </c>
    </row>
    <row r="30" spans="1:4">
      <c r="A30" t="s">
        <v>90</v>
      </c>
      <c r="B30" t="s">
        <v>152</v>
      </c>
      <c r="C30" t="s">
        <v>40</v>
      </c>
      <c r="D30" t="s">
        <v>46</v>
      </c>
    </row>
    <row r="31" spans="1:4">
      <c r="A31" t="s">
        <v>75</v>
      </c>
      <c r="B31" t="s">
        <v>161</v>
      </c>
      <c r="C31" t="s">
        <v>40</v>
      </c>
      <c r="D31" t="s">
        <v>69</v>
      </c>
    </row>
    <row r="32" spans="1:4">
      <c r="A32" t="s">
        <v>87</v>
      </c>
      <c r="B32" t="s">
        <v>160</v>
      </c>
      <c r="C32" t="s">
        <v>40</v>
      </c>
      <c r="D32" t="s">
        <v>138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634B-F07A-4C8C-9AFF-061C8D8937E5}">
  <dimension ref="A1:D1"/>
  <sheetViews>
    <sheetView workbookViewId="0"/>
  </sheetViews>
  <sheetFormatPr defaultRowHeight="16.5"/>
  <sheetData>
    <row r="1" spans="1:4">
      <c r="A1" t="s">
        <v>59</v>
      </c>
      <c r="B1" t="s">
        <v>60</v>
      </c>
      <c r="C1" t="s">
        <v>61</v>
      </c>
      <c r="D1" t="s">
        <v>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5" zoomScaleNormal="55" workbookViewId="0">
      <pane xSplit="3" ySplit="1" topLeftCell="D21" activePane="bottomRight" state="frozen"/>
      <selection pane="topRight" activeCell="D1" sqref="D1"/>
      <selection pane="bottomLeft" activeCell="A2" sqref="A2"/>
      <selection pane="bottomRight" activeCell="D33" sqref="D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79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1" t="s">
        <v>91</v>
      </c>
    </row>
    <row r="4" spans="1:22" s="6" customFormat="1" ht="36" customHeight="1">
      <c r="B4" s="16"/>
      <c r="D4" s="55"/>
      <c r="E4" s="55" t="s">
        <v>31</v>
      </c>
      <c r="F4" s="55" t="s">
        <v>38</v>
      </c>
      <c r="G4" s="55"/>
      <c r="H4" s="55" t="s">
        <v>95</v>
      </c>
      <c r="I4" s="55" t="s">
        <v>36</v>
      </c>
      <c r="J4" s="55"/>
      <c r="K4" s="55" t="s">
        <v>98</v>
      </c>
      <c r="L4" s="55" t="s">
        <v>37</v>
      </c>
      <c r="M4" s="55" t="s">
        <v>35</v>
      </c>
      <c r="N4" s="55" t="s">
        <v>164</v>
      </c>
      <c r="O4" s="55"/>
      <c r="P4" s="55"/>
      <c r="Q4" s="46"/>
      <c r="R4" s="46"/>
      <c r="S4" s="17"/>
      <c r="V4" s="52"/>
    </row>
    <row r="5" spans="1:22" s="6" customFormat="1" ht="80.099999999999994" customHeight="1">
      <c r="B5" s="18">
        <v>1</v>
      </c>
      <c r="D5" s="54" t="s">
        <v>57</v>
      </c>
      <c r="E5" s="54" t="s">
        <v>28</v>
      </c>
      <c r="F5" s="54" t="s">
        <v>64</v>
      </c>
      <c r="G5" s="54" t="s">
        <v>21</v>
      </c>
      <c r="H5" s="54" t="s">
        <v>65</v>
      </c>
      <c r="I5" s="54" t="s">
        <v>29</v>
      </c>
      <c r="J5" s="54" t="s">
        <v>21</v>
      </c>
      <c r="K5" s="54" t="s">
        <v>70</v>
      </c>
      <c r="L5" s="54" t="s">
        <v>18</v>
      </c>
      <c r="M5" s="54" t="s">
        <v>71</v>
      </c>
      <c r="N5" s="54" t="s">
        <v>72</v>
      </c>
      <c r="O5" s="54" t="s">
        <v>58</v>
      </c>
      <c r="P5" s="54" t="str">
        <f>CHAR(10)</f>
        <v xml:space="preserve">
</v>
      </c>
      <c r="Q5" s="36"/>
      <c r="R5" s="36"/>
      <c r="S5" s="19"/>
      <c r="V5" s="52"/>
    </row>
    <row r="6" spans="1:22" s="23" customFormat="1" ht="36" customHeight="1">
      <c r="B6" s="20"/>
      <c r="C6" s="21"/>
      <c r="D6" s="56"/>
      <c r="E6" s="56" t="s">
        <v>93</v>
      </c>
      <c r="F6" s="56" t="s">
        <v>94</v>
      </c>
      <c r="G6" s="56"/>
      <c r="H6" s="56" t="s">
        <v>96</v>
      </c>
      <c r="I6" s="56" t="s">
        <v>97</v>
      </c>
      <c r="J6" s="56"/>
      <c r="K6" s="56" t="s">
        <v>99</v>
      </c>
      <c r="L6" s="56" t="s">
        <v>100</v>
      </c>
      <c r="M6" s="56" t="s">
        <v>101</v>
      </c>
      <c r="N6" s="56" t="s">
        <v>165</v>
      </c>
      <c r="O6" s="56"/>
      <c r="P6" s="56"/>
      <c r="Q6" s="50"/>
      <c r="R6" s="50"/>
      <c r="S6" s="22"/>
      <c r="V6" s="52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2"/>
    </row>
    <row r="8" spans="1:22" s="6" customFormat="1" ht="36" customHeight="1">
      <c r="B8" s="16"/>
      <c r="D8" s="55" t="s">
        <v>98</v>
      </c>
      <c r="E8" s="55" t="s">
        <v>37</v>
      </c>
      <c r="F8" s="55" t="s">
        <v>35</v>
      </c>
      <c r="G8" s="55" t="s">
        <v>164</v>
      </c>
      <c r="H8" s="55"/>
      <c r="I8" s="55" t="s">
        <v>26</v>
      </c>
      <c r="J8" s="55" t="s">
        <v>104</v>
      </c>
      <c r="K8" s="55" t="s">
        <v>161</v>
      </c>
      <c r="L8" s="55" t="s">
        <v>67</v>
      </c>
      <c r="M8" s="55"/>
      <c r="N8" s="55"/>
      <c r="O8" s="46"/>
      <c r="P8" s="46"/>
      <c r="Q8" s="46"/>
      <c r="R8" s="46"/>
      <c r="S8" s="17"/>
      <c r="V8" s="52"/>
    </row>
    <row r="9" spans="1:22" s="6" customFormat="1" ht="80.099999999999994" customHeight="1">
      <c r="B9" s="18">
        <f>B5+1</f>
        <v>2</v>
      </c>
      <c r="D9" s="54" t="s">
        <v>70</v>
      </c>
      <c r="E9" s="54" t="s">
        <v>18</v>
      </c>
      <c r="F9" s="54" t="s">
        <v>71</v>
      </c>
      <c r="G9" s="54" t="s">
        <v>72</v>
      </c>
      <c r="H9" s="54" t="s">
        <v>19</v>
      </c>
      <c r="I9" s="54" t="s">
        <v>73</v>
      </c>
      <c r="J9" s="54" t="s">
        <v>74</v>
      </c>
      <c r="K9" s="54" t="s">
        <v>75</v>
      </c>
      <c r="L9" s="54" t="s">
        <v>66</v>
      </c>
      <c r="M9" s="54" t="s">
        <v>21</v>
      </c>
      <c r="N9" s="54" t="str">
        <f>CHAR(10)</f>
        <v xml:space="preserve">
</v>
      </c>
      <c r="O9" s="36"/>
      <c r="P9" s="36"/>
      <c r="Q9" s="36"/>
      <c r="R9" s="36"/>
      <c r="S9" s="19"/>
      <c r="T9" s="15"/>
      <c r="V9" s="52"/>
    </row>
    <row r="10" spans="1:22" s="6" customFormat="1" ht="36" customHeight="1">
      <c r="B10" s="20"/>
      <c r="D10" s="56" t="s">
        <v>99</v>
      </c>
      <c r="E10" s="56" t="s">
        <v>100</v>
      </c>
      <c r="F10" s="56" t="s">
        <v>101</v>
      </c>
      <c r="G10" s="56" t="s">
        <v>165</v>
      </c>
      <c r="H10" s="56"/>
      <c r="I10" s="56" t="s">
        <v>103</v>
      </c>
      <c r="J10" s="56" t="s">
        <v>105</v>
      </c>
      <c r="K10" s="56" t="s">
        <v>162</v>
      </c>
      <c r="L10" s="56" t="s">
        <v>106</v>
      </c>
      <c r="M10" s="56"/>
      <c r="N10" s="56"/>
      <c r="O10" s="50"/>
      <c r="P10" s="50"/>
      <c r="Q10" s="50"/>
      <c r="R10" s="50"/>
      <c r="S10" s="28"/>
      <c r="V10" s="52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2"/>
    </row>
    <row r="12" spans="1:22" s="6" customFormat="1" ht="36" customHeight="1">
      <c r="B12" s="16"/>
      <c r="D12" s="55" t="s">
        <v>37</v>
      </c>
      <c r="E12" s="55" t="s">
        <v>107</v>
      </c>
      <c r="F12" s="55" t="s">
        <v>33</v>
      </c>
      <c r="G12" s="55" t="s">
        <v>27</v>
      </c>
      <c r="H12" s="55"/>
      <c r="I12" s="55" t="s">
        <v>111</v>
      </c>
      <c r="J12" s="55" t="s">
        <v>113</v>
      </c>
      <c r="K12" s="55" t="s">
        <v>34</v>
      </c>
      <c r="L12" s="55" t="s">
        <v>67</v>
      </c>
      <c r="M12" s="55"/>
      <c r="N12" s="55"/>
      <c r="O12" s="46"/>
      <c r="P12" s="46"/>
      <c r="Q12" s="46"/>
      <c r="R12" s="46"/>
      <c r="S12" s="17"/>
      <c r="V12" s="52"/>
    </row>
    <row r="13" spans="1:22" s="6" customFormat="1" ht="80.099999999999994" customHeight="1">
      <c r="B13" s="18">
        <f>B9+1</f>
        <v>3</v>
      </c>
      <c r="D13" s="54" t="s">
        <v>18</v>
      </c>
      <c r="E13" s="54" t="s">
        <v>76</v>
      </c>
      <c r="F13" s="54" t="s">
        <v>22</v>
      </c>
      <c r="G13" s="54" t="s">
        <v>24</v>
      </c>
      <c r="H13" s="54" t="s">
        <v>19</v>
      </c>
      <c r="I13" s="54" t="s">
        <v>77</v>
      </c>
      <c r="J13" s="54" t="s">
        <v>78</v>
      </c>
      <c r="K13" s="54" t="s">
        <v>79</v>
      </c>
      <c r="L13" s="54" t="s">
        <v>66</v>
      </c>
      <c r="M13" s="54" t="s">
        <v>21</v>
      </c>
      <c r="N13" s="54" t="str">
        <f>CHAR(10)</f>
        <v xml:space="preserve">
</v>
      </c>
      <c r="O13" s="36"/>
      <c r="P13" s="36"/>
      <c r="Q13" s="36"/>
      <c r="R13" s="36"/>
      <c r="S13" s="19"/>
      <c r="V13" s="52"/>
    </row>
    <row r="14" spans="1:22" s="6" customFormat="1" ht="36" customHeight="1">
      <c r="B14" s="20"/>
      <c r="D14" s="56" t="s">
        <v>100</v>
      </c>
      <c r="E14" s="56" t="s">
        <v>108</v>
      </c>
      <c r="F14" s="56" t="s">
        <v>109</v>
      </c>
      <c r="G14" s="56" t="s">
        <v>110</v>
      </c>
      <c r="H14" s="56"/>
      <c r="I14" s="56" t="s">
        <v>112</v>
      </c>
      <c r="J14" s="56" t="s">
        <v>114</v>
      </c>
      <c r="K14" s="56" t="s">
        <v>115</v>
      </c>
      <c r="L14" s="56" t="s">
        <v>106</v>
      </c>
      <c r="M14" s="56"/>
      <c r="N14" s="56"/>
      <c r="O14" s="50"/>
      <c r="P14" s="50"/>
      <c r="Q14" s="50"/>
      <c r="R14" s="50"/>
      <c r="S14" s="28"/>
      <c r="V14" s="52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2"/>
    </row>
    <row r="16" spans="1:22" s="6" customFormat="1" ht="36" customHeight="1">
      <c r="B16" s="16"/>
      <c r="D16" s="55" t="s">
        <v>116</v>
      </c>
      <c r="E16" s="55" t="s">
        <v>118</v>
      </c>
      <c r="F16" s="55" t="s">
        <v>120</v>
      </c>
      <c r="G16" s="55" t="s">
        <v>122</v>
      </c>
      <c r="H16" s="55"/>
      <c r="I16" s="55" t="s">
        <v>124</v>
      </c>
      <c r="J16" s="55" t="s">
        <v>126</v>
      </c>
      <c r="K16" s="55" t="s">
        <v>128</v>
      </c>
      <c r="L16" s="55" t="s">
        <v>67</v>
      </c>
      <c r="M16" s="55"/>
      <c r="N16" s="55"/>
      <c r="O16" s="46"/>
      <c r="P16" s="46"/>
      <c r="Q16" s="46"/>
      <c r="R16" s="46"/>
      <c r="S16" s="17"/>
      <c r="V16" s="52"/>
    </row>
    <row r="17" spans="2:22" s="6" customFormat="1" ht="80.099999999999994" customHeight="1">
      <c r="B17" s="18">
        <f>B13+1</f>
        <v>4</v>
      </c>
      <c r="D17" s="54" t="s">
        <v>80</v>
      </c>
      <c r="E17" s="54" t="s">
        <v>81</v>
      </c>
      <c r="F17" s="54" t="s">
        <v>82</v>
      </c>
      <c r="G17" s="54" t="s">
        <v>83</v>
      </c>
      <c r="H17" s="54" t="s">
        <v>19</v>
      </c>
      <c r="I17" s="54" t="s">
        <v>84</v>
      </c>
      <c r="J17" s="54" t="s">
        <v>85</v>
      </c>
      <c r="K17" s="54" t="s">
        <v>86</v>
      </c>
      <c r="L17" s="54" t="s">
        <v>66</v>
      </c>
      <c r="M17" s="54" t="s">
        <v>21</v>
      </c>
      <c r="N17" s="54" t="str">
        <f>CHAR(10)</f>
        <v xml:space="preserve">
</v>
      </c>
      <c r="O17" s="36"/>
      <c r="P17" s="36"/>
      <c r="Q17" s="36"/>
      <c r="R17" s="36"/>
      <c r="S17" s="19"/>
      <c r="V17" s="52"/>
    </row>
    <row r="18" spans="2:22" s="6" customFormat="1" ht="36" customHeight="1">
      <c r="B18" s="20"/>
      <c r="D18" s="56" t="s">
        <v>117</v>
      </c>
      <c r="E18" s="56" t="s">
        <v>119</v>
      </c>
      <c r="F18" s="56" t="s">
        <v>121</v>
      </c>
      <c r="G18" s="56" t="s">
        <v>123</v>
      </c>
      <c r="H18" s="56"/>
      <c r="I18" s="56" t="s">
        <v>125</v>
      </c>
      <c r="J18" s="56" t="s">
        <v>127</v>
      </c>
      <c r="K18" s="56" t="s">
        <v>129</v>
      </c>
      <c r="L18" s="56" t="s">
        <v>106</v>
      </c>
      <c r="M18" s="56"/>
      <c r="N18" s="56"/>
      <c r="O18" s="50"/>
      <c r="P18" s="50"/>
      <c r="Q18" s="50"/>
      <c r="R18" s="50"/>
      <c r="S18" s="28"/>
      <c r="V18" s="52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2"/>
    </row>
    <row r="20" spans="2:22" s="6" customFormat="1" ht="36" customHeight="1">
      <c r="B20" s="16"/>
      <c r="D20" s="55" t="s">
        <v>98</v>
      </c>
      <c r="E20" s="55" t="s">
        <v>37</v>
      </c>
      <c r="F20" s="55" t="s">
        <v>35</v>
      </c>
      <c r="G20" s="55" t="s">
        <v>164</v>
      </c>
      <c r="H20" s="55"/>
      <c r="I20" s="55" t="s">
        <v>26</v>
      </c>
      <c r="J20" s="55" t="s">
        <v>104</v>
      </c>
      <c r="K20" s="55" t="s">
        <v>160</v>
      </c>
      <c r="L20" s="55" t="s">
        <v>160</v>
      </c>
      <c r="M20" s="55"/>
      <c r="N20" s="55"/>
      <c r="O20" s="46"/>
      <c r="P20" s="46"/>
      <c r="Q20" s="46"/>
      <c r="R20" s="46"/>
      <c r="S20" s="17"/>
      <c r="V20" s="52"/>
    </row>
    <row r="21" spans="2:22" s="6" customFormat="1" ht="80.099999999999994" customHeight="1">
      <c r="B21" s="18">
        <f>B17+1</f>
        <v>5</v>
      </c>
      <c r="D21" s="54" t="s">
        <v>70</v>
      </c>
      <c r="E21" s="54" t="s">
        <v>18</v>
      </c>
      <c r="F21" s="54" t="s">
        <v>71</v>
      </c>
      <c r="G21" s="54" t="s">
        <v>72</v>
      </c>
      <c r="H21" s="54" t="s">
        <v>19</v>
      </c>
      <c r="I21" s="54" t="s">
        <v>73</v>
      </c>
      <c r="J21" s="54" t="s">
        <v>74</v>
      </c>
      <c r="K21" s="54" t="s">
        <v>87</v>
      </c>
      <c r="L21" s="54" t="s">
        <v>87</v>
      </c>
      <c r="M21" s="54" t="s">
        <v>21</v>
      </c>
      <c r="N21" s="54" t="str">
        <f>CHAR(10)</f>
        <v xml:space="preserve">
</v>
      </c>
      <c r="O21" s="36"/>
      <c r="P21" s="36"/>
      <c r="Q21" s="36"/>
      <c r="R21" s="36"/>
      <c r="S21" s="19"/>
      <c r="V21" s="52"/>
    </row>
    <row r="22" spans="2:22" s="6" customFormat="1" ht="36" customHeight="1">
      <c r="B22" s="20"/>
      <c r="D22" s="56" t="s">
        <v>99</v>
      </c>
      <c r="E22" s="56" t="s">
        <v>100</v>
      </c>
      <c r="F22" s="56" t="s">
        <v>101</v>
      </c>
      <c r="G22" s="56" t="s">
        <v>165</v>
      </c>
      <c r="H22" s="56"/>
      <c r="I22" s="56" t="s">
        <v>103</v>
      </c>
      <c r="J22" s="56" t="s">
        <v>105</v>
      </c>
      <c r="K22" s="56" t="s">
        <v>163</v>
      </c>
      <c r="L22" s="56" t="s">
        <v>163</v>
      </c>
      <c r="M22" s="56"/>
      <c r="N22" s="56"/>
      <c r="O22" s="50"/>
      <c r="P22" s="50"/>
      <c r="Q22" s="50"/>
      <c r="R22" s="50"/>
      <c r="S22" s="28"/>
      <c r="V22" s="52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2"/>
    </row>
    <row r="24" spans="2:22" s="6" customFormat="1" ht="36" customHeight="1">
      <c r="B24" s="16"/>
      <c r="D24" s="55" t="s">
        <v>37</v>
      </c>
      <c r="E24" s="55" t="s">
        <v>107</v>
      </c>
      <c r="F24" s="55" t="s">
        <v>33</v>
      </c>
      <c r="G24" s="55" t="s">
        <v>27</v>
      </c>
      <c r="H24" s="55"/>
      <c r="I24" s="55" t="s">
        <v>34</v>
      </c>
      <c r="J24" s="55" t="s">
        <v>139</v>
      </c>
      <c r="K24" s="55" t="s">
        <v>111</v>
      </c>
      <c r="L24" s="55" t="s">
        <v>113</v>
      </c>
      <c r="M24" s="55"/>
      <c r="N24" s="55"/>
      <c r="O24" s="46"/>
      <c r="P24" s="46"/>
      <c r="Q24" s="46"/>
      <c r="R24" s="46"/>
      <c r="S24" s="17"/>
      <c r="V24" s="52"/>
    </row>
    <row r="25" spans="2:22" s="6" customFormat="1" ht="80.099999999999994" customHeight="1">
      <c r="B25" s="18">
        <f>B21+1</f>
        <v>6</v>
      </c>
      <c r="D25" s="54" t="s">
        <v>18</v>
      </c>
      <c r="E25" s="54" t="s">
        <v>76</v>
      </c>
      <c r="F25" s="54" t="s">
        <v>22</v>
      </c>
      <c r="G25" s="54" t="s">
        <v>24</v>
      </c>
      <c r="H25" s="54" t="s">
        <v>19</v>
      </c>
      <c r="I25" s="54" t="s">
        <v>79</v>
      </c>
      <c r="J25" s="54" t="s">
        <v>88</v>
      </c>
      <c r="K25" s="54" t="s">
        <v>77</v>
      </c>
      <c r="L25" s="54" t="s">
        <v>78</v>
      </c>
      <c r="M25" s="54" t="s">
        <v>21</v>
      </c>
      <c r="N25" s="54" t="str">
        <f>CHAR(10)</f>
        <v xml:space="preserve">
</v>
      </c>
      <c r="O25" s="36"/>
      <c r="P25" s="36"/>
      <c r="Q25" s="36"/>
      <c r="R25" s="36"/>
      <c r="S25" s="19"/>
      <c r="V25" s="52"/>
    </row>
    <row r="26" spans="2:22" s="6" customFormat="1" ht="36" customHeight="1">
      <c r="B26" s="20"/>
      <c r="D26" s="56" t="s">
        <v>100</v>
      </c>
      <c r="E26" s="56" t="s">
        <v>108</v>
      </c>
      <c r="F26" s="56" t="s">
        <v>109</v>
      </c>
      <c r="G26" s="56" t="s">
        <v>110</v>
      </c>
      <c r="H26" s="56"/>
      <c r="I26" s="56" t="s">
        <v>115</v>
      </c>
      <c r="J26" s="56" t="s">
        <v>140</v>
      </c>
      <c r="K26" s="56" t="s">
        <v>112</v>
      </c>
      <c r="L26" s="56" t="s">
        <v>114</v>
      </c>
      <c r="M26" s="56"/>
      <c r="N26" s="56"/>
      <c r="O26" s="50"/>
      <c r="P26" s="50"/>
      <c r="Q26" s="50"/>
      <c r="R26" s="50"/>
      <c r="S26" s="28"/>
      <c r="V26" s="52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52"/>
    </row>
    <row r="28" spans="2:22" s="6" customFormat="1" ht="36" customHeight="1">
      <c r="B28" s="16"/>
      <c r="D28" s="55" t="s">
        <v>116</v>
      </c>
      <c r="E28" s="55" t="s">
        <v>118</v>
      </c>
      <c r="F28" s="55" t="s">
        <v>120</v>
      </c>
      <c r="G28" s="55" t="s">
        <v>122</v>
      </c>
      <c r="H28" s="55"/>
      <c r="I28" s="55" t="s">
        <v>32</v>
      </c>
      <c r="J28" s="55" t="s">
        <v>30</v>
      </c>
      <c r="K28" s="55" t="s">
        <v>39</v>
      </c>
      <c r="L28" s="55" t="s">
        <v>152</v>
      </c>
      <c r="M28" s="55"/>
      <c r="N28" s="55"/>
      <c r="O28" s="46"/>
      <c r="P28" s="46"/>
      <c r="Q28" s="46"/>
      <c r="R28" s="46"/>
      <c r="S28" s="17"/>
      <c r="U28" s="32" t="str">
        <f t="shared" si="1"/>
        <v/>
      </c>
      <c r="V28" s="52"/>
    </row>
    <row r="29" spans="2:22" s="6" customFormat="1" ht="80.099999999999994" customHeight="1">
      <c r="B29" s="18">
        <f>B25+1</f>
        <v>7</v>
      </c>
      <c r="D29" s="54" t="s">
        <v>80</v>
      </c>
      <c r="E29" s="54" t="s">
        <v>81</v>
      </c>
      <c r="F29" s="54" t="s">
        <v>82</v>
      </c>
      <c r="G29" s="54" t="s">
        <v>83</v>
      </c>
      <c r="H29" s="54" t="s">
        <v>19</v>
      </c>
      <c r="I29" s="54" t="s">
        <v>20</v>
      </c>
      <c r="J29" s="54" t="s">
        <v>23</v>
      </c>
      <c r="K29" s="54" t="s">
        <v>89</v>
      </c>
      <c r="L29" s="54" t="s">
        <v>90</v>
      </c>
      <c r="M29" s="54" t="s">
        <v>21</v>
      </c>
      <c r="N29" s="54" t="str">
        <f>CHAR(10)</f>
        <v xml:space="preserve">
</v>
      </c>
      <c r="O29" s="36"/>
      <c r="P29" s="36"/>
      <c r="Q29" s="36"/>
      <c r="R29" s="36"/>
      <c r="S29" s="19"/>
      <c r="U29" s="32" t="str">
        <f t="shared" si="1"/>
        <v/>
      </c>
      <c r="V29" s="52"/>
    </row>
    <row r="30" spans="2:22" s="6" customFormat="1" ht="36" customHeight="1">
      <c r="B30" s="20"/>
      <c r="D30" s="56" t="s">
        <v>117</v>
      </c>
      <c r="E30" s="56" t="s">
        <v>119</v>
      </c>
      <c r="F30" s="56" t="s">
        <v>121</v>
      </c>
      <c r="G30" s="56" t="s">
        <v>123</v>
      </c>
      <c r="H30" s="56"/>
      <c r="I30" s="56" t="s">
        <v>149</v>
      </c>
      <c r="J30" s="56" t="s">
        <v>150</v>
      </c>
      <c r="K30" s="56" t="s">
        <v>151</v>
      </c>
      <c r="L30" s="56" t="s">
        <v>153</v>
      </c>
      <c r="M30" s="56"/>
      <c r="N30" s="56"/>
      <c r="O30" s="50"/>
      <c r="P30" s="50"/>
      <c r="Q30" s="50"/>
      <c r="R30" s="50"/>
      <c r="S30" s="28"/>
      <c r="U30" s="32" t="str">
        <f t="shared" si="1"/>
        <v/>
      </c>
      <c r="V30" s="52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52"/>
    </row>
    <row r="32" spans="2:22" s="6" customFormat="1" ht="36" customHeight="1">
      <c r="B32" s="16"/>
      <c r="D32" s="55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52"/>
    </row>
    <row r="33" spans="2:22" s="6" customFormat="1" ht="80.099999999999994" customHeight="1">
      <c r="B33" s="18">
        <f>B29+1</f>
        <v>8</v>
      </c>
      <c r="D33" s="54" t="s">
        <v>25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52"/>
    </row>
    <row r="34" spans="2:22" s="6" customFormat="1" ht="36" customHeight="1">
      <c r="B34" s="20"/>
      <c r="D34" s="56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28"/>
      <c r="V34" s="52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2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52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52"/>
    </row>
    <row r="38" spans="2:22" s="6" customFormat="1" ht="36" customHeight="1">
      <c r="B38" s="2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28"/>
      <c r="V38" s="52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2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52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52"/>
    </row>
    <row r="42" spans="2:22" s="6" customFormat="1" ht="36" customHeight="1">
      <c r="B42" s="2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28"/>
      <c r="V42" s="52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2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52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52"/>
    </row>
    <row r="46" spans="2:22" s="6" customFormat="1" ht="36" customHeight="1">
      <c r="B46" s="2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28"/>
      <c r="V46" s="52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2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52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52"/>
    </row>
    <row r="50" spans="2:22" s="6" customFormat="1" ht="36" customHeight="1">
      <c r="B50" s="2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28"/>
      <c r="V50" s="52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2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52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52"/>
    </row>
    <row r="54" spans="2:22" s="6" customFormat="1" ht="36" customHeight="1">
      <c r="B54" s="2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28"/>
      <c r="V54" s="52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2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52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52"/>
    </row>
    <row r="58" spans="2:22" s="6" customFormat="1" ht="36" customHeight="1">
      <c r="B58" s="2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28"/>
      <c r="V58" s="52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2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52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52"/>
    </row>
    <row r="62" spans="2:22" s="6" customFormat="1" ht="36" customHeight="1">
      <c r="B62" s="2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28"/>
      <c r="V62" s="52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2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52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52"/>
    </row>
    <row r="66" spans="2:22" s="6" customFormat="1" ht="36" customHeight="1">
      <c r="B66" s="2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28"/>
      <c r="V66" s="52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2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52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52"/>
    </row>
    <row r="70" spans="2:22" s="6" customFormat="1" ht="36" customHeight="1">
      <c r="B70" s="2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28"/>
      <c r="V70" s="52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2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52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52"/>
    </row>
    <row r="74" spans="2:22" s="6" customFormat="1" ht="36" customHeight="1">
      <c r="B74" s="2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28"/>
      <c r="V74" s="52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2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52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52"/>
    </row>
    <row r="78" spans="2:22" s="6" customFormat="1" ht="36" customHeight="1">
      <c r="B78" s="2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28"/>
      <c r="V78" s="52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2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52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52"/>
    </row>
    <row r="82" spans="2:22" s="6" customFormat="1" ht="36" customHeight="1">
      <c r="B82" s="2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28"/>
      <c r="V82" s="53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">
    <cfRule type="expression" dxfId="5" priority="101">
      <formula>顯示注音輸入</formula>
    </cfRule>
    <cfRule type="expression" dxfId="4" priority="10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3" priority="1">
      <formula>顯示注音輸入</formula>
    </cfRule>
    <cfRule type="expression" dxfId="2" priority="2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3">
      <formula>顯示注音輸入</formula>
    </cfRule>
    <cfRule type="expression" dxfId="0" priority="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2026-06-28T09:07:28Z</dcterms:modified>
</cp:coreProperties>
</file>