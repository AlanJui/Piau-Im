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E5880189-702F-4D17-81CF-3406F97A491E}" xr6:coauthVersionLast="47" xr6:coauthVersionMax="47" xr10:uidLastSave="{00000000-0000-0000-0000-000000000000}"/>
  <bookViews>
    <workbookView xWindow="28680" yWindow="-120" windowWidth="38640" windowHeight="15720" activeTab="5" xr2:uid="{25A76161-EFED-4AC8-8EAA-A42737AE1909}"/>
  </bookViews>
  <sheets>
    <sheet name="env" sheetId="8" r:id="rId1"/>
    <sheet name="操作表" sheetId="190" r:id="rId2"/>
    <sheet name="缺字表" sheetId="188" r:id="rId3"/>
    <sheet name="標音字庫" sheetId="187" r:id="rId4"/>
    <sheet name="人工標音字庫" sheetId="186" r:id="rId5"/>
    <sheet name="漢字注音" sheetId="9" r:id="rId6"/>
    <sheet name="SRT漢字注音" sheetId="189" r:id="rId7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9" i="9" l="1"/>
  <c r="R25" i="9"/>
  <c r="E21" i="9"/>
  <c r="F13" i="9"/>
  <c r="N5" i="9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<sst xmlns="http://schemas.openxmlformats.org/spreadsheetml/2006/main" count="455" uniqueCount="210">
  <si>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</si>
  <si>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</si>
  <si>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</si>
  <si>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</si>
  <si>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</si>
  <si>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</si>
  <si>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</si>
  <si>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</si>
  <si>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</si>
  <si>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</si>
  <si>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</si>
  <si>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</si>
  <si>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</si>
  <si>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</si>
  <si>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</si>
  <si>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</si>
  <si>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</si>
  <si>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</si>
  <si>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</si>
  <si>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</si>
  <si>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</si>
  <si>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</si>
  <si>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</si>
  <si>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</si>
  <si>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</si>
  <si>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</si>
  <si>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</si>
  <si>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</si>
  <si>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</si>
  <si>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</si>
  <si>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其</t>
  </si>
  <si>
    <t>無</t>
  </si>
  <si>
    <t>之</t>
  </si>
  <si>
    <t>有</t>
  </si>
  <si>
    <t>三</t>
  </si>
  <si>
    <t>以</t>
  </si>
  <si>
    <t>為</t>
  </si>
  <si>
    <t>(5, 12)</t>
  </si>
  <si>
    <t>ziong1</t>
  </si>
  <si>
    <t>zi1</t>
  </si>
  <si>
    <t>tong1</t>
  </si>
  <si>
    <t>i2</t>
  </si>
  <si>
    <t>ui5</t>
  </si>
  <si>
    <t>sip8</t>
  </si>
  <si>
    <t>ki3</t>
  </si>
  <si>
    <t>gi5</t>
  </si>
  <si>
    <t>(5, 7)</t>
  </si>
  <si>
    <t>(9, 9)</t>
  </si>
  <si>
    <t>(25, 4)</t>
  </si>
  <si>
    <t>king1</t>
  </si>
  <si>
    <t>khi3</t>
  </si>
  <si>
    <t>Liok-Kok-Lun.png</t>
    <phoneticPr fontId="1" type="noConversion"/>
  </si>
  <si>
    <t>ki5</t>
  </si>
  <si>
    <t>河洛話</t>
    <phoneticPr fontId="1" type="noConversion"/>
  </si>
  <si>
    <t>ging1</t>
  </si>
  <si>
    <t>室</t>
  </si>
  <si>
    <t>時</t>
  </si>
  <si>
    <t>車</t>
  </si>
  <si>
    <t>經</t>
  </si>
  <si>
    <t>漢字</t>
  </si>
  <si>
    <t>台語音標</t>
  </si>
  <si>
    <t>校正音標</t>
  </si>
  <si>
    <t>座標</t>
  </si>
  <si>
    <t>(5, 5)</t>
  </si>
  <si>
    <t>(5, 6)</t>
  </si>
  <si>
    <t>(25, 5)</t>
  </si>
  <si>
    <t>(25, 6)</t>
  </si>
  <si>
    <t>(25, 13)</t>
  </si>
  <si>
    <t>(29, 4)</t>
  </si>
  <si>
    <t>(29, 9)</t>
  </si>
  <si>
    <t>台羅拼音</t>
  </si>
  <si>
    <t>十五音</t>
  </si>
  <si>
    <t>注音二式</t>
  </si>
  <si>
    <t>《</t>
  </si>
  <si>
    <t>道</t>
  </si>
  <si>
    <t>德</t>
  </si>
  <si>
    <t>第</t>
  </si>
  <si>
    <t>十</t>
  </si>
  <si>
    <t>一</t>
  </si>
  <si>
    <t>章</t>
  </si>
  <si>
    <t>》</t>
  </si>
  <si>
    <t>輻</t>
  </si>
  <si>
    <t>同</t>
  </si>
  <si>
    <t>轂</t>
  </si>
  <si>
    <t>當</t>
  </si>
  <si>
    <t>用</t>
  </si>
  <si>
    <t>也</t>
  </si>
  <si>
    <t>埏</t>
  </si>
  <si>
    <t>埴</t>
  </si>
  <si>
    <t>器</t>
  </si>
  <si>
    <t>鑿</t>
  </si>
  <si>
    <t>戶</t>
  </si>
  <si>
    <t>牖</t>
  </si>
  <si>
    <t>故</t>
  </si>
  <si>
    <t>利</t>
  </si>
  <si>
    <t>道德經。第十一章</t>
    <phoneticPr fontId="1" type="noConversion"/>
  </si>
  <si>
    <t>to7</t>
  </si>
  <si>
    <t>dor7</t>
  </si>
  <si>
    <t>tik4</t>
  </si>
  <si>
    <t>diek4</t>
  </si>
  <si>
    <t>te7</t>
  </si>
  <si>
    <t>de7</t>
  </si>
  <si>
    <t>ship8</t>
  </si>
  <si>
    <t>it4</t>
  </si>
  <si>
    <t>jiong1</t>
  </si>
  <si>
    <t>(5, 9)</t>
  </si>
  <si>
    <t>hok4</t>
  </si>
  <si>
    <t>kok4</t>
  </si>
  <si>
    <t>gok4</t>
  </si>
  <si>
    <t>dong1</t>
  </si>
  <si>
    <t>iu2</t>
  </si>
  <si>
    <t>ku1</t>
  </si>
  <si>
    <t>gu1</t>
  </si>
  <si>
    <t>ji1</t>
  </si>
  <si>
    <t>iong7</t>
  </si>
  <si>
    <t>ia2</t>
  </si>
  <si>
    <t>(9, 4)</t>
  </si>
  <si>
    <t>(9, 6)</t>
  </si>
  <si>
    <t>(9, 16)</t>
  </si>
  <si>
    <t>ian5</t>
  </si>
  <si>
    <t>sit8</t>
  </si>
  <si>
    <t>shit8</t>
  </si>
  <si>
    <t>(17, 4)</t>
  </si>
  <si>
    <t>(17, 5); (17, 14)</t>
  </si>
  <si>
    <t>(17, 7); (17, 15)</t>
  </si>
  <si>
    <t>cak8</t>
  </si>
  <si>
    <t>hoo7</t>
  </si>
  <si>
    <t>sik4</t>
  </si>
  <si>
    <t>shiek4</t>
  </si>
  <si>
    <t>koo3</t>
  </si>
  <si>
    <t>goo3</t>
  </si>
  <si>
    <t>li7</t>
  </si>
  <si>
    <t>(17, 6); (29, 8); (29, 14)</t>
  </si>
  <si>
    <t>(29, 7); (29, 13)</t>
  </si>
  <si>
    <t>【河洛文讀注音-注音二式】《道德經。第十一章》.xlsx</t>
    <phoneticPr fontId="1" type="noConversion"/>
  </si>
  <si>
    <t xml:space="preserve">《道德經。第十一章》
三十輻同一轂，當其無，有車之用也。
埏埴為器，當其無，有埴器之用也。
鑿戶牖，當其無，有室之用也。
故有之以為利，無之以為用。
</t>
  </si>
  <si>
    <t>sam1</t>
  </si>
  <si>
    <t>(5, 10); (9, 5)</t>
  </si>
  <si>
    <t>(5, 11); (9, 8)</t>
  </si>
  <si>
    <t>(9, 7)</t>
  </si>
  <si>
    <t>(9, 11); (17, 9); (25, 8)</t>
  </si>
  <si>
    <t>(9, 12); (17, 10); (25, 9)</t>
  </si>
  <si>
    <t>(13, 4); (17, 18); (25, 16)</t>
  </si>
  <si>
    <t>(9, 13); (17, 11); (25, 10); (29, 11)</t>
  </si>
  <si>
    <t>(9, 15); (17, 13); (25, 12); (29, 5)</t>
  </si>
  <si>
    <t>(9, 17); (17, 16); (25, 14); (29, 6); (29, 12)</t>
  </si>
  <si>
    <t>(9, 18); (17, 17); (25, 15); (29, 15)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</si>
  <si>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</si>
  <si>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</si>
  <si>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</si>
  <si>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</si>
  <si>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</si>
  <si>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</si>
  <si>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</si>
  <si>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</si>
  <si>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</si>
  <si>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</si>
  <si>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</si>
  <si>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</si>
  <si>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</si>
  <si>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漢文</t>
  </si>
  <si>
    <t>漢字標音</t>
  </si>
  <si>
    <t>00:00:00,000</t>
  </si>
  <si>
    <t>00:00:20,000</t>
  </si>
  <si>
    <t>00</t>
  </si>
  <si>
    <t>25</t>
  </si>
  <si>
    <t>000</t>
  </si>
  <si>
    <t>20</t>
  </si>
  <si>
    <t>《道德經。第十一章》</t>
  </si>
  <si>
    <t>Tō tik king. Tē si̍p it tsiong</t>
  </si>
  <si>
    <t>00:00:25,000</t>
  </si>
  <si>
    <t>00:00:27,000</t>
  </si>
  <si>
    <t>30</t>
  </si>
  <si>
    <t>27</t>
  </si>
  <si>
    <t>卅輻同一轂，當其無，有車之用也。</t>
  </si>
  <si>
    <t>Sip hok tâng it kok, tong kî bô, íu ku tsi īong ía.</t>
  </si>
  <si>
    <t>00:00:30,000</t>
  </si>
  <si>
    <t>00:00:32,000</t>
  </si>
  <si>
    <t>35</t>
  </si>
  <si>
    <t>32</t>
  </si>
  <si>
    <t>埏埴為器，當其無，有埴器之用也。</t>
  </si>
  <si>
    <t>Îan si̍t ûi khì, tong kî bô, íu si̍t khì tsi īong ía.</t>
  </si>
  <si>
    <t>00:00:35,000</t>
  </si>
  <si>
    <t>00:00:37,000</t>
  </si>
  <si>
    <t>40</t>
  </si>
  <si>
    <t>37</t>
  </si>
  <si>
    <t>鑿戶牖，當其無，有室之用也。</t>
  </si>
  <si>
    <t>Tsha̍k hōo 牖, tong kî bô, íu sik tsi īong ía.</t>
  </si>
  <si>
    <t>00:00:40,000</t>
  </si>
  <si>
    <t>00:00:42,000</t>
  </si>
  <si>
    <t>45</t>
  </si>
  <si>
    <t>42</t>
  </si>
  <si>
    <t>故有之以為利，無之以為用。</t>
  </si>
  <si>
    <t>Kòo íu tsi í ûi lī, bô tsi í ûi īong.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</si>
  <si>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</si>
  <si>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</si>
  <si>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</si>
  <si>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</si>
  <si>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</si>
  <si>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</si>
  <si>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</si>
  <si>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</si>
  <si>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</si>
  <si>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</si>
  <si>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t>tong5</t>
  </si>
  <si>
    <t>tong5</t>
    <phoneticPr fontId="1" type="noConversion"/>
  </si>
  <si>
    <t>dong5</t>
    <phoneticPr fontId="1" type="noConversion"/>
  </si>
  <si>
    <t>bu5</t>
  </si>
  <si>
    <t>bu5</t>
    <phoneticPr fontId="1" type="noConversion"/>
  </si>
  <si>
    <t>bbu5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</si>
</sst>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9" formatCode="_-* #,##0.00_-;\-* #,##0.00_-;_-* &quot;-&quot;??_-;_-@_-"/>
    <numFmt numFmtId="180" formatCode="_-* #,##0_-;\-* #,##0_-;_-* &quot;-&quot;??_-;_-@_-"/>
    <numFmt numFmtId="181" formatCode="#,##0.000_);[Red]\(#,##0.000\)"/>
  </numFmts>
  <fonts count="5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sz val="11"/>
      <color rgb="FFFF0000"/>
      <name val="Microsoft JhengHei"/>
      <family val="2"/>
      <charset val="136"/>
    </font>
    <font>
      <b/>
      <sz val="11"/>
      <color rgb="FFFF0000"/>
      <name val="Microsoft JhengHei"/>
      <family val="2"/>
      <charset val="136"/>
    </font>
    <font>
      <sz val="11"/>
      <color rgb="FFFF0000"/>
      <name val="Microsoft JhengHei"/>
      <family val="2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0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b/>
      <sz val="18"/>
      <color rgb="FFFF0000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  <xf numFmtId="0" fontId="38" fillId="4" borderId="0">
      <alignment horizontal="center" vertical="center"/>
    </xf>
    <xf numFmtId="0" fontId="44" fillId="0" borderId="0"/>
    <xf numFmtId="179" fontId="41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8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40" fillId="0" borderId="0" xfId="1" applyFont="1">
      <alignment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  <xf numFmtId="0" fontId="55" fillId="0" borderId="0" xfId="0" applyFont="1">
      <alignment vertical="center"/>
    </xf>
    <xf numFmtId="0" fontId="0" fillId="0" borderId="0" xfId="0">
      <alignment vertical="center"/>
    </xf>
    <xf numFmtId="0" fontId="42" fillId="5" borderId="6" xfId="0" applyFont="1" applyFill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0" fillId="0" borderId="0" xfId="0" applyAlignment="1"/>
    <xf numFmtId="0" fontId="48" fillId="7" borderId="6" xfId="0" applyFont="1" applyFill="1" applyBorder="1" applyAlignment="1">
      <alignment horizontal="center" vertical="center"/>
    </xf>
    <xf numFmtId="0" fontId="49" fillId="8" borderId="6" xfId="0" applyFont="1" applyFill="1" applyBorder="1" applyAlignment="1">
      <alignment horizontal="center" vertical="center" wrapText="1"/>
    </xf>
    <xf numFmtId="0" fontId="42" fillId="5" borderId="6" xfId="0" applyFont="1" applyFill="1" applyBorder="1" applyAlignment="1">
      <alignment horizontal="center" vertical="center" wrapText="1"/>
    </xf>
    <xf numFmtId="0" fontId="48" fillId="7" borderId="6" xfId="0" applyFont="1" applyFill="1" applyBorder="1" applyAlignment="1">
      <alignment horizontal="center" vertical="center" wrapText="1"/>
    </xf>
    <xf numFmtId="38" fontId="43" fillId="2" borderId="6" xfId="7" applyNumberFormat="1" applyFont="1" applyFill="1" applyBorder="1" applyAlignment="1" applyProtection="1">
      <alignment horizontal="right" vertical="center"/>
    </xf>
    <xf numFmtId="38" fontId="43" fillId="6" borderId="6" xfId="7" applyNumberFormat="1" applyFont="1" applyFill="1" applyBorder="1" applyAlignment="1" applyProtection="1">
      <alignment horizontal="right" vertical="center"/>
    </xf>
    <xf numFmtId="0" fontId="49" fillId="8" borderId="6" xfId="0" applyFont="1" applyFill="1" applyBorder="1" applyAlignment="1">
      <alignment horizontal="centerContinuous" vertical="center"/>
    </xf>
    <xf numFmtId="0" fontId="45" fillId="0" borderId="6" xfId="0" applyFont="1" applyBorder="1" applyAlignment="1">
      <alignment horizontal="center" vertical="center"/>
    </xf>
    <xf numFmtId="0" fontId="46" fillId="9" borderId="6" xfId="0" applyFont="1" applyFill="1" applyBorder="1" applyAlignment="1" applyProtection="1">
      <alignment horizontal="center" vertical="center"/>
      <protection locked="0"/>
    </xf>
    <xf numFmtId="0" fontId="43" fillId="9" borderId="6" xfId="0" applyFont="1" applyFill="1" applyBorder="1" applyAlignment="1">
      <alignment horizontal="center" vertical="center"/>
    </xf>
    <xf numFmtId="181" fontId="43" fillId="9" borderId="6" xfId="7" applyNumberFormat="1" applyFont="1" applyFill="1" applyBorder="1" applyAlignment="1" applyProtection="1">
      <alignment horizontal="right" vertical="center"/>
    </xf>
    <xf numFmtId="38" fontId="43" fillId="2" borderId="6" xfId="7" applyNumberFormat="1" applyFont="1" applyFill="1" applyBorder="1" applyAlignment="1" applyProtection="1">
      <alignment horizontal="right" vertical="center" wrapText="1"/>
    </xf>
    <xf numFmtId="38" fontId="43" fillId="10" borderId="6" xfId="7" applyNumberFormat="1" applyFont="1" applyFill="1" applyBorder="1" applyAlignment="1" applyProtection="1">
      <alignment horizontal="right" vertical="center"/>
    </xf>
    <xf numFmtId="180" fontId="43" fillId="10" borderId="6" xfId="7" applyNumberFormat="1" applyFont="1" applyFill="1" applyBorder="1" applyAlignment="1" applyProtection="1">
      <alignment horizontal="right" vertical="center"/>
    </xf>
    <xf numFmtId="0" fontId="43" fillId="10" borderId="6" xfId="0" applyFont="1" applyFill="1" applyBorder="1" applyAlignment="1">
      <alignment horizontal="center" vertical="center"/>
    </xf>
    <xf numFmtId="38" fontId="47" fillId="10" borderId="6" xfId="7" applyNumberFormat="1" applyFont="1" applyFill="1" applyBorder="1" applyAlignment="1" applyProtection="1">
      <alignment horizontal="right" vertical="center"/>
    </xf>
    <xf numFmtId="0" fontId="47" fillId="10" borderId="6" xfId="0" applyFont="1" applyFill="1" applyBorder="1" applyAlignment="1">
      <alignment horizontal="center" vertical="center"/>
    </xf>
    <xf numFmtId="0" fontId="50" fillId="0" borderId="6" xfId="0" applyFont="1" applyBorder="1" applyAlignment="1">
      <alignment horizontal="centerContinuous" vertical="center"/>
    </xf>
    <xf numFmtId="0" fontId="51" fillId="5" borderId="6" xfId="0" applyFont="1" applyFill="1" applyBorder="1" applyAlignment="1">
      <alignment horizontal="center" vertical="center"/>
    </xf>
    <xf numFmtId="49" fontId="52" fillId="2" borderId="6" xfId="0" applyNumberFormat="1" applyFont="1" applyFill="1" applyBorder="1" applyAlignment="1">
      <alignment horizontal="left" vertical="center"/>
    </xf>
    <xf numFmtId="49" fontId="53" fillId="4" borderId="6" xfId="0" applyNumberFormat="1" applyFont="1" applyFill="1" applyBorder="1" applyAlignment="1">
      <alignment horizontal="left" vertical="center"/>
    </xf>
    <xf numFmtId="49" fontId="54" fillId="2" borderId="6" xfId="0" applyNumberFormat="1" applyFont="1" applyFill="1" applyBorder="1" applyAlignment="1">
      <alignment horizontal="left" vertical="center"/>
    </xf>
    <xf numFmtId="181" fontId="47" fillId="2" borderId="6" xfId="0" applyNumberFormat="1" applyFont="1" applyFill="1" applyBorder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L19" sqref="L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3" t="s">
        <v>134</v>
      </c>
    </row>
    <row r="6" spans="2:4">
      <c r="B6" s="4" t="s">
        <v>4</v>
      </c>
      <c r="C6" s="3" t="s">
        <v>95</v>
      </c>
    </row>
    <row r="7" spans="2:4">
      <c r="B7" s="4" t="s">
        <v>5</v>
      </c>
      <c r="C7" s="52" t="s">
        <v>51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8</v>
      </c>
      <c r="D11" s="1">
        <f>每頁總列數*4+5</f>
        <v>37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53</v>
      </c>
    </row>
    <row r="15" spans="2:4" ht="30">
      <c r="B15" s="37" t="s">
        <v>13</v>
      </c>
      <c r="C15" s="39" t="s">
        <v>72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70</v>
      </c>
    </row>
    <row r="19" spans="2:3" ht="30">
      <c r="B19" s="37" t="s">
        <v>17</v>
      </c>
      <c r="C19" s="39" t="s">
        <v>71</v>
      </c>
    </row>
    <row r="20" spans="2:3" ht="30">
      <c r="B20" s="37" t="s">
        <v>22</v>
      </c>
      <c r="C20" s="43">
        <v>0</v>
      </c>
    </row>
    <row r="28" spans="2:3">
      <c r="C28" s="50"/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4B8A1C7E-4BB3-4C1C-9065-B81F5BED0DF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dimension ref="B2:B7"/>
  <sheetViews>
    <sheetView workbookViewId="0">
      <selection activeCell="B8" sqref="B8"/>
    </sheetView>
  </sheetViews>
  <sheetFormatPr defaultRowHeight="29.25"/>
  <cols>
    <col min="1" max="1" width="9" style="60"/>
    <col min="2" max="2" width="103.375" style="60" customWidth="1"/>
    <col min="3" max="16384" width="9" style="60"/>
  </cols>
  <sheetData>
    <row r="2" spans="2:2">
      <c r="B2" s="60" t="s">
        <v>198</v>
      </c>
    </row>
    <row r="3" spans="2:2">
      <c r="B3" s="60" t="s">
        <v>199</v>
      </c>
    </row>
    <row r="4" spans="2:2">
      <c r="B4" s="60" t="s">
        <v>200</v>
      </c>
    </row>
    <row r="5" spans="2:2">
      <c r="B5" s="60" t="s">
        <v>201</v>
      </c>
    </row>
    <row r="6" spans="2:2">
      <c r="B6" s="60" t="s">
        <v>202</v>
      </c>
    </row>
    <row r="7" spans="2:2">
      <c r="B7" s="60" t="s">
        <v>203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E25EC-0BCC-4F96-BEB7-B448A9F4345A}">
  <dimension ref="A1:D2"/>
  <sheetViews>
    <sheetView workbookViewId="0">
      <selection activeCell="E16" sqref="E16"/>
    </sheetView>
  </sheetViews>
  <sheetFormatPr defaultRowHeight="16.5"/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92</v>
      </c>
      <c r="B2" t="s">
        <v>110</v>
      </c>
      <c r="C2" t="s">
        <v>21</v>
      </c>
      <c r="D2" t="s">
        <v>66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154DD-E44C-4A0B-80BC-584E851335BC}">
  <dimension ref="A1:D31"/>
  <sheetViews>
    <sheetView workbookViewId="0">
      <selection activeCell="A31" sqref="A31:XFD31"/>
    </sheetView>
  </sheetViews>
  <sheetFormatPr defaultRowHeight="16.5"/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74</v>
      </c>
      <c r="B2" t="s">
        <v>96</v>
      </c>
      <c r="C2" t="s">
        <v>21</v>
      </c>
      <c r="D2" t="s">
        <v>63</v>
      </c>
    </row>
    <row r="3" spans="1:4">
      <c r="A3" t="s">
        <v>75</v>
      </c>
      <c r="B3" t="s">
        <v>98</v>
      </c>
      <c r="C3" t="s">
        <v>21</v>
      </c>
      <c r="D3" t="s">
        <v>64</v>
      </c>
    </row>
    <row r="4" spans="1:4">
      <c r="A4" t="s">
        <v>58</v>
      </c>
      <c r="B4" t="s">
        <v>49</v>
      </c>
      <c r="C4" t="s">
        <v>21</v>
      </c>
      <c r="D4" t="s">
        <v>46</v>
      </c>
    </row>
    <row r="5" spans="1:4">
      <c r="A5" t="s">
        <v>76</v>
      </c>
      <c r="B5" t="s">
        <v>100</v>
      </c>
      <c r="C5" t="s">
        <v>21</v>
      </c>
      <c r="D5" t="s">
        <v>105</v>
      </c>
    </row>
    <row r="6" spans="1:4">
      <c r="A6" t="s">
        <v>77</v>
      </c>
      <c r="B6" t="s">
        <v>43</v>
      </c>
      <c r="C6" t="s">
        <v>21</v>
      </c>
      <c r="D6" t="s">
        <v>137</v>
      </c>
    </row>
    <row r="7" spans="1:4">
      <c r="A7" t="s">
        <v>78</v>
      </c>
      <c r="B7" t="s">
        <v>103</v>
      </c>
      <c r="C7" t="s">
        <v>21</v>
      </c>
      <c r="D7" t="s">
        <v>138</v>
      </c>
    </row>
    <row r="8" spans="1:4">
      <c r="A8" t="s">
        <v>79</v>
      </c>
      <c r="B8" t="s">
        <v>38</v>
      </c>
      <c r="C8" t="s">
        <v>21</v>
      </c>
      <c r="D8" t="s">
        <v>37</v>
      </c>
    </row>
    <row r="9" spans="1:4">
      <c r="A9" t="s">
        <v>34</v>
      </c>
      <c r="B9" t="s">
        <v>136</v>
      </c>
      <c r="C9" t="s">
        <v>21</v>
      </c>
      <c r="D9" t="s">
        <v>116</v>
      </c>
    </row>
    <row r="10" spans="1:4">
      <c r="A10" t="s">
        <v>81</v>
      </c>
      <c r="B10" t="s">
        <v>106</v>
      </c>
      <c r="C10" t="s">
        <v>21</v>
      </c>
      <c r="D10" t="s">
        <v>117</v>
      </c>
    </row>
    <row r="11" spans="1:4">
      <c r="A11" t="s">
        <v>82</v>
      </c>
      <c r="B11" t="s">
        <v>204</v>
      </c>
      <c r="C11" t="s">
        <v>21</v>
      </c>
      <c r="D11" t="s">
        <v>139</v>
      </c>
    </row>
    <row r="12" spans="1:4">
      <c r="A12" t="s">
        <v>83</v>
      </c>
      <c r="B12" t="s">
        <v>107</v>
      </c>
      <c r="C12" t="s">
        <v>21</v>
      </c>
      <c r="D12" t="s">
        <v>47</v>
      </c>
    </row>
    <row r="13" spans="1:4">
      <c r="A13" t="s">
        <v>84</v>
      </c>
      <c r="B13" t="s">
        <v>40</v>
      </c>
      <c r="C13" t="s">
        <v>21</v>
      </c>
      <c r="D13" t="s">
        <v>140</v>
      </c>
    </row>
    <row r="14" spans="1:4">
      <c r="A14" t="s">
        <v>30</v>
      </c>
      <c r="B14" t="s">
        <v>52</v>
      </c>
      <c r="C14" t="s">
        <v>21</v>
      </c>
      <c r="D14" t="s">
        <v>141</v>
      </c>
    </row>
    <row r="15" spans="1:4">
      <c r="A15" t="s">
        <v>31</v>
      </c>
      <c r="B15" t="s">
        <v>207</v>
      </c>
      <c r="C15" t="s">
        <v>21</v>
      </c>
      <c r="D15" t="s">
        <v>143</v>
      </c>
    </row>
    <row r="16" spans="1:4">
      <c r="A16" t="s">
        <v>33</v>
      </c>
      <c r="B16" t="s">
        <v>110</v>
      </c>
      <c r="C16" t="s">
        <v>21</v>
      </c>
      <c r="D16" t="s">
        <v>144</v>
      </c>
    </row>
    <row r="17" spans="1:4">
      <c r="A17" t="s">
        <v>57</v>
      </c>
      <c r="B17" t="s">
        <v>111</v>
      </c>
      <c r="C17" t="s">
        <v>21</v>
      </c>
      <c r="D17" t="s">
        <v>118</v>
      </c>
    </row>
    <row r="18" spans="1:4">
      <c r="A18" t="s">
        <v>32</v>
      </c>
      <c r="B18" t="s">
        <v>39</v>
      </c>
      <c r="C18" t="s">
        <v>21</v>
      </c>
      <c r="D18" t="s">
        <v>145</v>
      </c>
    </row>
    <row r="19" spans="1:4">
      <c r="A19" t="s">
        <v>85</v>
      </c>
      <c r="B19" t="s">
        <v>114</v>
      </c>
      <c r="C19" t="s">
        <v>21</v>
      </c>
      <c r="D19" t="s">
        <v>146</v>
      </c>
    </row>
    <row r="20" spans="1:4">
      <c r="A20" t="s">
        <v>86</v>
      </c>
      <c r="B20" t="s">
        <v>115</v>
      </c>
      <c r="C20" t="s">
        <v>21</v>
      </c>
      <c r="D20" t="s">
        <v>142</v>
      </c>
    </row>
    <row r="21" spans="1:4">
      <c r="A21" t="s">
        <v>87</v>
      </c>
      <c r="B21" t="s">
        <v>119</v>
      </c>
      <c r="C21" t="s">
        <v>21</v>
      </c>
      <c r="D21" t="s">
        <v>122</v>
      </c>
    </row>
    <row r="22" spans="1:4">
      <c r="A22" t="s">
        <v>88</v>
      </c>
      <c r="B22" t="s">
        <v>120</v>
      </c>
      <c r="C22" t="s">
        <v>21</v>
      </c>
      <c r="D22" t="s">
        <v>123</v>
      </c>
    </row>
    <row r="23" spans="1:4">
      <c r="A23" t="s">
        <v>36</v>
      </c>
      <c r="B23" t="s">
        <v>42</v>
      </c>
      <c r="C23" t="s">
        <v>21</v>
      </c>
      <c r="D23" t="s">
        <v>132</v>
      </c>
    </row>
    <row r="24" spans="1:4">
      <c r="A24" t="s">
        <v>89</v>
      </c>
      <c r="B24" t="s">
        <v>50</v>
      </c>
      <c r="C24" t="s">
        <v>21</v>
      </c>
      <c r="D24" t="s">
        <v>124</v>
      </c>
    </row>
    <row r="25" spans="1:4">
      <c r="A25" t="s">
        <v>90</v>
      </c>
      <c r="B25" t="s">
        <v>125</v>
      </c>
      <c r="C25" t="s">
        <v>21</v>
      </c>
      <c r="D25" t="s">
        <v>48</v>
      </c>
    </row>
    <row r="26" spans="1:4">
      <c r="A26" t="s">
        <v>91</v>
      </c>
      <c r="B26" t="s">
        <v>126</v>
      </c>
      <c r="C26" t="s">
        <v>21</v>
      </c>
      <c r="D26" t="s">
        <v>65</v>
      </c>
    </row>
    <row r="27" spans="1:4">
      <c r="A27" t="s">
        <v>55</v>
      </c>
      <c r="B27" t="s">
        <v>127</v>
      </c>
      <c r="C27" t="s">
        <v>21</v>
      </c>
      <c r="D27" t="s">
        <v>67</v>
      </c>
    </row>
    <row r="28" spans="1:4">
      <c r="A28" t="s">
        <v>93</v>
      </c>
      <c r="B28" t="s">
        <v>129</v>
      </c>
      <c r="C28" t="s">
        <v>21</v>
      </c>
      <c r="D28" t="s">
        <v>68</v>
      </c>
    </row>
    <row r="29" spans="1:4">
      <c r="A29" t="s">
        <v>35</v>
      </c>
      <c r="B29" t="s">
        <v>41</v>
      </c>
      <c r="C29" t="s">
        <v>21</v>
      </c>
      <c r="D29" t="s">
        <v>133</v>
      </c>
    </row>
    <row r="30" spans="1:4">
      <c r="A30" t="s">
        <v>94</v>
      </c>
      <c r="B30" t="s">
        <v>131</v>
      </c>
      <c r="C30" t="s">
        <v>21</v>
      </c>
      <c r="D30" t="s">
        <v>69</v>
      </c>
    </row>
    <row r="31" spans="1:4">
      <c r="A31" t="s">
        <v>92</v>
      </c>
      <c r="B31" t="s">
        <v>110</v>
      </c>
      <c r="C31" t="s">
        <v>21</v>
      </c>
      <c r="D31" t="s">
        <v>66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F9F98-4EB9-4A5E-92F5-FE8814CBB092}">
  <dimension ref="A1:D2"/>
  <sheetViews>
    <sheetView workbookViewId="0">
      <selection activeCell="T16" sqref="T16"/>
    </sheetView>
  </sheetViews>
  <sheetFormatPr defaultRowHeight="16.5"/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92</v>
      </c>
      <c r="B2" t="s">
        <v>110</v>
      </c>
      <c r="C2" t="s">
        <v>21</v>
      </c>
      <c r="D2" t="s">
        <v>66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70" zoomScaleNormal="70" workbookViewId="0">
      <pane xSplit="3" ySplit="1" topLeftCell="D20" activePane="bottomRight" state="frozen"/>
      <selection pane="topRight" activeCell="D1" sqref="D1"/>
      <selection pane="bottomLeft" activeCell="A2" sqref="A2"/>
      <selection pane="bottomRight" activeCell="F25" sqref="F2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4" t="s">
        <v>135</v>
      </c>
    </row>
    <row r="4" spans="1:22" s="6" customFormat="1" ht="36" customHeight="1">
      <c r="B4" s="16"/>
      <c r="D4" s="58"/>
      <c r="E4" s="58" t="s">
        <v>96</v>
      </c>
      <c r="F4" s="58" t="s">
        <v>98</v>
      </c>
      <c r="G4" s="58" t="s">
        <v>49</v>
      </c>
      <c r="H4" s="58"/>
      <c r="I4" s="58" t="s">
        <v>100</v>
      </c>
      <c r="J4" s="58" t="s">
        <v>43</v>
      </c>
      <c r="K4" s="58" t="s">
        <v>103</v>
      </c>
      <c r="L4" s="58" t="s">
        <v>38</v>
      </c>
      <c r="M4" s="58"/>
      <c r="N4" s="58"/>
      <c r="O4" s="46"/>
      <c r="P4" s="46"/>
      <c r="Q4" s="46"/>
      <c r="R4" s="46"/>
      <c r="S4" s="17"/>
      <c r="V4" s="55"/>
    </row>
    <row r="5" spans="1:22" s="6" customFormat="1" ht="80.099999999999994" customHeight="1">
      <c r="B5" s="18">
        <v>1</v>
      </c>
      <c r="D5" s="57" t="s">
        <v>73</v>
      </c>
      <c r="E5" s="57" t="s">
        <v>74</v>
      </c>
      <c r="F5" s="57" t="s">
        <v>75</v>
      </c>
      <c r="G5" s="57" t="s">
        <v>58</v>
      </c>
      <c r="H5" s="57" t="s">
        <v>19</v>
      </c>
      <c r="I5" s="57" t="s">
        <v>76</v>
      </c>
      <c r="J5" s="57" t="s">
        <v>77</v>
      </c>
      <c r="K5" s="57" t="s">
        <v>78</v>
      </c>
      <c r="L5" s="57" t="s">
        <v>79</v>
      </c>
      <c r="M5" s="57" t="s">
        <v>80</v>
      </c>
      <c r="N5" s="57" t="str">
        <f>CHAR(10)</f>
        <v xml:space="preserve">
</v>
      </c>
      <c r="O5" s="36"/>
      <c r="P5" s="36"/>
      <c r="Q5" s="36"/>
      <c r="R5" s="36"/>
      <c r="S5" s="19"/>
      <c r="V5" s="55"/>
    </row>
    <row r="6" spans="1:22" s="23" customFormat="1" ht="36" customHeight="1">
      <c r="B6" s="20"/>
      <c r="C6" s="21"/>
      <c r="D6" s="59"/>
      <c r="E6" s="59" t="s">
        <v>97</v>
      </c>
      <c r="F6" s="59" t="s">
        <v>99</v>
      </c>
      <c r="G6" s="59" t="s">
        <v>54</v>
      </c>
      <c r="H6" s="59"/>
      <c r="I6" s="59" t="s">
        <v>101</v>
      </c>
      <c r="J6" s="59" t="s">
        <v>102</v>
      </c>
      <c r="K6" s="59" t="s">
        <v>103</v>
      </c>
      <c r="L6" s="59" t="s">
        <v>104</v>
      </c>
      <c r="M6" s="59"/>
      <c r="N6" s="59"/>
      <c r="O6" s="49"/>
      <c r="P6" s="49"/>
      <c r="Q6" s="49"/>
      <c r="R6" s="49"/>
      <c r="S6" s="22"/>
      <c r="V6" s="55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5"/>
    </row>
    <row r="8" spans="1:22" s="6" customFormat="1" ht="36" customHeight="1">
      <c r="B8" s="16"/>
      <c r="D8" s="58" t="s">
        <v>136</v>
      </c>
      <c r="E8" s="58" t="s">
        <v>43</v>
      </c>
      <c r="F8" s="58" t="s">
        <v>106</v>
      </c>
      <c r="G8" s="58" t="s">
        <v>205</v>
      </c>
      <c r="H8" s="58" t="s">
        <v>103</v>
      </c>
      <c r="I8" s="58" t="s">
        <v>107</v>
      </c>
      <c r="J8" s="58"/>
      <c r="K8" s="58" t="s">
        <v>40</v>
      </c>
      <c r="L8" s="58" t="s">
        <v>52</v>
      </c>
      <c r="M8" s="58" t="s">
        <v>208</v>
      </c>
      <c r="N8" s="58"/>
      <c r="O8" s="58" t="s">
        <v>110</v>
      </c>
      <c r="P8" s="58" t="s">
        <v>111</v>
      </c>
      <c r="Q8" s="58" t="s">
        <v>39</v>
      </c>
      <c r="R8" s="58" t="s">
        <v>114</v>
      </c>
      <c r="S8" s="17"/>
      <c r="V8" s="55"/>
    </row>
    <row r="9" spans="1:22" s="6" customFormat="1" ht="80.099999999999994" customHeight="1">
      <c r="B9" s="18">
        <f>B5+1</f>
        <v>2</v>
      </c>
      <c r="D9" s="57" t="s">
        <v>34</v>
      </c>
      <c r="E9" s="57" t="s">
        <v>77</v>
      </c>
      <c r="F9" s="57" t="s">
        <v>81</v>
      </c>
      <c r="G9" s="57" t="s">
        <v>82</v>
      </c>
      <c r="H9" s="57" t="s">
        <v>78</v>
      </c>
      <c r="I9" s="57" t="s">
        <v>83</v>
      </c>
      <c r="J9" s="57" t="s">
        <v>18</v>
      </c>
      <c r="K9" s="57" t="s">
        <v>84</v>
      </c>
      <c r="L9" s="57" t="s">
        <v>30</v>
      </c>
      <c r="M9" s="57" t="s">
        <v>31</v>
      </c>
      <c r="N9" s="57" t="s">
        <v>18</v>
      </c>
      <c r="O9" s="57" t="s">
        <v>33</v>
      </c>
      <c r="P9" s="57" t="s">
        <v>57</v>
      </c>
      <c r="Q9" s="57" t="s">
        <v>32</v>
      </c>
      <c r="R9" s="57" t="s">
        <v>85</v>
      </c>
      <c r="S9" s="19"/>
      <c r="T9" s="15"/>
      <c r="V9" s="55"/>
    </row>
    <row r="10" spans="1:22" s="6" customFormat="1" ht="36" customHeight="1">
      <c r="B10" s="20"/>
      <c r="D10" s="59" t="s">
        <v>136</v>
      </c>
      <c r="E10" s="59" t="s">
        <v>102</v>
      </c>
      <c r="F10" s="59" t="s">
        <v>106</v>
      </c>
      <c r="G10" s="59" t="s">
        <v>206</v>
      </c>
      <c r="H10" s="59" t="s">
        <v>103</v>
      </c>
      <c r="I10" s="59" t="s">
        <v>108</v>
      </c>
      <c r="J10" s="59"/>
      <c r="K10" s="59" t="s">
        <v>109</v>
      </c>
      <c r="L10" s="59" t="s">
        <v>45</v>
      </c>
      <c r="M10" s="59" t="s">
        <v>209</v>
      </c>
      <c r="N10" s="59"/>
      <c r="O10" s="59" t="s">
        <v>110</v>
      </c>
      <c r="P10" s="59" t="s">
        <v>112</v>
      </c>
      <c r="Q10" s="59" t="s">
        <v>113</v>
      </c>
      <c r="R10" s="59" t="s">
        <v>114</v>
      </c>
      <c r="S10" s="28"/>
      <c r="V10" s="55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5"/>
    </row>
    <row r="12" spans="1:22" s="6" customFormat="1" ht="36" customHeight="1">
      <c r="B12" s="16"/>
      <c r="D12" s="58" t="s">
        <v>115</v>
      </c>
      <c r="E12" s="58"/>
      <c r="F12" s="58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55"/>
    </row>
    <row r="13" spans="1:22" s="6" customFormat="1" ht="80.099999999999994" customHeight="1">
      <c r="B13" s="18">
        <f>B9+1</f>
        <v>3</v>
      </c>
      <c r="D13" s="57" t="s">
        <v>86</v>
      </c>
      <c r="E13" s="57" t="s">
        <v>19</v>
      </c>
      <c r="F13" s="57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55"/>
    </row>
    <row r="14" spans="1:22" s="6" customFormat="1" ht="36" customHeight="1">
      <c r="B14" s="20"/>
      <c r="D14" s="59" t="s">
        <v>115</v>
      </c>
      <c r="E14" s="59"/>
      <c r="F14" s="5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28"/>
      <c r="V14" s="55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5"/>
    </row>
    <row r="16" spans="1:22" s="6" customFormat="1" ht="36" customHeight="1">
      <c r="B16" s="16"/>
      <c r="D16" s="58" t="s">
        <v>119</v>
      </c>
      <c r="E16" s="58" t="s">
        <v>120</v>
      </c>
      <c r="F16" s="58" t="s">
        <v>42</v>
      </c>
      <c r="G16" s="58" t="s">
        <v>50</v>
      </c>
      <c r="H16" s="58"/>
      <c r="I16" s="58" t="s">
        <v>40</v>
      </c>
      <c r="J16" s="58" t="s">
        <v>52</v>
      </c>
      <c r="K16" s="58" t="s">
        <v>208</v>
      </c>
      <c r="L16" s="58"/>
      <c r="M16" s="58" t="s">
        <v>110</v>
      </c>
      <c r="N16" s="58" t="s">
        <v>120</v>
      </c>
      <c r="O16" s="58" t="s">
        <v>50</v>
      </c>
      <c r="P16" s="58" t="s">
        <v>39</v>
      </c>
      <c r="Q16" s="58" t="s">
        <v>114</v>
      </c>
      <c r="R16" s="58" t="s">
        <v>115</v>
      </c>
      <c r="S16" s="17"/>
      <c r="V16" s="55"/>
    </row>
    <row r="17" spans="2:22" s="6" customFormat="1" ht="80.099999999999994" customHeight="1">
      <c r="B17" s="18">
        <f>B13+1</f>
        <v>4</v>
      </c>
      <c r="D17" s="57" t="s">
        <v>87</v>
      </c>
      <c r="E17" s="57" t="s">
        <v>88</v>
      </c>
      <c r="F17" s="57" t="s">
        <v>36</v>
      </c>
      <c r="G17" s="57" t="s">
        <v>89</v>
      </c>
      <c r="H17" s="57" t="s">
        <v>18</v>
      </c>
      <c r="I17" s="57" t="s">
        <v>84</v>
      </c>
      <c r="J17" s="57" t="s">
        <v>30</v>
      </c>
      <c r="K17" s="57" t="s">
        <v>31</v>
      </c>
      <c r="L17" s="57" t="s">
        <v>18</v>
      </c>
      <c r="M17" s="57" t="s">
        <v>33</v>
      </c>
      <c r="N17" s="57" t="s">
        <v>88</v>
      </c>
      <c r="O17" s="57" t="s">
        <v>89</v>
      </c>
      <c r="P17" s="57" t="s">
        <v>32</v>
      </c>
      <c r="Q17" s="57" t="s">
        <v>85</v>
      </c>
      <c r="R17" s="57" t="s">
        <v>86</v>
      </c>
      <c r="S17" s="19"/>
      <c r="V17" s="55"/>
    </row>
    <row r="18" spans="2:22" s="6" customFormat="1" ht="36" customHeight="1">
      <c r="B18" s="20"/>
      <c r="D18" s="59" t="s">
        <v>119</v>
      </c>
      <c r="E18" s="59" t="s">
        <v>121</v>
      </c>
      <c r="F18" s="59" t="s">
        <v>42</v>
      </c>
      <c r="G18" s="59" t="s">
        <v>44</v>
      </c>
      <c r="H18" s="59"/>
      <c r="I18" s="59" t="s">
        <v>109</v>
      </c>
      <c r="J18" s="59" t="s">
        <v>45</v>
      </c>
      <c r="K18" s="59" t="s">
        <v>209</v>
      </c>
      <c r="L18" s="59"/>
      <c r="M18" s="59" t="s">
        <v>110</v>
      </c>
      <c r="N18" s="59" t="s">
        <v>121</v>
      </c>
      <c r="O18" s="59" t="s">
        <v>44</v>
      </c>
      <c r="P18" s="59" t="s">
        <v>113</v>
      </c>
      <c r="Q18" s="59" t="s">
        <v>114</v>
      </c>
      <c r="R18" s="59" t="s">
        <v>115</v>
      </c>
      <c r="S18" s="28"/>
      <c r="V18" s="55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5"/>
    </row>
    <row r="20" spans="2:22" s="6" customFormat="1" ht="36" customHeight="1">
      <c r="B20" s="16"/>
      <c r="D20" s="58"/>
      <c r="E20" s="58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55"/>
    </row>
    <row r="21" spans="2:22" s="6" customFormat="1" ht="80.099999999999994" customHeight="1">
      <c r="B21" s="18">
        <f>B17+1</f>
        <v>5</v>
      </c>
      <c r="D21" s="57" t="s">
        <v>19</v>
      </c>
      <c r="E21" s="57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55"/>
    </row>
    <row r="22" spans="2:22" s="6" customFormat="1" ht="36" customHeight="1">
      <c r="B22" s="20"/>
      <c r="D22" s="59"/>
      <c r="E22" s="5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28"/>
      <c r="V22" s="55"/>
    </row>
    <row r="23" spans="2:22" s="32" customFormat="1" ht="60" customHeight="1">
      <c r="B23" s="12"/>
      <c r="C23" s="31"/>
      <c r="D23" s="48"/>
      <c r="E23" s="48"/>
      <c r="F23" s="48" t="s">
        <v>110</v>
      </c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5"/>
    </row>
    <row r="24" spans="2:22" s="6" customFormat="1" ht="36" customHeight="1">
      <c r="B24" s="16"/>
      <c r="D24" s="58" t="s">
        <v>125</v>
      </c>
      <c r="E24" s="58" t="s">
        <v>126</v>
      </c>
      <c r="F24" s="58" t="s">
        <v>110</v>
      </c>
      <c r="G24" s="58"/>
      <c r="H24" s="58" t="s">
        <v>40</v>
      </c>
      <c r="I24" s="58" t="s">
        <v>52</v>
      </c>
      <c r="J24" s="58" t="s">
        <v>208</v>
      </c>
      <c r="K24" s="58"/>
      <c r="L24" s="58" t="s">
        <v>110</v>
      </c>
      <c r="M24" s="58" t="s">
        <v>127</v>
      </c>
      <c r="N24" s="58" t="s">
        <v>39</v>
      </c>
      <c r="O24" s="58" t="s">
        <v>114</v>
      </c>
      <c r="P24" s="58" t="s">
        <v>115</v>
      </c>
      <c r="Q24" s="58"/>
      <c r="R24" s="58"/>
      <c r="S24" s="17"/>
      <c r="V24" s="55"/>
    </row>
    <row r="25" spans="2:22" s="6" customFormat="1" ht="80.099999999999994" customHeight="1">
      <c r="B25" s="18">
        <f>B21+1</f>
        <v>6</v>
      </c>
      <c r="D25" s="57" t="s">
        <v>90</v>
      </c>
      <c r="E25" s="57" t="s">
        <v>91</v>
      </c>
      <c r="F25" s="57" t="s">
        <v>92</v>
      </c>
      <c r="G25" s="57" t="s">
        <v>18</v>
      </c>
      <c r="H25" s="57" t="s">
        <v>84</v>
      </c>
      <c r="I25" s="57" t="s">
        <v>30</v>
      </c>
      <c r="J25" s="57" t="s">
        <v>31</v>
      </c>
      <c r="K25" s="57" t="s">
        <v>18</v>
      </c>
      <c r="L25" s="57" t="s">
        <v>33</v>
      </c>
      <c r="M25" s="57" t="s">
        <v>55</v>
      </c>
      <c r="N25" s="57" t="s">
        <v>32</v>
      </c>
      <c r="O25" s="57" t="s">
        <v>85</v>
      </c>
      <c r="P25" s="57" t="s">
        <v>86</v>
      </c>
      <c r="Q25" s="57" t="s">
        <v>19</v>
      </c>
      <c r="R25" s="57" t="str">
        <f>CHAR(10)</f>
        <v xml:space="preserve">
</v>
      </c>
      <c r="S25" s="19"/>
      <c r="V25" s="55"/>
    </row>
    <row r="26" spans="2:22" s="6" customFormat="1" ht="36" customHeight="1">
      <c r="B26" s="20"/>
      <c r="D26" s="59" t="s">
        <v>125</v>
      </c>
      <c r="E26" s="59" t="s">
        <v>126</v>
      </c>
      <c r="F26" s="59" t="s">
        <v>110</v>
      </c>
      <c r="G26" s="59"/>
      <c r="H26" s="59" t="s">
        <v>109</v>
      </c>
      <c r="I26" s="59" t="s">
        <v>45</v>
      </c>
      <c r="J26" s="59" t="s">
        <v>209</v>
      </c>
      <c r="K26" s="59"/>
      <c r="L26" s="59" t="s">
        <v>110</v>
      </c>
      <c r="M26" s="59" t="s">
        <v>128</v>
      </c>
      <c r="N26" s="59" t="s">
        <v>113</v>
      </c>
      <c r="O26" s="59" t="s">
        <v>114</v>
      </c>
      <c r="P26" s="59" t="s">
        <v>115</v>
      </c>
      <c r="Q26" s="59"/>
      <c r="R26" s="59"/>
      <c r="S26" s="28"/>
      <c r="V26" s="55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5"/>
    </row>
    <row r="28" spans="2:22" s="6" customFormat="1" ht="36" customHeight="1">
      <c r="B28" s="16"/>
      <c r="D28" s="58" t="s">
        <v>129</v>
      </c>
      <c r="E28" s="58" t="s">
        <v>110</v>
      </c>
      <c r="F28" s="58" t="s">
        <v>39</v>
      </c>
      <c r="G28" s="58" t="s">
        <v>41</v>
      </c>
      <c r="H28" s="58" t="s">
        <v>42</v>
      </c>
      <c r="I28" s="58" t="s">
        <v>131</v>
      </c>
      <c r="J28" s="58"/>
      <c r="K28" s="58" t="s">
        <v>208</v>
      </c>
      <c r="L28" s="58" t="s">
        <v>39</v>
      </c>
      <c r="M28" s="58" t="s">
        <v>41</v>
      </c>
      <c r="N28" s="58" t="s">
        <v>42</v>
      </c>
      <c r="O28" s="58" t="s">
        <v>114</v>
      </c>
      <c r="P28" s="58"/>
      <c r="Q28" s="58"/>
      <c r="R28" s="46"/>
      <c r="S28" s="17"/>
      <c r="U28" s="32" t="str">
        <f t="shared" si="1"/>
        <v/>
      </c>
      <c r="V28" s="55"/>
    </row>
    <row r="29" spans="2:22" s="6" customFormat="1" ht="80.099999999999994" customHeight="1">
      <c r="B29" s="18">
        <f>B25+1</f>
        <v>7</v>
      </c>
      <c r="D29" s="57" t="s">
        <v>93</v>
      </c>
      <c r="E29" s="57" t="s">
        <v>33</v>
      </c>
      <c r="F29" s="57" t="s">
        <v>32</v>
      </c>
      <c r="G29" s="57" t="s">
        <v>35</v>
      </c>
      <c r="H29" s="57" t="s">
        <v>36</v>
      </c>
      <c r="I29" s="57" t="s">
        <v>94</v>
      </c>
      <c r="J29" s="57" t="s">
        <v>18</v>
      </c>
      <c r="K29" s="57" t="s">
        <v>31</v>
      </c>
      <c r="L29" s="57" t="s">
        <v>32</v>
      </c>
      <c r="M29" s="57" t="s">
        <v>35</v>
      </c>
      <c r="N29" s="57" t="s">
        <v>36</v>
      </c>
      <c r="O29" s="57" t="s">
        <v>85</v>
      </c>
      <c r="P29" s="57" t="s">
        <v>19</v>
      </c>
      <c r="Q29" s="57" t="str">
        <f>CHAR(10)</f>
        <v xml:space="preserve">
</v>
      </c>
      <c r="R29" s="36"/>
      <c r="S29" s="19"/>
      <c r="U29" s="32" t="str">
        <f t="shared" si="1"/>
        <v/>
      </c>
      <c r="V29" s="55"/>
    </row>
    <row r="30" spans="2:22" s="6" customFormat="1" ht="36" customHeight="1">
      <c r="B30" s="20"/>
      <c r="D30" s="59" t="s">
        <v>130</v>
      </c>
      <c r="E30" s="59" t="s">
        <v>110</v>
      </c>
      <c r="F30" s="59" t="s">
        <v>113</v>
      </c>
      <c r="G30" s="59" t="s">
        <v>41</v>
      </c>
      <c r="H30" s="59" t="s">
        <v>42</v>
      </c>
      <c r="I30" s="59" t="s">
        <v>131</v>
      </c>
      <c r="J30" s="59"/>
      <c r="K30" s="59" t="s">
        <v>209</v>
      </c>
      <c r="L30" s="59" t="s">
        <v>113</v>
      </c>
      <c r="M30" s="59" t="s">
        <v>41</v>
      </c>
      <c r="N30" s="59" t="s">
        <v>42</v>
      </c>
      <c r="O30" s="59" t="s">
        <v>114</v>
      </c>
      <c r="P30" s="59"/>
      <c r="Q30" s="59"/>
      <c r="R30" s="49"/>
      <c r="S30" s="28"/>
      <c r="U30" s="32" t="str">
        <f t="shared" si="1"/>
        <v/>
      </c>
      <c r="V30" s="55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5"/>
    </row>
    <row r="32" spans="2:22" s="6" customFormat="1" ht="36" customHeight="1">
      <c r="B32" s="16"/>
      <c r="D32" s="58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55"/>
    </row>
    <row r="33" spans="2:22" s="6" customFormat="1" ht="80.099999999999994" customHeight="1">
      <c r="B33" s="18">
        <f>B29+1</f>
        <v>8</v>
      </c>
      <c r="D33" s="57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55"/>
    </row>
    <row r="34" spans="2:22" s="6" customFormat="1" ht="36" customHeight="1">
      <c r="B34" s="20"/>
      <c r="D34" s="5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28"/>
      <c r="V34" s="55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5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55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55"/>
    </row>
    <row r="38" spans="2:22" s="6" customFormat="1" ht="36" customHeight="1">
      <c r="B38" s="20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28"/>
      <c r="V38" s="55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5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55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55"/>
    </row>
    <row r="42" spans="2:22" s="6" customFormat="1" ht="36" customHeight="1">
      <c r="B42" s="20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28"/>
      <c r="V42" s="55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5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55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55"/>
    </row>
    <row r="46" spans="2:22" s="6" customFormat="1" ht="36" customHeight="1">
      <c r="B46" s="20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28"/>
      <c r="V46" s="55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5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55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55"/>
    </row>
    <row r="50" spans="2:22" s="6" customFormat="1" ht="36" customHeight="1">
      <c r="B50" s="20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28"/>
      <c r="V50" s="55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55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55"/>
    </row>
    <row r="54" spans="2:22" s="6" customFormat="1" ht="36" customHeight="1">
      <c r="B54" s="20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28"/>
      <c r="V54" s="55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5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55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55"/>
    </row>
    <row r="58" spans="2:22" s="6" customFormat="1" ht="36" customHeight="1">
      <c r="B58" s="20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28"/>
      <c r="V58" s="55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55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55"/>
    </row>
    <row r="62" spans="2:22" s="6" customFormat="1" ht="36" customHeight="1">
      <c r="B62" s="20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28"/>
      <c r="V62" s="55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5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55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55"/>
    </row>
    <row r="66" spans="2:22" s="6" customFormat="1" ht="36" customHeight="1">
      <c r="B66" s="20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28"/>
      <c r="V66" s="55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55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55"/>
    </row>
    <row r="70" spans="2:22" s="6" customFormat="1" ht="36" customHeight="1">
      <c r="B70" s="20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28"/>
      <c r="V70" s="55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5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55"/>
    </row>
    <row r="74" spans="2:22" s="6" customFormat="1" ht="36" customHeight="1">
      <c r="B74" s="20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28"/>
      <c r="V74" s="55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5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55"/>
    </row>
    <row r="78" spans="2:22" s="6" customFormat="1" ht="36" customHeight="1">
      <c r="B78" s="20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28"/>
      <c r="V78" s="55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5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55"/>
    </row>
    <row r="82" spans="2:22" s="6" customFormat="1" ht="36" customHeight="1">
      <c r="B82" s="20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28"/>
      <c r="V82" s="56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51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B119-DEFA-4D76-A56A-E611C4980E86}">
  <dimension ref="A1:R9"/>
  <sheetViews>
    <sheetView workbookViewId="0">
      <selection activeCell="B1" sqref="B1:C1048576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</cols>
  <sheetData>
    <row r="1" spans="1:18" ht="24">
      <c r="A1" s="61"/>
      <c r="B1" s="64"/>
      <c r="C1" s="61"/>
      <c r="D1" s="61"/>
      <c r="E1" s="61"/>
      <c r="F1" s="71" t="s">
        <v>147</v>
      </c>
      <c r="G1" s="71"/>
      <c r="H1" s="71"/>
      <c r="I1" s="71"/>
      <c r="J1" s="71"/>
      <c r="K1" s="71"/>
      <c r="L1" s="65"/>
      <c r="M1" s="65"/>
      <c r="N1" s="65" t="s">
        <v>148</v>
      </c>
      <c r="O1" s="65"/>
      <c r="P1" s="65"/>
      <c r="Q1" s="82"/>
      <c r="R1" s="82"/>
    </row>
    <row r="2" spans="1:18">
      <c r="A2" s="61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</row>
    <row r="3" spans="1:18" ht="60">
      <c r="A3" s="62" t="s">
        <v>149</v>
      </c>
      <c r="B3" s="62" t="s">
        <v>150</v>
      </c>
      <c r="C3" s="62" t="s">
        <v>151</v>
      </c>
      <c r="D3" s="67" t="s">
        <v>152</v>
      </c>
      <c r="E3" s="67" t="s">
        <v>153</v>
      </c>
      <c r="F3" s="66" t="s">
        <v>154</v>
      </c>
      <c r="G3" s="66" t="s">
        <v>155</v>
      </c>
      <c r="H3" s="66" t="s">
        <v>56</v>
      </c>
      <c r="I3" s="66" t="s">
        <v>156</v>
      </c>
      <c r="J3" s="66" t="s">
        <v>157</v>
      </c>
      <c r="K3" s="66" t="s">
        <v>158</v>
      </c>
      <c r="L3" s="68" t="s">
        <v>159</v>
      </c>
      <c r="M3" s="65" t="s">
        <v>56</v>
      </c>
      <c r="N3" s="65" t="s">
        <v>156</v>
      </c>
      <c r="O3" s="65" t="s">
        <v>157</v>
      </c>
      <c r="P3" s="65" t="s">
        <v>158</v>
      </c>
      <c r="Q3" s="83" t="s">
        <v>160</v>
      </c>
      <c r="R3" s="83" t="s">
        <v>161</v>
      </c>
    </row>
    <row r="4" spans="1:18" ht="34.5">
      <c r="A4" s="63">
        <v>1</v>
      </c>
      <c r="B4" s="73" t="s">
        <v>162</v>
      </c>
      <c r="C4" s="75" t="s">
        <v>163</v>
      </c>
      <c r="D4" s="76">
        <v>20</v>
      </c>
      <c r="E4" s="76">
        <v>25</v>
      </c>
      <c r="F4" s="77">
        <v>0</v>
      </c>
      <c r="G4" s="78">
        <v>25000</v>
      </c>
      <c r="H4" s="79" t="s">
        <v>164</v>
      </c>
      <c r="I4" s="79" t="s">
        <v>164</v>
      </c>
      <c r="J4" s="79" t="s">
        <v>165</v>
      </c>
      <c r="K4" s="79" t="s">
        <v>166</v>
      </c>
      <c r="L4" s="70">
        <v>20000</v>
      </c>
      <c r="M4" s="70" t="s">
        <v>164</v>
      </c>
      <c r="N4" s="70" t="s">
        <v>164</v>
      </c>
      <c r="O4" s="70" t="s">
        <v>167</v>
      </c>
      <c r="P4" s="70" t="s">
        <v>166</v>
      </c>
      <c r="Q4" s="84" t="s">
        <v>168</v>
      </c>
      <c r="R4" s="86" t="s">
        <v>169</v>
      </c>
    </row>
    <row r="5" spans="1:18" ht="34.5">
      <c r="A5" s="63">
        <v>2</v>
      </c>
      <c r="B5" s="74" t="s">
        <v>170</v>
      </c>
      <c r="C5" s="75" t="s">
        <v>171</v>
      </c>
      <c r="D5" s="69">
        <v>2</v>
      </c>
      <c r="E5" s="69">
        <v>5</v>
      </c>
      <c r="F5" s="77">
        <v>25000</v>
      </c>
      <c r="G5" s="78">
        <v>30000</v>
      </c>
      <c r="H5" s="79" t="s">
        <v>164</v>
      </c>
      <c r="I5" s="79" t="s">
        <v>164</v>
      </c>
      <c r="J5" s="79" t="s">
        <v>172</v>
      </c>
      <c r="K5" s="79" t="s">
        <v>166</v>
      </c>
      <c r="L5" s="70">
        <v>27000</v>
      </c>
      <c r="M5" s="70" t="s">
        <v>164</v>
      </c>
      <c r="N5" s="70" t="s">
        <v>164</v>
      </c>
      <c r="O5" s="70" t="s">
        <v>173</v>
      </c>
      <c r="P5" s="70" t="s">
        <v>166</v>
      </c>
      <c r="Q5" s="84" t="s">
        <v>174</v>
      </c>
      <c r="R5" s="86" t="s">
        <v>175</v>
      </c>
    </row>
    <row r="6" spans="1:18" ht="34.5">
      <c r="A6" s="63">
        <v>3</v>
      </c>
      <c r="B6" s="74" t="s">
        <v>176</v>
      </c>
      <c r="C6" s="75" t="s">
        <v>177</v>
      </c>
      <c r="D6" s="69">
        <v>2</v>
      </c>
      <c r="E6" s="69">
        <v>5</v>
      </c>
      <c r="F6" s="77">
        <v>30000</v>
      </c>
      <c r="G6" s="78">
        <v>35000</v>
      </c>
      <c r="H6" s="79" t="s">
        <v>164</v>
      </c>
      <c r="I6" s="79" t="s">
        <v>164</v>
      </c>
      <c r="J6" s="79" t="s">
        <v>178</v>
      </c>
      <c r="K6" s="79" t="s">
        <v>166</v>
      </c>
      <c r="L6" s="70">
        <v>32000</v>
      </c>
      <c r="M6" s="70" t="s">
        <v>164</v>
      </c>
      <c r="N6" s="70" t="s">
        <v>164</v>
      </c>
      <c r="O6" s="70" t="s">
        <v>179</v>
      </c>
      <c r="P6" s="70" t="s">
        <v>166</v>
      </c>
      <c r="Q6" s="84" t="s">
        <v>180</v>
      </c>
      <c r="R6" s="86" t="s">
        <v>181</v>
      </c>
    </row>
    <row r="7" spans="1:18" ht="34.5">
      <c r="A7" s="63">
        <v>4</v>
      </c>
      <c r="B7" s="74" t="s">
        <v>182</v>
      </c>
      <c r="C7" s="75" t="s">
        <v>183</v>
      </c>
      <c r="D7" s="69">
        <v>2</v>
      </c>
      <c r="E7" s="69">
        <v>5</v>
      </c>
      <c r="F7" s="77">
        <v>35000</v>
      </c>
      <c r="G7" s="78">
        <v>40000</v>
      </c>
      <c r="H7" s="79" t="s">
        <v>164</v>
      </c>
      <c r="I7" s="79" t="s">
        <v>164</v>
      </c>
      <c r="J7" s="79" t="s">
        <v>184</v>
      </c>
      <c r="K7" s="79" t="s">
        <v>166</v>
      </c>
      <c r="L7" s="70">
        <v>37000</v>
      </c>
      <c r="M7" s="70" t="s">
        <v>164</v>
      </c>
      <c r="N7" s="70" t="s">
        <v>164</v>
      </c>
      <c r="O7" s="70" t="s">
        <v>185</v>
      </c>
      <c r="P7" s="70" t="s">
        <v>166</v>
      </c>
      <c r="Q7" s="84" t="s">
        <v>186</v>
      </c>
      <c r="R7" s="86" t="s">
        <v>187</v>
      </c>
    </row>
    <row r="8" spans="1:18" ht="34.5">
      <c r="A8" s="63">
        <v>5</v>
      </c>
      <c r="B8" s="74" t="s">
        <v>188</v>
      </c>
      <c r="C8" s="75" t="s">
        <v>189</v>
      </c>
      <c r="D8" s="69">
        <v>2</v>
      </c>
      <c r="E8" s="69">
        <v>5</v>
      </c>
      <c r="F8" s="77">
        <v>40000</v>
      </c>
      <c r="G8" s="78">
        <v>45000</v>
      </c>
      <c r="H8" s="79" t="s">
        <v>164</v>
      </c>
      <c r="I8" s="79" t="s">
        <v>164</v>
      </c>
      <c r="J8" s="79" t="s">
        <v>190</v>
      </c>
      <c r="K8" s="79" t="s">
        <v>166</v>
      </c>
      <c r="L8" s="70">
        <v>42000</v>
      </c>
      <c r="M8" s="70" t="s">
        <v>164</v>
      </c>
      <c r="N8" s="70" t="s">
        <v>164</v>
      </c>
      <c r="O8" s="70" t="s">
        <v>191</v>
      </c>
      <c r="P8" s="70" t="s">
        <v>166</v>
      </c>
      <c r="Q8" s="84" t="s">
        <v>192</v>
      </c>
      <c r="R8" s="86" t="s">
        <v>193</v>
      </c>
    </row>
    <row r="9" spans="1:18" ht="24">
      <c r="A9" s="72" t="s">
        <v>194</v>
      </c>
      <c r="B9" s="87" t="s">
        <v>189</v>
      </c>
      <c r="C9" s="75" t="s">
        <v>195</v>
      </c>
      <c r="D9" s="69">
        <v>2</v>
      </c>
      <c r="E9" s="69">
        <v>5</v>
      </c>
      <c r="F9" s="80">
        <v>42000</v>
      </c>
      <c r="G9" s="78">
        <v>47000</v>
      </c>
      <c r="H9" s="81" t="s">
        <v>164</v>
      </c>
      <c r="I9" s="81" t="s">
        <v>164</v>
      </c>
      <c r="J9" s="81" t="s">
        <v>196</v>
      </c>
      <c r="K9" s="81" t="s">
        <v>166</v>
      </c>
      <c r="L9" s="70">
        <v>44000</v>
      </c>
      <c r="M9" s="70" t="s">
        <v>164</v>
      </c>
      <c r="N9" s="70" t="s">
        <v>164</v>
      </c>
      <c r="O9" s="70" t="s">
        <v>197</v>
      </c>
      <c r="P9" s="70" t="s">
        <v>166</v>
      </c>
      <c r="Q9" s="85"/>
      <c r="R9" s="8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20</vt:i4>
      </vt:variant>
    </vt:vector>
  </HeadingPairs>
  <TitlesOfParts>
    <vt:vector size="27" baseType="lpstr">
      <vt:lpstr>env</vt:lpstr>
      <vt:lpstr>操作表</vt:lpstr>
      <vt:lpstr>缺字表</vt:lpstr>
      <vt:lpstr>標音字庫</vt:lpstr>
      <vt:lpstr>人工標音字庫</vt:lpstr>
      <vt:lpstr>漢字注音</vt:lpstr>
      <vt:lpstr>SRT漢字注音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2026-09-13T12:20:29Z</dcterms:modified>
</cp:coreProperties>
</file>