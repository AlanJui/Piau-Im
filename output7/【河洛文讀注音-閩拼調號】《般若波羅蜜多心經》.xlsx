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4B3BE711-D451-4954-8DDB-245C4B2FCCEC}" xr6:coauthVersionLast="47" xr6:coauthVersionMax="47" xr10:uidLastSave="{00000000-0000-0000-0000-000000000000}"/>
  <bookViews>
    <workbookView xWindow="28680" yWindow="-195" windowWidth="38640" windowHeight="15720" activeTab="4" xr2:uid="{33AB2257-ECDF-4521-8F0E-4FD5B627422C}"/>
  </bookViews>
  <sheets>
    <sheet name="env" sheetId="10" r:id="rId1"/>
    <sheet name="缺字表" sheetId="18" r:id="rId2"/>
    <sheet name="人工標音字庫" sheetId="17" r:id="rId3"/>
    <sheet name="標音字庫" sheetId="16" r:id="rId4"/>
    <sheet name="漢字注音" sheetId="1" r:id="rId5"/>
    <sheet name="台羅拼音" sheetId="15" r:id="rId6"/>
    <sheet name="十五音" sheetId="14" r:id="rId7"/>
    <sheet name="閩拼方案" sheetId="12" r:id="rId8"/>
    <sheet name="135拼音-聲調符號" sheetId="3" r:id="rId9"/>
    <sheet name="135拼音-聲調轉換" sheetId="4" r:id="rId10"/>
    <sheet name="轉調助記圖" sheetId="5" r:id="rId11"/>
  </sheets>
  <definedNames>
    <definedName name="FILE_NAME">env!$C$3</definedName>
    <definedName name="IMAGE_URL">env!$C$5</definedName>
    <definedName name="INPUT_FILE_PATH">env!$C$2</definedName>
    <definedName name="OUTPUT_PATH">env!$C$6</definedName>
    <definedName name="TITLE">env!$C$4</definedName>
    <definedName name="上邊標音">env!$C$16</definedName>
    <definedName name="右邊標音">env!$C$17</definedName>
    <definedName name="每列總字數">env!$C$10</definedName>
    <definedName name="每頁總列數">env!$C$9</definedName>
    <definedName name="漢字庫">env!$C$12</definedName>
    <definedName name="網頁每列字數">env!$C$18</definedName>
    <definedName name="網頁格式">env!$C$14</definedName>
    <definedName name="語音類型">env!$C$11</definedName>
    <definedName name="標音方式">env!$C$15</definedName>
    <definedName name="標音方法">env!$C$13</definedName>
    <definedName name="顯示注音輸入">env!$C$8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C1" i="1"/>
  <c r="D1" i="1"/>
  <c r="E1" i="1"/>
  <c r="F1" i="1"/>
  <c r="G1" i="1"/>
  <c r="H1" i="1"/>
  <c r="I1" i="1"/>
  <c r="J1" i="1"/>
  <c r="K1" i="1"/>
  <c r="L1" i="1"/>
  <c r="M1" i="1"/>
  <c r="N1" i="1"/>
  <c r="O1" i="1"/>
  <c r="P1" i="1"/>
  <c r="Q1" i="1"/>
  <c r="R1" i="1"/>
  <c r="A1" i="1"/>
  <c r="D117" i="1"/>
  <c r="O113" i="1"/>
  <c r="D101" i="1"/>
  <c r="N97" i="1"/>
  <c r="D89" i="1"/>
  <c r="E85" i="1"/>
  <c r="D65" i="1"/>
  <c r="G61" i="1"/>
  <c r="D49" i="1"/>
  <c r="M45" i="1"/>
  <c r="D29" i="1"/>
  <c r="H25" i="1"/>
  <c r="D13" i="1"/>
  <c r="R9" i="1"/>
  <c r="U32" i="15"/>
  <c r="U31" i="15"/>
  <c r="U30" i="15"/>
  <c r="U29" i="15"/>
  <c r="U28" i="15"/>
  <c r="U27" i="15"/>
  <c r="U26" i="15"/>
  <c r="B9" i="15"/>
  <c r="B13" i="15" s="1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V2" i="15"/>
  <c r="U32" i="14"/>
  <c r="U31" i="14"/>
  <c r="U30" i="14"/>
  <c r="U29" i="14"/>
  <c r="U28" i="14"/>
  <c r="U27" i="14"/>
  <c r="U26" i="14"/>
  <c r="B9" i="14"/>
  <c r="B13" i="14" s="1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V2" i="14"/>
  <c r="U32" i="12"/>
  <c r="U31" i="12"/>
  <c r="U30" i="12"/>
  <c r="U29" i="12"/>
  <c r="U28" i="12"/>
  <c r="U27" i="12"/>
  <c r="U26" i="12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V2" i="12"/>
  <c r="U28" i="1" l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<sst xmlns="http://schemas.openxmlformats.org/spreadsheetml/2006/main" count="2753" uniqueCount="1082">
  <si>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</si>
  <si>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</si>
  <si>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</si>
  <si>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</si>
  <si>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</si>
  <si>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</si>
  <si>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</si>
  <si>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</si>
  <si>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</si>
  <si>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</si>
  <si>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</si>
  <si>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</si>
  <si>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</si>
  <si>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</si>
  <si>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</si>
  <si>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</si>
  <si>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</si>
  <si>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</si>
  <si>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</si>
  <si>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</si>
  <si>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</si>
  <si>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</si>
  <si>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</si>
  <si>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</si>
  <si>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</si>
  <si>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</si>
  <si>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</si>
  <si>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</si>
  <si>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</si>
  <si>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</si>
  <si>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</si>
  <si>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</si>
  <si>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</si>
  <si>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</si>
  <si>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</si>
  <si>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</si>
  <si>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</si>
  <si>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</si>
  <si>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</si>
  <si>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</si>
  <si>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</si>
  <si>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</si>
  <si>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</si>
  <si>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</si>
  <si>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</si>
  <si>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</si>
  <si>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</si>
  <si>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</si>
  <si>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</si>
  <si>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</si>
  <si>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</si>
  <si>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</si>
  <si>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</si>
  <si>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</si>
  <si>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</si>
  <si>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</si>
  <si>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</si>
  <si>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</si>
  <si>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</si>
  <si>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</si>
  <si>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</si>
  <si>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</si>
  <si>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</si>
  <si>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</si>
  <si>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</si>
  <si>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</si>
  <si>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</si>
  <si>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</si>
  <si>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</si>
  <si>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</si>
  <si>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</si>
  <si>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</si>
  <si>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</si>
  <si>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</si>
  <si>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</si>
  <si>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</si>
  <si>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</si>
  <si>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</si>
  <si>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</si>
  <si>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</si>
  <si>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</si>
  <si>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</si>
  <si>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</si>
  <si>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</si>
  <si>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</si>
  <si>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</si>
  <si>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</si>
  <si>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</si>
  <si>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</si>
  <si>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</si>
  <si>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</si>
  <si>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</si>
  <si>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</si>
  <si>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</si>
  <si>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</si>
  <si>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</si>
  <si>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</si>
  <si>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</si>
  <si>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</si>
  <si>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</si>
  <si>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</si>
  <si>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</si>
  <si>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</si>
  <si>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</si>
  <si>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</si>
  <si>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</si>
  <si>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</si>
  <si>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</si>
  <si>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</si>
  <si>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</si>
  <si>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</si>
  <si>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</si>
  <si>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</si>
  <si>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</si>
  <si>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</si>
  <si>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</si>
  <si>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</si>
  <si>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</si>
  <si>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</si>
  <si>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</si>
  <si>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</si>
  <si>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</si>
  <si>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</si>
  <si>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</si>
  <si>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</si>
  <si>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</si>
  <si>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</si>
  <si>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</si>
  <si>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</si>
  <si>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</si>
  <si>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</si>
  <si>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</si>
  <si>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</si>
  <si>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</si>
  <si>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</si>
  <si>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</si>
  <si>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</si>
  <si>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</si>
  <si>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</si>
  <si>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</si>
  <si>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</si>
  <si>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</si>
  <si>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</si>
  <si>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</si>
  <si>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</si>
  <si>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</si>
  <si>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</si>
  <si>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</si>
  <si>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</si>
  <si>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</si>
  <si>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</si>
  <si>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</si>
  <si>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</si>
  <si>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</si>
  <si>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</si>
  <si>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</si>
  <si>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</si>
  <si>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</si>
  <si>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</si>
  <si>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</si>
  <si>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</si>
  <si>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</si>
  <si>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</si>
  <si>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</si>
  <si>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r>
      <rPr>
        <sz val="18"/>
        <color theme="1"/>
        <rFont val="微軟正黑體"/>
        <family val="2"/>
        <charset val="136"/>
      </rPr>
      <t>Tai_Gi_Zu_Im_Bun</t>
    </r>
    <r>
      <rPr>
        <sz val="18"/>
        <color theme="1"/>
        <rFont val="黒体-繁"/>
        <family val="2"/>
        <charset val="136"/>
      </rPr>
      <t>.xlsx</t>
    </r>
    <phoneticPr fontId="1" type="noConversion"/>
  </si>
  <si>
    <t>TITLE</t>
  </si>
  <si>
    <t>IMAGE_URL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</si>
  <si>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</si>
  <si>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</si>
  <si>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</si>
  <si>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</si>
  <si>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</si>
  <si>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</si>
  <si>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</si>
  <si>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</si>
  <si>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</si>
  <si>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</si>
  <si>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每頁總列數</t>
    <phoneticPr fontId="1" type="noConversion"/>
  </si>
  <si>
    <t>每列總字數</t>
    <phoneticPr fontId="1" type="noConversion"/>
  </si>
  <si>
    <t>C:\\work\\Piau-Im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</si>
  <si>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</si>
  <si>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</si>
  <si>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</si>
  <si>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，</t>
  </si>
  <si>
    <t>人</t>
  </si>
  <si>
    <t>無</t>
  </si>
  <si>
    <t>。</t>
  </si>
  <si>
    <t>一</t>
  </si>
  <si>
    <t>有</t>
  </si>
  <si>
    <t>極</t>
  </si>
  <si>
    <t>所</t>
  </si>
  <si>
    <t>是</t>
  </si>
  <si>
    <t>日</t>
  </si>
  <si>
    <t>語音類型</t>
    <phoneticPr fontId="1" type="noConversion"/>
  </si>
  <si>
    <t>漢字庫</t>
    <phoneticPr fontId="1" type="noConversion"/>
  </si>
  <si>
    <t>大</t>
  </si>
  <si>
    <t>世</t>
  </si>
  <si>
    <t>至</t>
  </si>
  <si>
    <t>終</t>
  </si>
  <si>
    <t>和</t>
  </si>
  <si>
    <t>仰</t>
  </si>
  <si>
    <t>感</t>
  </si>
  <si>
    <t>能</t>
  </si>
  <si>
    <t>每</t>
  </si>
  <si>
    <t>文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</si>
  <si>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</si>
  <si>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尚</t>
  </si>
  <si>
    <t>力</t>
  </si>
  <si>
    <t>量</t>
  </si>
  <si>
    <t>的</t>
  </si>
  <si>
    <t>祈</t>
  </si>
  <si>
    <t>禱</t>
  </si>
  <si>
    <t>阮</t>
  </si>
  <si>
    <t>謙</t>
  </si>
  <si>
    <t>卑</t>
  </si>
  <si>
    <t>敬</t>
  </si>
  <si>
    <t>、</t>
  </si>
  <si>
    <t>讚</t>
  </si>
  <si>
    <t>美</t>
  </si>
  <si>
    <t>謝</t>
  </si>
  <si>
    <t>服</t>
  </si>
  <si>
    <t>從</t>
  </si>
  <si>
    <t>与</t>
  </si>
  <si>
    <t>愛</t>
  </si>
  <si>
    <t>全</t>
  </si>
  <si>
    <t>上</t>
  </si>
  <si>
    <t>帝</t>
  </si>
  <si>
    <t>高</t>
  </si>
  <si>
    <t>偉</t>
  </si>
  <si>
    <t>賜</t>
  </si>
  <si>
    <t>純</t>
  </si>
  <si>
    <t>素</t>
  </si>
  <si>
    <t>界</t>
  </si>
  <si>
    <t>平</t>
  </si>
  <si>
    <t>靈</t>
  </si>
  <si>
    <t>魂</t>
  </si>
  <si>
    <t>解</t>
  </si>
  <si>
    <t>脫</t>
  </si>
  <si>
    <t>唯</t>
  </si>
  <si>
    <t>子</t>
  </si>
  <si>
    <t>兒</t>
  </si>
  <si>
    <t>伊</t>
  </si>
  <si>
    <t>師</t>
  </si>
  <si>
    <t>救</t>
  </si>
  <si>
    <t>贖</t>
  </si>
  <si>
    <t>遵</t>
  </si>
  <si>
    <t>循</t>
  </si>
  <si>
    <t>聖</t>
  </si>
  <si>
    <t>哲</t>
  </si>
  <si>
    <t>教</t>
  </si>
  <si>
    <t>誨</t>
  </si>
  <si>
    <t>代</t>
  </si>
  <si>
    <t>表</t>
  </si>
  <si>
    <t>性</t>
  </si>
  <si>
    <t>提</t>
  </si>
  <si>
    <t>昇</t>
  </si>
  <si>
    <r>
      <t>〔lin⁵〕
【</t>
    </r>
    <r>
      <rPr>
        <sz val="20"/>
        <color rgb="FFFF0000"/>
        <rFont val="Microsoft JhengHei UI"/>
        <family val="1"/>
      </rPr>
      <t>ㄌㄧㄣ</t>
    </r>
    <r>
      <rPr>
        <sz val="20"/>
        <color rgb="FFFF0000"/>
        <rFont val="Microsoft JhengHei UI"/>
        <family val="1"/>
        <charset val="1"/>
      </rPr>
      <t>ˊ</t>
    </r>
    <r>
      <rPr>
        <sz val="20"/>
        <color rgb="FFFF0000"/>
        <rFont val="Microsoft JhengHei UI"/>
        <family val="1"/>
        <charset val="136"/>
      </rPr>
      <t>】</t>
    </r>
    <phoneticPr fontId="1" type="noConversion"/>
  </si>
  <si>
    <t>kap4</t>
    <phoneticPr fontId="1" type="noConversion"/>
  </si>
  <si>
    <t>与</t>
    <phoneticPr fontId="1" type="noConversion"/>
  </si>
  <si>
    <t>liong7</t>
    <phoneticPr fontId="1" type="noConversion"/>
  </si>
  <si>
    <t>bi2</t>
    <phoneticPr fontId="1" type="noConversion"/>
  </si>
  <si>
    <t>尚</t>
    <phoneticPr fontId="1" type="noConversion"/>
  </si>
  <si>
    <t>kai2</t>
    <phoneticPr fontId="1" type="noConversion"/>
  </si>
  <si>
    <t>it4</t>
    <phoneticPr fontId="1" type="noConversion"/>
  </si>
  <si>
    <t>su1</t>
    <phoneticPr fontId="1" type="noConversion"/>
  </si>
  <si>
    <t>明</t>
    <phoneticPr fontId="1" type="noConversion"/>
  </si>
  <si>
    <t>siong7</t>
    <phoneticPr fontId="1" type="noConversion"/>
  </si>
  <si>
    <t>u7</t>
    <phoneticPr fontId="1" type="noConversion"/>
  </si>
  <si>
    <t>lik8</t>
    <phoneticPr fontId="1" type="noConversion"/>
  </si>
  <si>
    <t>e5</t>
    <phoneticPr fontId="1" type="noConversion"/>
  </si>
  <si>
    <t>mui2</t>
    <phoneticPr fontId="1" type="noConversion"/>
  </si>
  <si>
    <t>lit8</t>
    <phoneticPr fontId="1" type="noConversion"/>
  </si>
  <si>
    <t>ki5</t>
    <phoneticPr fontId="1" type="noConversion"/>
  </si>
  <si>
    <t>to2</t>
    <phoneticPr fontId="1" type="noConversion"/>
  </si>
  <si>
    <t>bun5</t>
    <phoneticPr fontId="1" type="noConversion"/>
  </si>
  <si>
    <t>gun2</t>
    <phoneticPr fontId="1" type="noConversion"/>
  </si>
  <si>
    <t>khiam1</t>
    <phoneticPr fontId="1" type="noConversion"/>
  </si>
  <si>
    <t>pi1</t>
    <phoneticPr fontId="1" type="noConversion"/>
  </si>
  <si>
    <t>king3</t>
    <phoneticPr fontId="1" type="noConversion"/>
  </si>
  <si>
    <t>giong2</t>
    <phoneticPr fontId="1" type="noConversion"/>
  </si>
  <si>
    <t>kam2</t>
    <phoneticPr fontId="1" type="noConversion"/>
  </si>
  <si>
    <t>hok8</t>
    <phoneticPr fontId="1" type="noConversion"/>
  </si>
  <si>
    <t>ai3</t>
    <phoneticPr fontId="1" type="noConversion"/>
  </si>
  <si>
    <t>ling5</t>
    <phoneticPr fontId="1" type="noConversion"/>
  </si>
  <si>
    <t>siang7</t>
    <phoneticPr fontId="1" type="noConversion"/>
  </si>
  <si>
    <t>te3</t>
    <phoneticPr fontId="1" type="noConversion"/>
  </si>
  <si>
    <t>ko1</t>
    <phoneticPr fontId="1" type="noConversion"/>
  </si>
  <si>
    <t>bo5</t>
    <phoneticPr fontId="1" type="noConversion"/>
  </si>
  <si>
    <t>ui2</t>
    <phoneticPr fontId="1" type="noConversion"/>
  </si>
  <si>
    <t>tua7</t>
    <phoneticPr fontId="1" type="noConversion"/>
  </si>
  <si>
    <t>su3</t>
    <phoneticPr fontId="1" type="noConversion"/>
  </si>
  <si>
    <t>sun5</t>
    <phoneticPr fontId="1" type="noConversion"/>
  </si>
  <si>
    <t>soo3</t>
    <phoneticPr fontId="1" type="noConversion"/>
  </si>
  <si>
    <t>kai3</t>
    <phoneticPr fontId="1" type="noConversion"/>
  </si>
  <si>
    <t>hun5</t>
    <phoneticPr fontId="1" type="noConversion"/>
  </si>
  <si>
    <t>thuat4</t>
    <phoneticPr fontId="1" type="noConversion"/>
  </si>
  <si>
    <t>ui5</t>
    <phoneticPr fontId="1" type="noConversion"/>
  </si>
  <si>
    <t>kiann2</t>
    <phoneticPr fontId="1" type="noConversion"/>
  </si>
  <si>
    <t>li5</t>
    <phoneticPr fontId="1" type="noConversion"/>
  </si>
  <si>
    <t>in1</t>
    <phoneticPr fontId="1" type="noConversion"/>
  </si>
  <si>
    <t>si7</t>
    <phoneticPr fontId="1" type="noConversion"/>
  </si>
  <si>
    <t>kik8</t>
    <phoneticPr fontId="1" type="noConversion"/>
  </si>
  <si>
    <t>bin5</t>
    <phoneticPr fontId="1" type="noConversion"/>
  </si>
  <si>
    <t>kiu3</t>
    <phoneticPr fontId="1" type="noConversion"/>
  </si>
  <si>
    <t>soo2</t>
    <phoneticPr fontId="1" type="noConversion"/>
  </si>
  <si>
    <t>sing3</t>
    <phoneticPr fontId="1" type="noConversion"/>
  </si>
  <si>
    <t>lin⁵</t>
    <phoneticPr fontId="1" type="noConversion"/>
  </si>
  <si>
    <t>tiat4</t>
    <phoneticPr fontId="1" type="noConversion"/>
  </si>
  <si>
    <t>ka3</t>
    <phoneticPr fontId="1" type="noConversion"/>
  </si>
  <si>
    <t>hue3</t>
    <phoneticPr fontId="1" type="noConversion"/>
  </si>
  <si>
    <t>tai7</t>
    <phoneticPr fontId="1" type="noConversion"/>
  </si>
  <si>
    <t>pio2</t>
    <phoneticPr fontId="1" type="noConversion"/>
  </si>
  <si>
    <t>thueh8</t>
    <phoneticPr fontId="1" type="noConversion"/>
  </si>
  <si>
    <t>sing1</t>
    <phoneticPr fontId="1" type="noConversion"/>
  </si>
  <si>
    <t>se3</t>
    <phoneticPr fontId="1" type="noConversion"/>
  </si>
  <si>
    <t>ping5</t>
    <phoneticPr fontId="1" type="noConversion"/>
  </si>
  <si>
    <t>sia7</t>
    <phoneticPr fontId="1" type="noConversion"/>
  </si>
  <si>
    <t>siok8</t>
    <phoneticPr fontId="1" type="noConversion"/>
  </si>
  <si>
    <t>盍</t>
    <phoneticPr fontId="1" type="noConversion"/>
  </si>
  <si>
    <t>予</t>
    <phoneticPr fontId="1" type="noConversion"/>
  </si>
  <si>
    <t>與</t>
    <phoneticPr fontId="1" type="noConversion"/>
  </si>
  <si>
    <t>標音方法</t>
    <phoneticPr fontId="1" type="noConversion"/>
  </si>
  <si>
    <t>網頁格式</t>
    <phoneticPr fontId="1" type="noConversion"/>
  </si>
  <si>
    <t>zan3</t>
    <phoneticPr fontId="1" type="noConversion"/>
  </si>
  <si>
    <t>ziong5</t>
    <phoneticPr fontId="1" type="noConversion"/>
  </si>
  <si>
    <t>zuan5</t>
    <phoneticPr fontId="1" type="noConversion"/>
  </si>
  <si>
    <t>zi3</t>
    <phoneticPr fontId="1" type="noConversion"/>
  </si>
  <si>
    <t>ho5</t>
    <phoneticPr fontId="1" type="noConversion"/>
  </si>
  <si>
    <t>ziong1</t>
    <phoneticPr fontId="1" type="noConversion"/>
  </si>
  <si>
    <t>zun1</t>
    <phoneticPr fontId="1" type="noConversion"/>
  </si>
  <si>
    <t>hoo7</t>
    <phoneticPr fontId="1" type="noConversion"/>
  </si>
  <si>
    <t>與</t>
    <phoneticPr fontId="1" type="noConversion"/>
  </si>
  <si>
    <t>ap8</t>
    <phoneticPr fontId="1" type="noConversion"/>
  </si>
  <si>
    <t>gap4</t>
    <phoneticPr fontId="1" type="noConversion"/>
  </si>
  <si>
    <t>恭七時</t>
  </si>
  <si>
    <t>艍七英</t>
  </si>
  <si>
    <t>經八柳</t>
  </si>
  <si>
    <t>伽五英</t>
  </si>
  <si>
    <t>規二毛</t>
  </si>
  <si>
    <t>巾八柳</t>
  </si>
  <si>
    <t>居五求</t>
  </si>
  <si>
    <t>高二地</t>
  </si>
  <si>
    <t>君五門</t>
  </si>
  <si>
    <t>君二語</t>
  </si>
  <si>
    <t>兼一去</t>
  </si>
  <si>
    <t>居一邊</t>
  </si>
  <si>
    <t>甘八英</t>
  </si>
  <si>
    <t>經三求</t>
  </si>
  <si>
    <t>恭二語</t>
  </si>
  <si>
    <t>干三曾</t>
  </si>
  <si>
    <t>居二門</t>
  </si>
  <si>
    <t>甘二求</t>
  </si>
  <si>
    <t>迦七時</t>
  </si>
  <si>
    <t>公八喜</t>
  </si>
  <si>
    <t>恭五曾</t>
  </si>
  <si>
    <t>甘四語</t>
  </si>
  <si>
    <t>皆三英</t>
  </si>
  <si>
    <t>觀五曾</t>
  </si>
  <si>
    <t>經五柳</t>
  </si>
  <si>
    <t>姜七時</t>
  </si>
  <si>
    <t>伽三地</t>
  </si>
  <si>
    <t>居三曾</t>
  </si>
  <si>
    <t>高一求</t>
  </si>
  <si>
    <t>高五門</t>
  </si>
  <si>
    <t>規二英</t>
  </si>
  <si>
    <t>瓜七地</t>
  </si>
  <si>
    <t>艍三時</t>
  </si>
  <si>
    <t>君五時</t>
  </si>
  <si>
    <t>沽三時</t>
  </si>
  <si>
    <t>伽三時</t>
  </si>
  <si>
    <t>皆三求</t>
  </si>
  <si>
    <t>高五喜</t>
  </si>
  <si>
    <t>經五邊</t>
  </si>
  <si>
    <t>甘四求</t>
  </si>
  <si>
    <t>君五喜</t>
  </si>
  <si>
    <t>皆二求</t>
  </si>
  <si>
    <t>觀四他</t>
  </si>
  <si>
    <t>規五英</t>
  </si>
  <si>
    <t>巾四英</t>
  </si>
  <si>
    <t>驚二求</t>
  </si>
  <si>
    <t>居五柳</t>
  </si>
  <si>
    <t>巾一英</t>
  </si>
  <si>
    <t>居七時</t>
  </si>
  <si>
    <t>恭一曾</t>
  </si>
  <si>
    <t>經八求</t>
  </si>
  <si>
    <t>巾五門</t>
  </si>
  <si>
    <t>艍一時</t>
  </si>
  <si>
    <t>沽七喜</t>
  </si>
  <si>
    <t>丩三求</t>
  </si>
  <si>
    <t>恭八時</t>
  </si>
  <si>
    <t>君一曾</t>
  </si>
  <si>
    <t>沽二時</t>
  </si>
  <si>
    <t>經三時</t>
  </si>
  <si>
    <t>堅四地</t>
  </si>
  <si>
    <t>膠三求</t>
  </si>
  <si>
    <t>檜三喜</t>
  </si>
  <si>
    <t>皆七地</t>
  </si>
  <si>
    <t>茄二邊</t>
  </si>
  <si>
    <t>檜八他</t>
  </si>
  <si>
    <t>經一時</t>
  </si>
  <si>
    <t>sîong</t>
  </si>
  <si>
    <t>û</t>
  </si>
  <si>
    <t>lík</t>
  </si>
  <si>
    <t>lîong</t>
  </si>
  <si>
    <t>é</t>
  </si>
  <si>
    <t>bbnuǐ</t>
  </si>
  <si>
    <t>lít</t>
  </si>
  <si>
    <t>gí</t>
  </si>
  <si>
    <t>dǒ</t>
  </si>
  <si>
    <t>bbún</t>
  </si>
  <si>
    <t>ggǔn</t>
  </si>
  <si>
    <t>kīam</t>
  </si>
  <si>
    <t>bī</t>
  </si>
  <si>
    <t>áp</t>
  </si>
  <si>
    <t>gìng</t>
  </si>
  <si>
    <t>ggǐong</t>
  </si>
  <si>
    <t>zàn</t>
  </si>
  <si>
    <t>bbǐ</t>
  </si>
  <si>
    <t>gǎm</t>
  </si>
  <si>
    <t>sîa</t>
  </si>
  <si>
    <t>hók</t>
  </si>
  <si>
    <t>zíong</t>
  </si>
  <si>
    <t>ggāp</t>
  </si>
  <si>
    <t>ài</t>
  </si>
  <si>
    <t>zúan</t>
  </si>
  <si>
    <t>líng</t>
  </si>
  <si>
    <t>sîang</t>
  </si>
  <si>
    <t>dè</t>
  </si>
  <si>
    <t>zì</t>
  </si>
  <si>
    <t>gō</t>
  </si>
  <si>
    <t>bbó</t>
  </si>
  <si>
    <t>uǐ</t>
  </si>
  <si>
    <t>dûa</t>
  </si>
  <si>
    <t>sù</t>
  </si>
  <si>
    <t>sún</t>
  </si>
  <si>
    <t>sòo</t>
  </si>
  <si>
    <t>sè</t>
  </si>
  <si>
    <t>gài</t>
  </si>
  <si>
    <t>hó</t>
  </si>
  <si>
    <t>bíng</t>
  </si>
  <si>
    <t>gāp</t>
  </si>
  <si>
    <t>hún</t>
  </si>
  <si>
    <t>gǎi</t>
  </si>
  <si>
    <t>tūat</t>
  </si>
  <si>
    <t>uí</t>
  </si>
  <si>
    <t>īt</t>
  </si>
  <si>
    <t>gnǐa</t>
  </si>
  <si>
    <t>lí</t>
  </si>
  <si>
    <t>īn</t>
  </si>
  <si>
    <t>sî</t>
  </si>
  <si>
    <t>zīong</t>
  </si>
  <si>
    <t>gík</t>
  </si>
  <si>
    <t>bbín</t>
  </si>
  <si>
    <t>sū</t>
  </si>
  <si>
    <t>hôo</t>
  </si>
  <si>
    <t>giù</t>
  </si>
  <si>
    <t>síok</t>
  </si>
  <si>
    <t>zūn</t>
  </si>
  <si>
    <t>sǒo</t>
  </si>
  <si>
    <t>sìng</t>
  </si>
  <si>
    <t>dīat</t>
  </si>
  <si>
    <t>gà</t>
  </si>
  <si>
    <t>hùe</t>
  </si>
  <si>
    <t>dâi</t>
  </si>
  <si>
    <t>bǐo</t>
  </si>
  <si>
    <t>túeh</t>
  </si>
  <si>
    <t>sīng</t>
  </si>
  <si>
    <t>u2</t>
    <phoneticPr fontId="1" type="noConversion"/>
  </si>
  <si>
    <t>【ㄇㄨㄧˋ】</t>
    <phoneticPr fontId="1" type="noConversion"/>
  </si>
  <si>
    <t>niu7</t>
    <phoneticPr fontId="1" type="noConversion"/>
  </si>
  <si>
    <t>lin5</t>
    <phoneticPr fontId="1" type="noConversion"/>
  </si>
  <si>
    <t>Øu7</t>
    <phoneticPr fontId="1" type="noConversion"/>
  </si>
  <si>
    <t>Øe5</t>
    <phoneticPr fontId="1" type="noConversion"/>
  </si>
  <si>
    <t>Øap8</t>
    <phoneticPr fontId="1" type="noConversion"/>
  </si>
  <si>
    <t>Øai3</t>
    <phoneticPr fontId="1" type="noConversion"/>
  </si>
  <si>
    <t>Øui2</t>
    <phoneticPr fontId="1" type="noConversion"/>
  </si>
  <si>
    <t>Øui5</t>
    <phoneticPr fontId="1" type="noConversion"/>
  </si>
  <si>
    <t>Øin1</t>
    <phoneticPr fontId="1" type="noConversion"/>
  </si>
  <si>
    <t>文讀音</t>
  </si>
  <si>
    <t>丩七耐</t>
  </si>
  <si>
    <t>艍二英</t>
  </si>
  <si>
    <t>巾五柳</t>
  </si>
  <si>
    <t>sīong</t>
  </si>
  <si>
    <t>ū</t>
  </si>
  <si>
    <t>li̍k</t>
  </si>
  <si>
    <t>n̄iu</t>
  </si>
  <si>
    <t>ê</t>
  </si>
  <si>
    <t>ḿui</t>
  </si>
  <si>
    <t>li̍t</t>
  </si>
  <si>
    <t>kî</t>
  </si>
  <si>
    <t>tó</t>
  </si>
  <si>
    <t>bûn</t>
  </si>
  <si>
    <t>gún</t>
  </si>
  <si>
    <t>khiam</t>
  </si>
  <si>
    <t>pi</t>
  </si>
  <si>
    <t>a̍p</t>
  </si>
  <si>
    <t>kìng</t>
  </si>
  <si>
    <t>gíong</t>
  </si>
  <si>
    <t>tsàn</t>
  </si>
  <si>
    <t>bí</t>
  </si>
  <si>
    <t>kám</t>
  </si>
  <si>
    <t>sīa</t>
  </si>
  <si>
    <t>ho̍k</t>
  </si>
  <si>
    <t>tsîong</t>
  </si>
  <si>
    <t>gap</t>
  </si>
  <si>
    <t>tsuân</t>
  </si>
  <si>
    <t>lîng</t>
  </si>
  <si>
    <t>sīang</t>
  </si>
  <si>
    <t>tè</t>
  </si>
  <si>
    <t>tsì</t>
  </si>
  <si>
    <t>ko</t>
  </si>
  <si>
    <t>bô</t>
  </si>
  <si>
    <t>úi</t>
  </si>
  <si>
    <t>tūa</t>
  </si>
  <si>
    <t>ú</t>
  </si>
  <si>
    <t>sûn</t>
  </si>
  <si>
    <t>kài</t>
  </si>
  <si>
    <t>hô</t>
  </si>
  <si>
    <t>pîng</t>
  </si>
  <si>
    <t>hûn</t>
  </si>
  <si>
    <t>kái</t>
  </si>
  <si>
    <t>thuat</t>
  </si>
  <si>
    <t>ûi</t>
  </si>
  <si>
    <t>it</t>
  </si>
  <si>
    <t>kíann</t>
  </si>
  <si>
    <t>lî</t>
  </si>
  <si>
    <t>in</t>
  </si>
  <si>
    <t>sī</t>
  </si>
  <si>
    <t>tsiong</t>
  </si>
  <si>
    <t>ki̍k</t>
  </si>
  <si>
    <t>bîn</t>
  </si>
  <si>
    <t>su</t>
  </si>
  <si>
    <t>hōo</t>
  </si>
  <si>
    <t>kìu</t>
  </si>
  <si>
    <t>si̍ok</t>
  </si>
  <si>
    <t>tsun</t>
  </si>
  <si>
    <t>sóo</t>
  </si>
  <si>
    <t>lîn</t>
  </si>
  <si>
    <t>kap</t>
  </si>
  <si>
    <t>tiat</t>
  </si>
  <si>
    <t>kà</t>
  </si>
  <si>
    <t>tāi</t>
  </si>
  <si>
    <t>pío</t>
  </si>
  <si>
    <t>thue̍h</t>
  </si>
  <si>
    <t>sing</t>
  </si>
  <si>
    <t>output7</t>
    <phoneticPr fontId="1" type="noConversion"/>
  </si>
  <si>
    <t>河洛話</t>
    <phoneticPr fontId="1" type="noConversion"/>
  </si>
  <si>
    <t>《般若波羅蜜多心經》</t>
    <phoneticPr fontId="1" type="noConversion"/>
  </si>
  <si>
    <t>https://img.shoplineapp.com/media/image_clips/5ced0f1bd62fc3392bb34287/original.jpg?1559039769</t>
    <phoneticPr fontId="1" type="noConversion"/>
  </si>
  <si>
    <t>菩</t>
  </si>
  <si>
    <t>薩</t>
  </si>
  <si>
    <t>般</t>
  </si>
  <si>
    <t>若</t>
  </si>
  <si>
    <t>波</t>
  </si>
  <si>
    <t>羅</t>
  </si>
  <si>
    <t>蜜</t>
  </si>
  <si>
    <t>多</t>
  </si>
  <si>
    <t>；</t>
  </si>
  <si>
    <t>即</t>
  </si>
  <si>
    <t>想</t>
  </si>
  <si>
    <t>諸</t>
  </si>
  <si>
    <t>故</t>
  </si>
  <si>
    <t>明</t>
  </si>
  <si>
    <t>得</t>
  </si>
  <si>
    <t>依</t>
  </si>
  <si>
    <t>心</t>
  </si>
  <si>
    <t>罣</t>
  </si>
  <si>
    <t>礙</t>
  </si>
  <si>
    <t>恐</t>
  </si>
  <si>
    <t>怖</t>
  </si>
  <si>
    <t>遠</t>
  </si>
  <si>
    <t>離</t>
  </si>
  <si>
    <t>顛</t>
  </si>
  <si>
    <t>倒</t>
  </si>
  <si>
    <t>夢</t>
  </si>
  <si>
    <t>三</t>
  </si>
  <si>
    <t>佛</t>
  </si>
  <si>
    <t>阿</t>
  </si>
  <si>
    <t>耨</t>
  </si>
  <si>
    <t>藐</t>
  </si>
  <si>
    <t>：</t>
  </si>
  <si>
    <t>神</t>
  </si>
  <si>
    <t>咒</t>
  </si>
  <si>
    <t>等</t>
  </si>
  <si>
    <t>說</t>
  </si>
  <si>
    <t>曰</t>
  </si>
  <si>
    <t>揭</t>
  </si>
  <si>
    <t>諦</t>
  </si>
  <si>
    <t>僧</t>
  </si>
  <si>
    <t>婆</t>
  </si>
  <si>
    <t>訶</t>
  </si>
  <si>
    <t>觀</t>
  </si>
  <si>
    <t>自</t>
  </si>
  <si>
    <t>在</t>
  </si>
  <si>
    <t>行</t>
  </si>
  <si>
    <t>深</t>
  </si>
  <si>
    <t>時</t>
  </si>
  <si>
    <t>照</t>
  </si>
  <si>
    <t>見</t>
  </si>
  <si>
    <t>五</t>
  </si>
  <si>
    <t>蘊</t>
  </si>
  <si>
    <t>皆</t>
  </si>
  <si>
    <t>空</t>
  </si>
  <si>
    <t>度</t>
  </si>
  <si>
    <t>切</t>
  </si>
  <si>
    <t>苦</t>
  </si>
  <si>
    <t>厄</t>
  </si>
  <si>
    <t>舍</t>
  </si>
  <si>
    <t>利</t>
  </si>
  <si>
    <t>！</t>
  </si>
  <si>
    <t>色</t>
  </si>
  <si>
    <t>不</t>
  </si>
  <si>
    <t>異</t>
  </si>
  <si>
    <t>受</t>
  </si>
  <si>
    <t>識</t>
  </si>
  <si>
    <t>亦</t>
  </si>
  <si>
    <t>復</t>
  </si>
  <si>
    <t>如</t>
  </si>
  <si>
    <t>法</t>
  </si>
  <si>
    <t>相</t>
  </si>
  <si>
    <t>生</t>
  </si>
  <si>
    <t>滅</t>
  </si>
  <si>
    <t>垢</t>
  </si>
  <si>
    <t>淨</t>
  </si>
  <si>
    <t>增</t>
  </si>
  <si>
    <t>減</t>
  </si>
  <si>
    <t>中</t>
  </si>
  <si>
    <t>眼</t>
  </si>
  <si>
    <t>耳</t>
  </si>
  <si>
    <t>鼻</t>
  </si>
  <si>
    <t>舌</t>
  </si>
  <si>
    <t>身</t>
  </si>
  <si>
    <t>意</t>
  </si>
  <si>
    <t>聲</t>
  </si>
  <si>
    <t>香</t>
  </si>
  <si>
    <t>味</t>
  </si>
  <si>
    <t>觸</t>
  </si>
  <si>
    <t>乃</t>
  </si>
  <si>
    <t>盡</t>
  </si>
  <si>
    <t>老</t>
  </si>
  <si>
    <t>死</t>
  </si>
  <si>
    <t>集</t>
  </si>
  <si>
    <t>道</t>
  </si>
  <si>
    <t>智</t>
  </si>
  <si>
    <t>以</t>
  </si>
  <si>
    <t>埵</t>
  </si>
  <si>
    <t>究</t>
  </si>
  <si>
    <t>竟</t>
  </si>
  <si>
    <t>湼</t>
  </si>
  <si>
    <t>槃</t>
  </si>
  <si>
    <t>知</t>
  </si>
  <si>
    <t>除</t>
  </si>
  <si>
    <t>真</t>
  </si>
  <si>
    <t>實</t>
  </si>
  <si>
    <t>虛</t>
  </si>
  <si>
    <t>上邊標音</t>
    <phoneticPr fontId="1" type="noConversion"/>
  </si>
  <si>
    <t>右邊標音</t>
    <phoneticPr fontId="1" type="noConversion"/>
  </si>
  <si>
    <t>上及右</t>
  </si>
  <si>
    <t>標音方式</t>
    <phoneticPr fontId="1" type="noConversion"/>
  </si>
  <si>
    <t>方音符號</t>
  </si>
  <si>
    <t>無預設</t>
  </si>
  <si>
    <t>kuan1</t>
  </si>
  <si>
    <t>zu7</t>
  </si>
  <si>
    <t>zai7</t>
  </si>
  <si>
    <t>phoo1</t>
  </si>
  <si>
    <t>sat4</t>
  </si>
  <si>
    <t>hang5</t>
  </si>
  <si>
    <t>cim1</t>
  </si>
  <si>
    <t>jiok8</t>
  </si>
  <si>
    <t>pho1</t>
  </si>
  <si>
    <t>lo5</t>
  </si>
  <si>
    <t>bit8</t>
  </si>
  <si>
    <t>to1</t>
  </si>
  <si>
    <t>si5</t>
  </si>
  <si>
    <t>ziau3</t>
  </si>
  <si>
    <t>kian3</t>
  </si>
  <si>
    <t>ngoo2</t>
  </si>
  <si>
    <t>un3</t>
  </si>
  <si>
    <t>kai1</t>
  </si>
  <si>
    <t>khong1</t>
  </si>
  <si>
    <t>too7</t>
  </si>
  <si>
    <t>it4</t>
  </si>
  <si>
    <t>ce3</t>
  </si>
  <si>
    <t>khoo2</t>
  </si>
  <si>
    <t>eeh4</t>
  </si>
  <si>
    <t>sia2</t>
  </si>
  <si>
    <t>li7</t>
  </si>
  <si>
    <t>zu2</t>
  </si>
  <si>
    <t>sik4</t>
  </si>
  <si>
    <t>put4</t>
  </si>
  <si>
    <t>i7</t>
  </si>
  <si>
    <t>zik4</t>
  </si>
  <si>
    <t>si7</t>
  </si>
  <si>
    <t>siu7</t>
  </si>
  <si>
    <t>siong2</t>
  </si>
  <si>
    <t>ik8</t>
  </si>
  <si>
    <t>hok8</t>
  </si>
  <si>
    <t>ju5</t>
  </si>
  <si>
    <t>zu1</t>
  </si>
  <si>
    <t>huat4</t>
  </si>
  <si>
    <t>siong3</t>
  </si>
  <si>
    <t>sing1</t>
  </si>
  <si>
    <t>biat8</t>
  </si>
  <si>
    <t>koo2</t>
  </si>
  <si>
    <t>zing7</t>
  </si>
  <si>
    <t>zing1</t>
  </si>
  <si>
    <t>kiam2</t>
  </si>
  <si>
    <t>koo3</t>
  </si>
  <si>
    <t>tiong1</t>
  </si>
  <si>
    <t>bu5</t>
  </si>
  <si>
    <t>gan2</t>
  </si>
  <si>
    <t>siat8</t>
  </si>
  <si>
    <t>sin1</t>
  </si>
  <si>
    <t>i3</t>
  </si>
  <si>
    <t>hiong1</t>
  </si>
  <si>
    <t>bi7</t>
  </si>
  <si>
    <t>ciok4</t>
  </si>
  <si>
    <t>kai3</t>
  </si>
  <si>
    <t>nai2</t>
  </si>
  <si>
    <t>zi3</t>
  </si>
  <si>
    <t>bing5</t>
  </si>
  <si>
    <t>zin7</t>
  </si>
  <si>
    <t>lo2</t>
  </si>
  <si>
    <t>su2</t>
  </si>
  <si>
    <t>zip8</t>
  </si>
  <si>
    <t>to7</t>
  </si>
  <si>
    <t>ti3</t>
  </si>
  <si>
    <t>tik4</t>
  </si>
  <si>
    <t>i2</t>
  </si>
  <si>
    <t>soo2</t>
  </si>
  <si>
    <t>the5</t>
  </si>
  <si>
    <t>i1</t>
  </si>
  <si>
    <t>sim1</t>
  </si>
  <si>
    <t>kua3</t>
  </si>
  <si>
    <t>gai7</t>
  </si>
  <si>
    <t>iu2</t>
  </si>
  <si>
    <t>khiong2</t>
  </si>
  <si>
    <t>poo3</t>
  </si>
  <si>
    <t>uan2</t>
  </si>
  <si>
    <t>tian1</t>
  </si>
  <si>
    <t>to3</t>
  </si>
  <si>
    <t>bang7</t>
  </si>
  <si>
    <t>kiu3</t>
  </si>
  <si>
    <t>king3</t>
  </si>
  <si>
    <t>liap4</t>
  </si>
  <si>
    <t>puan5</t>
  </si>
  <si>
    <t>sam1</t>
  </si>
  <si>
    <t>se3</t>
  </si>
  <si>
    <t>hut8</t>
  </si>
  <si>
    <t>a1</t>
  </si>
  <si>
    <t>loo7</t>
  </si>
  <si>
    <t>biau2</t>
  </si>
  <si>
    <t>ti1</t>
  </si>
  <si>
    <t>tai7</t>
  </si>
  <si>
    <t>sin5</t>
  </si>
  <si>
    <t>ziu3</t>
  </si>
  <si>
    <t>ting2</t>
  </si>
  <si>
    <t>ling5</t>
  </si>
  <si>
    <t>tu5</t>
  </si>
  <si>
    <t>zin1</t>
  </si>
  <si>
    <t>sit8</t>
  </si>
  <si>
    <t>hi1</t>
  </si>
  <si>
    <t>suat4</t>
  </si>
  <si>
    <t>uat8</t>
  </si>
  <si>
    <t>te3</t>
  </si>
  <si>
    <t>po5</t>
  </si>
  <si>
    <t>o1</t>
  </si>
  <si>
    <t>kuan1</t>
    <phoneticPr fontId="1" type="noConversion"/>
  </si>
  <si>
    <t>guan1</t>
    <phoneticPr fontId="1" type="noConversion"/>
  </si>
  <si>
    <t>zu7</t>
    <phoneticPr fontId="1" type="noConversion"/>
  </si>
  <si>
    <t>zu6</t>
    <phoneticPr fontId="1" type="noConversion"/>
  </si>
  <si>
    <t>zai7</t>
    <phoneticPr fontId="1" type="noConversion"/>
  </si>
  <si>
    <t>zai6</t>
    <phoneticPr fontId="1" type="noConversion"/>
  </si>
  <si>
    <t>phoo1</t>
    <phoneticPr fontId="1" type="noConversion"/>
  </si>
  <si>
    <t>poo1</t>
    <phoneticPr fontId="1" type="noConversion"/>
  </si>
  <si>
    <t>sat4</t>
    <phoneticPr fontId="1" type="noConversion"/>
  </si>
  <si>
    <t>sat7</t>
    <phoneticPr fontId="1" type="noConversion"/>
  </si>
  <si>
    <t>cim1</t>
    <phoneticPr fontId="1" type="noConversion"/>
  </si>
  <si>
    <t>puan1</t>
  </si>
  <si>
    <t>puan1</t>
    <phoneticPr fontId="1" type="noConversion"/>
  </si>
  <si>
    <t>buan1</t>
    <phoneticPr fontId="1" type="noConversion"/>
  </si>
  <si>
    <t>jiok8</t>
    <phoneticPr fontId="1" type="noConversion"/>
  </si>
  <si>
    <t>zziok8</t>
    <phoneticPr fontId="1" type="noConversion"/>
  </si>
  <si>
    <t>pho1</t>
    <phoneticPr fontId="1" type="noConversion"/>
  </si>
  <si>
    <t>po1</t>
    <phoneticPr fontId="1" type="noConversion"/>
  </si>
  <si>
    <t>lo5</t>
    <phoneticPr fontId="1" type="noConversion"/>
  </si>
  <si>
    <t>lo2</t>
    <phoneticPr fontId="1" type="noConversion"/>
  </si>
  <si>
    <t>bit8</t>
    <phoneticPr fontId="1" type="noConversion"/>
  </si>
  <si>
    <t>bbit8</t>
    <phoneticPr fontId="1" type="noConversion"/>
  </si>
  <si>
    <t>to1</t>
    <phoneticPr fontId="1" type="noConversion"/>
  </si>
  <si>
    <t>do1</t>
    <phoneticPr fontId="1" type="noConversion"/>
  </si>
  <si>
    <t>si5</t>
    <phoneticPr fontId="1" type="noConversion"/>
  </si>
  <si>
    <t>si2</t>
    <phoneticPr fontId="1" type="noConversion"/>
  </si>
  <si>
    <t>ziau3</t>
    <phoneticPr fontId="1" type="noConversion"/>
  </si>
  <si>
    <t>ziao5</t>
    <phoneticPr fontId="1" type="noConversion"/>
  </si>
  <si>
    <t>kian3</t>
    <phoneticPr fontId="1" type="noConversion"/>
  </si>
  <si>
    <t>gian5</t>
    <phoneticPr fontId="1" type="noConversion"/>
  </si>
  <si>
    <t>ngoo2</t>
    <phoneticPr fontId="1" type="noConversion"/>
  </si>
  <si>
    <t>ggnoo3</t>
    <phoneticPr fontId="1" type="noConversion"/>
  </si>
  <si>
    <t>un3</t>
    <phoneticPr fontId="1" type="noConversion"/>
  </si>
  <si>
    <t>un5</t>
    <phoneticPr fontId="1" type="noConversion"/>
  </si>
  <si>
    <t>kai1</t>
    <phoneticPr fontId="1" type="noConversion"/>
  </si>
  <si>
    <t>gai1</t>
    <phoneticPr fontId="1" type="noConversion"/>
  </si>
  <si>
    <t>khong1</t>
    <phoneticPr fontId="1" type="noConversion"/>
  </si>
  <si>
    <t>kong1</t>
    <phoneticPr fontId="1" type="noConversion"/>
  </si>
  <si>
    <t>too7</t>
    <phoneticPr fontId="1" type="noConversion"/>
  </si>
  <si>
    <t>doo6</t>
    <phoneticPr fontId="1" type="noConversion"/>
  </si>
  <si>
    <t>it7</t>
    <phoneticPr fontId="1" type="noConversion"/>
  </si>
  <si>
    <t>ce3</t>
    <phoneticPr fontId="1" type="noConversion"/>
  </si>
  <si>
    <t>ce5</t>
    <phoneticPr fontId="1" type="noConversion"/>
  </si>
  <si>
    <t>khoo2</t>
    <phoneticPr fontId="1" type="noConversion"/>
  </si>
  <si>
    <t>koo3</t>
    <phoneticPr fontId="1" type="noConversion"/>
  </si>
  <si>
    <t>eh7</t>
    <phoneticPr fontId="1" type="noConversion"/>
  </si>
  <si>
    <t>sia2</t>
    <phoneticPr fontId="1" type="noConversion"/>
  </si>
  <si>
    <t>sia3</t>
    <phoneticPr fontId="1" type="noConversion"/>
  </si>
  <si>
    <t>le7</t>
  </si>
  <si>
    <t>zu2</t>
    <phoneticPr fontId="1" type="noConversion"/>
  </si>
  <si>
    <t>zu3</t>
    <phoneticPr fontId="1" type="noConversion"/>
  </si>
  <si>
    <t>sik4</t>
    <phoneticPr fontId="1" type="noConversion"/>
  </si>
  <si>
    <t>sik7</t>
    <phoneticPr fontId="1" type="noConversion"/>
  </si>
  <si>
    <t>put4</t>
    <phoneticPr fontId="1" type="noConversion"/>
  </si>
  <si>
    <t>but7</t>
    <phoneticPr fontId="1" type="noConversion"/>
  </si>
  <si>
    <t>i7</t>
    <phoneticPr fontId="1" type="noConversion"/>
  </si>
  <si>
    <t>i6</t>
    <phoneticPr fontId="1" type="noConversion"/>
  </si>
  <si>
    <t>zik4</t>
    <phoneticPr fontId="1" type="noConversion"/>
  </si>
  <si>
    <t>zik7</t>
    <phoneticPr fontId="1" type="noConversion"/>
  </si>
  <si>
    <t>si6</t>
    <phoneticPr fontId="1" type="noConversion"/>
  </si>
  <si>
    <t>siu7</t>
    <phoneticPr fontId="1" type="noConversion"/>
  </si>
  <si>
    <t>siu6</t>
    <phoneticPr fontId="1" type="noConversion"/>
  </si>
  <si>
    <t>siong2</t>
    <phoneticPr fontId="1" type="noConversion"/>
  </si>
  <si>
    <t>siong3</t>
    <phoneticPr fontId="1" type="noConversion"/>
  </si>
  <si>
    <t>ik8</t>
    <phoneticPr fontId="1" type="noConversion"/>
  </si>
  <si>
    <t>ju5</t>
    <phoneticPr fontId="1" type="noConversion"/>
  </si>
  <si>
    <t>zzu2</t>
    <phoneticPr fontId="1" type="noConversion"/>
  </si>
  <si>
    <t>zu1</t>
    <phoneticPr fontId="1" type="noConversion"/>
  </si>
  <si>
    <t>huat4</t>
    <phoneticPr fontId="1" type="noConversion"/>
  </si>
  <si>
    <t>huat7</t>
    <phoneticPr fontId="1" type="noConversion"/>
  </si>
  <si>
    <t>siong5</t>
    <phoneticPr fontId="1" type="noConversion"/>
  </si>
  <si>
    <t>biat8</t>
    <phoneticPr fontId="1" type="noConversion"/>
  </si>
  <si>
    <t>bbiat8</t>
    <phoneticPr fontId="1" type="noConversion"/>
  </si>
  <si>
    <t>koo2</t>
    <phoneticPr fontId="1" type="noConversion"/>
  </si>
  <si>
    <t>goo3</t>
    <phoneticPr fontId="1" type="noConversion"/>
  </si>
  <si>
    <t>zing7</t>
    <phoneticPr fontId="1" type="noConversion"/>
  </si>
  <si>
    <t>zing6</t>
    <phoneticPr fontId="1" type="noConversion"/>
  </si>
  <si>
    <t>zing1</t>
    <phoneticPr fontId="1" type="noConversion"/>
  </si>
  <si>
    <t>kiam2</t>
    <phoneticPr fontId="1" type="noConversion"/>
  </si>
  <si>
    <t>giam3</t>
    <phoneticPr fontId="1" type="noConversion"/>
  </si>
  <si>
    <t>goo5</t>
    <phoneticPr fontId="1" type="noConversion"/>
  </si>
  <si>
    <t>tiong1</t>
    <phoneticPr fontId="1" type="noConversion"/>
  </si>
  <si>
    <t>diong1</t>
    <phoneticPr fontId="1" type="noConversion"/>
  </si>
  <si>
    <t>bu5</t>
    <phoneticPr fontId="1" type="noConversion"/>
  </si>
  <si>
    <t>bbu2</t>
  </si>
  <si>
    <t>bbu2</t>
    <phoneticPr fontId="1" type="noConversion"/>
  </si>
  <si>
    <t>gan2</t>
    <phoneticPr fontId="1" type="noConversion"/>
  </si>
  <si>
    <t>ggan3</t>
    <phoneticPr fontId="1" type="noConversion"/>
  </si>
  <si>
    <t>ni2</t>
  </si>
  <si>
    <t>ni2</t>
    <phoneticPr fontId="1" type="noConversion"/>
  </si>
  <si>
    <t>lni3</t>
    <phoneticPr fontId="1" type="noConversion"/>
  </si>
  <si>
    <t>pi7</t>
  </si>
  <si>
    <t>pi7</t>
    <phoneticPr fontId="1" type="noConversion"/>
  </si>
  <si>
    <t>bi6</t>
    <phoneticPr fontId="1" type="noConversion"/>
  </si>
  <si>
    <t>siat8</t>
    <phoneticPr fontId="1" type="noConversion"/>
  </si>
  <si>
    <t>sin1</t>
    <phoneticPr fontId="1" type="noConversion"/>
  </si>
  <si>
    <t>i3</t>
    <phoneticPr fontId="1" type="noConversion"/>
  </si>
  <si>
    <t>i5</t>
    <phoneticPr fontId="1" type="noConversion"/>
  </si>
  <si>
    <t>hiong1</t>
    <phoneticPr fontId="1" type="noConversion"/>
  </si>
  <si>
    <t>bi7</t>
    <phoneticPr fontId="1" type="noConversion"/>
  </si>
  <si>
    <t>bbi6</t>
    <phoneticPr fontId="1" type="noConversion"/>
  </si>
  <si>
    <t>ciok4</t>
    <phoneticPr fontId="1" type="noConversion"/>
  </si>
  <si>
    <t>ciok7</t>
    <phoneticPr fontId="1" type="noConversion"/>
  </si>
  <si>
    <t>gai5</t>
    <phoneticPr fontId="1" type="noConversion"/>
  </si>
  <si>
    <t>nai2</t>
    <phoneticPr fontId="1" type="noConversion"/>
  </si>
  <si>
    <t>lnai3</t>
    <phoneticPr fontId="1" type="noConversion"/>
  </si>
  <si>
    <t>zi5</t>
    <phoneticPr fontId="1" type="noConversion"/>
  </si>
  <si>
    <t>bing5</t>
    <phoneticPr fontId="1" type="noConversion"/>
  </si>
  <si>
    <t>bbing2</t>
    <phoneticPr fontId="1" type="noConversion"/>
  </si>
  <si>
    <t>zin7</t>
    <phoneticPr fontId="1" type="noConversion"/>
  </si>
  <si>
    <t>zin6</t>
    <phoneticPr fontId="1" type="noConversion"/>
  </si>
  <si>
    <t>lo3</t>
    <phoneticPr fontId="1" type="noConversion"/>
  </si>
  <si>
    <t>su2</t>
    <phoneticPr fontId="1" type="noConversion"/>
  </si>
  <si>
    <t>zip8</t>
    <phoneticPr fontId="1" type="noConversion"/>
  </si>
  <si>
    <t>to7</t>
    <phoneticPr fontId="1" type="noConversion"/>
  </si>
  <si>
    <t>do6</t>
    <phoneticPr fontId="1" type="noConversion"/>
  </si>
  <si>
    <t>ti3</t>
    <phoneticPr fontId="1" type="noConversion"/>
  </si>
  <si>
    <t>di5</t>
    <phoneticPr fontId="1" type="noConversion"/>
  </si>
  <si>
    <t>tik4</t>
    <phoneticPr fontId="1" type="noConversion"/>
  </si>
  <si>
    <t>dik7</t>
    <phoneticPr fontId="1" type="noConversion"/>
  </si>
  <si>
    <t>i2</t>
    <phoneticPr fontId="1" type="noConversion"/>
  </si>
  <si>
    <t>the5</t>
    <phoneticPr fontId="1" type="noConversion"/>
  </si>
  <si>
    <t>te2</t>
    <phoneticPr fontId="1" type="noConversion"/>
  </si>
  <si>
    <t>i1</t>
    <phoneticPr fontId="1" type="noConversion"/>
  </si>
  <si>
    <t>sim1</t>
    <phoneticPr fontId="1" type="noConversion"/>
  </si>
  <si>
    <t>kua3</t>
    <phoneticPr fontId="1" type="noConversion"/>
  </si>
  <si>
    <t>gua5</t>
    <phoneticPr fontId="1" type="noConversion"/>
  </si>
  <si>
    <t>gai7</t>
    <phoneticPr fontId="1" type="noConversion"/>
  </si>
  <si>
    <t>ggai6</t>
    <phoneticPr fontId="1" type="noConversion"/>
  </si>
  <si>
    <t>iu2</t>
    <phoneticPr fontId="1" type="noConversion"/>
  </si>
  <si>
    <t>iu3</t>
    <phoneticPr fontId="1" type="noConversion"/>
  </si>
  <si>
    <t>khiong2</t>
    <phoneticPr fontId="1" type="noConversion"/>
  </si>
  <si>
    <t>kiong3</t>
    <phoneticPr fontId="1" type="noConversion"/>
  </si>
  <si>
    <t>poo3</t>
    <phoneticPr fontId="1" type="noConversion"/>
  </si>
  <si>
    <t>boo5</t>
    <phoneticPr fontId="1" type="noConversion"/>
  </si>
  <si>
    <t>uan2</t>
    <phoneticPr fontId="1" type="noConversion"/>
  </si>
  <si>
    <t>uan3</t>
    <phoneticPr fontId="1" type="noConversion"/>
  </si>
  <si>
    <t>li7</t>
    <phoneticPr fontId="1" type="noConversion"/>
  </si>
  <si>
    <t>li6</t>
    <phoneticPr fontId="1" type="noConversion"/>
  </si>
  <si>
    <t>tian1</t>
    <phoneticPr fontId="1" type="noConversion"/>
  </si>
  <si>
    <t>dian1</t>
    <phoneticPr fontId="1" type="noConversion"/>
  </si>
  <si>
    <t>to3</t>
    <phoneticPr fontId="1" type="noConversion"/>
  </si>
  <si>
    <t>do5</t>
    <phoneticPr fontId="1" type="noConversion"/>
  </si>
  <si>
    <t>bang7</t>
    <phoneticPr fontId="1" type="noConversion"/>
  </si>
  <si>
    <t>bbang6</t>
    <phoneticPr fontId="1" type="noConversion"/>
  </si>
  <si>
    <t>giu5</t>
    <phoneticPr fontId="1" type="noConversion"/>
  </si>
  <si>
    <t>ging5</t>
    <phoneticPr fontId="1" type="noConversion"/>
  </si>
  <si>
    <t>puan5</t>
    <phoneticPr fontId="1" type="noConversion"/>
  </si>
  <si>
    <t>buan2</t>
    <phoneticPr fontId="1" type="noConversion"/>
  </si>
  <si>
    <t>sam1</t>
    <phoneticPr fontId="1" type="noConversion"/>
  </si>
  <si>
    <t>se5</t>
    <phoneticPr fontId="1" type="noConversion"/>
  </si>
  <si>
    <t>hut8</t>
    <phoneticPr fontId="1" type="noConversion"/>
  </si>
  <si>
    <t>a1</t>
    <phoneticPr fontId="1" type="noConversion"/>
  </si>
  <si>
    <t>loo7</t>
    <phoneticPr fontId="1" type="noConversion"/>
  </si>
  <si>
    <t>loo6</t>
    <phoneticPr fontId="1" type="noConversion"/>
  </si>
  <si>
    <t>biau2</t>
    <phoneticPr fontId="1" type="noConversion"/>
  </si>
  <si>
    <t>bbiao3</t>
    <phoneticPr fontId="1" type="noConversion"/>
  </si>
  <si>
    <t>ti1</t>
    <phoneticPr fontId="1" type="noConversion"/>
  </si>
  <si>
    <t>di1</t>
    <phoneticPr fontId="1" type="noConversion"/>
  </si>
  <si>
    <t>dai6</t>
    <phoneticPr fontId="1" type="noConversion"/>
  </si>
  <si>
    <t>sin5</t>
    <phoneticPr fontId="1" type="noConversion"/>
  </si>
  <si>
    <t>sin2</t>
    <phoneticPr fontId="1" type="noConversion"/>
  </si>
  <si>
    <t>ziu3</t>
    <phoneticPr fontId="1" type="noConversion"/>
  </si>
  <si>
    <t>ziu5</t>
    <phoneticPr fontId="1" type="noConversion"/>
  </si>
  <si>
    <t>ting2</t>
    <phoneticPr fontId="1" type="noConversion"/>
  </si>
  <si>
    <t>ding3</t>
    <phoneticPr fontId="1" type="noConversion"/>
  </si>
  <si>
    <t>ling2</t>
    <phoneticPr fontId="1" type="noConversion"/>
  </si>
  <si>
    <t>tu5</t>
    <phoneticPr fontId="1" type="noConversion"/>
  </si>
  <si>
    <t>du2</t>
    <phoneticPr fontId="1" type="noConversion"/>
  </si>
  <si>
    <t>zin1</t>
    <phoneticPr fontId="1" type="noConversion"/>
  </si>
  <si>
    <t>sit8</t>
    <phoneticPr fontId="1" type="noConversion"/>
  </si>
  <si>
    <t>hi1</t>
    <phoneticPr fontId="1" type="noConversion"/>
  </si>
  <si>
    <t>suat4</t>
    <phoneticPr fontId="1" type="noConversion"/>
  </si>
  <si>
    <t>suat7</t>
    <phoneticPr fontId="1" type="noConversion"/>
  </si>
  <si>
    <t>uat8</t>
    <phoneticPr fontId="1" type="noConversion"/>
  </si>
  <si>
    <t>khiat4</t>
  </si>
  <si>
    <t>khiat4</t>
    <phoneticPr fontId="1" type="noConversion"/>
  </si>
  <si>
    <t>kiat7</t>
    <phoneticPr fontId="1" type="noConversion"/>
  </si>
  <si>
    <t>de5</t>
    <phoneticPr fontId="1" type="noConversion"/>
  </si>
  <si>
    <t>po5</t>
    <phoneticPr fontId="1" type="noConversion"/>
  </si>
  <si>
    <t>bo2</t>
    <phoneticPr fontId="1" type="noConversion"/>
  </si>
  <si>
    <t>o1</t>
    <phoneticPr fontId="1" type="noConversion"/>
  </si>
  <si>
    <t>漢字</t>
  </si>
  <si>
    <t>總數</t>
  </si>
  <si>
    <t>台語音標</t>
  </si>
  <si>
    <t>校正音標</t>
  </si>
  <si>
    <t>座標</t>
  </si>
  <si>
    <t>N/A</t>
  </si>
  <si>
    <t>(5, 4)</t>
  </si>
  <si>
    <t>(5, 5)</t>
  </si>
  <si>
    <t>(5, 6)</t>
  </si>
  <si>
    <t>(5, 7); (73, 8); (97, 11); (129, 6)</t>
  </si>
  <si>
    <t>(5, 8); (73, 10); (129, 8)</t>
  </si>
  <si>
    <t>(5, 10); (21, 15); (41, 9)</t>
  </si>
  <si>
    <t>(5, 11)</t>
  </si>
  <si>
    <t>(5, 12); (73, 14); (93, 10); (105, 6); (121, 6)</t>
  </si>
  <si>
    <t>(5, 13); (73, 15); (93, 11); (105, 7); (121, 7)</t>
  </si>
  <si>
    <t>(5, 14); (73, 16); (93, 12); (105, 8); (121, 8); (125, 10); (125, 15)</t>
  </si>
  <si>
    <t>(5, 15); (73, 17); (93, 13); (97, 7); (105, 9); (121, 9); (125, 11); (125, 16)</t>
  </si>
  <si>
    <t>(5, 16); (73, 18); (93, 14); (105, 10); (121, 10)</t>
  </si>
  <si>
    <t>(5, 17); (77, 4); (93, 15); (97, 6); (105, 11); (121, 11)</t>
  </si>
  <si>
    <t>(5, 18)</t>
  </si>
  <si>
    <t>(9, 5)</t>
  </si>
  <si>
    <t>(9, 6)</t>
  </si>
  <si>
    <t>(9, 7)</t>
  </si>
  <si>
    <t>(9, 8)</t>
  </si>
  <si>
    <t>(9, 9)</t>
  </si>
  <si>
    <t>(9, 10); (17, 11); (17, 13); (21, 6); (21, 8); (33, 11); (37, 16)</t>
  </si>
  <si>
    <t>(9, 12)</t>
  </si>
  <si>
    <t>(9, 13); (113, 6)</t>
  </si>
  <si>
    <t>(9, 14); (113, 7)</t>
  </si>
  <si>
    <t>(9, 15); (69, 5); (113, 8)</t>
  </si>
  <si>
    <t>(9, 16)</t>
  </si>
  <si>
    <t>(17, 4); (33, 4)</t>
  </si>
  <si>
    <t>(17, 5); (33, 5)</t>
  </si>
  <si>
    <t>(17, 6); (33, 6)</t>
  </si>
  <si>
    <t>(17, 8); (17, 16); (17, 18); (21, 11); (41, 4); (45, 6)</t>
  </si>
  <si>
    <t>(17, 9); (17, 14); (33, 14); (33, 16); (37, 4); (37, 6); (37, 9); (37, 11); (113, 12)</t>
  </si>
  <si>
    <t>(17, 10); (17, 15)</t>
  </si>
  <si>
    <t>(21, 4); (21, 9); (121, 14)</t>
  </si>
  <si>
    <t>(21, 5); (21, 10); (25, 6); (33, 8); (37, 14); (105, 13); (105, 18); (109, 8); (109, 13)</t>
  </si>
  <si>
    <t>(21, 13); (41, 7)</t>
  </si>
  <si>
    <t>(21, 14); (41, 8); (81, 13)</t>
  </si>
  <si>
    <t>(21, 16); (41, 10); (53, 12)</t>
  </si>
  <si>
    <t>(21, 18); (57, 4); (57, 16); (69, 13)</t>
  </si>
  <si>
    <t>(25, 4)</t>
  </si>
  <si>
    <t>(25, 5)</t>
  </si>
  <si>
    <t>(33, 9); (93, 6)</t>
  </si>
  <si>
    <t>(33, 10); (45, 11)</t>
  </si>
  <si>
    <t>(33, 12)</t>
  </si>
  <si>
    <t>(33, 15)</t>
  </si>
  <si>
    <t>(33, 17); (69, 7)</t>
  </si>
  <si>
    <t>(37, 5)</t>
  </si>
  <si>
    <t>(37, 7)</t>
  </si>
  <si>
    <t>(37, 10)</t>
  </si>
  <si>
    <t>(37, 12)</t>
  </si>
  <si>
    <t>(37, 15); (73, 6); (77, 5); (77, 15); (93, 16); (105, 4); (121, 4)</t>
  </si>
  <si>
    <t>(37, 17)</t>
  </si>
  <si>
    <t>(37, 18); (41, 6); (41, 12); (45, 5); (53, 4); (53, 10); (53, 15); (53, 16); (57, 5); (57, 6); (57, 12); (57, 17); (69, 4); (69, 10); (69, 14); (69, 18); (77, 12); (77, 17); (109, 9); (109, 14)</t>
  </si>
  <si>
    <t>(41, 13); (53, 5)</t>
  </si>
  <si>
    <t>(41, 14)</t>
  </si>
  <si>
    <t>(41, 15)</t>
  </si>
  <si>
    <t>(41, 16)</t>
  </si>
  <si>
    <t>(41, 17)</t>
  </si>
  <si>
    <t>(41, 18); (53, 11)</t>
  </si>
  <si>
    <t>(45, 7)</t>
  </si>
  <si>
    <t>(45, 8)</t>
  </si>
  <si>
    <t>(45, 9)</t>
  </si>
  <si>
    <t>(45, 10)</t>
  </si>
  <si>
    <t>(53, 6); (53, 13)</t>
  </si>
  <si>
    <t>(53, 8); (57, 10)</t>
  </si>
  <si>
    <t>(53, 9); (57, 11)</t>
  </si>
  <si>
    <t>(53, 17); (57, 7); (109, 5)</t>
  </si>
  <si>
    <t>(57, 8); (61, 5)</t>
  </si>
  <si>
    <t>(57, 13); (57, 18)</t>
  </si>
  <si>
    <t>(57, 14); (61, 4)</t>
  </si>
  <si>
    <t>(69, 6)</t>
  </si>
  <si>
    <t>(69, 8)</t>
  </si>
  <si>
    <t>(69, 11)</t>
  </si>
  <si>
    <t>(69, 15); (73, 5); (77, 8); (93, 18)</t>
  </si>
  <si>
    <t>(69, 17)</t>
  </si>
  <si>
    <t>(73, 4)</t>
  </si>
  <si>
    <t>(73, 9); (97, 12); (129, 7)</t>
  </si>
  <si>
    <t>(73, 13); (93, 9)</t>
  </si>
  <si>
    <t>(77, 7)</t>
  </si>
  <si>
    <t>(77, 9); (77, 13)</t>
  </si>
  <si>
    <t>(77, 10); (77, 14)</t>
  </si>
  <si>
    <t>(77, 18)</t>
  </si>
  <si>
    <t>(81, 4)</t>
  </si>
  <si>
    <t>(81, 5)</t>
  </si>
  <si>
    <t>(81, 7)</t>
  </si>
  <si>
    <t>(81, 8)</t>
  </si>
  <si>
    <t>(81, 9)</t>
  </si>
  <si>
    <t>(81, 10)</t>
  </si>
  <si>
    <t>(81, 12)</t>
  </si>
  <si>
    <t>(81, 15)</t>
  </si>
  <si>
    <t>(81, 16)</t>
  </si>
  <si>
    <t>(81, 18)</t>
  </si>
  <si>
    <t>(93, 4); (97, 8); (97, 10)</t>
  </si>
  <si>
    <t>(93, 5)</t>
  </si>
  <si>
    <t>(93, 7)</t>
  </si>
  <si>
    <t>(97, 4)</t>
  </si>
  <si>
    <t>(97, 5)</t>
  </si>
  <si>
    <t>(97, 9)</t>
  </si>
  <si>
    <t>(105, 5)</t>
  </si>
  <si>
    <t>(105, 14); (109, 4)</t>
  </si>
  <si>
    <t>(105, 15)</t>
  </si>
  <si>
    <t>(105, 16); (109, 6); (109, 11); (109, 17); (121, 12); (121, 16)</t>
  </si>
  <si>
    <t>(109, 10)</t>
  </si>
  <si>
    <t>(109, 15); (109, 16)</t>
  </si>
  <si>
    <t>(113, 4)</t>
  </si>
  <si>
    <t>(113, 5)</t>
  </si>
  <si>
    <t>(113, 10)</t>
  </si>
  <si>
    <t>(113, 11)</t>
  </si>
  <si>
    <t>(113, 13)</t>
  </si>
  <si>
    <t>(121, 5); (121, 15)</t>
  </si>
  <si>
    <t>(121, 17)</t>
  </si>
  <si>
    <t>(125, 4); (125, 7); (125, 12); (125, 18)</t>
  </si>
  <si>
    <t>(125, 5); (125, 8); (125, 13); (129, 4)</t>
  </si>
  <si>
    <t>(125, 17)</t>
  </si>
  <si>
    <t>(129, 9)</t>
  </si>
  <si>
    <t>(129, 10)</t>
  </si>
  <si>
    <t>(73, 11)</t>
  </si>
  <si>
    <t>(81, 17)</t>
  </si>
  <si>
    <t>閩拼調號</t>
  </si>
  <si>
    <t>網頁每列字數</t>
    <phoneticPr fontId="1" type="noConversion"/>
  </si>
  <si>
    <t>φ</t>
  </si>
  <si>
    <t>hing5</t>
  </si>
  <si>
    <t>hing5</t>
    <phoneticPr fontId="1" type="noConversion"/>
  </si>
  <si>
    <t>eh4</t>
  </si>
  <si>
    <t>eh4</t>
    <phoneticPr fontId="1" type="noConversion"/>
  </si>
  <si>
    <t>liap4</t>
    <phoneticPr fontId="1" type="noConversion"/>
  </si>
  <si>
    <t>liap7</t>
    <phoneticPr fontId="1" type="noConversion"/>
  </si>
  <si>
    <t>hing2</t>
    <phoneticPr fontId="1" type="noConversion"/>
  </si>
  <si>
    <t>觀自在菩薩，行深般若波羅蜜多時，照見五蘊皆空，度一切苦厄。
舍利子！色不異空，空不異色，色即是空，空即是色，受想行識，亦復如是。
舍利子！是諸法空相，不生不滅，不垢不淨，不增不減。是故空中無色，無受想行識。無眼耳鼻舌身意；無色聲香味觸法。
無眼界，乃至無意識界。無無明，亦無無明盡；乃至無老死，亦無老死盡。
無苦集滅道。無智，亦無得。以無所得故！菩提薩埵，依般若波羅蜜多故，心得罣礙，無罣礙故，無有恐怖，遠離顛倒、夢想，究竟湼槃。
三世諸佛，依般若波羅蜜多故，得阿耨多羅三藐三菩提！
故知般若波羅蜜多，是大神咒，是大明咒，是無上咒，是無等等咒。能除一切苦！真實不虛！
故說般若波羅蜜多咒，即說咒曰：揭諦，揭諦，波羅揭諦，波羅僧揭諦，菩提薩婆訶！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</si>
</sst>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1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sz val="18"/>
      <color rgb="FFFF0000"/>
      <name val="Arial"/>
      <family val="2"/>
    </font>
    <font>
      <b/>
      <sz val="48"/>
      <color rgb="FFFF0000"/>
      <name val="吳守禮細明台語注音"/>
      <family val="1"/>
      <charset val="136"/>
    </font>
    <font>
      <sz val="18"/>
      <color theme="1"/>
      <name val="新細明體"/>
      <family val="2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4"/>
      <name val="Microsoft YaHei"/>
      <family val="1"/>
      <charset val="134"/>
    </font>
    <font>
      <sz val="20"/>
      <color rgb="FFFF0000"/>
      <name val="Microsoft JhengHei UI"/>
      <family val="1"/>
    </font>
    <font>
      <sz val="20"/>
      <color rgb="FFFF0000"/>
      <name val="Microsoft JhengHei UI"/>
      <family val="1"/>
      <charset val="1"/>
    </font>
    <font>
      <sz val="20"/>
      <color rgb="FFFF0000"/>
      <name val="Microsoft JhengHei UI"/>
      <family val="1"/>
      <charset val="136"/>
    </font>
    <font>
      <b/>
      <sz val="48"/>
      <color rgb="FF000000"/>
      <name val="吳守禮細明台語破音02"/>
      <family val="1"/>
      <charset val="136"/>
    </font>
    <font>
      <sz val="26"/>
      <color rgb="FFFF0000"/>
      <name val="芫荽 0.94"/>
      <family val="3"/>
      <charset val="136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88" fillId="0" borderId="0"/>
  </cellStyleXfs>
  <cellXfs count="11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7" borderId="0" xfId="1" applyFill="1">
      <alignment vertical="center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63" fillId="0" borderId="0" xfId="3" applyAlignment="1">
      <alignment vertical="center"/>
    </xf>
    <xf numFmtId="0" fontId="0" fillId="0" borderId="0" xfId="0" applyAlignment="1">
      <alignment horizontal="left" vertical="center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64" fillId="0" borderId="0" xfId="0" applyFont="1" applyAlignment="1">
      <alignment horizontal="left" vertical="center"/>
    </xf>
    <xf numFmtId="0" fontId="70" fillId="0" borderId="0" xfId="1" applyFont="1" applyAlignment="1">
      <alignment horizontal="left"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/>
    </xf>
    <xf numFmtId="0" fontId="73" fillId="0" borderId="5" xfId="0" applyFont="1" applyBorder="1" applyAlignment="1" applyProtection="1">
      <alignment horizontal="center" vertical="center" wrapText="1" readingOrder="1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6" fillId="0" borderId="0" xfId="1" applyFont="1" applyAlignment="1">
      <alignment horizontal="left" vertical="center"/>
    </xf>
    <xf numFmtId="0" fontId="78" fillId="0" borderId="0" xfId="1" applyFont="1">
      <alignment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77" fillId="5" borderId="0" xfId="0" applyFont="1" applyFill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89" fillId="0" borderId="0" xfId="1" applyFont="1">
      <alignment vertical="center"/>
    </xf>
    <xf numFmtId="0" fontId="79" fillId="0" borderId="0" xfId="4" applyFont="1" applyAlignment="1">
      <alignment horizontal="center" vertical="center"/>
    </xf>
    <xf numFmtId="0" fontId="90" fillId="0" borderId="0" xfId="0" applyFont="1" applyAlignment="1">
      <alignment horizontal="center"/>
    </xf>
    <xf numFmtId="0" fontId="78" fillId="0" borderId="0" xfId="1" applyFont="1" applyAlignment="1">
      <alignment horizontal="left" vertical="center"/>
    </xf>
    <xf numFmtId="0" fontId="77" fillId="8" borderId="0" xfId="0" applyFont="1" applyFill="1" applyAlignment="1">
      <alignment horizontal="center" vertical="center"/>
    </xf>
    <xf numFmtId="0" fontId="82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5">
    <cellStyle name="一般" xfId="0" builtinId="0"/>
    <cellStyle name="一般 2" xfId="1" xr:uid="{13A8398C-062A-4295-9F26-34E8789B507C}"/>
    <cellStyle name="一般 3" xfId="4" xr:uid="{92ADDF74-59E9-4DA1-A345-0721B3427EC4}"/>
    <cellStyle name="超連結" xfId="3" builtinId="8"/>
    <cellStyle name="超連結 2" xfId="2" xr:uid="{AF644068-9C78-42CD-96C0-AD9C8A3B8BDE}"/>
  </cellStyles>
  <dxfs count="19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shoplineapp.com/media/image_clips/5ced0f1bd62fc3392bb34287/original.jpg?155903976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18"/>
  <sheetViews>
    <sheetView topLeftCell="A3" zoomScale="80" zoomScaleNormal="80" workbookViewId="0">
      <selection activeCell="C16" sqref="C16"/>
    </sheetView>
  </sheetViews>
  <sheetFormatPr defaultColWidth="12" defaultRowHeight="25.5"/>
  <cols>
    <col min="1" max="1" width="3.69921875" style="53" customWidth="1"/>
    <col min="2" max="2" width="21.19921875" style="53" customWidth="1"/>
    <col min="3" max="3" width="93.796875" style="53" customWidth="1"/>
    <col min="4" max="16384" width="12" style="53"/>
  </cols>
  <sheetData>
    <row r="1" spans="2:3">
      <c r="B1" s="52" t="s">
        <v>160</v>
      </c>
      <c r="C1" s="52" t="s">
        <v>161</v>
      </c>
    </row>
    <row r="2" spans="2:3">
      <c r="B2" s="53" t="s">
        <v>162</v>
      </c>
      <c r="C2" s="78" t="s">
        <v>179</v>
      </c>
    </row>
    <row r="3" spans="2:3">
      <c r="B3" s="53" t="s">
        <v>163</v>
      </c>
      <c r="C3" s="78" t="s">
        <v>164</v>
      </c>
    </row>
    <row r="4" spans="2:3">
      <c r="B4" s="53" t="s">
        <v>165</v>
      </c>
      <c r="C4" s="54" t="s">
        <v>547</v>
      </c>
    </row>
    <row r="5" spans="2:3">
      <c r="B5" s="53" t="s">
        <v>166</v>
      </c>
      <c r="C5" s="61" t="s">
        <v>548</v>
      </c>
    </row>
    <row r="6" spans="2:3">
      <c r="B6" s="74" t="s">
        <v>180</v>
      </c>
      <c r="C6" s="76" t="s">
        <v>545</v>
      </c>
    </row>
    <row r="7" spans="2:3">
      <c r="B7" s="53" t="s">
        <v>181</v>
      </c>
      <c r="C7" s="95">
        <v>1</v>
      </c>
    </row>
    <row r="8" spans="2:3">
      <c r="B8" s="62" t="s">
        <v>159</v>
      </c>
      <c r="C8" s="76" t="b">
        <v>1</v>
      </c>
    </row>
    <row r="9" spans="2:3">
      <c r="B9" s="74" t="s">
        <v>177</v>
      </c>
      <c r="C9" s="77">
        <v>60</v>
      </c>
    </row>
    <row r="10" spans="2:3">
      <c r="B10" s="75" t="s">
        <v>178</v>
      </c>
      <c r="C10" s="77">
        <v>15</v>
      </c>
    </row>
    <row r="11" spans="2:3" ht="30">
      <c r="B11" s="96" t="s">
        <v>193</v>
      </c>
      <c r="C11" s="104" t="s">
        <v>478</v>
      </c>
    </row>
    <row r="12" spans="2:3" ht="30">
      <c r="B12" s="96" t="s">
        <v>194</v>
      </c>
      <c r="C12" s="104" t="s">
        <v>546</v>
      </c>
    </row>
    <row r="13" spans="2:3" ht="30">
      <c r="B13" s="75" t="s">
        <v>321</v>
      </c>
      <c r="C13" s="104" t="s">
        <v>1071</v>
      </c>
    </row>
    <row r="14" spans="2:3" ht="30">
      <c r="B14" s="75" t="s">
        <v>322</v>
      </c>
      <c r="C14" s="104" t="s">
        <v>660</v>
      </c>
    </row>
    <row r="15" spans="2:3" ht="30">
      <c r="B15" s="75" t="s">
        <v>658</v>
      </c>
      <c r="C15" s="104" t="s">
        <v>657</v>
      </c>
    </row>
    <row r="16" spans="2:3" ht="30">
      <c r="B16" s="75" t="s">
        <v>655</v>
      </c>
      <c r="C16" s="104" t="s">
        <v>951</v>
      </c>
    </row>
    <row r="17" spans="2:3" ht="30">
      <c r="B17" s="75" t="s">
        <v>656</v>
      </c>
      <c r="C17" s="104" t="s">
        <v>659</v>
      </c>
    </row>
    <row r="18" spans="2:3">
      <c r="B18" s="53" t="s">
        <v>1072</v>
      </c>
      <c r="C18" s="107">
        <v>7</v>
      </c>
    </row>
  </sheetData>
  <phoneticPr fontId="1" type="noConversion"/>
  <dataValidations count="6">
    <dataValidation type="list" allowBlank="1" showInputMessage="1" showErrorMessage="1" sqref="C8" xr:uid="{DE2F131F-8109-4114-9E19-8669EDE792F8}">
      <formula1>"TRUE, FALSE"</formula1>
    </dataValidation>
    <dataValidation type="list" allowBlank="1" showInputMessage="1" showErrorMessage="1" sqref="C11" xr:uid="{E1F69058-4017-4BE3-AEB8-50E1436BE751}">
      <formula1>"白話音, 文讀音"</formula1>
    </dataValidation>
    <dataValidation type="list" allowBlank="1" showInputMessage="1" showErrorMessage="1" sqref="C12" xr:uid="{0D409A6F-066E-4C8E-8934-51E31CF25F74}">
      <formula1>"河洛話, 廣韻"</formula1>
    </dataValidation>
    <dataValidation type="list" allowBlank="1" showInputMessage="1" showErrorMessage="1" sqref="C14" xr:uid="{FD44336A-1054-4D87-8466-E06975034540}">
      <formula1>"無預設, SNI, TPS, POJ, TL, BP, TLPA_Plus, DBL"</formula1>
    </dataValidation>
    <dataValidation type="list" allowBlank="1" showInputMessage="1" showErrorMessage="1" sqref="C15" xr:uid="{E8DB7BED-C132-44E4-8AAF-B492AD7FC1A8}">
      <formula1>"預設,上,右,上及右"</formula1>
    </dataValidation>
    <dataValidation type="list" showInputMessage="1" showErrorMessage="1" sqref="C16:C17 C13" xr:uid="{C97A4E45-1E62-4962-8114-E7518C34962D}">
      <formula1>" ,十五音, 雅俗通,方音符號,台語音標, 白話字, 台羅拼音,閩拼調號, 閩拼調符"</formula1>
    </dataValidation>
  </dataValidations>
  <hyperlinks>
    <hyperlink ref="C5" r:id="rId1" xr:uid="{AB8D08FA-912E-47F6-A84B-FD6CA37AE5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47F3-E2AF-4A45-8C1C-7D0F8AE3BCA7}">
  <dimension ref="A1:E3"/>
  <sheetViews>
    <sheetView workbookViewId="0">
      <selection activeCell="I8" sqref="I8"/>
    </sheetView>
  </sheetViews>
  <sheetFormatPr defaultRowHeight="21"/>
  <sheetData>
    <row r="1" spans="1:5">
      <c r="A1" t="s">
        <v>949</v>
      </c>
      <c r="B1" t="s">
        <v>950</v>
      </c>
      <c r="C1" t="s">
        <v>951</v>
      </c>
      <c r="D1" t="s">
        <v>952</v>
      </c>
      <c r="E1" t="s">
        <v>953</v>
      </c>
    </row>
    <row r="2" spans="1:5">
      <c r="A2" t="s">
        <v>645</v>
      </c>
      <c r="B2">
        <v>0</v>
      </c>
      <c r="C2" t="s">
        <v>672</v>
      </c>
      <c r="D2" t="s">
        <v>954</v>
      </c>
      <c r="E2" t="s">
        <v>1069</v>
      </c>
    </row>
    <row r="3" spans="1:5">
      <c r="A3" t="s">
        <v>648</v>
      </c>
      <c r="B3">
        <v>0</v>
      </c>
      <c r="C3" t="s">
        <v>744</v>
      </c>
      <c r="D3" t="s">
        <v>954</v>
      </c>
      <c r="E3" t="s">
        <v>1070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BC5A-0B77-418F-AB95-1D812C3C9CED}">
  <dimension ref="A1:E1"/>
  <sheetViews>
    <sheetView workbookViewId="0"/>
  </sheetViews>
  <sheetFormatPr defaultRowHeight="21"/>
  <sheetData>
    <row r="1" spans="1:5">
      <c r="A1" t="s">
        <v>949</v>
      </c>
      <c r="B1" t="s">
        <v>950</v>
      </c>
      <c r="C1" t="s">
        <v>951</v>
      </c>
      <c r="D1" t="s">
        <v>952</v>
      </c>
      <c r="E1" t="s">
        <v>953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C7A7D-E6B2-46ED-94DD-27426317D054}">
  <dimension ref="A1:E115"/>
  <sheetViews>
    <sheetView workbookViewId="0"/>
  </sheetViews>
  <sheetFormatPr defaultRowHeight="21"/>
  <sheetData>
    <row r="1" spans="1:5">
      <c r="A1" t="s">
        <v>949</v>
      </c>
      <c r="B1" t="s">
        <v>950</v>
      </c>
      <c r="C1" t="s">
        <v>951</v>
      </c>
      <c r="D1" t="s">
        <v>952</v>
      </c>
      <c r="E1" t="s">
        <v>953</v>
      </c>
    </row>
    <row r="2" spans="1:5">
      <c r="A2" t="s">
        <v>591</v>
      </c>
      <c r="B2">
        <v>1</v>
      </c>
      <c r="C2" t="s">
        <v>661</v>
      </c>
      <c r="D2" t="s">
        <v>954</v>
      </c>
      <c r="E2" t="s">
        <v>955</v>
      </c>
    </row>
    <row r="3" spans="1:5">
      <c r="A3" t="s">
        <v>592</v>
      </c>
      <c r="B3">
        <v>1</v>
      </c>
      <c r="C3" t="s">
        <v>662</v>
      </c>
      <c r="D3" t="s">
        <v>954</v>
      </c>
      <c r="E3" t="s">
        <v>956</v>
      </c>
    </row>
    <row r="4" spans="1:5">
      <c r="A4" t="s">
        <v>593</v>
      </c>
      <c r="B4">
        <v>1</v>
      </c>
      <c r="C4" t="s">
        <v>663</v>
      </c>
      <c r="D4" t="s">
        <v>954</v>
      </c>
      <c r="E4" t="s">
        <v>957</v>
      </c>
    </row>
    <row r="5" spans="1:5">
      <c r="A5" t="s">
        <v>549</v>
      </c>
      <c r="B5">
        <v>4</v>
      </c>
      <c r="C5" t="s">
        <v>664</v>
      </c>
      <c r="D5" t="s">
        <v>954</v>
      </c>
      <c r="E5" t="s">
        <v>958</v>
      </c>
    </row>
    <row r="6" spans="1:5">
      <c r="A6" t="s">
        <v>550</v>
      </c>
      <c r="B6">
        <v>3</v>
      </c>
      <c r="C6" t="s">
        <v>665</v>
      </c>
      <c r="D6" t="s">
        <v>954</v>
      </c>
      <c r="E6" t="s">
        <v>959</v>
      </c>
    </row>
    <row r="7" spans="1:5">
      <c r="A7" t="s">
        <v>594</v>
      </c>
      <c r="B7">
        <v>3</v>
      </c>
      <c r="C7" t="s">
        <v>666</v>
      </c>
      <c r="D7" t="s">
        <v>1074</v>
      </c>
      <c r="E7" t="s">
        <v>960</v>
      </c>
    </row>
    <row r="8" spans="1:5">
      <c r="A8" t="s">
        <v>595</v>
      </c>
      <c r="B8">
        <v>1</v>
      </c>
      <c r="C8" t="s">
        <v>667</v>
      </c>
      <c r="D8" t="s">
        <v>954</v>
      </c>
      <c r="E8" t="s">
        <v>961</v>
      </c>
    </row>
    <row r="9" spans="1:5">
      <c r="A9" t="s">
        <v>551</v>
      </c>
      <c r="B9">
        <v>5</v>
      </c>
      <c r="C9" t="s">
        <v>778</v>
      </c>
      <c r="D9" t="s">
        <v>954</v>
      </c>
      <c r="E9" t="s">
        <v>962</v>
      </c>
    </row>
    <row r="10" spans="1:5">
      <c r="A10" t="s">
        <v>552</v>
      </c>
      <c r="B10">
        <v>5</v>
      </c>
      <c r="C10" t="s">
        <v>668</v>
      </c>
      <c r="D10" t="s">
        <v>954</v>
      </c>
      <c r="E10" t="s">
        <v>963</v>
      </c>
    </row>
    <row r="11" spans="1:5">
      <c r="A11" t="s">
        <v>553</v>
      </c>
      <c r="B11">
        <v>7</v>
      </c>
      <c r="C11" t="s">
        <v>669</v>
      </c>
      <c r="D11" t="s">
        <v>954</v>
      </c>
      <c r="E11" t="s">
        <v>964</v>
      </c>
    </row>
    <row r="12" spans="1:5">
      <c r="A12" t="s">
        <v>554</v>
      </c>
      <c r="B12">
        <v>8</v>
      </c>
      <c r="C12" t="s">
        <v>670</v>
      </c>
      <c r="D12" t="s">
        <v>954</v>
      </c>
      <c r="E12" t="s">
        <v>965</v>
      </c>
    </row>
    <row r="13" spans="1:5">
      <c r="A13" t="s">
        <v>555</v>
      </c>
      <c r="B13">
        <v>5</v>
      </c>
      <c r="C13" t="s">
        <v>671</v>
      </c>
      <c r="D13" t="s">
        <v>954</v>
      </c>
      <c r="E13" t="s">
        <v>966</v>
      </c>
    </row>
    <row r="14" spans="1:5">
      <c r="A14" t="s">
        <v>556</v>
      </c>
      <c r="B14">
        <v>6</v>
      </c>
      <c r="C14" t="s">
        <v>672</v>
      </c>
      <c r="D14" t="s">
        <v>954</v>
      </c>
      <c r="E14" t="s">
        <v>967</v>
      </c>
    </row>
    <row r="15" spans="1:5">
      <c r="A15" t="s">
        <v>596</v>
      </c>
      <c r="B15">
        <v>1</v>
      </c>
      <c r="C15" t="s">
        <v>673</v>
      </c>
      <c r="D15" t="s">
        <v>954</v>
      </c>
      <c r="E15" t="s">
        <v>968</v>
      </c>
    </row>
    <row r="16" spans="1:5">
      <c r="A16" t="s">
        <v>597</v>
      </c>
      <c r="B16">
        <v>1</v>
      </c>
      <c r="C16" t="s">
        <v>674</v>
      </c>
      <c r="D16" t="s">
        <v>954</v>
      </c>
      <c r="E16" t="s">
        <v>969</v>
      </c>
    </row>
    <row r="17" spans="1:5">
      <c r="A17" t="s">
        <v>598</v>
      </c>
      <c r="B17">
        <v>1</v>
      </c>
      <c r="C17" t="s">
        <v>675</v>
      </c>
      <c r="D17" t="s">
        <v>954</v>
      </c>
      <c r="E17" t="s">
        <v>970</v>
      </c>
    </row>
    <row r="18" spans="1:5">
      <c r="A18" t="s">
        <v>599</v>
      </c>
      <c r="B18">
        <v>1</v>
      </c>
      <c r="C18" t="s">
        <v>676</v>
      </c>
      <c r="D18" t="s">
        <v>954</v>
      </c>
      <c r="E18" t="s">
        <v>971</v>
      </c>
    </row>
    <row r="19" spans="1:5">
      <c r="A19" t="s">
        <v>600</v>
      </c>
      <c r="B19">
        <v>1</v>
      </c>
      <c r="C19" t="s">
        <v>677</v>
      </c>
      <c r="D19" t="s">
        <v>954</v>
      </c>
      <c r="E19" t="s">
        <v>972</v>
      </c>
    </row>
    <row r="20" spans="1:5">
      <c r="A20" t="s">
        <v>601</v>
      </c>
      <c r="B20">
        <v>1</v>
      </c>
      <c r="C20" t="s">
        <v>678</v>
      </c>
      <c r="D20" t="s">
        <v>954</v>
      </c>
      <c r="E20" t="s">
        <v>973</v>
      </c>
    </row>
    <row r="21" spans="1:5">
      <c r="A21" t="s">
        <v>602</v>
      </c>
      <c r="B21">
        <v>7</v>
      </c>
      <c r="C21" t="s">
        <v>679</v>
      </c>
      <c r="D21" t="s">
        <v>954</v>
      </c>
      <c r="E21" t="s">
        <v>974</v>
      </c>
    </row>
    <row r="22" spans="1:5">
      <c r="A22" t="s">
        <v>603</v>
      </c>
      <c r="B22">
        <v>1</v>
      </c>
      <c r="C22" t="s">
        <v>680</v>
      </c>
      <c r="D22" t="s">
        <v>954</v>
      </c>
      <c r="E22" t="s">
        <v>975</v>
      </c>
    </row>
    <row r="23" spans="1:5">
      <c r="A23" t="s">
        <v>187</v>
      </c>
      <c r="B23">
        <v>2</v>
      </c>
      <c r="C23" t="s">
        <v>681</v>
      </c>
      <c r="D23" t="s">
        <v>954</v>
      </c>
      <c r="E23" t="s">
        <v>976</v>
      </c>
    </row>
    <row r="24" spans="1:5">
      <c r="A24" t="s">
        <v>604</v>
      </c>
      <c r="B24">
        <v>2</v>
      </c>
      <c r="C24" t="s">
        <v>682</v>
      </c>
      <c r="D24" t="s">
        <v>954</v>
      </c>
      <c r="E24" t="s">
        <v>977</v>
      </c>
    </row>
    <row r="25" spans="1:5">
      <c r="A25" t="s">
        <v>605</v>
      </c>
      <c r="B25">
        <v>3</v>
      </c>
      <c r="C25" t="s">
        <v>683</v>
      </c>
      <c r="D25" t="s">
        <v>954</v>
      </c>
      <c r="E25" t="s">
        <v>978</v>
      </c>
    </row>
    <row r="26" spans="1:5">
      <c r="A26" t="s">
        <v>606</v>
      </c>
      <c r="B26">
        <v>1</v>
      </c>
      <c r="C26" t="s">
        <v>684</v>
      </c>
      <c r="D26" t="s">
        <v>1076</v>
      </c>
      <c r="E26" t="s">
        <v>979</v>
      </c>
    </row>
    <row r="27" spans="1:5">
      <c r="A27" t="s">
        <v>607</v>
      </c>
      <c r="B27">
        <v>2</v>
      </c>
      <c r="C27" t="s">
        <v>685</v>
      </c>
      <c r="D27" t="s">
        <v>954</v>
      </c>
      <c r="E27" t="s">
        <v>980</v>
      </c>
    </row>
    <row r="28" spans="1:5">
      <c r="A28" t="s">
        <v>608</v>
      </c>
      <c r="B28">
        <v>2</v>
      </c>
      <c r="C28" t="s">
        <v>815</v>
      </c>
      <c r="D28" t="s">
        <v>686</v>
      </c>
      <c r="E28" t="s">
        <v>981</v>
      </c>
    </row>
    <row r="29" spans="1:5">
      <c r="A29" t="s">
        <v>239</v>
      </c>
      <c r="B29">
        <v>2</v>
      </c>
      <c r="C29" t="s">
        <v>687</v>
      </c>
      <c r="D29" t="s">
        <v>954</v>
      </c>
      <c r="E29" t="s">
        <v>982</v>
      </c>
    </row>
    <row r="30" spans="1:5">
      <c r="A30" t="s">
        <v>610</v>
      </c>
      <c r="B30">
        <v>6</v>
      </c>
      <c r="C30" t="s">
        <v>688</v>
      </c>
      <c r="D30" t="s">
        <v>954</v>
      </c>
      <c r="E30" t="s">
        <v>983</v>
      </c>
    </row>
    <row r="31" spans="1:5">
      <c r="A31" t="s">
        <v>611</v>
      </c>
      <c r="B31">
        <v>9</v>
      </c>
      <c r="C31" t="s">
        <v>689</v>
      </c>
      <c r="D31" t="s">
        <v>954</v>
      </c>
      <c r="E31" t="s">
        <v>984</v>
      </c>
    </row>
    <row r="32" spans="1:5">
      <c r="A32" t="s">
        <v>612</v>
      </c>
      <c r="B32">
        <v>2</v>
      </c>
      <c r="C32" t="s">
        <v>690</v>
      </c>
      <c r="D32" t="s">
        <v>954</v>
      </c>
      <c r="E32" t="s">
        <v>985</v>
      </c>
    </row>
    <row r="33" spans="1:5">
      <c r="A33" t="s">
        <v>558</v>
      </c>
      <c r="B33">
        <v>3</v>
      </c>
      <c r="C33" t="s">
        <v>691</v>
      </c>
      <c r="D33" t="s">
        <v>954</v>
      </c>
      <c r="E33" t="s">
        <v>986</v>
      </c>
    </row>
    <row r="34" spans="1:5">
      <c r="A34" t="s">
        <v>191</v>
      </c>
      <c r="B34">
        <v>9</v>
      </c>
      <c r="C34" t="s">
        <v>692</v>
      </c>
      <c r="D34" t="s">
        <v>954</v>
      </c>
      <c r="E34" t="s">
        <v>987</v>
      </c>
    </row>
    <row r="35" spans="1:5">
      <c r="A35" t="s">
        <v>613</v>
      </c>
      <c r="B35">
        <v>2</v>
      </c>
      <c r="C35" t="s">
        <v>693</v>
      </c>
      <c r="D35" t="s">
        <v>954</v>
      </c>
      <c r="E35" t="s">
        <v>988</v>
      </c>
    </row>
    <row r="36" spans="1:5">
      <c r="A36" t="s">
        <v>559</v>
      </c>
      <c r="B36">
        <v>3</v>
      </c>
      <c r="C36" t="s">
        <v>694</v>
      </c>
      <c r="D36" t="s">
        <v>954</v>
      </c>
      <c r="E36" t="s">
        <v>989</v>
      </c>
    </row>
    <row r="37" spans="1:5">
      <c r="A37" t="s">
        <v>614</v>
      </c>
      <c r="B37">
        <v>3</v>
      </c>
      <c r="C37" t="s">
        <v>688</v>
      </c>
      <c r="D37" t="s">
        <v>954</v>
      </c>
      <c r="E37" t="s">
        <v>990</v>
      </c>
    </row>
    <row r="38" spans="1:5">
      <c r="A38" t="s">
        <v>615</v>
      </c>
      <c r="B38">
        <v>4</v>
      </c>
      <c r="C38" t="s">
        <v>695</v>
      </c>
      <c r="D38" t="s">
        <v>954</v>
      </c>
      <c r="E38" t="s">
        <v>991</v>
      </c>
    </row>
    <row r="39" spans="1:5">
      <c r="A39" t="s">
        <v>616</v>
      </c>
      <c r="B39">
        <v>1</v>
      </c>
      <c r="C39" t="s">
        <v>696</v>
      </c>
      <c r="D39" t="s">
        <v>954</v>
      </c>
      <c r="E39" t="s">
        <v>992</v>
      </c>
    </row>
    <row r="40" spans="1:5">
      <c r="A40" t="s">
        <v>617</v>
      </c>
      <c r="B40">
        <v>1</v>
      </c>
      <c r="C40" t="s">
        <v>697</v>
      </c>
      <c r="D40" t="s">
        <v>954</v>
      </c>
      <c r="E40" t="s">
        <v>993</v>
      </c>
    </row>
    <row r="41" spans="1:5">
      <c r="A41" t="s">
        <v>560</v>
      </c>
      <c r="B41">
        <v>2</v>
      </c>
      <c r="C41" t="s">
        <v>698</v>
      </c>
      <c r="D41" t="s">
        <v>954</v>
      </c>
      <c r="E41" t="s">
        <v>994</v>
      </c>
    </row>
    <row r="42" spans="1:5">
      <c r="A42" t="s">
        <v>618</v>
      </c>
      <c r="B42">
        <v>2</v>
      </c>
      <c r="C42" t="s">
        <v>699</v>
      </c>
      <c r="D42" t="s">
        <v>954</v>
      </c>
      <c r="E42" t="s">
        <v>995</v>
      </c>
    </row>
    <row r="43" spans="1:5">
      <c r="A43" t="s">
        <v>619</v>
      </c>
      <c r="B43">
        <v>1</v>
      </c>
      <c r="C43" t="s">
        <v>700</v>
      </c>
      <c r="D43" t="s">
        <v>954</v>
      </c>
      <c r="E43" t="s">
        <v>996</v>
      </c>
    </row>
    <row r="44" spans="1:5">
      <c r="A44" t="s">
        <v>620</v>
      </c>
      <c r="B44">
        <v>1</v>
      </c>
      <c r="C44" t="s">
        <v>701</v>
      </c>
      <c r="D44" t="s">
        <v>954</v>
      </c>
      <c r="E44" t="s">
        <v>997</v>
      </c>
    </row>
    <row r="45" spans="1:5">
      <c r="A45" t="s">
        <v>621</v>
      </c>
      <c r="B45">
        <v>2</v>
      </c>
      <c r="C45" t="s">
        <v>702</v>
      </c>
      <c r="D45" t="s">
        <v>954</v>
      </c>
      <c r="E45" t="s">
        <v>998</v>
      </c>
    </row>
    <row r="46" spans="1:5">
      <c r="A46" t="s">
        <v>622</v>
      </c>
      <c r="B46">
        <v>1</v>
      </c>
      <c r="C46" t="s">
        <v>703</v>
      </c>
      <c r="D46" t="s">
        <v>954</v>
      </c>
      <c r="E46" t="s">
        <v>999</v>
      </c>
    </row>
    <row r="47" spans="1:5">
      <c r="A47" t="s">
        <v>623</v>
      </c>
      <c r="B47">
        <v>1</v>
      </c>
      <c r="C47" t="s">
        <v>704</v>
      </c>
      <c r="D47" t="s">
        <v>954</v>
      </c>
      <c r="E47" t="s">
        <v>1000</v>
      </c>
    </row>
    <row r="48" spans="1:5">
      <c r="A48" t="s">
        <v>624</v>
      </c>
      <c r="B48">
        <v>1</v>
      </c>
      <c r="C48" t="s">
        <v>705</v>
      </c>
      <c r="D48" t="s">
        <v>954</v>
      </c>
      <c r="E48" t="s">
        <v>1001</v>
      </c>
    </row>
    <row r="49" spans="1:5">
      <c r="A49" t="s">
        <v>625</v>
      </c>
      <c r="B49">
        <v>1</v>
      </c>
      <c r="C49" t="s">
        <v>706</v>
      </c>
      <c r="D49" t="s">
        <v>954</v>
      </c>
      <c r="E49" t="s">
        <v>1002</v>
      </c>
    </row>
    <row r="50" spans="1:5">
      <c r="A50" t="s">
        <v>561</v>
      </c>
      <c r="B50">
        <v>7</v>
      </c>
      <c r="C50" t="s">
        <v>707</v>
      </c>
      <c r="D50" t="s">
        <v>954</v>
      </c>
      <c r="E50" t="s">
        <v>1003</v>
      </c>
    </row>
    <row r="51" spans="1:5">
      <c r="A51" t="s">
        <v>626</v>
      </c>
      <c r="B51">
        <v>1</v>
      </c>
      <c r="C51" t="s">
        <v>708</v>
      </c>
      <c r="D51" t="s">
        <v>954</v>
      </c>
      <c r="E51" t="s">
        <v>1004</v>
      </c>
    </row>
    <row r="52" spans="1:5">
      <c r="A52" t="s">
        <v>185</v>
      </c>
      <c r="B52">
        <v>20</v>
      </c>
      <c r="C52" t="s">
        <v>709</v>
      </c>
      <c r="D52" t="s">
        <v>954</v>
      </c>
      <c r="E52" t="s">
        <v>1005</v>
      </c>
    </row>
    <row r="53" spans="1:5">
      <c r="A53" t="s">
        <v>627</v>
      </c>
      <c r="B53">
        <v>2</v>
      </c>
      <c r="C53" t="s">
        <v>710</v>
      </c>
      <c r="D53" t="s">
        <v>954</v>
      </c>
      <c r="E53" t="s">
        <v>1006</v>
      </c>
    </row>
    <row r="54" spans="1:5">
      <c r="A54" t="s">
        <v>628</v>
      </c>
      <c r="B54">
        <v>1</v>
      </c>
      <c r="C54" t="s">
        <v>855</v>
      </c>
      <c r="D54" t="s">
        <v>954</v>
      </c>
      <c r="E54" t="s">
        <v>1007</v>
      </c>
    </row>
    <row r="55" spans="1:5">
      <c r="A55" t="s">
        <v>629</v>
      </c>
      <c r="B55">
        <v>1</v>
      </c>
      <c r="C55" t="s">
        <v>858</v>
      </c>
      <c r="D55" t="s">
        <v>954</v>
      </c>
      <c r="E55" t="s">
        <v>1008</v>
      </c>
    </row>
    <row r="56" spans="1:5">
      <c r="A56" t="s">
        <v>630</v>
      </c>
      <c r="B56">
        <v>1</v>
      </c>
      <c r="C56" t="s">
        <v>711</v>
      </c>
      <c r="D56" t="s">
        <v>954</v>
      </c>
      <c r="E56" t="s">
        <v>1009</v>
      </c>
    </row>
    <row r="57" spans="1:5">
      <c r="A57" t="s">
        <v>631</v>
      </c>
      <c r="B57">
        <v>1</v>
      </c>
      <c r="C57" t="s">
        <v>712</v>
      </c>
      <c r="D57" t="s">
        <v>954</v>
      </c>
      <c r="E57" t="s">
        <v>1010</v>
      </c>
    </row>
    <row r="58" spans="1:5">
      <c r="A58" t="s">
        <v>632</v>
      </c>
      <c r="B58">
        <v>2</v>
      </c>
      <c r="C58" t="s">
        <v>713</v>
      </c>
      <c r="D58" t="s">
        <v>954</v>
      </c>
      <c r="E58" t="s">
        <v>1011</v>
      </c>
    </row>
    <row r="59" spans="1:5">
      <c r="A59" t="s">
        <v>633</v>
      </c>
      <c r="B59">
        <v>1</v>
      </c>
      <c r="C59" t="s">
        <v>701</v>
      </c>
      <c r="D59" t="s">
        <v>954</v>
      </c>
      <c r="E59" t="s">
        <v>1012</v>
      </c>
    </row>
    <row r="60" spans="1:5">
      <c r="A60" t="s">
        <v>634</v>
      </c>
      <c r="B60">
        <v>1</v>
      </c>
      <c r="C60" t="s">
        <v>714</v>
      </c>
      <c r="D60" t="s">
        <v>954</v>
      </c>
      <c r="E60" t="s">
        <v>1013</v>
      </c>
    </row>
    <row r="61" spans="1:5">
      <c r="A61" t="s">
        <v>635</v>
      </c>
      <c r="B61">
        <v>1</v>
      </c>
      <c r="C61" t="s">
        <v>715</v>
      </c>
      <c r="D61" t="s">
        <v>954</v>
      </c>
      <c r="E61" t="s">
        <v>1014</v>
      </c>
    </row>
    <row r="62" spans="1:5">
      <c r="A62" t="s">
        <v>636</v>
      </c>
      <c r="B62">
        <v>1</v>
      </c>
      <c r="C62" t="s">
        <v>716</v>
      </c>
      <c r="D62" t="s">
        <v>954</v>
      </c>
      <c r="E62" t="s">
        <v>1015</v>
      </c>
    </row>
    <row r="63" spans="1:5">
      <c r="A63" t="s">
        <v>232</v>
      </c>
      <c r="B63">
        <v>2</v>
      </c>
      <c r="C63" t="s">
        <v>717</v>
      </c>
      <c r="D63" t="s">
        <v>954</v>
      </c>
      <c r="E63" t="s">
        <v>1016</v>
      </c>
    </row>
    <row r="64" spans="1:5">
      <c r="A64" t="s">
        <v>637</v>
      </c>
      <c r="B64">
        <v>2</v>
      </c>
      <c r="C64" t="s">
        <v>718</v>
      </c>
      <c r="D64" t="s">
        <v>954</v>
      </c>
      <c r="E64" t="s">
        <v>1017</v>
      </c>
    </row>
    <row r="65" spans="1:5">
      <c r="A65" t="s">
        <v>197</v>
      </c>
      <c r="B65">
        <v>2</v>
      </c>
      <c r="C65" t="s">
        <v>719</v>
      </c>
      <c r="D65" t="s">
        <v>954</v>
      </c>
      <c r="E65" t="s">
        <v>1018</v>
      </c>
    </row>
    <row r="66" spans="1:5">
      <c r="A66" t="s">
        <v>562</v>
      </c>
      <c r="B66">
        <v>3</v>
      </c>
      <c r="C66" t="s">
        <v>720</v>
      </c>
      <c r="D66" t="s">
        <v>954</v>
      </c>
      <c r="E66" t="s">
        <v>1019</v>
      </c>
    </row>
    <row r="67" spans="1:5">
      <c r="A67" t="s">
        <v>638</v>
      </c>
      <c r="B67">
        <v>2</v>
      </c>
      <c r="C67" t="s">
        <v>721</v>
      </c>
      <c r="D67" t="s">
        <v>954</v>
      </c>
      <c r="E67" t="s">
        <v>1020</v>
      </c>
    </row>
    <row r="68" spans="1:5">
      <c r="A68" t="s">
        <v>639</v>
      </c>
      <c r="B68">
        <v>2</v>
      </c>
      <c r="C68" t="s">
        <v>722</v>
      </c>
      <c r="D68" t="s">
        <v>954</v>
      </c>
      <c r="E68" t="s">
        <v>1021</v>
      </c>
    </row>
    <row r="69" spans="1:5">
      <c r="A69" t="s">
        <v>640</v>
      </c>
      <c r="B69">
        <v>2</v>
      </c>
      <c r="C69" t="s">
        <v>723</v>
      </c>
      <c r="D69" t="s">
        <v>954</v>
      </c>
      <c r="E69" t="s">
        <v>1022</v>
      </c>
    </row>
    <row r="70" spans="1:5">
      <c r="A70" t="s">
        <v>641</v>
      </c>
      <c r="B70">
        <v>1</v>
      </c>
      <c r="C70" t="s">
        <v>724</v>
      </c>
      <c r="D70" t="s">
        <v>954</v>
      </c>
      <c r="E70" t="s">
        <v>1023</v>
      </c>
    </row>
    <row r="71" spans="1:5">
      <c r="A71" t="s">
        <v>642</v>
      </c>
      <c r="B71">
        <v>1</v>
      </c>
      <c r="C71" t="s">
        <v>725</v>
      </c>
      <c r="D71" t="s">
        <v>954</v>
      </c>
      <c r="E71" t="s">
        <v>1024</v>
      </c>
    </row>
    <row r="72" spans="1:5">
      <c r="A72" t="s">
        <v>643</v>
      </c>
      <c r="B72">
        <v>1</v>
      </c>
      <c r="C72" t="s">
        <v>726</v>
      </c>
      <c r="D72" t="s">
        <v>954</v>
      </c>
      <c r="E72" t="s">
        <v>1025</v>
      </c>
    </row>
    <row r="73" spans="1:5">
      <c r="A73" t="s">
        <v>563</v>
      </c>
      <c r="B73">
        <v>4</v>
      </c>
      <c r="C73" t="s">
        <v>727</v>
      </c>
      <c r="D73" t="s">
        <v>954</v>
      </c>
      <c r="E73" t="s">
        <v>1026</v>
      </c>
    </row>
    <row r="74" spans="1:5">
      <c r="A74" t="s">
        <v>644</v>
      </c>
      <c r="B74">
        <v>1</v>
      </c>
      <c r="C74" t="s">
        <v>728</v>
      </c>
      <c r="D74" t="s">
        <v>954</v>
      </c>
      <c r="E74" t="s">
        <v>1027</v>
      </c>
    </row>
    <row r="75" spans="1:5">
      <c r="A75" t="s">
        <v>190</v>
      </c>
      <c r="B75">
        <v>1</v>
      </c>
      <c r="C75" t="s">
        <v>729</v>
      </c>
      <c r="D75" t="s">
        <v>954</v>
      </c>
      <c r="E75" t="s">
        <v>1028</v>
      </c>
    </row>
    <row r="76" spans="1:5">
      <c r="A76" t="s">
        <v>254</v>
      </c>
      <c r="B76">
        <v>3</v>
      </c>
      <c r="C76" t="s">
        <v>730</v>
      </c>
      <c r="D76" t="s">
        <v>954</v>
      </c>
      <c r="E76" t="s">
        <v>1029</v>
      </c>
    </row>
    <row r="77" spans="1:5">
      <c r="A77" t="s">
        <v>564</v>
      </c>
      <c r="B77">
        <v>2</v>
      </c>
      <c r="C77" t="s">
        <v>731</v>
      </c>
      <c r="D77" t="s">
        <v>954</v>
      </c>
      <c r="E77" t="s">
        <v>1030</v>
      </c>
    </row>
    <row r="78" spans="1:5">
      <c r="A78" t="s">
        <v>565</v>
      </c>
      <c r="B78">
        <v>1</v>
      </c>
      <c r="C78" t="s">
        <v>732</v>
      </c>
      <c r="D78" t="s">
        <v>954</v>
      </c>
      <c r="E78" t="s">
        <v>1031</v>
      </c>
    </row>
    <row r="79" spans="1:5">
      <c r="A79" t="s">
        <v>566</v>
      </c>
      <c r="B79">
        <v>2</v>
      </c>
      <c r="C79" t="s">
        <v>733</v>
      </c>
      <c r="D79" t="s">
        <v>954</v>
      </c>
      <c r="E79" t="s">
        <v>1032</v>
      </c>
    </row>
    <row r="80" spans="1:5">
      <c r="A80" t="s">
        <v>567</v>
      </c>
      <c r="B80">
        <v>2</v>
      </c>
      <c r="C80" t="s">
        <v>734</v>
      </c>
      <c r="D80" t="s">
        <v>954</v>
      </c>
      <c r="E80" t="s">
        <v>1033</v>
      </c>
    </row>
    <row r="81" spans="1:5">
      <c r="A81" t="s">
        <v>188</v>
      </c>
      <c r="B81">
        <v>1</v>
      </c>
      <c r="C81" t="s">
        <v>735</v>
      </c>
      <c r="D81" t="s">
        <v>954</v>
      </c>
      <c r="E81" t="s">
        <v>1034</v>
      </c>
    </row>
    <row r="82" spans="1:5">
      <c r="A82" t="s">
        <v>568</v>
      </c>
      <c r="B82">
        <v>1</v>
      </c>
      <c r="C82" t="s">
        <v>736</v>
      </c>
      <c r="D82" t="s">
        <v>954</v>
      </c>
      <c r="E82" t="s">
        <v>1035</v>
      </c>
    </row>
    <row r="83" spans="1:5">
      <c r="A83" t="s">
        <v>569</v>
      </c>
      <c r="B83">
        <v>1</v>
      </c>
      <c r="C83" t="s">
        <v>737</v>
      </c>
      <c r="D83" t="s">
        <v>954</v>
      </c>
      <c r="E83" t="s">
        <v>1036</v>
      </c>
    </row>
    <row r="84" spans="1:5">
      <c r="A84" t="s">
        <v>570</v>
      </c>
      <c r="B84">
        <v>1</v>
      </c>
      <c r="C84" t="s">
        <v>738</v>
      </c>
      <c r="D84" t="s">
        <v>954</v>
      </c>
      <c r="E84" t="s">
        <v>1037</v>
      </c>
    </row>
    <row r="85" spans="1:5">
      <c r="A85" t="s">
        <v>571</v>
      </c>
      <c r="B85">
        <v>1</v>
      </c>
      <c r="C85" t="s">
        <v>686</v>
      </c>
      <c r="D85" t="s">
        <v>954</v>
      </c>
      <c r="E85" t="s">
        <v>1038</v>
      </c>
    </row>
    <row r="86" spans="1:5">
      <c r="A86" t="s">
        <v>572</v>
      </c>
      <c r="B86">
        <v>1</v>
      </c>
      <c r="C86" t="s">
        <v>739</v>
      </c>
      <c r="D86" t="s">
        <v>954</v>
      </c>
      <c r="E86" t="s">
        <v>1039</v>
      </c>
    </row>
    <row r="87" spans="1:5">
      <c r="A87" t="s">
        <v>573</v>
      </c>
      <c r="B87">
        <v>1</v>
      </c>
      <c r="C87" t="s">
        <v>740</v>
      </c>
      <c r="D87" t="s">
        <v>954</v>
      </c>
      <c r="E87" t="s">
        <v>1040</v>
      </c>
    </row>
    <row r="88" spans="1:5">
      <c r="A88" t="s">
        <v>574</v>
      </c>
      <c r="B88">
        <v>1</v>
      </c>
      <c r="C88" t="s">
        <v>741</v>
      </c>
      <c r="D88" t="s">
        <v>954</v>
      </c>
      <c r="E88" t="s">
        <v>1041</v>
      </c>
    </row>
    <row r="89" spans="1:5">
      <c r="A89" t="s">
        <v>646</v>
      </c>
      <c r="B89">
        <v>1</v>
      </c>
      <c r="C89" t="s">
        <v>742</v>
      </c>
      <c r="D89" t="s">
        <v>954</v>
      </c>
      <c r="E89" t="s">
        <v>1042</v>
      </c>
    </row>
    <row r="90" spans="1:5">
      <c r="A90" t="s">
        <v>647</v>
      </c>
      <c r="B90">
        <v>1</v>
      </c>
      <c r="C90" t="s">
        <v>743</v>
      </c>
      <c r="D90" t="s">
        <v>954</v>
      </c>
      <c r="E90" t="s">
        <v>1043</v>
      </c>
    </row>
    <row r="91" spans="1:5">
      <c r="A91" t="s">
        <v>649</v>
      </c>
      <c r="B91">
        <v>1</v>
      </c>
      <c r="C91" t="s">
        <v>745</v>
      </c>
      <c r="D91" t="s">
        <v>954</v>
      </c>
      <c r="E91" t="s">
        <v>1044</v>
      </c>
    </row>
    <row r="92" spans="1:5">
      <c r="A92" t="s">
        <v>575</v>
      </c>
      <c r="B92">
        <v>3</v>
      </c>
      <c r="C92" t="s">
        <v>746</v>
      </c>
      <c r="D92" t="s">
        <v>954</v>
      </c>
      <c r="E92" t="s">
        <v>1045</v>
      </c>
    </row>
    <row r="93" spans="1:5">
      <c r="A93" t="s">
        <v>196</v>
      </c>
      <c r="B93">
        <v>1</v>
      </c>
      <c r="C93" t="s">
        <v>747</v>
      </c>
      <c r="D93" t="s">
        <v>954</v>
      </c>
      <c r="E93" t="s">
        <v>1046</v>
      </c>
    </row>
    <row r="94" spans="1:5">
      <c r="A94" t="s">
        <v>576</v>
      </c>
      <c r="B94">
        <v>1</v>
      </c>
      <c r="C94" t="s">
        <v>748</v>
      </c>
      <c r="D94" t="s">
        <v>954</v>
      </c>
      <c r="E94" t="s">
        <v>1047</v>
      </c>
    </row>
    <row r="95" spans="1:5">
      <c r="A95" t="s">
        <v>577</v>
      </c>
      <c r="B95">
        <v>1</v>
      </c>
      <c r="C95" t="s">
        <v>749</v>
      </c>
      <c r="D95" t="s">
        <v>954</v>
      </c>
      <c r="E95" t="s">
        <v>1048</v>
      </c>
    </row>
    <row r="96" spans="1:5">
      <c r="A96" t="s">
        <v>578</v>
      </c>
      <c r="B96">
        <v>1</v>
      </c>
      <c r="C96" t="s">
        <v>750</v>
      </c>
      <c r="D96" t="s">
        <v>954</v>
      </c>
      <c r="E96" t="s">
        <v>1049</v>
      </c>
    </row>
    <row r="97" spans="1:5">
      <c r="A97" t="s">
        <v>579</v>
      </c>
      <c r="B97">
        <v>1</v>
      </c>
      <c r="C97" t="s">
        <v>751</v>
      </c>
      <c r="D97" t="s">
        <v>954</v>
      </c>
      <c r="E97" t="s">
        <v>1050</v>
      </c>
    </row>
    <row r="98" spans="1:5">
      <c r="A98" t="s">
        <v>650</v>
      </c>
      <c r="B98">
        <v>1</v>
      </c>
      <c r="C98" t="s">
        <v>752</v>
      </c>
      <c r="D98" t="s">
        <v>954</v>
      </c>
      <c r="E98" t="s">
        <v>1051</v>
      </c>
    </row>
    <row r="99" spans="1:5">
      <c r="A99" t="s">
        <v>195</v>
      </c>
      <c r="B99">
        <v>2</v>
      </c>
      <c r="C99" t="s">
        <v>753</v>
      </c>
      <c r="D99" t="s">
        <v>954</v>
      </c>
      <c r="E99" t="s">
        <v>1052</v>
      </c>
    </row>
    <row r="100" spans="1:5">
      <c r="A100" t="s">
        <v>581</v>
      </c>
      <c r="B100">
        <v>1</v>
      </c>
      <c r="C100" t="s">
        <v>754</v>
      </c>
      <c r="D100" t="s">
        <v>954</v>
      </c>
      <c r="E100" t="s">
        <v>1053</v>
      </c>
    </row>
    <row r="101" spans="1:5">
      <c r="A101" t="s">
        <v>582</v>
      </c>
      <c r="B101">
        <v>6</v>
      </c>
      <c r="C101" t="s">
        <v>755</v>
      </c>
      <c r="D101" t="s">
        <v>954</v>
      </c>
      <c r="E101" t="s">
        <v>1054</v>
      </c>
    </row>
    <row r="102" spans="1:5">
      <c r="A102" t="s">
        <v>225</v>
      </c>
      <c r="B102">
        <v>1</v>
      </c>
      <c r="C102" t="s">
        <v>694</v>
      </c>
      <c r="D102" t="s">
        <v>954</v>
      </c>
      <c r="E102" t="s">
        <v>1055</v>
      </c>
    </row>
    <row r="103" spans="1:5">
      <c r="A103" t="s">
        <v>583</v>
      </c>
      <c r="B103">
        <v>2</v>
      </c>
      <c r="C103" t="s">
        <v>756</v>
      </c>
      <c r="D103" t="s">
        <v>954</v>
      </c>
      <c r="E103" t="s">
        <v>1056</v>
      </c>
    </row>
    <row r="104" spans="1:5">
      <c r="A104" t="s">
        <v>202</v>
      </c>
      <c r="B104">
        <v>1</v>
      </c>
      <c r="C104" t="s">
        <v>757</v>
      </c>
      <c r="D104" t="s">
        <v>954</v>
      </c>
      <c r="E104" t="s">
        <v>1057</v>
      </c>
    </row>
    <row r="105" spans="1:5">
      <c r="A105" t="s">
        <v>651</v>
      </c>
      <c r="B105">
        <v>1</v>
      </c>
      <c r="C105" t="s">
        <v>758</v>
      </c>
      <c r="D105" t="s">
        <v>954</v>
      </c>
      <c r="E105" t="s">
        <v>1058</v>
      </c>
    </row>
    <row r="106" spans="1:5">
      <c r="A106" t="s">
        <v>652</v>
      </c>
      <c r="B106">
        <v>1</v>
      </c>
      <c r="C106" t="s">
        <v>759</v>
      </c>
      <c r="D106" t="s">
        <v>954</v>
      </c>
      <c r="E106" t="s">
        <v>1059</v>
      </c>
    </row>
    <row r="107" spans="1:5">
      <c r="A107" t="s">
        <v>653</v>
      </c>
      <c r="B107">
        <v>1</v>
      </c>
      <c r="C107" t="s">
        <v>760</v>
      </c>
      <c r="D107" t="s">
        <v>954</v>
      </c>
      <c r="E107" t="s">
        <v>1060</v>
      </c>
    </row>
    <row r="108" spans="1:5">
      <c r="A108" t="s">
        <v>654</v>
      </c>
      <c r="B108">
        <v>1</v>
      </c>
      <c r="C108" t="s">
        <v>761</v>
      </c>
      <c r="D108" t="s">
        <v>954</v>
      </c>
      <c r="E108" t="s">
        <v>1061</v>
      </c>
    </row>
    <row r="109" spans="1:5">
      <c r="A109" t="s">
        <v>584</v>
      </c>
      <c r="B109">
        <v>2</v>
      </c>
      <c r="C109" t="s">
        <v>762</v>
      </c>
      <c r="D109" t="s">
        <v>954</v>
      </c>
      <c r="E109" t="s">
        <v>1062</v>
      </c>
    </row>
    <row r="110" spans="1:5">
      <c r="A110" t="s">
        <v>585</v>
      </c>
      <c r="B110">
        <v>1</v>
      </c>
      <c r="C110" t="s">
        <v>763</v>
      </c>
      <c r="D110" t="s">
        <v>954</v>
      </c>
      <c r="E110" t="s">
        <v>1063</v>
      </c>
    </row>
    <row r="111" spans="1:5">
      <c r="A111" t="s">
        <v>586</v>
      </c>
      <c r="B111">
        <v>4</v>
      </c>
      <c r="C111" t="s">
        <v>942</v>
      </c>
      <c r="D111" t="s">
        <v>954</v>
      </c>
      <c r="E111" t="s">
        <v>1064</v>
      </c>
    </row>
    <row r="112" spans="1:5">
      <c r="A112" t="s">
        <v>587</v>
      </c>
      <c r="B112">
        <v>4</v>
      </c>
      <c r="C112" t="s">
        <v>764</v>
      </c>
      <c r="D112" t="s">
        <v>954</v>
      </c>
      <c r="E112" t="s">
        <v>1065</v>
      </c>
    </row>
    <row r="113" spans="1:5">
      <c r="A113" t="s">
        <v>588</v>
      </c>
      <c r="B113">
        <v>1</v>
      </c>
      <c r="C113" t="s">
        <v>705</v>
      </c>
      <c r="D113" t="s">
        <v>954</v>
      </c>
      <c r="E113" t="s">
        <v>1066</v>
      </c>
    </row>
    <row r="114" spans="1:5">
      <c r="A114" t="s">
        <v>589</v>
      </c>
      <c r="B114">
        <v>1</v>
      </c>
      <c r="C114" t="s">
        <v>765</v>
      </c>
      <c r="D114" t="s">
        <v>954</v>
      </c>
      <c r="E114" t="s">
        <v>1067</v>
      </c>
    </row>
    <row r="115" spans="1:5">
      <c r="A115" t="s">
        <v>590</v>
      </c>
      <c r="B115">
        <v>1</v>
      </c>
      <c r="C115" t="s">
        <v>766</v>
      </c>
      <c r="D115" t="s">
        <v>954</v>
      </c>
      <c r="E115" t="s">
        <v>1068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A1:V242"/>
  <sheetViews>
    <sheetView showGridLines="0" tabSelected="1" zoomScale="50" zoomScaleNormal="50" workbookViewId="0">
      <selection activeCell="V3" sqref="V3:V22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1" spans="1:22">
      <c r="A1" s="106">
        <f>COLUMN()</f>
        <v>1</v>
      </c>
      <c r="B1" s="106">
        <f>COLUMN()</f>
        <v>2</v>
      </c>
      <c r="C1" s="106">
        <f>COLUMN()</f>
        <v>3</v>
      </c>
      <c r="D1" s="106">
        <f>COLUMN()</f>
        <v>4</v>
      </c>
      <c r="E1" s="106">
        <f>COLUMN()</f>
        <v>5</v>
      </c>
      <c r="F1" s="106">
        <f>COLUMN()</f>
        <v>6</v>
      </c>
      <c r="G1" s="106">
        <f>COLUMN()</f>
        <v>7</v>
      </c>
      <c r="H1" s="106">
        <f>COLUMN()</f>
        <v>8</v>
      </c>
      <c r="I1" s="106">
        <f>COLUMN()</f>
        <v>9</v>
      </c>
      <c r="J1" s="106">
        <f>COLUMN()</f>
        <v>10</v>
      </c>
      <c r="K1" s="106">
        <f>COLUMN()</f>
        <v>11</v>
      </c>
      <c r="L1" s="106">
        <f>COLUMN()</f>
        <v>12</v>
      </c>
      <c r="M1" s="106">
        <f>COLUMN()</f>
        <v>13</v>
      </c>
      <c r="N1" s="106">
        <f>COLUMN()</f>
        <v>14</v>
      </c>
      <c r="O1" s="106">
        <f>COLUMN()</f>
        <v>15</v>
      </c>
      <c r="P1" s="106">
        <f>COLUMN()</f>
        <v>16</v>
      </c>
      <c r="Q1" s="106">
        <f>COLUMN()</f>
        <v>17</v>
      </c>
      <c r="R1" s="106">
        <f>COLUMN()</f>
        <v>18</v>
      </c>
    </row>
    <row r="2" spans="1:22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329</v>
      </c>
    </row>
    <row r="3" spans="1:22" s="64" customFormat="1" ht="60" customHeight="1">
      <c r="B3" s="63"/>
      <c r="C3" s="84"/>
      <c r="D3" s="81"/>
      <c r="E3" s="81"/>
      <c r="F3" s="81"/>
      <c r="G3" s="81"/>
      <c r="H3" s="81"/>
      <c r="I3" s="81"/>
      <c r="J3" s="81" t="s">
        <v>1075</v>
      </c>
      <c r="K3" s="81"/>
      <c r="L3" s="81"/>
      <c r="M3" s="81"/>
      <c r="N3" s="81"/>
      <c r="O3" s="81"/>
      <c r="P3" s="81"/>
      <c r="Q3" s="81"/>
      <c r="R3" s="81"/>
      <c r="T3" s="90"/>
      <c r="V3" s="109" t="s">
        <v>1081</v>
      </c>
    </row>
    <row r="4" spans="1:22" s="1" customFormat="1" ht="36" customHeight="1">
      <c r="B4" s="56"/>
      <c r="D4" s="82" t="s">
        <v>767</v>
      </c>
      <c r="E4" s="82" t="s">
        <v>769</v>
      </c>
      <c r="F4" s="82" t="s">
        <v>771</v>
      </c>
      <c r="G4" s="82" t="s">
        <v>773</v>
      </c>
      <c r="H4" s="82" t="s">
        <v>775</v>
      </c>
      <c r="I4" s="82"/>
      <c r="J4" s="82" t="s">
        <v>1075</v>
      </c>
      <c r="K4" s="82" t="s">
        <v>777</v>
      </c>
      <c r="L4" s="82" t="s">
        <v>779</v>
      </c>
      <c r="M4" s="82" t="s">
        <v>781</v>
      </c>
      <c r="N4" s="82" t="s">
        <v>783</v>
      </c>
      <c r="O4" s="82" t="s">
        <v>785</v>
      </c>
      <c r="P4" s="82" t="s">
        <v>787</v>
      </c>
      <c r="Q4" s="82" t="s">
        <v>789</v>
      </c>
      <c r="R4" s="82" t="s">
        <v>791</v>
      </c>
      <c r="S4" s="91"/>
      <c r="V4" s="110"/>
    </row>
    <row r="5" spans="1:22" s="1" customFormat="1" ht="80.099999999999994" customHeight="1">
      <c r="B5" s="57">
        <v>1</v>
      </c>
      <c r="D5" s="97" t="s">
        <v>591</v>
      </c>
      <c r="E5" s="97" t="s">
        <v>592</v>
      </c>
      <c r="F5" s="97" t="s">
        <v>593</v>
      </c>
      <c r="G5" s="97" t="s">
        <v>549</v>
      </c>
      <c r="H5" s="97" t="s">
        <v>550</v>
      </c>
      <c r="I5" s="97" t="s">
        <v>183</v>
      </c>
      <c r="J5" s="108" t="s">
        <v>594</v>
      </c>
      <c r="K5" s="97" t="s">
        <v>595</v>
      </c>
      <c r="L5" s="97" t="s">
        <v>551</v>
      </c>
      <c r="M5" s="97" t="s">
        <v>552</v>
      </c>
      <c r="N5" s="97" t="s">
        <v>553</v>
      </c>
      <c r="O5" s="97" t="s">
        <v>554</v>
      </c>
      <c r="P5" s="97" t="s">
        <v>555</v>
      </c>
      <c r="Q5" s="97" t="s">
        <v>556</v>
      </c>
      <c r="R5" s="97" t="s">
        <v>596</v>
      </c>
      <c r="S5" s="92"/>
      <c r="V5" s="110"/>
    </row>
    <row r="6" spans="1:22" s="50" customFormat="1" ht="36" customHeight="1">
      <c r="B6" s="58"/>
      <c r="C6" s="85"/>
      <c r="D6" s="83" t="s">
        <v>768</v>
      </c>
      <c r="E6" s="83" t="s">
        <v>770</v>
      </c>
      <c r="F6" s="83" t="s">
        <v>772</v>
      </c>
      <c r="G6" s="83" t="s">
        <v>774</v>
      </c>
      <c r="H6" s="83" t="s">
        <v>776</v>
      </c>
      <c r="I6" s="83"/>
      <c r="J6" s="83" t="s">
        <v>1080</v>
      </c>
      <c r="K6" s="83" t="s">
        <v>777</v>
      </c>
      <c r="L6" s="83" t="s">
        <v>780</v>
      </c>
      <c r="M6" s="83" t="s">
        <v>782</v>
      </c>
      <c r="N6" s="83" t="s">
        <v>784</v>
      </c>
      <c r="O6" s="83" t="s">
        <v>786</v>
      </c>
      <c r="P6" s="83" t="s">
        <v>788</v>
      </c>
      <c r="Q6" s="83" t="s">
        <v>790</v>
      </c>
      <c r="R6" s="83" t="s">
        <v>792</v>
      </c>
      <c r="S6" s="93"/>
      <c r="V6" s="110"/>
    </row>
    <row r="7" spans="1:22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 t="s">
        <v>1077</v>
      </c>
      <c r="Q7" s="81"/>
      <c r="R7" s="81"/>
      <c r="S7" s="66"/>
      <c r="V7" s="110"/>
    </row>
    <row r="8" spans="1:22" s="1" customFormat="1" ht="36" customHeight="1">
      <c r="B8" s="56"/>
      <c r="D8" s="82"/>
      <c r="E8" s="82" t="s">
        <v>793</v>
      </c>
      <c r="F8" s="82" t="s">
        <v>795</v>
      </c>
      <c r="G8" s="82" t="s">
        <v>797</v>
      </c>
      <c r="H8" s="82" t="s">
        <v>799</v>
      </c>
      <c r="I8" s="82" t="s">
        <v>801</v>
      </c>
      <c r="J8" s="82" t="s">
        <v>803</v>
      </c>
      <c r="K8" s="82"/>
      <c r="L8" s="82" t="s">
        <v>805</v>
      </c>
      <c r="M8" s="82" t="s">
        <v>263</v>
      </c>
      <c r="N8" s="82" t="s">
        <v>808</v>
      </c>
      <c r="O8" s="82" t="s">
        <v>810</v>
      </c>
      <c r="P8" s="82" t="s">
        <v>1077</v>
      </c>
      <c r="Q8" s="82"/>
      <c r="R8" s="82"/>
      <c r="S8" s="91"/>
      <c r="V8" s="110"/>
    </row>
    <row r="9" spans="1:22" s="1" customFormat="1" ht="80.099999999999994" customHeight="1">
      <c r="B9" s="57">
        <f>B5+1</f>
        <v>2</v>
      </c>
      <c r="D9" s="97" t="s">
        <v>183</v>
      </c>
      <c r="E9" s="97" t="s">
        <v>597</v>
      </c>
      <c r="F9" s="97" t="s">
        <v>598</v>
      </c>
      <c r="G9" s="97" t="s">
        <v>599</v>
      </c>
      <c r="H9" s="97" t="s">
        <v>600</v>
      </c>
      <c r="I9" s="97" t="s">
        <v>601</v>
      </c>
      <c r="J9" s="97" t="s">
        <v>602</v>
      </c>
      <c r="K9" s="97" t="s">
        <v>183</v>
      </c>
      <c r="L9" s="97" t="s">
        <v>603</v>
      </c>
      <c r="M9" s="97" t="s">
        <v>187</v>
      </c>
      <c r="N9" s="97" t="s">
        <v>604</v>
      </c>
      <c r="O9" s="97" t="s">
        <v>605</v>
      </c>
      <c r="P9" s="108" t="s">
        <v>606</v>
      </c>
      <c r="Q9" s="97" t="s">
        <v>186</v>
      </c>
      <c r="R9" s="97" t="str">
        <f>CHAR(10)</f>
        <v xml:space="preserve">
</v>
      </c>
      <c r="S9" s="92"/>
      <c r="T9" s="90"/>
      <c r="V9" s="110"/>
    </row>
    <row r="10" spans="1:22" s="1" customFormat="1" ht="36" customHeight="1">
      <c r="B10" s="58"/>
      <c r="D10" s="83"/>
      <c r="E10" s="83" t="s">
        <v>794</v>
      </c>
      <c r="F10" s="83" t="s">
        <v>796</v>
      </c>
      <c r="G10" s="83" t="s">
        <v>798</v>
      </c>
      <c r="H10" s="83" t="s">
        <v>800</v>
      </c>
      <c r="I10" s="83" t="s">
        <v>802</v>
      </c>
      <c r="J10" s="83" t="s">
        <v>804</v>
      </c>
      <c r="K10" s="83"/>
      <c r="L10" s="83" t="s">
        <v>806</v>
      </c>
      <c r="M10" s="83" t="s">
        <v>807</v>
      </c>
      <c r="N10" s="103" t="s">
        <v>809</v>
      </c>
      <c r="O10" s="83" t="s">
        <v>811</v>
      </c>
      <c r="P10" s="83" t="s">
        <v>812</v>
      </c>
      <c r="Q10" s="83"/>
      <c r="R10" s="83"/>
      <c r="S10" s="94"/>
      <c r="V10" s="110"/>
    </row>
    <row r="11" spans="1:22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V11" s="110"/>
    </row>
    <row r="12" spans="1:22" s="1" customFormat="1" ht="36" customHeight="1">
      <c r="B12" s="56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91"/>
      <c r="V12" s="110"/>
    </row>
    <row r="13" spans="1:22" s="1" customFormat="1" ht="80.099999999999994" customHeight="1">
      <c r="B13" s="57">
        <f>B9+1</f>
        <v>3</v>
      </c>
      <c r="D13" s="97" t="str">
        <f>CHAR(10)</f>
        <v xml:space="preserve">
</v>
      </c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2"/>
      <c r="V13" s="110"/>
    </row>
    <row r="14" spans="1:22" s="1" customFormat="1" ht="36" customHeight="1">
      <c r="B14" s="58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94"/>
      <c r="V14" s="110"/>
    </row>
    <row r="15" spans="1:22" s="67" customFormat="1" ht="60" customHeight="1">
      <c r="B15" s="63"/>
      <c r="C15" s="88"/>
      <c r="D15" s="81"/>
      <c r="E15" s="81" t="s">
        <v>904</v>
      </c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10"/>
    </row>
    <row r="16" spans="1:22" s="1" customFormat="1" ht="36" customHeight="1">
      <c r="B16" s="56"/>
      <c r="D16" s="82" t="s">
        <v>813</v>
      </c>
      <c r="E16" s="82" t="s">
        <v>904</v>
      </c>
      <c r="F16" s="82" t="s">
        <v>816</v>
      </c>
      <c r="G16" s="82"/>
      <c r="H16" s="82" t="s">
        <v>818</v>
      </c>
      <c r="I16" s="82" t="s">
        <v>820</v>
      </c>
      <c r="J16" s="82" t="s">
        <v>822</v>
      </c>
      <c r="K16" s="82" t="s">
        <v>803</v>
      </c>
      <c r="L16" s="82"/>
      <c r="M16" s="82" t="s">
        <v>803</v>
      </c>
      <c r="N16" s="82" t="s">
        <v>820</v>
      </c>
      <c r="O16" s="82" t="s">
        <v>822</v>
      </c>
      <c r="P16" s="82" t="s">
        <v>818</v>
      </c>
      <c r="Q16" s="82"/>
      <c r="R16" s="82" t="s">
        <v>818</v>
      </c>
      <c r="S16" s="91"/>
      <c r="V16" s="110"/>
    </row>
    <row r="17" spans="2:22" s="1" customFormat="1" ht="80.099999999999994" customHeight="1">
      <c r="B17" s="57">
        <f>B13+1</f>
        <v>4</v>
      </c>
      <c r="D17" s="97" t="s">
        <v>607</v>
      </c>
      <c r="E17" s="108" t="s">
        <v>608</v>
      </c>
      <c r="F17" s="97" t="s">
        <v>239</v>
      </c>
      <c r="G17" s="97" t="s">
        <v>609</v>
      </c>
      <c r="H17" s="97" t="s">
        <v>610</v>
      </c>
      <c r="I17" s="97" t="s">
        <v>611</v>
      </c>
      <c r="J17" s="97" t="s">
        <v>612</v>
      </c>
      <c r="K17" s="97" t="s">
        <v>602</v>
      </c>
      <c r="L17" s="97" t="s">
        <v>183</v>
      </c>
      <c r="M17" s="97" t="s">
        <v>602</v>
      </c>
      <c r="N17" s="97" t="s">
        <v>611</v>
      </c>
      <c r="O17" s="97" t="s">
        <v>612</v>
      </c>
      <c r="P17" s="97" t="s">
        <v>610</v>
      </c>
      <c r="Q17" s="97" t="s">
        <v>183</v>
      </c>
      <c r="R17" s="97" t="s">
        <v>610</v>
      </c>
      <c r="S17" s="92"/>
      <c r="V17" s="110"/>
    </row>
    <row r="18" spans="2:22" s="1" customFormat="1" ht="36" customHeight="1">
      <c r="B18" s="58"/>
      <c r="D18" s="83" t="s">
        <v>814</v>
      </c>
      <c r="E18" s="83" t="s">
        <v>905</v>
      </c>
      <c r="F18" s="83" t="s">
        <v>817</v>
      </c>
      <c r="G18" s="83"/>
      <c r="H18" s="83" t="s">
        <v>819</v>
      </c>
      <c r="I18" s="83" t="s">
        <v>821</v>
      </c>
      <c r="J18" s="83" t="s">
        <v>823</v>
      </c>
      <c r="K18" s="83" t="s">
        <v>804</v>
      </c>
      <c r="L18" s="83"/>
      <c r="M18" s="83" t="s">
        <v>804</v>
      </c>
      <c r="N18" s="83" t="s">
        <v>821</v>
      </c>
      <c r="O18" s="83" t="s">
        <v>823</v>
      </c>
      <c r="P18" s="83" t="s">
        <v>819</v>
      </c>
      <c r="Q18" s="83"/>
      <c r="R18" s="83" t="s">
        <v>819</v>
      </c>
      <c r="S18" s="94"/>
      <c r="V18" s="110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V19" s="110"/>
    </row>
    <row r="20" spans="2:22" s="1" customFormat="1" ht="36" customHeight="1">
      <c r="B20" s="56"/>
      <c r="D20" s="82" t="s">
        <v>824</v>
      </c>
      <c r="E20" s="82" t="s">
        <v>300</v>
      </c>
      <c r="F20" s="82" t="s">
        <v>803</v>
      </c>
      <c r="G20" s="82"/>
      <c r="H20" s="82" t="s">
        <v>803</v>
      </c>
      <c r="I20" s="82" t="s">
        <v>824</v>
      </c>
      <c r="J20" s="82" t="s">
        <v>300</v>
      </c>
      <c r="K20" s="82" t="s">
        <v>818</v>
      </c>
      <c r="L20" s="82"/>
      <c r="M20" s="82" t="s">
        <v>827</v>
      </c>
      <c r="N20" s="82" t="s">
        <v>829</v>
      </c>
      <c r="O20" s="82" t="s">
        <v>1075</v>
      </c>
      <c r="P20" s="82" t="s">
        <v>818</v>
      </c>
      <c r="Q20" s="82"/>
      <c r="R20" s="82" t="s">
        <v>831</v>
      </c>
      <c r="S20" s="91"/>
      <c r="V20" s="110"/>
    </row>
    <row r="21" spans="2:22" s="1" customFormat="1" ht="80.099999999999994" customHeight="1">
      <c r="B21" s="57">
        <f>B17+1</f>
        <v>5</v>
      </c>
      <c r="D21" s="97" t="s">
        <v>558</v>
      </c>
      <c r="E21" s="97" t="s">
        <v>191</v>
      </c>
      <c r="F21" s="97" t="s">
        <v>602</v>
      </c>
      <c r="G21" s="97" t="s">
        <v>183</v>
      </c>
      <c r="H21" s="97" t="s">
        <v>602</v>
      </c>
      <c r="I21" s="97" t="s">
        <v>558</v>
      </c>
      <c r="J21" s="97" t="s">
        <v>191</v>
      </c>
      <c r="K21" s="97" t="s">
        <v>610</v>
      </c>
      <c r="L21" s="97" t="s">
        <v>183</v>
      </c>
      <c r="M21" s="101" t="s">
        <v>613</v>
      </c>
      <c r="N21" s="97" t="s">
        <v>559</v>
      </c>
      <c r="O21" s="108" t="s">
        <v>594</v>
      </c>
      <c r="P21" s="97" t="s">
        <v>614</v>
      </c>
      <c r="Q21" s="97" t="s">
        <v>183</v>
      </c>
      <c r="R21" s="97" t="s">
        <v>615</v>
      </c>
      <c r="S21" s="92"/>
      <c r="V21" s="110"/>
    </row>
    <row r="22" spans="2:22" s="1" customFormat="1" ht="36" customHeight="1">
      <c r="B22" s="58"/>
      <c r="D22" s="83" t="s">
        <v>825</v>
      </c>
      <c r="E22" s="83" t="s">
        <v>826</v>
      </c>
      <c r="F22" s="83" t="s">
        <v>804</v>
      </c>
      <c r="G22" s="83"/>
      <c r="H22" s="83" t="s">
        <v>804</v>
      </c>
      <c r="I22" s="83" t="s">
        <v>825</v>
      </c>
      <c r="J22" s="83" t="s">
        <v>826</v>
      </c>
      <c r="K22" s="83" t="s">
        <v>819</v>
      </c>
      <c r="L22" s="83"/>
      <c r="M22" s="83" t="s">
        <v>828</v>
      </c>
      <c r="N22" s="83" t="s">
        <v>830</v>
      </c>
      <c r="O22" s="83" t="s">
        <v>1080</v>
      </c>
      <c r="P22" s="83" t="s">
        <v>819</v>
      </c>
      <c r="Q22" s="83"/>
      <c r="R22" s="83" t="s">
        <v>831</v>
      </c>
      <c r="S22" s="94"/>
      <c r="V22" s="111"/>
    </row>
    <row r="23" spans="2:22" s="67" customFormat="1" ht="60" customHeight="1">
      <c r="B23" s="63"/>
      <c r="C23" s="88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281</v>
      </c>
      <c r="E24" s="82" t="s">
        <v>832</v>
      </c>
      <c r="F24" s="82" t="s">
        <v>300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7" t="s">
        <v>616</v>
      </c>
      <c r="E25" s="97" t="s">
        <v>617</v>
      </c>
      <c r="F25" s="97" t="s">
        <v>191</v>
      </c>
      <c r="G25" s="97" t="s">
        <v>186</v>
      </c>
      <c r="H25" s="97" t="str">
        <f>CHAR(10)</f>
        <v xml:space="preserve">
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2"/>
      <c r="V25" s="60"/>
    </row>
    <row r="26" spans="2:22" s="1" customFormat="1" ht="36" customHeight="1">
      <c r="B26" s="58"/>
      <c r="D26" s="83" t="s">
        <v>281</v>
      </c>
      <c r="E26" s="83" t="s">
        <v>833</v>
      </c>
      <c r="F26" s="83" t="s">
        <v>826</v>
      </c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94"/>
      <c r="U26" s="1" t="str">
        <f xml:space="preserve"> MID($N$26,3,1)</f>
        <v/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/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/>
      </c>
      <c r="V28" s="60"/>
    </row>
    <row r="29" spans="2:22" s="1" customFormat="1" ht="80.099999999999994" customHeight="1">
      <c r="B29" s="57">
        <f>B25+1</f>
        <v>7</v>
      </c>
      <c r="D29" s="97" t="str">
        <f>CHAR(10)</f>
        <v xml:space="preserve">
</v>
      </c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2"/>
      <c r="U29" s="67" t="str">
        <f t="shared" si="0"/>
        <v/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/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U31" s="67" t="str">
        <f t="shared" si="0"/>
        <v/>
      </c>
      <c r="V31" s="68"/>
    </row>
    <row r="32" spans="2:22" s="1" customFormat="1" ht="36" customHeight="1">
      <c r="B32" s="56"/>
      <c r="D32" s="82" t="s">
        <v>813</v>
      </c>
      <c r="E32" s="82" t="s">
        <v>904</v>
      </c>
      <c r="F32" s="82" t="s">
        <v>816</v>
      </c>
      <c r="G32" s="82"/>
      <c r="H32" s="82" t="s">
        <v>300</v>
      </c>
      <c r="I32" s="82" t="s">
        <v>834</v>
      </c>
      <c r="J32" s="82" t="s">
        <v>835</v>
      </c>
      <c r="K32" s="82" t="s">
        <v>803</v>
      </c>
      <c r="L32" s="82" t="s">
        <v>830</v>
      </c>
      <c r="M32" s="82"/>
      <c r="N32" s="82" t="s">
        <v>820</v>
      </c>
      <c r="O32" s="82" t="s">
        <v>313</v>
      </c>
      <c r="P32" s="82" t="s">
        <v>820</v>
      </c>
      <c r="Q32" s="82" t="s">
        <v>838</v>
      </c>
      <c r="R32" s="82"/>
      <c r="S32" s="91"/>
      <c r="U32" s="67" t="str">
        <f t="shared" si="0"/>
        <v/>
      </c>
      <c r="V32" s="60"/>
    </row>
    <row r="33" spans="2:22" s="1" customFormat="1" ht="80.099999999999994" customHeight="1">
      <c r="B33" s="57">
        <f>B29+1</f>
        <v>8</v>
      </c>
      <c r="D33" s="97" t="s">
        <v>607</v>
      </c>
      <c r="E33" s="108" t="s">
        <v>608</v>
      </c>
      <c r="F33" s="97" t="s">
        <v>239</v>
      </c>
      <c r="G33" s="97" t="s">
        <v>609</v>
      </c>
      <c r="H33" s="97" t="s">
        <v>191</v>
      </c>
      <c r="I33" s="97" t="s">
        <v>560</v>
      </c>
      <c r="J33" s="97" t="s">
        <v>618</v>
      </c>
      <c r="K33" s="97" t="s">
        <v>602</v>
      </c>
      <c r="L33" s="97" t="s">
        <v>619</v>
      </c>
      <c r="M33" s="97" t="s">
        <v>183</v>
      </c>
      <c r="N33" s="97" t="s">
        <v>611</v>
      </c>
      <c r="O33" s="97" t="s">
        <v>620</v>
      </c>
      <c r="P33" s="97" t="s">
        <v>611</v>
      </c>
      <c r="Q33" s="97" t="s">
        <v>621</v>
      </c>
      <c r="R33" s="97" t="s">
        <v>183</v>
      </c>
      <c r="S33" s="92"/>
      <c r="V33" s="60"/>
    </row>
    <row r="34" spans="2:22" s="1" customFormat="1" ht="36" customHeight="1">
      <c r="B34" s="58"/>
      <c r="D34" s="83" t="s">
        <v>814</v>
      </c>
      <c r="E34" s="83" t="s">
        <v>905</v>
      </c>
      <c r="F34" s="83" t="s">
        <v>817</v>
      </c>
      <c r="G34" s="83"/>
      <c r="H34" s="83" t="s">
        <v>826</v>
      </c>
      <c r="I34" s="83" t="s">
        <v>834</v>
      </c>
      <c r="J34" s="83" t="s">
        <v>836</v>
      </c>
      <c r="K34" s="83" t="s">
        <v>804</v>
      </c>
      <c r="L34" s="83" t="s">
        <v>837</v>
      </c>
      <c r="M34" s="83"/>
      <c r="N34" s="83" t="s">
        <v>821</v>
      </c>
      <c r="O34" s="83" t="s">
        <v>313</v>
      </c>
      <c r="P34" s="83" t="s">
        <v>821</v>
      </c>
      <c r="Q34" s="83" t="s">
        <v>839</v>
      </c>
      <c r="R34" s="83"/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 t="s">
        <v>820</v>
      </c>
      <c r="E36" s="82" t="s">
        <v>840</v>
      </c>
      <c r="F36" s="82" t="s">
        <v>820</v>
      </c>
      <c r="G36" s="82" t="s">
        <v>842</v>
      </c>
      <c r="H36" s="82"/>
      <c r="I36" s="82" t="s">
        <v>820</v>
      </c>
      <c r="J36" s="82" t="s">
        <v>844</v>
      </c>
      <c r="K36" s="82" t="s">
        <v>820</v>
      </c>
      <c r="L36" s="82" t="s">
        <v>845</v>
      </c>
      <c r="M36" s="82"/>
      <c r="N36" s="82" t="s">
        <v>300</v>
      </c>
      <c r="O36" s="82" t="s">
        <v>811</v>
      </c>
      <c r="P36" s="82" t="s">
        <v>803</v>
      </c>
      <c r="Q36" s="82" t="s">
        <v>848</v>
      </c>
      <c r="R36" s="82" t="s">
        <v>850</v>
      </c>
      <c r="S36" s="91"/>
      <c r="V36" s="60"/>
    </row>
    <row r="37" spans="2:22" s="1" customFormat="1" ht="80.099999999999994" customHeight="1">
      <c r="B37" s="57">
        <f>B33+1</f>
        <v>9</v>
      </c>
      <c r="D37" s="97" t="s">
        <v>611</v>
      </c>
      <c r="E37" s="97" t="s">
        <v>622</v>
      </c>
      <c r="F37" s="97" t="s">
        <v>611</v>
      </c>
      <c r="G37" s="97" t="s">
        <v>623</v>
      </c>
      <c r="H37" s="97" t="s">
        <v>183</v>
      </c>
      <c r="I37" s="97" t="s">
        <v>611</v>
      </c>
      <c r="J37" s="97" t="s">
        <v>624</v>
      </c>
      <c r="K37" s="97" t="s">
        <v>611</v>
      </c>
      <c r="L37" s="97" t="s">
        <v>625</v>
      </c>
      <c r="M37" s="97" t="s">
        <v>186</v>
      </c>
      <c r="N37" s="97" t="s">
        <v>191</v>
      </c>
      <c r="O37" s="97" t="s">
        <v>561</v>
      </c>
      <c r="P37" s="97" t="s">
        <v>602</v>
      </c>
      <c r="Q37" s="97" t="s">
        <v>626</v>
      </c>
      <c r="R37" s="97" t="s">
        <v>185</v>
      </c>
      <c r="S37" s="92"/>
      <c r="V37" s="60"/>
    </row>
    <row r="38" spans="2:22" s="1" customFormat="1" ht="36" customHeight="1">
      <c r="B38" s="58"/>
      <c r="D38" s="83" t="s">
        <v>821</v>
      </c>
      <c r="E38" s="83" t="s">
        <v>841</v>
      </c>
      <c r="F38" s="83" t="s">
        <v>821</v>
      </c>
      <c r="G38" s="83" t="s">
        <v>843</v>
      </c>
      <c r="H38" s="83"/>
      <c r="I38" s="83" t="s">
        <v>821</v>
      </c>
      <c r="J38" s="83" t="s">
        <v>844</v>
      </c>
      <c r="K38" s="83" t="s">
        <v>821</v>
      </c>
      <c r="L38" s="83" t="s">
        <v>846</v>
      </c>
      <c r="M38" s="83"/>
      <c r="N38" s="83" t="s">
        <v>826</v>
      </c>
      <c r="O38" s="83" t="s">
        <v>847</v>
      </c>
      <c r="P38" s="83" t="s">
        <v>804</v>
      </c>
      <c r="Q38" s="83" t="s">
        <v>849</v>
      </c>
      <c r="R38" s="83" t="s">
        <v>852</v>
      </c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 t="s">
        <v>818</v>
      </c>
      <c r="E40" s="82"/>
      <c r="F40" s="82" t="s">
        <v>850</v>
      </c>
      <c r="G40" s="82" t="s">
        <v>827</v>
      </c>
      <c r="H40" s="82" t="s">
        <v>829</v>
      </c>
      <c r="I40" s="82" t="s">
        <v>1075</v>
      </c>
      <c r="J40" s="82" t="s">
        <v>818</v>
      </c>
      <c r="K40" s="82"/>
      <c r="L40" s="82" t="s">
        <v>850</v>
      </c>
      <c r="M40" s="82" t="s">
        <v>853</v>
      </c>
      <c r="N40" s="82" t="s">
        <v>856</v>
      </c>
      <c r="O40" s="82" t="s">
        <v>859</v>
      </c>
      <c r="P40" s="82" t="s">
        <v>861</v>
      </c>
      <c r="Q40" s="82" t="s">
        <v>862</v>
      </c>
      <c r="R40" s="82" t="s">
        <v>863</v>
      </c>
      <c r="S40" s="91"/>
      <c r="V40" s="60"/>
    </row>
    <row r="41" spans="2:22" s="1" customFormat="1" ht="80.099999999999994" customHeight="1">
      <c r="B41" s="57">
        <f>B37+1</f>
        <v>10</v>
      </c>
      <c r="D41" s="97" t="s">
        <v>610</v>
      </c>
      <c r="E41" s="97" t="s">
        <v>183</v>
      </c>
      <c r="F41" s="97" t="s">
        <v>185</v>
      </c>
      <c r="G41" s="97" t="s">
        <v>613</v>
      </c>
      <c r="H41" s="97" t="s">
        <v>559</v>
      </c>
      <c r="I41" s="108" t="s">
        <v>594</v>
      </c>
      <c r="J41" s="97" t="s">
        <v>614</v>
      </c>
      <c r="K41" s="97" t="s">
        <v>186</v>
      </c>
      <c r="L41" s="97" t="s">
        <v>185</v>
      </c>
      <c r="M41" s="97" t="s">
        <v>627</v>
      </c>
      <c r="N41" s="97" t="s">
        <v>628</v>
      </c>
      <c r="O41" s="97" t="s">
        <v>629</v>
      </c>
      <c r="P41" s="97" t="s">
        <v>630</v>
      </c>
      <c r="Q41" s="97" t="s">
        <v>631</v>
      </c>
      <c r="R41" s="97" t="s">
        <v>632</v>
      </c>
      <c r="S41" s="92"/>
      <c r="V41" s="60"/>
    </row>
    <row r="42" spans="2:22" s="1" customFormat="1" ht="36" customHeight="1">
      <c r="B42" s="58"/>
      <c r="D42" s="83" t="s">
        <v>819</v>
      </c>
      <c r="E42" s="83"/>
      <c r="F42" s="83" t="s">
        <v>852</v>
      </c>
      <c r="G42" s="83" t="s">
        <v>828</v>
      </c>
      <c r="H42" s="83" t="s">
        <v>830</v>
      </c>
      <c r="I42" s="83" t="s">
        <v>1080</v>
      </c>
      <c r="J42" s="83" t="s">
        <v>819</v>
      </c>
      <c r="K42" s="83"/>
      <c r="L42" s="83" t="s">
        <v>852</v>
      </c>
      <c r="M42" s="83" t="s">
        <v>854</v>
      </c>
      <c r="N42" s="83" t="s">
        <v>857</v>
      </c>
      <c r="O42" s="83" t="s">
        <v>860</v>
      </c>
      <c r="P42" s="83" t="s">
        <v>861</v>
      </c>
      <c r="Q42" s="83" t="s">
        <v>862</v>
      </c>
      <c r="R42" s="83" t="s">
        <v>864</v>
      </c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/>
      <c r="E44" s="82" t="s">
        <v>850</v>
      </c>
      <c r="F44" s="82" t="s">
        <v>818</v>
      </c>
      <c r="G44" s="82" t="s">
        <v>313</v>
      </c>
      <c r="H44" s="82" t="s">
        <v>865</v>
      </c>
      <c r="I44" s="82" t="s">
        <v>866</v>
      </c>
      <c r="J44" s="82" t="s">
        <v>868</v>
      </c>
      <c r="K44" s="82" t="s">
        <v>835</v>
      </c>
      <c r="L44" s="82"/>
      <c r="M44" s="82"/>
      <c r="N44" s="82"/>
      <c r="O44" s="82"/>
      <c r="P44" s="82"/>
      <c r="Q44" s="82"/>
      <c r="R44" s="82"/>
      <c r="S44" s="91"/>
      <c r="V44" s="60"/>
    </row>
    <row r="45" spans="2:22" s="1" customFormat="1" ht="80.099999999999994" customHeight="1">
      <c r="B45" s="57">
        <f>B41+1</f>
        <v>11</v>
      </c>
      <c r="D45" s="97" t="s">
        <v>557</v>
      </c>
      <c r="E45" s="97" t="s">
        <v>185</v>
      </c>
      <c r="F45" s="97" t="s">
        <v>610</v>
      </c>
      <c r="G45" s="97" t="s">
        <v>633</v>
      </c>
      <c r="H45" s="97" t="s">
        <v>634</v>
      </c>
      <c r="I45" s="97" t="s">
        <v>635</v>
      </c>
      <c r="J45" s="97" t="s">
        <v>636</v>
      </c>
      <c r="K45" s="97" t="s">
        <v>618</v>
      </c>
      <c r="L45" s="97" t="s">
        <v>186</v>
      </c>
      <c r="M45" s="97" t="str">
        <f>CHAR(10)</f>
        <v xml:space="preserve">
</v>
      </c>
      <c r="N45" s="97"/>
      <c r="O45" s="97"/>
      <c r="P45" s="97"/>
      <c r="Q45" s="97"/>
      <c r="R45" s="97"/>
      <c r="S45" s="92"/>
      <c r="V45" s="60"/>
    </row>
    <row r="46" spans="2:22" s="1" customFormat="1" ht="36" customHeight="1">
      <c r="B46" s="58"/>
      <c r="D46" s="83"/>
      <c r="E46" s="83" t="s">
        <v>852</v>
      </c>
      <c r="F46" s="83" t="s">
        <v>819</v>
      </c>
      <c r="G46" s="83" t="s">
        <v>313</v>
      </c>
      <c r="H46" s="83" t="s">
        <v>865</v>
      </c>
      <c r="I46" s="83" t="s">
        <v>867</v>
      </c>
      <c r="J46" s="83" t="s">
        <v>869</v>
      </c>
      <c r="K46" s="83" t="s">
        <v>836</v>
      </c>
      <c r="L46" s="83"/>
      <c r="M46" s="83"/>
      <c r="N46" s="83"/>
      <c r="O46" s="83"/>
      <c r="P46" s="83"/>
      <c r="Q46" s="83"/>
      <c r="R46" s="83"/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91"/>
      <c r="V48" s="60"/>
    </row>
    <row r="49" spans="2:22" s="1" customFormat="1" ht="80.099999999999994" customHeight="1">
      <c r="B49" s="57">
        <f>B45+1</f>
        <v>12</v>
      </c>
      <c r="D49" s="97" t="str">
        <f>CHAR(10)</f>
        <v xml:space="preserve">
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2"/>
      <c r="V49" s="60"/>
    </row>
    <row r="50" spans="2:22" s="1" customFormat="1" ht="36" customHeight="1">
      <c r="B50" s="58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103"/>
      <c r="Q50" s="83"/>
      <c r="R50" s="83"/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850</v>
      </c>
      <c r="E52" s="82" t="s">
        <v>853</v>
      </c>
      <c r="F52" s="82" t="s">
        <v>293</v>
      </c>
      <c r="G52" s="82"/>
      <c r="H52" s="82" t="s">
        <v>871</v>
      </c>
      <c r="I52" s="82" t="s">
        <v>326</v>
      </c>
      <c r="J52" s="82" t="s">
        <v>850</v>
      </c>
      <c r="K52" s="82" t="s">
        <v>863</v>
      </c>
      <c r="L52" s="82" t="s">
        <v>818</v>
      </c>
      <c r="M52" s="82" t="s">
        <v>293</v>
      </c>
      <c r="N52" s="82"/>
      <c r="O52" s="82" t="s">
        <v>850</v>
      </c>
      <c r="P52" s="82" t="s">
        <v>850</v>
      </c>
      <c r="Q52" s="82" t="s">
        <v>874</v>
      </c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7" t="s">
        <v>185</v>
      </c>
      <c r="E53" s="97" t="s">
        <v>627</v>
      </c>
      <c r="F53" s="97" t="s">
        <v>232</v>
      </c>
      <c r="G53" s="97" t="s">
        <v>183</v>
      </c>
      <c r="H53" s="97" t="s">
        <v>637</v>
      </c>
      <c r="I53" s="97" t="s">
        <v>197</v>
      </c>
      <c r="J53" s="97" t="s">
        <v>185</v>
      </c>
      <c r="K53" s="97" t="s">
        <v>632</v>
      </c>
      <c r="L53" s="97" t="s">
        <v>614</v>
      </c>
      <c r="M53" s="97" t="s">
        <v>232</v>
      </c>
      <c r="N53" s="97" t="s">
        <v>186</v>
      </c>
      <c r="O53" s="97" t="s">
        <v>185</v>
      </c>
      <c r="P53" s="97" t="s">
        <v>185</v>
      </c>
      <c r="Q53" s="97" t="s">
        <v>562</v>
      </c>
      <c r="R53" s="97" t="s">
        <v>183</v>
      </c>
      <c r="S53" s="92"/>
      <c r="V53" s="60"/>
    </row>
    <row r="54" spans="2:22" s="1" customFormat="1" ht="36" customHeight="1">
      <c r="B54" s="58"/>
      <c r="D54" s="83" t="s">
        <v>852</v>
      </c>
      <c r="E54" s="83" t="s">
        <v>854</v>
      </c>
      <c r="F54" s="83" t="s">
        <v>870</v>
      </c>
      <c r="G54" s="83"/>
      <c r="H54" s="83" t="s">
        <v>872</v>
      </c>
      <c r="I54" s="83" t="s">
        <v>873</v>
      </c>
      <c r="J54" s="83" t="s">
        <v>852</v>
      </c>
      <c r="K54" s="83" t="s">
        <v>864</v>
      </c>
      <c r="L54" s="83" t="s">
        <v>819</v>
      </c>
      <c r="M54" s="83" t="s">
        <v>870</v>
      </c>
      <c r="N54" s="83"/>
      <c r="O54" s="83" t="s">
        <v>852</v>
      </c>
      <c r="P54" s="83" t="s">
        <v>852</v>
      </c>
      <c r="Q54" s="83" t="s">
        <v>875</v>
      </c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 t="s">
        <v>831</v>
      </c>
      <c r="E56" s="82" t="s">
        <v>850</v>
      </c>
      <c r="F56" s="82" t="s">
        <v>850</v>
      </c>
      <c r="G56" s="82" t="s">
        <v>874</v>
      </c>
      <c r="H56" s="82" t="s">
        <v>876</v>
      </c>
      <c r="I56" s="82"/>
      <c r="J56" s="82" t="s">
        <v>871</v>
      </c>
      <c r="K56" s="82" t="s">
        <v>326</v>
      </c>
      <c r="L56" s="82" t="s">
        <v>850</v>
      </c>
      <c r="M56" s="82" t="s">
        <v>786</v>
      </c>
      <c r="N56" s="82" t="s">
        <v>879</v>
      </c>
      <c r="O56" s="82"/>
      <c r="P56" s="82" t="s">
        <v>831</v>
      </c>
      <c r="Q56" s="82" t="s">
        <v>850</v>
      </c>
      <c r="R56" s="82" t="s">
        <v>786</v>
      </c>
      <c r="S56" s="91"/>
      <c r="V56" s="60"/>
    </row>
    <row r="57" spans="2:22" s="1" customFormat="1" ht="80.099999999999994" customHeight="1">
      <c r="B57" s="57">
        <f>B53+1</f>
        <v>14</v>
      </c>
      <c r="D57" s="97" t="s">
        <v>615</v>
      </c>
      <c r="E57" s="97" t="s">
        <v>185</v>
      </c>
      <c r="F57" s="97" t="s">
        <v>185</v>
      </c>
      <c r="G57" s="98" t="s">
        <v>562</v>
      </c>
      <c r="H57" s="97" t="s">
        <v>638</v>
      </c>
      <c r="I57" s="97" t="s">
        <v>557</v>
      </c>
      <c r="J57" s="97" t="s">
        <v>637</v>
      </c>
      <c r="K57" s="97" t="s">
        <v>197</v>
      </c>
      <c r="L57" s="97" t="s">
        <v>185</v>
      </c>
      <c r="M57" s="97" t="s">
        <v>639</v>
      </c>
      <c r="N57" s="97" t="s">
        <v>640</v>
      </c>
      <c r="O57" s="97" t="s">
        <v>183</v>
      </c>
      <c r="P57" s="97" t="s">
        <v>615</v>
      </c>
      <c r="Q57" s="97" t="s">
        <v>185</v>
      </c>
      <c r="R57" s="97" t="s">
        <v>639</v>
      </c>
      <c r="S57" s="92"/>
      <c r="V57" s="60"/>
    </row>
    <row r="58" spans="2:22" s="1" customFormat="1" ht="36" customHeight="1">
      <c r="B58" s="58"/>
      <c r="D58" s="83" t="s">
        <v>831</v>
      </c>
      <c r="E58" s="83" t="s">
        <v>852</v>
      </c>
      <c r="F58" s="83" t="s">
        <v>852</v>
      </c>
      <c r="G58" s="83" t="s">
        <v>875</v>
      </c>
      <c r="H58" s="83" t="s">
        <v>877</v>
      </c>
      <c r="I58" s="83"/>
      <c r="J58" s="83" t="s">
        <v>872</v>
      </c>
      <c r="K58" s="83" t="s">
        <v>873</v>
      </c>
      <c r="L58" s="83" t="s">
        <v>852</v>
      </c>
      <c r="M58" s="83" t="s">
        <v>878</v>
      </c>
      <c r="N58" s="83" t="s">
        <v>290</v>
      </c>
      <c r="O58" s="83"/>
      <c r="P58" s="83" t="s">
        <v>831</v>
      </c>
      <c r="Q58" s="83" t="s">
        <v>852</v>
      </c>
      <c r="R58" s="83" t="s">
        <v>878</v>
      </c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 t="s">
        <v>879</v>
      </c>
      <c r="E60" s="82" t="s">
        <v>876</v>
      </c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7" t="s">
        <v>640</v>
      </c>
      <c r="E61" s="97" t="s">
        <v>638</v>
      </c>
      <c r="F61" s="97" t="s">
        <v>186</v>
      </c>
      <c r="G61" s="98" t="str">
        <f>CHAR(10)</f>
        <v xml:space="preserve">
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2"/>
      <c r="V61" s="60"/>
    </row>
    <row r="62" spans="2:22" s="1" customFormat="1" ht="36" customHeight="1">
      <c r="B62" s="58"/>
      <c r="D62" s="83" t="s">
        <v>290</v>
      </c>
      <c r="E62" s="83" t="s">
        <v>877</v>
      </c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7" t="str">
        <f>CHAR(10)</f>
        <v xml:space="preserve">
</v>
      </c>
      <c r="E65" s="97"/>
      <c r="F65" s="97"/>
      <c r="G65" s="98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 t="s">
        <v>850</v>
      </c>
      <c r="E68" s="82" t="s">
        <v>810</v>
      </c>
      <c r="F68" s="82" t="s">
        <v>880</v>
      </c>
      <c r="G68" s="82" t="s">
        <v>838</v>
      </c>
      <c r="H68" s="82" t="s">
        <v>881</v>
      </c>
      <c r="I68" s="82"/>
      <c r="J68" s="82" t="s">
        <v>850</v>
      </c>
      <c r="K68" s="82" t="s">
        <v>883</v>
      </c>
      <c r="L68" s="82"/>
      <c r="M68" s="82" t="s">
        <v>831</v>
      </c>
      <c r="N68" s="82" t="s">
        <v>850</v>
      </c>
      <c r="O68" s="82" t="s">
        <v>885</v>
      </c>
      <c r="P68" s="82"/>
      <c r="Q68" s="82" t="s">
        <v>887</v>
      </c>
      <c r="R68" s="82" t="s">
        <v>850</v>
      </c>
      <c r="S68" s="91"/>
      <c r="V68" s="60"/>
    </row>
    <row r="69" spans="2:22" s="1" customFormat="1" ht="80.099999999999994" customHeight="1">
      <c r="B69" s="57">
        <f>B65+1</f>
        <v>17</v>
      </c>
      <c r="D69" s="97" t="s">
        <v>185</v>
      </c>
      <c r="E69" s="97" t="s">
        <v>605</v>
      </c>
      <c r="F69" s="97" t="s">
        <v>641</v>
      </c>
      <c r="G69" s="98" t="s">
        <v>621</v>
      </c>
      <c r="H69" s="97" t="s">
        <v>642</v>
      </c>
      <c r="I69" s="97" t="s">
        <v>186</v>
      </c>
      <c r="J69" s="97" t="s">
        <v>185</v>
      </c>
      <c r="K69" s="97" t="s">
        <v>643</v>
      </c>
      <c r="L69" s="97" t="s">
        <v>183</v>
      </c>
      <c r="M69" s="97" t="s">
        <v>615</v>
      </c>
      <c r="N69" s="97" t="s">
        <v>185</v>
      </c>
      <c r="O69" s="97" t="s">
        <v>563</v>
      </c>
      <c r="P69" s="97" t="s">
        <v>186</v>
      </c>
      <c r="Q69" s="97" t="s">
        <v>644</v>
      </c>
      <c r="R69" s="97" t="s">
        <v>185</v>
      </c>
      <c r="S69" s="92"/>
      <c r="V69" s="60"/>
    </row>
    <row r="70" spans="2:22" s="1" customFormat="1" ht="36" customHeight="1">
      <c r="B70" s="58"/>
      <c r="D70" s="83" t="s">
        <v>852</v>
      </c>
      <c r="E70" s="83" t="s">
        <v>811</v>
      </c>
      <c r="F70" s="83" t="s">
        <v>880</v>
      </c>
      <c r="G70" s="83" t="s">
        <v>839</v>
      </c>
      <c r="H70" s="83" t="s">
        <v>882</v>
      </c>
      <c r="I70" s="83"/>
      <c r="J70" s="83" t="s">
        <v>852</v>
      </c>
      <c r="K70" s="83" t="s">
        <v>884</v>
      </c>
      <c r="L70" s="83"/>
      <c r="M70" s="83" t="s">
        <v>831</v>
      </c>
      <c r="N70" s="83" t="s">
        <v>852</v>
      </c>
      <c r="O70" s="83" t="s">
        <v>886</v>
      </c>
      <c r="P70" s="83"/>
      <c r="Q70" s="83" t="s">
        <v>863</v>
      </c>
      <c r="R70" s="83" t="s">
        <v>852</v>
      </c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 t="s">
        <v>304</v>
      </c>
      <c r="E72" s="82" t="s">
        <v>885</v>
      </c>
      <c r="F72" s="82" t="s">
        <v>811</v>
      </c>
      <c r="G72" s="82"/>
      <c r="H72" s="82" t="s">
        <v>773</v>
      </c>
      <c r="I72" s="82" t="s">
        <v>888</v>
      </c>
      <c r="J72" s="82" t="s">
        <v>775</v>
      </c>
      <c r="K72" s="82" t="s">
        <v>789</v>
      </c>
      <c r="L72" s="82"/>
      <c r="M72" s="82" t="s">
        <v>890</v>
      </c>
      <c r="N72" s="82" t="s">
        <v>779</v>
      </c>
      <c r="O72" s="82" t="s">
        <v>781</v>
      </c>
      <c r="P72" s="82" t="s">
        <v>783</v>
      </c>
      <c r="Q72" s="82" t="s">
        <v>785</v>
      </c>
      <c r="R72" s="82" t="s">
        <v>787</v>
      </c>
      <c r="S72" s="91"/>
      <c r="V72" s="60"/>
    </row>
    <row r="73" spans="2:22" s="1" customFormat="1" ht="80.099999999999994" customHeight="1">
      <c r="B73" s="57">
        <f>B69+1</f>
        <v>18</v>
      </c>
      <c r="D73" s="97" t="s">
        <v>190</v>
      </c>
      <c r="E73" s="97" t="s">
        <v>563</v>
      </c>
      <c r="F73" s="97" t="s">
        <v>561</v>
      </c>
      <c r="G73" s="97" t="s">
        <v>609</v>
      </c>
      <c r="H73" s="97" t="s">
        <v>549</v>
      </c>
      <c r="I73" s="97" t="s">
        <v>254</v>
      </c>
      <c r="J73" s="97" t="s">
        <v>550</v>
      </c>
      <c r="K73" s="102" t="s">
        <v>645</v>
      </c>
      <c r="L73" s="97" t="s">
        <v>183</v>
      </c>
      <c r="M73" s="97" t="s">
        <v>564</v>
      </c>
      <c r="N73" s="97" t="s">
        <v>551</v>
      </c>
      <c r="O73" s="97" t="s">
        <v>552</v>
      </c>
      <c r="P73" s="97" t="s">
        <v>553</v>
      </c>
      <c r="Q73" s="97" t="s">
        <v>554</v>
      </c>
      <c r="R73" s="97" t="s">
        <v>555</v>
      </c>
      <c r="S73" s="92"/>
      <c r="V73" s="60"/>
    </row>
    <row r="74" spans="2:22" s="1" customFormat="1" ht="36" customHeight="1">
      <c r="B74" s="58"/>
      <c r="D74" s="83" t="s">
        <v>292</v>
      </c>
      <c r="E74" s="83" t="s">
        <v>886</v>
      </c>
      <c r="F74" s="83" t="s">
        <v>847</v>
      </c>
      <c r="G74" s="83"/>
      <c r="H74" s="83" t="s">
        <v>774</v>
      </c>
      <c r="I74" s="83" t="s">
        <v>889</v>
      </c>
      <c r="J74" s="83" t="s">
        <v>776</v>
      </c>
      <c r="K74" s="83" t="s">
        <v>790</v>
      </c>
      <c r="L74" s="83"/>
      <c r="M74" s="83" t="s">
        <v>890</v>
      </c>
      <c r="N74" s="83" t="s">
        <v>780</v>
      </c>
      <c r="O74" s="83" t="s">
        <v>782</v>
      </c>
      <c r="P74" s="83" t="s">
        <v>784</v>
      </c>
      <c r="Q74" s="83" t="s">
        <v>786</v>
      </c>
      <c r="R74" s="83" t="s">
        <v>788</v>
      </c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 t="s">
        <v>789</v>
      </c>
      <c r="E76" s="82" t="s">
        <v>811</v>
      </c>
      <c r="F76" s="82"/>
      <c r="G76" s="82" t="s">
        <v>891</v>
      </c>
      <c r="H76" s="82" t="s">
        <v>709</v>
      </c>
      <c r="I76" s="82" t="s">
        <v>892</v>
      </c>
      <c r="J76" s="82" t="s">
        <v>894</v>
      </c>
      <c r="K76" s="82"/>
      <c r="L76" s="82" t="s">
        <v>850</v>
      </c>
      <c r="M76" s="82" t="s">
        <v>892</v>
      </c>
      <c r="N76" s="82" t="s">
        <v>894</v>
      </c>
      <c r="O76" s="82" t="s">
        <v>811</v>
      </c>
      <c r="P76" s="82"/>
      <c r="Q76" s="82" t="s">
        <v>850</v>
      </c>
      <c r="R76" s="82" t="s">
        <v>896</v>
      </c>
      <c r="S76" s="91"/>
      <c r="V76" s="60"/>
    </row>
    <row r="77" spans="2:22" s="1" customFormat="1" ht="80.099999999999994" customHeight="1">
      <c r="B77" s="57">
        <f>B73+1</f>
        <v>19</v>
      </c>
      <c r="D77" s="97" t="s">
        <v>556</v>
      </c>
      <c r="E77" s="97" t="s">
        <v>561</v>
      </c>
      <c r="F77" s="97" t="s">
        <v>183</v>
      </c>
      <c r="G77" s="98" t="s">
        <v>565</v>
      </c>
      <c r="H77" s="97" t="s">
        <v>185</v>
      </c>
      <c r="I77" s="97" t="s">
        <v>566</v>
      </c>
      <c r="J77" s="97" t="s">
        <v>567</v>
      </c>
      <c r="K77" s="97" t="s">
        <v>183</v>
      </c>
      <c r="L77" s="97" t="s">
        <v>185</v>
      </c>
      <c r="M77" s="97" t="s">
        <v>566</v>
      </c>
      <c r="N77" s="97" t="s">
        <v>567</v>
      </c>
      <c r="O77" s="97" t="s">
        <v>561</v>
      </c>
      <c r="P77" s="97" t="s">
        <v>183</v>
      </c>
      <c r="Q77" s="97" t="s">
        <v>185</v>
      </c>
      <c r="R77" s="97" t="s">
        <v>188</v>
      </c>
      <c r="S77" s="92"/>
      <c r="V77" s="60"/>
    </row>
    <row r="78" spans="2:22" s="1" customFormat="1" ht="36" customHeight="1">
      <c r="B78" s="58"/>
      <c r="D78" s="83" t="s">
        <v>790</v>
      </c>
      <c r="E78" s="83" t="s">
        <v>847</v>
      </c>
      <c r="F78" s="83"/>
      <c r="G78" s="83" t="s">
        <v>891</v>
      </c>
      <c r="H78" s="83" t="s">
        <v>851</v>
      </c>
      <c r="I78" s="83" t="s">
        <v>893</v>
      </c>
      <c r="J78" s="83" t="s">
        <v>895</v>
      </c>
      <c r="K78" s="83"/>
      <c r="L78" s="83" t="s">
        <v>852</v>
      </c>
      <c r="M78" s="83" t="s">
        <v>893</v>
      </c>
      <c r="N78" s="83" t="s">
        <v>895</v>
      </c>
      <c r="O78" s="83" t="s">
        <v>847</v>
      </c>
      <c r="P78" s="83"/>
      <c r="Q78" s="83" t="s">
        <v>852</v>
      </c>
      <c r="R78" s="83" t="s">
        <v>897</v>
      </c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 t="s">
        <v>898</v>
      </c>
      <c r="E80" s="82" t="s">
        <v>900</v>
      </c>
      <c r="F80" s="82"/>
      <c r="G80" s="82" t="s">
        <v>902</v>
      </c>
      <c r="H80" s="82" t="s">
        <v>904</v>
      </c>
      <c r="I80" s="82" t="s">
        <v>906</v>
      </c>
      <c r="J80" s="82" t="s">
        <v>908</v>
      </c>
      <c r="K80" s="82"/>
      <c r="L80" s="82" t="s">
        <v>910</v>
      </c>
      <c r="M80" s="82" t="s">
        <v>829</v>
      </c>
      <c r="N80" s="82"/>
      <c r="O80" s="82" t="s">
        <v>303</v>
      </c>
      <c r="P80" s="82" t="s">
        <v>278</v>
      </c>
      <c r="Q80" s="82" t="s">
        <v>1078</v>
      </c>
      <c r="R80" s="82" t="s">
        <v>914</v>
      </c>
      <c r="S80" s="91"/>
      <c r="V80" s="60"/>
    </row>
    <row r="81" spans="2:22" s="1" customFormat="1" ht="80.099999999999994" customHeight="1">
      <c r="B81" s="57">
        <f>B77+1</f>
        <v>20</v>
      </c>
      <c r="D81" s="97" t="s">
        <v>568</v>
      </c>
      <c r="E81" s="97" t="s">
        <v>569</v>
      </c>
      <c r="F81" s="97" t="s">
        <v>183</v>
      </c>
      <c r="G81" s="97" t="s">
        <v>570</v>
      </c>
      <c r="H81" s="97" t="s">
        <v>571</v>
      </c>
      <c r="I81" s="97" t="s">
        <v>572</v>
      </c>
      <c r="J81" s="97" t="s">
        <v>573</v>
      </c>
      <c r="K81" s="97" t="s">
        <v>216</v>
      </c>
      <c r="L81" s="97" t="s">
        <v>574</v>
      </c>
      <c r="M81" s="97" t="s">
        <v>559</v>
      </c>
      <c r="N81" s="97" t="s">
        <v>183</v>
      </c>
      <c r="O81" s="97" t="s">
        <v>646</v>
      </c>
      <c r="P81" s="97" t="s">
        <v>647</v>
      </c>
      <c r="Q81" s="102" t="s">
        <v>648</v>
      </c>
      <c r="R81" s="97" t="s">
        <v>649</v>
      </c>
      <c r="S81" s="92"/>
      <c r="V81" s="60"/>
    </row>
    <row r="82" spans="2:22" s="1" customFormat="1" ht="36" customHeight="1">
      <c r="B82" s="58"/>
      <c r="D82" s="83" t="s">
        <v>899</v>
      </c>
      <c r="E82" s="83" t="s">
        <v>901</v>
      </c>
      <c r="F82" s="83"/>
      <c r="G82" s="83" t="s">
        <v>903</v>
      </c>
      <c r="H82" s="83" t="s">
        <v>905</v>
      </c>
      <c r="I82" s="83" t="s">
        <v>907</v>
      </c>
      <c r="J82" s="83" t="s">
        <v>909</v>
      </c>
      <c r="K82" s="83"/>
      <c r="L82" s="83" t="s">
        <v>911</v>
      </c>
      <c r="M82" s="83" t="s">
        <v>830</v>
      </c>
      <c r="N82" s="83"/>
      <c r="O82" s="83" t="s">
        <v>912</v>
      </c>
      <c r="P82" s="83" t="s">
        <v>913</v>
      </c>
      <c r="Q82" s="83" t="s">
        <v>1079</v>
      </c>
      <c r="R82" s="83" t="s">
        <v>915</v>
      </c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7" t="s">
        <v>186</v>
      </c>
      <c r="E85" s="97" t="str">
        <f>CHAR(10)</f>
        <v xml:space="preserve">
</v>
      </c>
      <c r="F85" s="97"/>
      <c r="G85" s="98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7" t="str">
        <f>CHAR(10)</f>
        <v xml:space="preserve">
</v>
      </c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 t="s">
        <v>916</v>
      </c>
      <c r="E92" s="82" t="s">
        <v>314</v>
      </c>
      <c r="F92" s="82" t="s">
        <v>834</v>
      </c>
      <c r="G92" s="82" t="s">
        <v>918</v>
      </c>
      <c r="H92" s="82"/>
      <c r="I92" s="82" t="s">
        <v>890</v>
      </c>
      <c r="J92" s="82" t="s">
        <v>779</v>
      </c>
      <c r="K92" s="82" t="s">
        <v>781</v>
      </c>
      <c r="L92" s="82" t="s">
        <v>783</v>
      </c>
      <c r="M92" s="82" t="s">
        <v>785</v>
      </c>
      <c r="N92" s="82" t="s">
        <v>787</v>
      </c>
      <c r="O92" s="82" t="s">
        <v>789</v>
      </c>
      <c r="P92" s="82" t="s">
        <v>811</v>
      </c>
      <c r="Q92" s="82"/>
      <c r="R92" s="82" t="s">
        <v>885</v>
      </c>
      <c r="S92" s="91"/>
      <c r="V92" s="60"/>
    </row>
    <row r="93" spans="2:22" s="1" customFormat="1" ht="80.099999999999994" customHeight="1">
      <c r="B93" s="57">
        <f>B89+1</f>
        <v>23</v>
      </c>
      <c r="D93" s="97" t="s">
        <v>575</v>
      </c>
      <c r="E93" s="97" t="s">
        <v>196</v>
      </c>
      <c r="F93" s="97" t="s">
        <v>560</v>
      </c>
      <c r="G93" s="97" t="s">
        <v>576</v>
      </c>
      <c r="H93" s="97" t="s">
        <v>183</v>
      </c>
      <c r="I93" s="97" t="s">
        <v>564</v>
      </c>
      <c r="J93" s="97" t="s">
        <v>551</v>
      </c>
      <c r="K93" s="97" t="s">
        <v>552</v>
      </c>
      <c r="L93" s="97" t="s">
        <v>553</v>
      </c>
      <c r="M93" s="97" t="s">
        <v>554</v>
      </c>
      <c r="N93" s="97" t="s">
        <v>555</v>
      </c>
      <c r="O93" s="97" t="s">
        <v>556</v>
      </c>
      <c r="P93" s="97" t="s">
        <v>561</v>
      </c>
      <c r="Q93" s="97" t="s">
        <v>183</v>
      </c>
      <c r="R93" s="97" t="s">
        <v>563</v>
      </c>
      <c r="S93" s="92"/>
      <c r="V93" s="60"/>
    </row>
    <row r="94" spans="2:22" s="1" customFormat="1" ht="36" customHeight="1">
      <c r="B94" s="58"/>
      <c r="D94" s="83" t="s">
        <v>916</v>
      </c>
      <c r="E94" s="83" t="s">
        <v>917</v>
      </c>
      <c r="F94" s="83" t="s">
        <v>834</v>
      </c>
      <c r="G94" s="83" t="s">
        <v>918</v>
      </c>
      <c r="H94" s="83"/>
      <c r="I94" s="83" t="s">
        <v>890</v>
      </c>
      <c r="J94" s="83" t="s">
        <v>780</v>
      </c>
      <c r="K94" s="83" t="s">
        <v>782</v>
      </c>
      <c r="L94" s="83" t="s">
        <v>784</v>
      </c>
      <c r="M94" s="83" t="s">
        <v>786</v>
      </c>
      <c r="N94" s="83" t="s">
        <v>788</v>
      </c>
      <c r="O94" s="83" t="s">
        <v>790</v>
      </c>
      <c r="P94" s="83" t="s">
        <v>847</v>
      </c>
      <c r="Q94" s="83"/>
      <c r="R94" s="83" t="s">
        <v>886</v>
      </c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 t="s">
        <v>919</v>
      </c>
      <c r="E96" s="82" t="s">
        <v>920</v>
      </c>
      <c r="F96" s="82" t="s">
        <v>789</v>
      </c>
      <c r="G96" s="82" t="s">
        <v>785</v>
      </c>
      <c r="H96" s="82" t="s">
        <v>916</v>
      </c>
      <c r="I96" s="82" t="s">
        <v>922</v>
      </c>
      <c r="J96" s="82" t="s">
        <v>916</v>
      </c>
      <c r="K96" s="82" t="s">
        <v>773</v>
      </c>
      <c r="L96" s="82" t="s">
        <v>888</v>
      </c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7" t="s">
        <v>577</v>
      </c>
      <c r="E97" s="97" t="s">
        <v>578</v>
      </c>
      <c r="F97" s="97" t="s">
        <v>556</v>
      </c>
      <c r="G97" s="98" t="s">
        <v>554</v>
      </c>
      <c r="H97" s="97" t="s">
        <v>575</v>
      </c>
      <c r="I97" s="97" t="s">
        <v>579</v>
      </c>
      <c r="J97" s="97" t="s">
        <v>575</v>
      </c>
      <c r="K97" s="97" t="s">
        <v>549</v>
      </c>
      <c r="L97" s="97" t="s">
        <v>254</v>
      </c>
      <c r="M97" s="97" t="s">
        <v>609</v>
      </c>
      <c r="N97" s="97" t="str">
        <f>CHAR(10)</f>
        <v xml:space="preserve">
</v>
      </c>
      <c r="O97" s="97"/>
      <c r="P97" s="97"/>
      <c r="Q97" s="97"/>
      <c r="R97" s="97"/>
      <c r="S97" s="92"/>
      <c r="V97" s="60"/>
    </row>
    <row r="98" spans="2:22" s="1" customFormat="1" ht="36" customHeight="1">
      <c r="B98" s="58"/>
      <c r="D98" s="83" t="s">
        <v>919</v>
      </c>
      <c r="E98" s="83" t="s">
        <v>921</v>
      </c>
      <c r="F98" s="83" t="s">
        <v>790</v>
      </c>
      <c r="G98" s="83" t="s">
        <v>786</v>
      </c>
      <c r="H98" s="83" t="s">
        <v>916</v>
      </c>
      <c r="I98" s="83" t="s">
        <v>923</v>
      </c>
      <c r="J98" s="83" t="s">
        <v>916</v>
      </c>
      <c r="K98" s="83" t="s">
        <v>774</v>
      </c>
      <c r="L98" s="83" t="s">
        <v>889</v>
      </c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7" t="str">
        <f>CHAR(10)</f>
        <v xml:space="preserve">
</v>
      </c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 t="s">
        <v>811</v>
      </c>
      <c r="E104" s="82" t="s">
        <v>924</v>
      </c>
      <c r="F104" s="82" t="s">
        <v>779</v>
      </c>
      <c r="G104" s="82" t="s">
        <v>781</v>
      </c>
      <c r="H104" s="82" t="s">
        <v>783</v>
      </c>
      <c r="I104" s="82" t="s">
        <v>785</v>
      </c>
      <c r="J104" s="82" t="s">
        <v>787</v>
      </c>
      <c r="K104" s="82" t="s">
        <v>789</v>
      </c>
      <c r="L104" s="82"/>
      <c r="M104" s="82" t="s">
        <v>300</v>
      </c>
      <c r="N104" s="82" t="s">
        <v>310</v>
      </c>
      <c r="O104" s="82" t="s">
        <v>927</v>
      </c>
      <c r="P104" s="82" t="s">
        <v>929</v>
      </c>
      <c r="Q104" s="82"/>
      <c r="R104" s="82" t="s">
        <v>300</v>
      </c>
      <c r="S104" s="91"/>
      <c r="V104" s="60"/>
    </row>
    <row r="105" spans="2:22" s="1" customFormat="1" ht="80.099999999999994" customHeight="1">
      <c r="B105" s="57">
        <f>B101+1</f>
        <v>26</v>
      </c>
      <c r="D105" s="97" t="s">
        <v>561</v>
      </c>
      <c r="E105" s="97" t="s">
        <v>650</v>
      </c>
      <c r="F105" s="97" t="s">
        <v>551</v>
      </c>
      <c r="G105" s="98" t="s">
        <v>552</v>
      </c>
      <c r="H105" s="97" t="s">
        <v>553</v>
      </c>
      <c r="I105" s="97" t="s">
        <v>554</v>
      </c>
      <c r="J105" s="97" t="s">
        <v>555</v>
      </c>
      <c r="K105" s="97" t="s">
        <v>556</v>
      </c>
      <c r="L105" s="97" t="s">
        <v>183</v>
      </c>
      <c r="M105" s="97" t="s">
        <v>191</v>
      </c>
      <c r="N105" s="97" t="s">
        <v>195</v>
      </c>
      <c r="O105" s="99" t="s">
        <v>581</v>
      </c>
      <c r="P105" s="97" t="s">
        <v>582</v>
      </c>
      <c r="Q105" s="97" t="s">
        <v>183</v>
      </c>
      <c r="R105" s="97" t="s">
        <v>191</v>
      </c>
      <c r="S105" s="92"/>
      <c r="V105" s="60"/>
    </row>
    <row r="106" spans="2:22" s="1" customFormat="1" ht="36" customHeight="1">
      <c r="B106" s="58"/>
      <c r="D106" s="83" t="s">
        <v>847</v>
      </c>
      <c r="E106" s="83" t="s">
        <v>925</v>
      </c>
      <c r="F106" s="83" t="s">
        <v>780</v>
      </c>
      <c r="G106" s="83" t="s">
        <v>782</v>
      </c>
      <c r="H106" s="83" t="s">
        <v>784</v>
      </c>
      <c r="I106" s="83" t="s">
        <v>786</v>
      </c>
      <c r="J106" s="83" t="s">
        <v>788</v>
      </c>
      <c r="K106" s="83" t="s">
        <v>790</v>
      </c>
      <c r="L106" s="83"/>
      <c r="M106" s="83" t="s">
        <v>826</v>
      </c>
      <c r="N106" s="83" t="s">
        <v>926</v>
      </c>
      <c r="O106" s="83" t="s">
        <v>928</v>
      </c>
      <c r="P106" s="83" t="s">
        <v>930</v>
      </c>
      <c r="Q106" s="83"/>
      <c r="R106" s="83" t="s">
        <v>826</v>
      </c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 t="s">
        <v>310</v>
      </c>
      <c r="E108" s="82" t="s">
        <v>874</v>
      </c>
      <c r="F108" s="82" t="s">
        <v>929</v>
      </c>
      <c r="G108" s="82"/>
      <c r="H108" s="82" t="s">
        <v>300</v>
      </c>
      <c r="I108" s="82" t="s">
        <v>850</v>
      </c>
      <c r="J108" s="82" t="s">
        <v>829</v>
      </c>
      <c r="K108" s="82" t="s">
        <v>929</v>
      </c>
      <c r="L108" s="82"/>
      <c r="M108" s="82" t="s">
        <v>300</v>
      </c>
      <c r="N108" s="82" t="s">
        <v>850</v>
      </c>
      <c r="O108" s="82" t="s">
        <v>931</v>
      </c>
      <c r="P108" s="82" t="s">
        <v>931</v>
      </c>
      <c r="Q108" s="82" t="s">
        <v>929</v>
      </c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7" t="s">
        <v>195</v>
      </c>
      <c r="E109" s="97" t="s">
        <v>562</v>
      </c>
      <c r="F109" s="97" t="s">
        <v>582</v>
      </c>
      <c r="G109" s="97" t="s">
        <v>183</v>
      </c>
      <c r="H109" s="97" t="s">
        <v>191</v>
      </c>
      <c r="I109" s="97" t="s">
        <v>185</v>
      </c>
      <c r="J109" s="97" t="s">
        <v>225</v>
      </c>
      <c r="K109" s="97" t="s">
        <v>582</v>
      </c>
      <c r="L109" s="97" t="s">
        <v>183</v>
      </c>
      <c r="M109" s="97" t="s">
        <v>191</v>
      </c>
      <c r="N109" s="97" t="s">
        <v>185</v>
      </c>
      <c r="O109" s="97" t="s">
        <v>583</v>
      </c>
      <c r="P109" s="97" t="s">
        <v>583</v>
      </c>
      <c r="Q109" s="97" t="s">
        <v>582</v>
      </c>
      <c r="R109" s="97" t="s">
        <v>186</v>
      </c>
      <c r="S109" s="92"/>
      <c r="V109" s="60"/>
    </row>
    <row r="110" spans="2:22" s="1" customFormat="1" ht="36" customHeight="1">
      <c r="B110" s="58"/>
      <c r="D110" s="83" t="s">
        <v>926</v>
      </c>
      <c r="E110" s="83" t="s">
        <v>875</v>
      </c>
      <c r="F110" s="83" t="s">
        <v>930</v>
      </c>
      <c r="G110" s="83"/>
      <c r="H110" s="83" t="s">
        <v>826</v>
      </c>
      <c r="I110" s="83" t="s">
        <v>852</v>
      </c>
      <c r="J110" s="83" t="s">
        <v>830</v>
      </c>
      <c r="K110" s="83" t="s">
        <v>930</v>
      </c>
      <c r="L110" s="83"/>
      <c r="M110" s="83" t="s">
        <v>826</v>
      </c>
      <c r="N110" s="83" t="s">
        <v>852</v>
      </c>
      <c r="O110" s="83" t="s">
        <v>932</v>
      </c>
      <c r="P110" s="83" t="s">
        <v>932</v>
      </c>
      <c r="Q110" s="83" t="s">
        <v>930</v>
      </c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 t="s">
        <v>283</v>
      </c>
      <c r="E112" s="82" t="s">
        <v>934</v>
      </c>
      <c r="F112" s="82" t="s">
        <v>263</v>
      </c>
      <c r="G112" s="82" t="s">
        <v>808</v>
      </c>
      <c r="H112" s="82" t="s">
        <v>810</v>
      </c>
      <c r="I112" s="82"/>
      <c r="J112" s="82" t="s">
        <v>936</v>
      </c>
      <c r="K112" s="82" t="s">
        <v>937</v>
      </c>
      <c r="L112" s="82" t="s">
        <v>820</v>
      </c>
      <c r="M112" s="82" t="s">
        <v>938</v>
      </c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7" t="s">
        <v>202</v>
      </c>
      <c r="E113" s="97" t="s">
        <v>651</v>
      </c>
      <c r="F113" s="97" t="s">
        <v>187</v>
      </c>
      <c r="G113" s="97" t="s">
        <v>604</v>
      </c>
      <c r="H113" s="97" t="s">
        <v>605</v>
      </c>
      <c r="I113" s="97" t="s">
        <v>609</v>
      </c>
      <c r="J113" s="97" t="s">
        <v>652</v>
      </c>
      <c r="K113" s="97" t="s">
        <v>653</v>
      </c>
      <c r="L113" s="97" t="s">
        <v>611</v>
      </c>
      <c r="M113" s="97" t="s">
        <v>654</v>
      </c>
      <c r="N113" s="97" t="s">
        <v>609</v>
      </c>
      <c r="O113" s="99" t="str">
        <f>CHAR(10)</f>
        <v xml:space="preserve">
</v>
      </c>
      <c r="P113" s="97"/>
      <c r="Q113" s="97"/>
      <c r="R113" s="97"/>
      <c r="S113" s="92"/>
      <c r="V113" s="60"/>
    </row>
    <row r="114" spans="2:22" s="1" customFormat="1" ht="36" customHeight="1">
      <c r="B114" s="58"/>
      <c r="D114" s="83" t="s">
        <v>933</v>
      </c>
      <c r="E114" s="83" t="s">
        <v>935</v>
      </c>
      <c r="F114" s="83" t="s">
        <v>807</v>
      </c>
      <c r="G114" s="83" t="s">
        <v>809</v>
      </c>
      <c r="H114" s="83" t="s">
        <v>811</v>
      </c>
      <c r="I114" s="83"/>
      <c r="J114" s="83" t="s">
        <v>936</v>
      </c>
      <c r="K114" s="83" t="s">
        <v>937</v>
      </c>
      <c r="L114" s="83" t="s">
        <v>821</v>
      </c>
      <c r="M114" s="83" t="s">
        <v>938</v>
      </c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7" t="str">
        <f>CHAR(10)</f>
        <v xml:space="preserve">
</v>
      </c>
      <c r="E117" s="97"/>
      <c r="F117" s="98"/>
      <c r="G117" s="98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 t="s">
        <v>811</v>
      </c>
      <c r="E120" s="82" t="s">
        <v>939</v>
      </c>
      <c r="F120" s="82" t="s">
        <v>779</v>
      </c>
      <c r="G120" s="82" t="s">
        <v>781</v>
      </c>
      <c r="H120" s="82" t="s">
        <v>783</v>
      </c>
      <c r="I120" s="82" t="s">
        <v>785</v>
      </c>
      <c r="J120" s="82" t="s">
        <v>787</v>
      </c>
      <c r="K120" s="82" t="s">
        <v>789</v>
      </c>
      <c r="L120" s="82" t="s">
        <v>929</v>
      </c>
      <c r="M120" s="82"/>
      <c r="N120" s="82" t="s">
        <v>824</v>
      </c>
      <c r="O120" s="82" t="s">
        <v>939</v>
      </c>
      <c r="P120" s="82" t="s">
        <v>929</v>
      </c>
      <c r="Q120" s="82" t="s">
        <v>941</v>
      </c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7" t="s">
        <v>561</v>
      </c>
      <c r="E121" s="97" t="s">
        <v>584</v>
      </c>
      <c r="F121" s="97" t="s">
        <v>551</v>
      </c>
      <c r="G121" s="98" t="s">
        <v>552</v>
      </c>
      <c r="H121" s="97" t="s">
        <v>553</v>
      </c>
      <c r="I121" s="97" t="s">
        <v>554</v>
      </c>
      <c r="J121" s="97" t="s">
        <v>555</v>
      </c>
      <c r="K121" s="97" t="s">
        <v>556</v>
      </c>
      <c r="L121" s="97" t="s">
        <v>582</v>
      </c>
      <c r="M121" s="97" t="s">
        <v>183</v>
      </c>
      <c r="N121" s="97" t="s">
        <v>558</v>
      </c>
      <c r="O121" s="97" t="s">
        <v>584</v>
      </c>
      <c r="P121" s="97" t="s">
        <v>582</v>
      </c>
      <c r="Q121" s="97" t="s">
        <v>585</v>
      </c>
      <c r="R121" s="97" t="s">
        <v>580</v>
      </c>
      <c r="S121" s="92"/>
      <c r="V121" s="60"/>
    </row>
    <row r="122" spans="2:22" s="1" customFormat="1" ht="36" customHeight="1">
      <c r="B122" s="58"/>
      <c r="D122" s="83" t="s">
        <v>847</v>
      </c>
      <c r="E122" s="83" t="s">
        <v>940</v>
      </c>
      <c r="F122" s="83" t="s">
        <v>780</v>
      </c>
      <c r="G122" s="83" t="s">
        <v>782</v>
      </c>
      <c r="H122" s="83" t="s">
        <v>784</v>
      </c>
      <c r="I122" s="83" t="s">
        <v>786</v>
      </c>
      <c r="J122" s="83" t="s">
        <v>788</v>
      </c>
      <c r="K122" s="83" t="s">
        <v>790</v>
      </c>
      <c r="L122" s="83" t="s">
        <v>930</v>
      </c>
      <c r="M122" s="83"/>
      <c r="N122" s="83" t="s">
        <v>825</v>
      </c>
      <c r="O122" s="83" t="s">
        <v>940</v>
      </c>
      <c r="P122" s="83" t="s">
        <v>930</v>
      </c>
      <c r="Q122" s="83" t="s">
        <v>941</v>
      </c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 t="s">
        <v>943</v>
      </c>
      <c r="E124" s="82" t="s">
        <v>285</v>
      </c>
      <c r="F124" s="82"/>
      <c r="G124" s="82" t="s">
        <v>943</v>
      </c>
      <c r="H124" s="82" t="s">
        <v>285</v>
      </c>
      <c r="I124" s="82"/>
      <c r="J124" s="82" t="s">
        <v>783</v>
      </c>
      <c r="K124" s="82" t="s">
        <v>785</v>
      </c>
      <c r="L124" s="82" t="s">
        <v>943</v>
      </c>
      <c r="M124" s="82" t="s">
        <v>285</v>
      </c>
      <c r="N124" s="82"/>
      <c r="O124" s="82" t="s">
        <v>783</v>
      </c>
      <c r="P124" s="82" t="s">
        <v>785</v>
      </c>
      <c r="Q124" s="82" t="s">
        <v>844</v>
      </c>
      <c r="R124" s="82" t="s">
        <v>943</v>
      </c>
      <c r="S124" s="91"/>
      <c r="V124" s="60"/>
    </row>
    <row r="125" spans="2:22" s="1" customFormat="1" ht="80.099999999999994" customHeight="1">
      <c r="B125" s="57">
        <f>B121+1</f>
        <v>31</v>
      </c>
      <c r="D125" s="97" t="s">
        <v>586</v>
      </c>
      <c r="E125" s="97" t="s">
        <v>587</v>
      </c>
      <c r="F125" s="97" t="s">
        <v>183</v>
      </c>
      <c r="G125" s="98" t="s">
        <v>586</v>
      </c>
      <c r="H125" s="97" t="s">
        <v>587</v>
      </c>
      <c r="I125" s="97" t="s">
        <v>183</v>
      </c>
      <c r="J125" s="97" t="s">
        <v>553</v>
      </c>
      <c r="K125" s="97" t="s">
        <v>554</v>
      </c>
      <c r="L125" s="97" t="s">
        <v>586</v>
      </c>
      <c r="M125" s="97" t="s">
        <v>587</v>
      </c>
      <c r="N125" s="97" t="s">
        <v>183</v>
      </c>
      <c r="O125" s="97" t="s">
        <v>553</v>
      </c>
      <c r="P125" s="97" t="s">
        <v>554</v>
      </c>
      <c r="Q125" s="97" t="s">
        <v>588</v>
      </c>
      <c r="R125" s="97" t="s">
        <v>586</v>
      </c>
      <c r="S125" s="92"/>
      <c r="V125" s="60"/>
    </row>
    <row r="126" spans="2:22" s="1" customFormat="1" ht="36" customHeight="1">
      <c r="B126" s="58"/>
      <c r="D126" s="83" t="s">
        <v>944</v>
      </c>
      <c r="E126" s="83" t="s">
        <v>945</v>
      </c>
      <c r="F126" s="83"/>
      <c r="G126" s="83" t="s">
        <v>944</v>
      </c>
      <c r="H126" s="83" t="s">
        <v>945</v>
      </c>
      <c r="I126" s="83"/>
      <c r="J126" s="83" t="s">
        <v>784</v>
      </c>
      <c r="K126" s="83" t="s">
        <v>786</v>
      </c>
      <c r="L126" s="83" t="s">
        <v>944</v>
      </c>
      <c r="M126" s="83" t="s">
        <v>945</v>
      </c>
      <c r="N126" s="83"/>
      <c r="O126" s="83" t="s">
        <v>784</v>
      </c>
      <c r="P126" s="83" t="s">
        <v>786</v>
      </c>
      <c r="Q126" s="83" t="s">
        <v>844</v>
      </c>
      <c r="R126" s="83" t="s">
        <v>944</v>
      </c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 t="s">
        <v>285</v>
      </c>
      <c r="E128" s="82"/>
      <c r="F128" s="82" t="s">
        <v>773</v>
      </c>
      <c r="G128" s="82" t="s">
        <v>888</v>
      </c>
      <c r="H128" s="82" t="s">
        <v>775</v>
      </c>
      <c r="I128" s="82" t="s">
        <v>946</v>
      </c>
      <c r="J128" s="82" t="s">
        <v>948</v>
      </c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7" t="s">
        <v>587</v>
      </c>
      <c r="E129" s="97" t="s">
        <v>183</v>
      </c>
      <c r="F129" s="97" t="s">
        <v>549</v>
      </c>
      <c r="G129" s="97" t="s">
        <v>254</v>
      </c>
      <c r="H129" s="97" t="s">
        <v>550</v>
      </c>
      <c r="I129" s="97" t="s">
        <v>589</v>
      </c>
      <c r="J129" s="97" t="s">
        <v>590</v>
      </c>
      <c r="K129" s="97" t="s">
        <v>609</v>
      </c>
      <c r="L129" s="105" t="s">
        <v>1073</v>
      </c>
      <c r="M129" s="97"/>
      <c r="N129" s="97"/>
      <c r="O129" s="97"/>
      <c r="P129" s="97"/>
      <c r="Q129" s="97"/>
      <c r="R129" s="97"/>
      <c r="S129" s="92"/>
      <c r="V129" s="60"/>
    </row>
    <row r="130" spans="2:22" s="1" customFormat="1" ht="36" customHeight="1">
      <c r="B130" s="58"/>
      <c r="D130" s="83" t="s">
        <v>945</v>
      </c>
      <c r="E130" s="83"/>
      <c r="F130" s="83" t="s">
        <v>774</v>
      </c>
      <c r="G130" s="83" t="s">
        <v>889</v>
      </c>
      <c r="H130" s="83" t="s">
        <v>776</v>
      </c>
      <c r="I130" s="83" t="s">
        <v>947</v>
      </c>
      <c r="J130" s="83" t="s">
        <v>948</v>
      </c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7"/>
      <c r="E133" s="97"/>
      <c r="F133" s="97"/>
      <c r="G133" s="98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7"/>
      <c r="E141" s="97"/>
      <c r="F141" s="97"/>
      <c r="G141" s="98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7"/>
      <c r="E145" s="97"/>
      <c r="F145" s="97"/>
      <c r="G145" s="98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7"/>
      <c r="E173" s="97"/>
      <c r="F173" s="97"/>
      <c r="G173" s="98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7"/>
      <c r="E181" s="97"/>
      <c r="F181" s="97"/>
      <c r="G181" s="98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7"/>
      <c r="E193" s="97"/>
      <c r="F193" s="97"/>
      <c r="G193" s="98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7"/>
      <c r="E197" s="97"/>
      <c r="F197" s="97"/>
      <c r="G197" s="98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7"/>
      <c r="E201" s="97"/>
      <c r="F201" s="97"/>
      <c r="G201" s="98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7"/>
      <c r="E205" s="97"/>
      <c r="F205" s="97"/>
      <c r="G205" s="98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7"/>
      <c r="E209" s="97"/>
      <c r="F209" s="97"/>
      <c r="G209" s="98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7"/>
      <c r="E213" s="97"/>
      <c r="F213" s="97"/>
      <c r="G213" s="98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7"/>
      <c r="E217" s="97"/>
      <c r="F217" s="97"/>
      <c r="G217" s="98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7"/>
      <c r="E221" s="97"/>
      <c r="F221" s="97"/>
      <c r="G221" s="98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7"/>
      <c r="E225" s="97"/>
      <c r="F225" s="97"/>
      <c r="G225" s="98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7"/>
      <c r="E229" s="97"/>
      <c r="F229" s="97"/>
      <c r="G229" s="98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7"/>
      <c r="E233" s="97"/>
      <c r="F233" s="97"/>
      <c r="G233" s="98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7"/>
      <c r="E237" s="97"/>
      <c r="F237" s="97"/>
      <c r="G237" s="98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7"/>
      <c r="E241" s="97"/>
      <c r="F241" s="97"/>
      <c r="G241" s="98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7:R7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11:R11">
    <cfRule type="expression" dxfId="187" priority="40">
      <formula>"'= TRUE(顯示注音輸入)"</formula>
    </cfRule>
    <cfRule type="expression" dxfId="186" priority="39">
      <formula>顯示注音輸入</formula>
    </cfRule>
  </conditionalFormatting>
  <conditionalFormatting sqref="D15:R15">
    <cfRule type="expression" dxfId="185" priority="38">
      <formula>"'= TRUE(顯示注音輸入)"</formula>
    </cfRule>
    <cfRule type="expression" dxfId="184" priority="37">
      <formula>顯示注音輸入</formula>
    </cfRule>
  </conditionalFormatting>
  <conditionalFormatting sqref="D19:R19">
    <cfRule type="expression" dxfId="183" priority="36">
      <formula>"'= TRUE(顯示注音輸入)"</formula>
    </cfRule>
    <cfRule type="expression" dxfId="182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81" priority="50">
      <formula>"'= TRUE(顯示注音輸入)"</formula>
    </cfRule>
    <cfRule type="expression" dxfId="180" priority="49">
      <formula>顯示注音輸入</formula>
    </cfRule>
  </conditionalFormatting>
  <conditionalFormatting sqref="D27:R27">
    <cfRule type="expression" dxfId="179" priority="34">
      <formula>"'= TRUE(顯示注音輸入)"</formula>
    </cfRule>
    <cfRule type="expression" dxfId="178" priority="33">
      <formula>顯示注音輸入</formula>
    </cfRule>
  </conditionalFormatting>
  <conditionalFormatting sqref="D31:R31">
    <cfRule type="expression" dxfId="177" priority="31">
      <formula>顯示注音輸入</formula>
    </cfRule>
    <cfRule type="expression" dxfId="176" priority="32">
      <formula>"'= TRUE(顯示注音輸入)"</formula>
    </cfRule>
  </conditionalFormatting>
  <conditionalFormatting sqref="D35:R35">
    <cfRule type="expression" dxfId="175" priority="30">
      <formula>"'= TRUE(顯示注音輸入)"</formula>
    </cfRule>
    <cfRule type="expression" dxfId="174" priority="29">
      <formula>顯示注音輸入</formula>
    </cfRule>
  </conditionalFormatting>
  <conditionalFormatting sqref="D43:R43">
    <cfRule type="expression" dxfId="173" priority="28">
      <formula>"'= TRUE(顯示注音輸入)"</formula>
    </cfRule>
    <cfRule type="expression" dxfId="172" priority="27">
      <formula>顯示注音輸入</formula>
    </cfRule>
  </conditionalFormatting>
  <conditionalFormatting sqref="D47:R47">
    <cfRule type="expression" dxfId="171" priority="25">
      <formula>顯示注音輸入</formula>
    </cfRule>
    <cfRule type="expression" dxfId="170" priority="26">
      <formula>"'= TRUE(顯示注音輸入)"</formula>
    </cfRule>
  </conditionalFormatting>
  <conditionalFormatting sqref="D51:R51">
    <cfRule type="expression" dxfId="169" priority="24">
      <formula>"'= TRUE(顯示注音輸入)"</formula>
    </cfRule>
    <cfRule type="expression" dxfId="168" priority="23">
      <formula>顯示注音輸入</formula>
    </cfRule>
  </conditionalFormatting>
  <conditionalFormatting sqref="D55:R55">
    <cfRule type="expression" dxfId="167" priority="22">
      <formula>"'= TRUE(顯示注音輸入)"</formula>
    </cfRule>
    <cfRule type="expression" dxfId="166" priority="21">
      <formula>顯示注音輸入</formula>
    </cfRule>
  </conditionalFormatting>
  <conditionalFormatting sqref="D59:R59">
    <cfRule type="expression" dxfId="165" priority="19">
      <formula>顯示注音輸入</formula>
    </cfRule>
    <cfRule type="expression" dxfId="164" priority="20">
      <formula>"'= TRUE(顯示注音輸入)"</formula>
    </cfRule>
  </conditionalFormatting>
  <conditionalFormatting sqref="D63:R63">
    <cfRule type="expression" dxfId="163" priority="18">
      <formula>"'= TRUE(顯示注音輸入)"</formula>
    </cfRule>
    <cfRule type="expression" dxfId="162" priority="17">
      <formula>顯示注音輸入</formula>
    </cfRule>
  </conditionalFormatting>
  <conditionalFormatting sqref="D67:R67">
    <cfRule type="expression" dxfId="161" priority="16">
      <formula>"'= TRUE(顯示注音輸入)"</formula>
    </cfRule>
    <cfRule type="expression" dxfId="160" priority="15">
      <formula>顯示注音輸入</formula>
    </cfRule>
  </conditionalFormatting>
  <conditionalFormatting sqref="D71:R71">
    <cfRule type="expression" dxfId="159" priority="14">
      <formula>"'= TRUE(顯示注音輸入)"</formula>
    </cfRule>
    <cfRule type="expression" dxfId="158" priority="13">
      <formula>顯示注音輸入</formula>
    </cfRule>
  </conditionalFormatting>
  <conditionalFormatting sqref="D75:R75">
    <cfRule type="expression" dxfId="157" priority="12">
      <formula>"'= TRUE(顯示注音輸入)"</formula>
    </cfRule>
    <cfRule type="expression" dxfId="156" priority="11">
      <formula>顯示注音輸入</formula>
    </cfRule>
  </conditionalFormatting>
  <conditionalFormatting sqref="D79:R79">
    <cfRule type="expression" dxfId="155" priority="9">
      <formula>顯示注音輸入</formula>
    </cfRule>
    <cfRule type="expression" dxfId="154" priority="10">
      <formula>"'= TRUE(顯示注音輸入)"</formula>
    </cfRule>
  </conditionalFormatting>
  <conditionalFormatting sqref="D83:R83">
    <cfRule type="expression" dxfId="153" priority="8">
      <formula>"'= TRUE(顯示注音輸入)"</formula>
    </cfRule>
    <cfRule type="expression" dxfId="152" priority="7">
      <formula>顯示注音輸入</formula>
    </cfRule>
  </conditionalFormatting>
  <conditionalFormatting sqref="D107:R107">
    <cfRule type="expression" dxfId="151" priority="5">
      <formula>顯示注音輸入</formula>
    </cfRule>
    <cfRule type="expression" dxfId="150" priority="6">
      <formula>"'= TRUE(顯示注音輸入)"</formula>
    </cfRule>
  </conditionalFormatting>
  <conditionalFormatting sqref="D167:R167 D171:R171 D175:R175 D179:R179 D183:R183 D187:R187 D191:R191 D195:R195 D199:R199">
    <cfRule type="expression" dxfId="149" priority="47">
      <formula>顯示注音輸入</formula>
    </cfRule>
    <cfRule type="expression" dxfId="148" priority="48">
      <formula>"'= TRUE(顯示注音輸入)"</formula>
    </cfRule>
  </conditionalFormatting>
  <conditionalFormatting sqref="D203:R203">
    <cfRule type="expression" dxfId="147" priority="45">
      <formula>顯示注音輸入</formula>
    </cfRule>
    <cfRule type="expression" dxfId="146" priority="46">
      <formula>"'= TRUE(顯示注音輸入)"</formula>
    </cfRule>
  </conditionalFormatting>
  <conditionalFormatting sqref="D207:R207 D211:R211 D215:R215 D219:R219 D223:R223 D227:R227 D231:R231 D235:R235 D239:R239">
    <cfRule type="expression" dxfId="145" priority="43">
      <formula>顯示注音輸入</formula>
    </cfRule>
    <cfRule type="expression" dxfId="144" priority="44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E86-A5C1-4222-BCA3-005E9B6E10C2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/>
      <c r="H3" s="81"/>
      <c r="I3" s="81" t="s">
        <v>468</v>
      </c>
      <c r="J3" s="81"/>
      <c r="K3" s="81"/>
      <c r="L3" s="81"/>
      <c r="M3" s="81"/>
      <c r="N3" s="81"/>
      <c r="O3" s="81"/>
      <c r="P3" s="81"/>
      <c r="Q3" s="81"/>
      <c r="R3" s="81"/>
      <c r="T3" s="90"/>
      <c r="V3" s="109" t="s">
        <v>205</v>
      </c>
    </row>
    <row r="4" spans="2:29" s="1" customFormat="1" ht="36" customHeight="1">
      <c r="B4" s="56"/>
      <c r="D4" s="82" t="s">
        <v>266</v>
      </c>
      <c r="E4" s="82" t="s">
        <v>471</v>
      </c>
      <c r="F4" s="82" t="s">
        <v>268</v>
      </c>
      <c r="G4" s="82" t="s">
        <v>469</v>
      </c>
      <c r="H4" s="82" t="s">
        <v>472</v>
      </c>
      <c r="I4" s="82" t="s">
        <v>270</v>
      </c>
      <c r="J4" s="82" t="s">
        <v>271</v>
      </c>
      <c r="K4" s="82" t="s">
        <v>272</v>
      </c>
      <c r="L4" s="82" t="s">
        <v>273</v>
      </c>
      <c r="M4" s="82" t="s">
        <v>274</v>
      </c>
      <c r="N4" s="82"/>
      <c r="O4" s="82"/>
      <c r="P4" s="82"/>
      <c r="Q4" s="82"/>
      <c r="R4" s="82"/>
      <c r="S4" s="91"/>
      <c r="V4" s="110"/>
    </row>
    <row r="5" spans="2:29" s="1" customFormat="1" ht="80.099999999999994" customHeight="1">
      <c r="B5" s="57">
        <v>1</v>
      </c>
      <c r="D5" s="97" t="s">
        <v>206</v>
      </c>
      <c r="E5" s="97" t="s">
        <v>188</v>
      </c>
      <c r="F5" s="100" t="s">
        <v>207</v>
      </c>
      <c r="G5" s="97" t="s">
        <v>208</v>
      </c>
      <c r="H5" s="100" t="s">
        <v>209</v>
      </c>
      <c r="I5" s="97" t="s">
        <v>203</v>
      </c>
      <c r="J5" s="97" t="s">
        <v>192</v>
      </c>
      <c r="K5" s="97" t="s">
        <v>210</v>
      </c>
      <c r="L5" s="97" t="s">
        <v>211</v>
      </c>
      <c r="M5" s="97" t="s">
        <v>204</v>
      </c>
      <c r="N5" s="100"/>
      <c r="O5" s="97"/>
      <c r="P5" s="97"/>
      <c r="Q5" s="97"/>
      <c r="R5" s="97"/>
      <c r="S5" s="92"/>
      <c r="V5" s="110"/>
    </row>
    <row r="6" spans="2:29" s="50" customFormat="1" ht="36" customHeight="1">
      <c r="B6" s="58"/>
      <c r="C6" s="85"/>
      <c r="D6" s="83" t="s">
        <v>482</v>
      </c>
      <c r="E6" s="83" t="s">
        <v>483</v>
      </c>
      <c r="F6" s="83" t="s">
        <v>484</v>
      </c>
      <c r="G6" s="83" t="s">
        <v>485</v>
      </c>
      <c r="H6" s="83" t="s">
        <v>486</v>
      </c>
      <c r="I6" s="83" t="s">
        <v>487</v>
      </c>
      <c r="J6" s="83" t="s">
        <v>488</v>
      </c>
      <c r="K6" s="83" t="s">
        <v>489</v>
      </c>
      <c r="L6" s="83" t="s">
        <v>490</v>
      </c>
      <c r="M6" s="83" t="s">
        <v>491</v>
      </c>
      <c r="N6" s="83"/>
      <c r="O6" s="83"/>
      <c r="P6" s="83"/>
      <c r="Q6" s="83"/>
      <c r="R6" s="83"/>
      <c r="S6" s="93"/>
      <c r="V6" s="110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10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10"/>
    </row>
    <row r="9" spans="2:29" s="1" customFormat="1" ht="80.099999999999994" customHeight="1">
      <c r="B9" s="57">
        <f>B5+1</f>
        <v>2</v>
      </c>
      <c r="D9" s="100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2"/>
      <c r="T9" s="90"/>
      <c r="V9" s="110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10"/>
      <c r="AA10" s="1" t="s">
        <v>182</v>
      </c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260</v>
      </c>
      <c r="M11" s="81"/>
      <c r="N11" s="81"/>
      <c r="O11" s="81"/>
      <c r="P11" s="81"/>
      <c r="Q11" s="81"/>
      <c r="R11" s="81"/>
      <c r="V11" s="110"/>
    </row>
    <row r="12" spans="2:29" s="1" customFormat="1" ht="36" customHeight="1">
      <c r="B12" s="56"/>
      <c r="D12" s="82" t="s">
        <v>275</v>
      </c>
      <c r="E12" s="82" t="s">
        <v>276</v>
      </c>
      <c r="F12" s="82" t="s">
        <v>277</v>
      </c>
      <c r="G12" s="82" t="s">
        <v>473</v>
      </c>
      <c r="H12" s="82" t="s">
        <v>278</v>
      </c>
      <c r="I12" s="82" t="s">
        <v>279</v>
      </c>
      <c r="J12" s="82"/>
      <c r="K12" s="82" t="s">
        <v>323</v>
      </c>
      <c r="L12" s="82" t="s">
        <v>260</v>
      </c>
      <c r="M12" s="82"/>
      <c r="N12" s="82" t="s">
        <v>280</v>
      </c>
      <c r="O12" s="82" t="s">
        <v>316</v>
      </c>
      <c r="P12" s="82"/>
      <c r="Q12" s="82" t="s">
        <v>281</v>
      </c>
      <c r="R12" s="82" t="s">
        <v>324</v>
      </c>
      <c r="S12" s="91"/>
      <c r="V12" s="110"/>
    </row>
    <row r="13" spans="2:29" s="1" customFormat="1" ht="80.099999999999994" customHeight="1">
      <c r="B13" s="57">
        <f>B9+1</f>
        <v>3</v>
      </c>
      <c r="D13" s="100" t="s">
        <v>212</v>
      </c>
      <c r="E13" s="97" t="s">
        <v>213</v>
      </c>
      <c r="F13" s="97" t="s">
        <v>214</v>
      </c>
      <c r="G13" s="100" t="s">
        <v>318</v>
      </c>
      <c r="H13" s="97" t="s">
        <v>215</v>
      </c>
      <c r="I13" s="97" t="s">
        <v>200</v>
      </c>
      <c r="J13" s="97" t="s">
        <v>216</v>
      </c>
      <c r="K13" s="97" t="s">
        <v>217</v>
      </c>
      <c r="L13" s="97" t="s">
        <v>218</v>
      </c>
      <c r="M13" s="97" t="s">
        <v>216</v>
      </c>
      <c r="N13" s="97" t="s">
        <v>201</v>
      </c>
      <c r="O13" s="100" t="s">
        <v>219</v>
      </c>
      <c r="P13" s="97" t="s">
        <v>216</v>
      </c>
      <c r="Q13" s="97" t="s">
        <v>220</v>
      </c>
      <c r="R13" s="97" t="s">
        <v>221</v>
      </c>
      <c r="S13" s="92"/>
      <c r="V13" s="110"/>
    </row>
    <row r="14" spans="2:29" s="1" customFormat="1" ht="36" customHeight="1">
      <c r="B14" s="58"/>
      <c r="D14" s="83" t="s">
        <v>492</v>
      </c>
      <c r="E14" s="83" t="s">
        <v>493</v>
      </c>
      <c r="F14" s="83" t="s">
        <v>494</v>
      </c>
      <c r="G14" s="83" t="s">
        <v>495</v>
      </c>
      <c r="H14" s="83" t="s">
        <v>496</v>
      </c>
      <c r="I14" s="83" t="s">
        <v>497</v>
      </c>
      <c r="J14" s="83"/>
      <c r="K14" s="83" t="s">
        <v>498</v>
      </c>
      <c r="L14" s="83" t="s">
        <v>499</v>
      </c>
      <c r="M14" s="83"/>
      <c r="N14" s="83" t="s">
        <v>500</v>
      </c>
      <c r="O14" s="83" t="s">
        <v>501</v>
      </c>
      <c r="P14" s="83"/>
      <c r="Q14" s="83" t="s">
        <v>502</v>
      </c>
      <c r="R14" s="83" t="s">
        <v>503</v>
      </c>
      <c r="S14" s="94"/>
      <c r="V14" s="110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10"/>
      <c r="AC15" s="67" t="s">
        <v>182</v>
      </c>
    </row>
    <row r="16" spans="2:29" s="1" customFormat="1" ht="36" customHeight="1">
      <c r="B16" s="56"/>
      <c r="D16" s="82" t="s">
        <v>333</v>
      </c>
      <c r="E16" s="82" t="s">
        <v>474</v>
      </c>
      <c r="F16" s="82" t="s">
        <v>325</v>
      </c>
      <c r="G16" s="82" t="s">
        <v>283</v>
      </c>
      <c r="H16" s="82" t="s">
        <v>472</v>
      </c>
      <c r="I16" s="82" t="s">
        <v>284</v>
      </c>
      <c r="J16" s="82" t="s">
        <v>285</v>
      </c>
      <c r="K16" s="82"/>
      <c r="L16" s="82" t="s">
        <v>326</v>
      </c>
      <c r="M16" s="82" t="s">
        <v>286</v>
      </c>
      <c r="N16" s="82" t="s">
        <v>287</v>
      </c>
      <c r="O16" s="82" t="s">
        <v>284</v>
      </c>
      <c r="P16" s="82" t="s">
        <v>472</v>
      </c>
      <c r="Q16" s="82" t="s">
        <v>284</v>
      </c>
      <c r="R16" s="82" t="s">
        <v>285</v>
      </c>
      <c r="S16" s="91"/>
      <c r="V16" s="110"/>
    </row>
    <row r="17" spans="2:22" s="1" customFormat="1" ht="80.099999999999994" customHeight="1">
      <c r="B17" s="57">
        <f>B13+1</f>
        <v>4</v>
      </c>
      <c r="D17" s="100" t="s">
        <v>320</v>
      </c>
      <c r="E17" s="97" t="s">
        <v>223</v>
      </c>
      <c r="F17" s="97" t="s">
        <v>224</v>
      </c>
      <c r="G17" s="97" t="s">
        <v>202</v>
      </c>
      <c r="H17" s="100" t="s">
        <v>209</v>
      </c>
      <c r="I17" s="97" t="s">
        <v>225</v>
      </c>
      <c r="J17" s="97" t="s">
        <v>226</v>
      </c>
      <c r="K17" s="97" t="s">
        <v>183</v>
      </c>
      <c r="L17" s="97" t="s">
        <v>197</v>
      </c>
      <c r="M17" s="97" t="s">
        <v>227</v>
      </c>
      <c r="N17" s="97" t="s">
        <v>185</v>
      </c>
      <c r="O17" s="97" t="s">
        <v>225</v>
      </c>
      <c r="P17" s="100" t="s">
        <v>209</v>
      </c>
      <c r="Q17" s="97" t="s">
        <v>225</v>
      </c>
      <c r="R17" s="97" t="s">
        <v>226</v>
      </c>
      <c r="S17" s="92"/>
      <c r="V17" s="110"/>
    </row>
    <row r="18" spans="2:22" s="1" customFormat="1" ht="36" customHeight="1">
      <c r="B18" s="58"/>
      <c r="D18" s="83" t="s">
        <v>504</v>
      </c>
      <c r="E18" s="83" t="s">
        <v>423</v>
      </c>
      <c r="F18" s="83" t="s">
        <v>505</v>
      </c>
      <c r="G18" s="83" t="s">
        <v>506</v>
      </c>
      <c r="H18" s="83" t="s">
        <v>486</v>
      </c>
      <c r="I18" s="83" t="s">
        <v>507</v>
      </c>
      <c r="J18" s="83" t="s">
        <v>508</v>
      </c>
      <c r="K18" s="83"/>
      <c r="L18" s="83" t="s">
        <v>509</v>
      </c>
      <c r="M18" s="83" t="s">
        <v>510</v>
      </c>
      <c r="N18" s="83" t="s">
        <v>511</v>
      </c>
      <c r="O18" s="83" t="s">
        <v>507</v>
      </c>
      <c r="P18" s="83" t="s">
        <v>486</v>
      </c>
      <c r="Q18" s="83" t="s">
        <v>507</v>
      </c>
      <c r="R18" s="83" t="s">
        <v>508</v>
      </c>
      <c r="S18" s="94"/>
      <c r="V18" s="110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 t="s">
        <v>467</v>
      </c>
      <c r="N19" s="81"/>
      <c r="O19" s="81"/>
      <c r="P19" s="81" t="s">
        <v>314</v>
      </c>
      <c r="Q19" s="81"/>
      <c r="R19" s="81"/>
      <c r="V19" s="110"/>
    </row>
    <row r="20" spans="2:22" s="1" customFormat="1" ht="36" customHeight="1">
      <c r="B20" s="56"/>
      <c r="D20" s="82"/>
      <c r="E20" s="82" t="s">
        <v>266</v>
      </c>
      <c r="F20" s="82" t="s">
        <v>475</v>
      </c>
      <c r="G20" s="82" t="s">
        <v>289</v>
      </c>
      <c r="H20" s="82" t="s">
        <v>472</v>
      </c>
      <c r="I20" s="82" t="s">
        <v>284</v>
      </c>
      <c r="J20" s="82" t="s">
        <v>285</v>
      </c>
      <c r="K20" s="82"/>
      <c r="L20" s="82" t="s">
        <v>290</v>
      </c>
      <c r="M20" s="82" t="s">
        <v>467</v>
      </c>
      <c r="N20" s="82" t="s">
        <v>291</v>
      </c>
      <c r="O20" s="82" t="s">
        <v>292</v>
      </c>
      <c r="P20" s="82" t="s">
        <v>314</v>
      </c>
      <c r="Q20" s="82" t="s">
        <v>293</v>
      </c>
      <c r="R20" s="82"/>
      <c r="S20" s="91"/>
      <c r="V20" s="110"/>
    </row>
    <row r="21" spans="2:22" s="1" customFormat="1" ht="80.099999999999994" customHeight="1">
      <c r="B21" s="57">
        <f>B17+1</f>
        <v>5</v>
      </c>
      <c r="D21" s="97" t="s">
        <v>183</v>
      </c>
      <c r="E21" s="97" t="s">
        <v>261</v>
      </c>
      <c r="F21" s="97" t="s">
        <v>228</v>
      </c>
      <c r="G21" s="97" t="s">
        <v>195</v>
      </c>
      <c r="H21" s="97" t="s">
        <v>209</v>
      </c>
      <c r="I21" s="97" t="s">
        <v>225</v>
      </c>
      <c r="J21" s="97" t="s">
        <v>226</v>
      </c>
      <c r="K21" s="97" t="s">
        <v>183</v>
      </c>
      <c r="L21" s="97" t="s">
        <v>229</v>
      </c>
      <c r="M21" s="101" t="s">
        <v>320</v>
      </c>
      <c r="N21" s="97" t="s">
        <v>230</v>
      </c>
      <c r="O21" s="97" t="s">
        <v>231</v>
      </c>
      <c r="P21" s="97" t="s">
        <v>196</v>
      </c>
      <c r="Q21" s="97" t="s">
        <v>232</v>
      </c>
      <c r="R21" s="97" t="s">
        <v>216</v>
      </c>
      <c r="S21" s="92"/>
      <c r="V21" s="110"/>
    </row>
    <row r="22" spans="2:22" s="1" customFormat="1" ht="36" customHeight="1">
      <c r="B22" s="58"/>
      <c r="D22" s="83"/>
      <c r="E22" s="83" t="s">
        <v>482</v>
      </c>
      <c r="F22" s="83" t="s">
        <v>512</v>
      </c>
      <c r="G22" s="83" t="s">
        <v>513</v>
      </c>
      <c r="H22" s="83" t="s">
        <v>486</v>
      </c>
      <c r="I22" s="83" t="s">
        <v>507</v>
      </c>
      <c r="J22" s="83" t="s">
        <v>508</v>
      </c>
      <c r="K22" s="83"/>
      <c r="L22" s="83" t="s">
        <v>433</v>
      </c>
      <c r="M22" s="83" t="s">
        <v>514</v>
      </c>
      <c r="N22" s="83" t="s">
        <v>515</v>
      </c>
      <c r="O22" s="83" t="s">
        <v>435</v>
      </c>
      <c r="P22" s="83" t="s">
        <v>436</v>
      </c>
      <c r="Q22" s="83" t="s">
        <v>516</v>
      </c>
      <c r="R22" s="83"/>
      <c r="S22" s="94"/>
      <c r="V22" s="111"/>
    </row>
    <row r="23" spans="2:22" s="67" customFormat="1" ht="60" customHeight="1">
      <c r="B23" s="63"/>
      <c r="C23" s="88"/>
      <c r="D23" s="81" t="s">
        <v>314</v>
      </c>
      <c r="E23" s="81"/>
      <c r="F23" s="81"/>
      <c r="G23" s="81" t="s">
        <v>315</v>
      </c>
      <c r="H23" s="81"/>
      <c r="I23" s="81"/>
      <c r="J23" s="81"/>
      <c r="K23" s="81"/>
      <c r="L23" s="81"/>
      <c r="M23" s="81" t="s">
        <v>262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314</v>
      </c>
      <c r="E24" s="82" t="s">
        <v>293</v>
      </c>
      <c r="F24" s="82" t="s">
        <v>327</v>
      </c>
      <c r="G24" s="82" t="s">
        <v>315</v>
      </c>
      <c r="H24" s="82" t="s">
        <v>333</v>
      </c>
      <c r="I24" s="82" t="s">
        <v>275</v>
      </c>
      <c r="J24" s="82" t="s">
        <v>283</v>
      </c>
      <c r="K24" s="82" t="s">
        <v>294</v>
      </c>
      <c r="L24" s="82" t="s">
        <v>472</v>
      </c>
      <c r="M24" s="82" t="s">
        <v>262</v>
      </c>
      <c r="N24" s="82" t="s">
        <v>295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7" t="s">
        <v>196</v>
      </c>
      <c r="E25" s="97" t="s">
        <v>232</v>
      </c>
      <c r="F25" s="97" t="s">
        <v>199</v>
      </c>
      <c r="G25" s="97" t="s">
        <v>233</v>
      </c>
      <c r="H25" s="97" t="s">
        <v>320</v>
      </c>
      <c r="I25" s="100" t="s">
        <v>212</v>
      </c>
      <c r="J25" s="97" t="s">
        <v>234</v>
      </c>
      <c r="K25" s="97" t="s">
        <v>235</v>
      </c>
      <c r="L25" s="100" t="s">
        <v>209</v>
      </c>
      <c r="M25" s="100" t="s">
        <v>236</v>
      </c>
      <c r="N25" s="97" t="s">
        <v>237</v>
      </c>
      <c r="O25" s="97" t="s">
        <v>186</v>
      </c>
      <c r="P25" s="97"/>
      <c r="Q25" s="97"/>
      <c r="R25" s="97"/>
      <c r="S25" s="92"/>
      <c r="V25" s="60"/>
    </row>
    <row r="26" spans="2:22" s="1" customFormat="1" ht="36" customHeight="1">
      <c r="B26" s="58"/>
      <c r="D26" s="83" t="s">
        <v>436</v>
      </c>
      <c r="E26" s="83" t="s">
        <v>516</v>
      </c>
      <c r="F26" s="83" t="s">
        <v>517</v>
      </c>
      <c r="G26" s="83" t="s">
        <v>518</v>
      </c>
      <c r="H26" s="83" t="s">
        <v>504</v>
      </c>
      <c r="I26" s="83" t="s">
        <v>492</v>
      </c>
      <c r="J26" s="83" t="s">
        <v>506</v>
      </c>
      <c r="K26" s="83" t="s">
        <v>519</v>
      </c>
      <c r="L26" s="83" t="s">
        <v>486</v>
      </c>
      <c r="M26" s="83" t="s">
        <v>520</v>
      </c>
      <c r="N26" s="83" t="s">
        <v>521</v>
      </c>
      <c r="O26" s="83"/>
      <c r="P26" s="83"/>
      <c r="Q26" s="83"/>
      <c r="R26" s="83"/>
      <c r="S26" s="94"/>
      <c r="U26" s="1" t="str">
        <f xml:space="preserve"> MID($N$26,3,1)</f>
        <v>u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>a</v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>a</v>
      </c>
      <c r="V28" s="60"/>
    </row>
    <row r="29" spans="2:22" s="1" customFormat="1" ht="80.099999999999994" customHeight="1">
      <c r="B29" s="57">
        <f>B25+1</f>
        <v>7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2"/>
      <c r="U29" s="67" t="str">
        <f t="shared" si="0"/>
        <v>a</v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>a</v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260</v>
      </c>
      <c r="L31" s="81"/>
      <c r="M31" s="81"/>
      <c r="N31" s="81"/>
      <c r="O31" s="81" t="s">
        <v>263</v>
      </c>
      <c r="P31" s="81"/>
      <c r="Q31" s="81"/>
      <c r="R31" s="81"/>
      <c r="U31" s="67" t="str">
        <f t="shared" si="0"/>
        <v>a</v>
      </c>
      <c r="V31" s="68"/>
    </row>
    <row r="32" spans="2:22" s="1" customFormat="1" ht="36" customHeight="1">
      <c r="B32" s="56"/>
      <c r="D32" s="82" t="s">
        <v>275</v>
      </c>
      <c r="E32" s="82" t="s">
        <v>280</v>
      </c>
      <c r="F32" s="82" t="s">
        <v>316</v>
      </c>
      <c r="G32" s="82"/>
      <c r="H32" s="82" t="s">
        <v>474</v>
      </c>
      <c r="I32" s="82" t="s">
        <v>333</v>
      </c>
      <c r="J32" s="82" t="s">
        <v>323</v>
      </c>
      <c r="K32" s="82" t="s">
        <v>260</v>
      </c>
      <c r="L32" s="82" t="s">
        <v>284</v>
      </c>
      <c r="M32" s="82" t="s">
        <v>285</v>
      </c>
      <c r="N32" s="82" t="s">
        <v>476</v>
      </c>
      <c r="O32" s="82" t="s">
        <v>263</v>
      </c>
      <c r="P32" s="82" t="s">
        <v>472</v>
      </c>
      <c r="Q32" s="82" t="s">
        <v>297</v>
      </c>
      <c r="R32" s="82" t="s">
        <v>298</v>
      </c>
      <c r="S32" s="91"/>
      <c r="U32" s="67" t="str">
        <f t="shared" si="0"/>
        <v>a</v>
      </c>
      <c r="V32" s="60"/>
    </row>
    <row r="33" spans="2:22" s="1" customFormat="1" ht="80.099999999999994" customHeight="1">
      <c r="B33" s="57">
        <f>B29+1</f>
        <v>8</v>
      </c>
      <c r="D33" s="97" t="s">
        <v>212</v>
      </c>
      <c r="E33" s="97" t="s">
        <v>201</v>
      </c>
      <c r="F33" s="100" t="s">
        <v>219</v>
      </c>
      <c r="G33" s="97" t="s">
        <v>216</v>
      </c>
      <c r="H33" s="97" t="s">
        <v>223</v>
      </c>
      <c r="I33" s="100" t="s">
        <v>320</v>
      </c>
      <c r="J33" s="97" t="s">
        <v>217</v>
      </c>
      <c r="K33" s="97" t="s">
        <v>218</v>
      </c>
      <c r="L33" s="97" t="s">
        <v>225</v>
      </c>
      <c r="M33" s="97" t="s">
        <v>226</v>
      </c>
      <c r="N33" s="97" t="s">
        <v>238</v>
      </c>
      <c r="O33" s="97" t="s">
        <v>187</v>
      </c>
      <c r="P33" s="100" t="s">
        <v>209</v>
      </c>
      <c r="Q33" s="100" t="s">
        <v>239</v>
      </c>
      <c r="R33" s="100" t="s">
        <v>240</v>
      </c>
      <c r="S33" s="92"/>
      <c r="V33" s="60"/>
    </row>
    <row r="34" spans="2:22" s="1" customFormat="1" ht="36" customHeight="1">
      <c r="B34" s="58"/>
      <c r="D34" s="83" t="s">
        <v>492</v>
      </c>
      <c r="E34" s="83" t="s">
        <v>500</v>
      </c>
      <c r="F34" s="83" t="s">
        <v>501</v>
      </c>
      <c r="G34" s="83"/>
      <c r="H34" s="83" t="s">
        <v>423</v>
      </c>
      <c r="I34" s="83" t="s">
        <v>504</v>
      </c>
      <c r="J34" s="83" t="s">
        <v>498</v>
      </c>
      <c r="K34" s="83" t="s">
        <v>499</v>
      </c>
      <c r="L34" s="83" t="s">
        <v>507</v>
      </c>
      <c r="M34" s="83" t="s">
        <v>508</v>
      </c>
      <c r="N34" s="83" t="s">
        <v>522</v>
      </c>
      <c r="O34" s="83" t="s">
        <v>523</v>
      </c>
      <c r="P34" s="83" t="s">
        <v>486</v>
      </c>
      <c r="Q34" s="83" t="s">
        <v>524</v>
      </c>
      <c r="R34" s="83" t="s">
        <v>525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264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477</v>
      </c>
      <c r="F36" s="82" t="s">
        <v>300</v>
      </c>
      <c r="G36" s="82" t="s">
        <v>328</v>
      </c>
      <c r="H36" s="82" t="s">
        <v>301</v>
      </c>
      <c r="I36" s="82" t="s">
        <v>302</v>
      </c>
      <c r="J36" s="82" t="s">
        <v>264</v>
      </c>
      <c r="K36" s="82"/>
      <c r="L36" s="82" t="s">
        <v>290</v>
      </c>
      <c r="M36" s="82" t="s">
        <v>330</v>
      </c>
      <c r="N36" s="82" t="s">
        <v>275</v>
      </c>
      <c r="O36" s="82" t="s">
        <v>303</v>
      </c>
      <c r="P36" s="82" t="s">
        <v>317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7" t="s">
        <v>183</v>
      </c>
      <c r="E37" s="97" t="s">
        <v>241</v>
      </c>
      <c r="F37" s="97" t="s">
        <v>191</v>
      </c>
      <c r="G37" s="97" t="s">
        <v>198</v>
      </c>
      <c r="H37" s="97" t="s">
        <v>189</v>
      </c>
      <c r="I37" s="100" t="s">
        <v>265</v>
      </c>
      <c r="J37" s="100" t="s">
        <v>242</v>
      </c>
      <c r="K37" s="97" t="s">
        <v>183</v>
      </c>
      <c r="L37" s="97" t="s">
        <v>229</v>
      </c>
      <c r="M37" s="102" t="s">
        <v>319</v>
      </c>
      <c r="N37" s="100" t="s">
        <v>212</v>
      </c>
      <c r="O37" s="97" t="s">
        <v>243</v>
      </c>
      <c r="P37" s="100" t="s">
        <v>244</v>
      </c>
      <c r="Q37" s="97" t="s">
        <v>186</v>
      </c>
      <c r="R37" s="97"/>
      <c r="S37" s="92"/>
      <c r="V37" s="60"/>
    </row>
    <row r="38" spans="2:22" s="1" customFormat="1" ht="36" customHeight="1">
      <c r="B38" s="58"/>
      <c r="D38" s="83"/>
      <c r="E38" s="83" t="s">
        <v>526</v>
      </c>
      <c r="F38" s="83" t="s">
        <v>527</v>
      </c>
      <c r="G38" s="83" t="s">
        <v>528</v>
      </c>
      <c r="H38" s="83" t="s">
        <v>529</v>
      </c>
      <c r="I38" s="83" t="s">
        <v>530</v>
      </c>
      <c r="J38" s="83" t="s">
        <v>531</v>
      </c>
      <c r="K38" s="83"/>
      <c r="L38" s="83" t="s">
        <v>433</v>
      </c>
      <c r="M38" s="83" t="s">
        <v>532</v>
      </c>
      <c r="N38" s="83" t="s">
        <v>492</v>
      </c>
      <c r="O38" s="83" t="s">
        <v>533</v>
      </c>
      <c r="P38" s="83" t="s">
        <v>534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256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275</v>
      </c>
      <c r="E44" s="82" t="s">
        <v>329</v>
      </c>
      <c r="F44" s="82" t="s">
        <v>291</v>
      </c>
      <c r="G44" s="82" t="s">
        <v>304</v>
      </c>
      <c r="H44" s="82" t="s">
        <v>471</v>
      </c>
      <c r="I44" s="82" t="s">
        <v>305</v>
      </c>
      <c r="J44" s="82" t="s">
        <v>470</v>
      </c>
      <c r="K44" s="82" t="s">
        <v>257</v>
      </c>
      <c r="L44" s="82" t="s">
        <v>305</v>
      </c>
      <c r="M44" s="82" t="s">
        <v>307</v>
      </c>
      <c r="N44" s="82" t="s">
        <v>472</v>
      </c>
      <c r="O44" s="82" t="s">
        <v>308</v>
      </c>
      <c r="P44" s="82" t="s">
        <v>309</v>
      </c>
      <c r="Q44" s="82"/>
      <c r="R44" s="82" t="s">
        <v>275</v>
      </c>
      <c r="S44" s="91"/>
      <c r="V44" s="60"/>
    </row>
    <row r="45" spans="2:22" s="1" customFormat="1" ht="80.099999999999994" customHeight="1">
      <c r="B45" s="57">
        <f>B41+1</f>
        <v>11</v>
      </c>
      <c r="D45" s="100" t="s">
        <v>212</v>
      </c>
      <c r="E45" s="97" t="s">
        <v>245</v>
      </c>
      <c r="F45" s="97" t="s">
        <v>246</v>
      </c>
      <c r="G45" s="97" t="s">
        <v>190</v>
      </c>
      <c r="H45" s="97" t="s">
        <v>188</v>
      </c>
      <c r="I45" s="100" t="s">
        <v>247</v>
      </c>
      <c r="J45" s="100" t="s">
        <v>184</v>
      </c>
      <c r="K45" s="97" t="s">
        <v>258</v>
      </c>
      <c r="L45" s="100" t="s">
        <v>247</v>
      </c>
      <c r="M45" s="97" t="s">
        <v>248</v>
      </c>
      <c r="N45" s="100" t="s">
        <v>209</v>
      </c>
      <c r="O45" s="97" t="s">
        <v>249</v>
      </c>
      <c r="P45" s="97" t="s">
        <v>250</v>
      </c>
      <c r="Q45" s="97" t="s">
        <v>183</v>
      </c>
      <c r="R45" s="100" t="s">
        <v>212</v>
      </c>
      <c r="S45" s="92"/>
      <c r="V45" s="60"/>
    </row>
    <row r="46" spans="2:22" s="1" customFormat="1" ht="36" customHeight="1">
      <c r="B46" s="58"/>
      <c r="D46" s="83" t="s">
        <v>492</v>
      </c>
      <c r="E46" s="83" t="s">
        <v>535</v>
      </c>
      <c r="F46" s="83" t="s">
        <v>515</v>
      </c>
      <c r="G46" s="83" t="s">
        <v>536</v>
      </c>
      <c r="H46" s="83" t="s">
        <v>483</v>
      </c>
      <c r="I46" s="83" t="s">
        <v>459</v>
      </c>
      <c r="J46" s="83" t="s">
        <v>537</v>
      </c>
      <c r="K46" s="83" t="s">
        <v>538</v>
      </c>
      <c r="L46" s="83" t="s">
        <v>459</v>
      </c>
      <c r="M46" s="83" t="s">
        <v>539</v>
      </c>
      <c r="N46" s="83" t="s">
        <v>486</v>
      </c>
      <c r="O46" s="83" t="s">
        <v>540</v>
      </c>
      <c r="P46" s="83" t="s">
        <v>462</v>
      </c>
      <c r="Q46" s="83"/>
      <c r="R46" s="83" t="s">
        <v>492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260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280</v>
      </c>
      <c r="E48" s="82" t="s">
        <v>316</v>
      </c>
      <c r="F48" s="82"/>
      <c r="G48" s="82" t="s">
        <v>474</v>
      </c>
      <c r="H48" s="82" t="s">
        <v>257</v>
      </c>
      <c r="I48" s="82" t="s">
        <v>323</v>
      </c>
      <c r="J48" s="82" t="s">
        <v>260</v>
      </c>
      <c r="K48" s="82" t="s">
        <v>477</v>
      </c>
      <c r="L48" s="82"/>
      <c r="M48" s="82" t="s">
        <v>477</v>
      </c>
      <c r="N48" s="82" t="s">
        <v>300</v>
      </c>
      <c r="O48" s="82" t="s">
        <v>284</v>
      </c>
      <c r="P48" s="82" t="s">
        <v>285</v>
      </c>
      <c r="Q48" s="82" t="s">
        <v>472</v>
      </c>
      <c r="R48" s="82" t="s">
        <v>310</v>
      </c>
      <c r="S48" s="91"/>
      <c r="V48" s="60"/>
    </row>
    <row r="49" spans="2:22" s="1" customFormat="1" ht="80.099999999999994" customHeight="1">
      <c r="B49" s="57">
        <f>B45+1</f>
        <v>12</v>
      </c>
      <c r="D49" s="97" t="s">
        <v>201</v>
      </c>
      <c r="E49" s="100" t="s">
        <v>219</v>
      </c>
      <c r="F49" s="97" t="s">
        <v>216</v>
      </c>
      <c r="G49" s="97" t="s">
        <v>223</v>
      </c>
      <c r="H49" s="97" t="s">
        <v>222</v>
      </c>
      <c r="I49" s="97" t="s">
        <v>217</v>
      </c>
      <c r="J49" s="97" t="s">
        <v>218</v>
      </c>
      <c r="K49" s="100" t="s">
        <v>241</v>
      </c>
      <c r="L49" s="97" t="s">
        <v>183</v>
      </c>
      <c r="M49" s="97" t="s">
        <v>241</v>
      </c>
      <c r="N49" s="97" t="s">
        <v>191</v>
      </c>
      <c r="O49" s="97" t="s">
        <v>225</v>
      </c>
      <c r="P49" s="97" t="s">
        <v>226</v>
      </c>
      <c r="Q49" s="100" t="s">
        <v>209</v>
      </c>
      <c r="R49" s="97" t="s">
        <v>251</v>
      </c>
      <c r="S49" s="92"/>
      <c r="V49" s="60"/>
    </row>
    <row r="50" spans="2:22" s="1" customFormat="1" ht="36" customHeight="1">
      <c r="B50" s="58"/>
      <c r="D50" s="83" t="s">
        <v>500</v>
      </c>
      <c r="E50" s="83" t="s">
        <v>501</v>
      </c>
      <c r="F50" s="83"/>
      <c r="G50" s="83" t="s">
        <v>423</v>
      </c>
      <c r="H50" s="83" t="s">
        <v>538</v>
      </c>
      <c r="I50" s="83" t="s">
        <v>498</v>
      </c>
      <c r="J50" s="83" t="s">
        <v>499</v>
      </c>
      <c r="K50" s="83" t="s">
        <v>526</v>
      </c>
      <c r="L50" s="83"/>
      <c r="M50" s="83" t="s">
        <v>526</v>
      </c>
      <c r="N50" s="83" t="s">
        <v>527</v>
      </c>
      <c r="O50" s="83" t="s">
        <v>507</v>
      </c>
      <c r="P50" s="83" t="s">
        <v>508</v>
      </c>
      <c r="Q50" s="83" t="s">
        <v>486</v>
      </c>
      <c r="R50" s="83" t="s">
        <v>541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311</v>
      </c>
      <c r="E52" s="82"/>
      <c r="F52" s="82" t="s">
        <v>290</v>
      </c>
      <c r="G52" s="82" t="s">
        <v>330</v>
      </c>
      <c r="H52" s="82" t="s">
        <v>275</v>
      </c>
      <c r="I52" s="82" t="s">
        <v>283</v>
      </c>
      <c r="J52" s="82" t="s">
        <v>305</v>
      </c>
      <c r="K52" s="82" t="s">
        <v>472</v>
      </c>
      <c r="L52" s="82" t="s">
        <v>312</v>
      </c>
      <c r="M52" s="82" t="s">
        <v>313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7" t="s">
        <v>252</v>
      </c>
      <c r="E53" s="97" t="s">
        <v>183</v>
      </c>
      <c r="F53" s="97" t="s">
        <v>229</v>
      </c>
      <c r="G53" s="102" t="s">
        <v>319</v>
      </c>
      <c r="H53" s="100" t="s">
        <v>212</v>
      </c>
      <c r="I53" s="97" t="s">
        <v>234</v>
      </c>
      <c r="J53" s="97" t="s">
        <v>253</v>
      </c>
      <c r="K53" s="100" t="s">
        <v>209</v>
      </c>
      <c r="L53" s="97" t="s">
        <v>254</v>
      </c>
      <c r="M53" s="97" t="s">
        <v>255</v>
      </c>
      <c r="N53" s="97" t="s">
        <v>186</v>
      </c>
      <c r="O53" s="97"/>
      <c r="P53" s="97"/>
      <c r="Q53" s="97"/>
      <c r="R53" s="97"/>
      <c r="S53" s="92"/>
      <c r="V53" s="60"/>
    </row>
    <row r="54" spans="2:22" s="1" customFormat="1" ht="36" customHeight="1">
      <c r="B54" s="58"/>
      <c r="D54" s="83" t="s">
        <v>542</v>
      </c>
      <c r="E54" s="83"/>
      <c r="F54" s="83" t="s">
        <v>433</v>
      </c>
      <c r="G54" s="83" t="s">
        <v>532</v>
      </c>
      <c r="H54" s="83" t="s">
        <v>492</v>
      </c>
      <c r="I54" s="83" t="s">
        <v>506</v>
      </c>
      <c r="J54" s="83" t="s">
        <v>459</v>
      </c>
      <c r="K54" s="83" t="s">
        <v>486</v>
      </c>
      <c r="L54" s="83" t="s">
        <v>543</v>
      </c>
      <c r="M54" s="83" t="s">
        <v>544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7"/>
      <c r="E57" s="97"/>
      <c r="F57" s="97"/>
      <c r="G57" s="98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7"/>
      <c r="E61" s="97"/>
      <c r="F61" s="97"/>
      <c r="G61" s="98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7"/>
      <c r="E65" s="97"/>
      <c r="F65" s="97"/>
      <c r="G65" s="98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7"/>
      <c r="E69" s="97"/>
      <c r="F69" s="97"/>
      <c r="G69" s="98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7"/>
      <c r="E77" s="97"/>
      <c r="F77" s="97"/>
      <c r="G77" s="98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7"/>
      <c r="E85" s="97"/>
      <c r="F85" s="97"/>
      <c r="G85" s="98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7"/>
      <c r="E97" s="97"/>
      <c r="F97" s="97"/>
      <c r="G97" s="98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7"/>
      <c r="E105" s="97"/>
      <c r="F105" s="97"/>
      <c r="G105" s="98"/>
      <c r="H105" s="97"/>
      <c r="I105" s="97"/>
      <c r="J105" s="97"/>
      <c r="K105" s="97"/>
      <c r="L105" s="97"/>
      <c r="M105" s="97"/>
      <c r="N105" s="97"/>
      <c r="O105" s="99"/>
      <c r="P105" s="97"/>
      <c r="Q105" s="97"/>
      <c r="R105" s="97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9"/>
      <c r="P113" s="97"/>
      <c r="Q113" s="97"/>
      <c r="R113" s="97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7"/>
      <c r="E117" s="97"/>
      <c r="F117" s="98"/>
      <c r="G117" s="98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7"/>
      <c r="E121" s="97"/>
      <c r="F121" s="97"/>
      <c r="G121" s="98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7"/>
      <c r="E125" s="97"/>
      <c r="F125" s="97"/>
      <c r="G125" s="98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7"/>
      <c r="E133" s="97"/>
      <c r="F133" s="97"/>
      <c r="G133" s="98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7"/>
      <c r="E141" s="97"/>
      <c r="F141" s="97"/>
      <c r="G141" s="98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7"/>
      <c r="E145" s="97"/>
      <c r="F145" s="97"/>
      <c r="G145" s="98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7"/>
      <c r="E173" s="97"/>
      <c r="F173" s="97"/>
      <c r="G173" s="98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7"/>
      <c r="E181" s="97"/>
      <c r="F181" s="97"/>
      <c r="G181" s="98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7"/>
      <c r="E193" s="97"/>
      <c r="F193" s="97"/>
      <c r="G193" s="98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7"/>
      <c r="E197" s="97"/>
      <c r="F197" s="97"/>
      <c r="G197" s="98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7"/>
      <c r="E201" s="97"/>
      <c r="F201" s="97"/>
      <c r="G201" s="98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7"/>
      <c r="E205" s="97"/>
      <c r="F205" s="97"/>
      <c r="G205" s="98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7"/>
      <c r="E209" s="97"/>
      <c r="F209" s="97"/>
      <c r="G209" s="98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7"/>
      <c r="E213" s="97"/>
      <c r="F213" s="97"/>
      <c r="G213" s="98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7"/>
      <c r="E217" s="97"/>
      <c r="F217" s="97"/>
      <c r="G217" s="98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7"/>
      <c r="E221" s="97"/>
      <c r="F221" s="97"/>
      <c r="G221" s="98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7"/>
      <c r="E225" s="97"/>
      <c r="F225" s="97"/>
      <c r="G225" s="98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7"/>
      <c r="E229" s="97"/>
      <c r="F229" s="97"/>
      <c r="G229" s="98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7"/>
      <c r="E233" s="97"/>
      <c r="F233" s="97"/>
      <c r="G233" s="98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7"/>
      <c r="E237" s="97"/>
      <c r="F237" s="97"/>
      <c r="G237" s="98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7"/>
      <c r="E241" s="97"/>
      <c r="F241" s="97"/>
      <c r="G241" s="98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143" priority="1">
      <formula>顯示注音輸入</formula>
    </cfRule>
    <cfRule type="expression" dxfId="142" priority="2">
      <formula>"'= TRUE(顯示注音輸入)"</formula>
    </cfRule>
  </conditionalFormatting>
  <conditionalFormatting sqref="D7:R7">
    <cfRule type="expression" dxfId="141" priority="3">
      <formula>顯示注音輸入</formula>
    </cfRule>
    <cfRule type="expression" dxfId="140" priority="4">
      <formula>"'= TRUE(顯示注音輸入)"</formula>
    </cfRule>
  </conditionalFormatting>
  <conditionalFormatting sqref="D11:R11">
    <cfRule type="expression" dxfId="139" priority="40">
      <formula>"'= TRUE(顯示注音輸入)"</formula>
    </cfRule>
    <cfRule type="expression" dxfId="138" priority="39">
      <formula>顯示注音輸入</formula>
    </cfRule>
  </conditionalFormatting>
  <conditionalFormatting sqref="D15:R15">
    <cfRule type="expression" dxfId="137" priority="38">
      <formula>"'= TRUE(顯示注音輸入)"</formula>
    </cfRule>
    <cfRule type="expression" dxfId="136" priority="37">
      <formula>顯示注音輸入</formula>
    </cfRule>
  </conditionalFormatting>
  <conditionalFormatting sqref="D19:R19">
    <cfRule type="expression" dxfId="135" priority="36">
      <formula>"'= TRUE(顯示注音輸入)"</formula>
    </cfRule>
    <cfRule type="expression" dxfId="134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33" priority="48">
      <formula>"'= TRUE(顯示注音輸入)"</formula>
    </cfRule>
    <cfRule type="expression" dxfId="132" priority="47">
      <formula>顯示注音輸入</formula>
    </cfRule>
  </conditionalFormatting>
  <conditionalFormatting sqref="D27:R27">
    <cfRule type="expression" dxfId="131" priority="34">
      <formula>"'= TRUE(顯示注音輸入)"</formula>
    </cfRule>
    <cfRule type="expression" dxfId="130" priority="33">
      <formula>顯示注音輸入</formula>
    </cfRule>
  </conditionalFormatting>
  <conditionalFormatting sqref="D31:R31">
    <cfRule type="expression" dxfId="129" priority="31">
      <formula>顯示注音輸入</formula>
    </cfRule>
    <cfRule type="expression" dxfId="128" priority="32">
      <formula>"'= TRUE(顯示注音輸入)"</formula>
    </cfRule>
  </conditionalFormatting>
  <conditionalFormatting sqref="D35:R35">
    <cfRule type="expression" dxfId="127" priority="30">
      <formula>"'= TRUE(顯示注音輸入)"</formula>
    </cfRule>
    <cfRule type="expression" dxfId="126" priority="29">
      <formula>顯示注音輸入</formula>
    </cfRule>
  </conditionalFormatting>
  <conditionalFormatting sqref="D43:R43">
    <cfRule type="expression" dxfId="125" priority="28">
      <formula>"'= TRUE(顯示注音輸入)"</formula>
    </cfRule>
    <cfRule type="expression" dxfId="124" priority="27">
      <formula>顯示注音輸入</formula>
    </cfRule>
  </conditionalFormatting>
  <conditionalFormatting sqref="D47:R47">
    <cfRule type="expression" dxfId="123" priority="25">
      <formula>顯示注音輸入</formula>
    </cfRule>
    <cfRule type="expression" dxfId="122" priority="26">
      <formula>"'= TRUE(顯示注音輸入)"</formula>
    </cfRule>
  </conditionalFormatting>
  <conditionalFormatting sqref="D51:R51">
    <cfRule type="expression" dxfId="121" priority="24">
      <formula>"'= TRUE(顯示注音輸入)"</formula>
    </cfRule>
    <cfRule type="expression" dxfId="120" priority="23">
      <formula>顯示注音輸入</formula>
    </cfRule>
  </conditionalFormatting>
  <conditionalFormatting sqref="D55:R55">
    <cfRule type="expression" dxfId="119" priority="22">
      <formula>"'= TRUE(顯示注音輸入)"</formula>
    </cfRule>
    <cfRule type="expression" dxfId="118" priority="21">
      <formula>顯示注音輸入</formula>
    </cfRule>
  </conditionalFormatting>
  <conditionalFormatting sqref="D59:R59">
    <cfRule type="expression" dxfId="117" priority="19">
      <formula>顯示注音輸入</formula>
    </cfRule>
    <cfRule type="expression" dxfId="116" priority="20">
      <formula>"'= TRUE(顯示注音輸入)"</formula>
    </cfRule>
  </conditionalFormatting>
  <conditionalFormatting sqref="D63:R63">
    <cfRule type="expression" dxfId="115" priority="18">
      <formula>"'= TRUE(顯示注音輸入)"</formula>
    </cfRule>
    <cfRule type="expression" dxfId="114" priority="17">
      <formula>顯示注音輸入</formula>
    </cfRule>
  </conditionalFormatting>
  <conditionalFormatting sqref="D67:R67">
    <cfRule type="expression" dxfId="113" priority="16">
      <formula>"'= TRUE(顯示注音輸入)"</formula>
    </cfRule>
    <cfRule type="expression" dxfId="112" priority="15">
      <formula>顯示注音輸入</formula>
    </cfRule>
  </conditionalFormatting>
  <conditionalFormatting sqref="D71:R71">
    <cfRule type="expression" dxfId="111" priority="14">
      <formula>"'= TRUE(顯示注音輸入)"</formula>
    </cfRule>
    <cfRule type="expression" dxfId="110" priority="13">
      <formula>顯示注音輸入</formula>
    </cfRule>
  </conditionalFormatting>
  <conditionalFormatting sqref="D75:R75">
    <cfRule type="expression" dxfId="109" priority="12">
      <formula>"'= TRUE(顯示注音輸入)"</formula>
    </cfRule>
    <cfRule type="expression" dxfId="108" priority="11">
      <formula>顯示注音輸入</formula>
    </cfRule>
  </conditionalFormatting>
  <conditionalFormatting sqref="D79:R79">
    <cfRule type="expression" dxfId="107" priority="9">
      <formula>顯示注音輸入</formula>
    </cfRule>
    <cfRule type="expression" dxfId="106" priority="10">
      <formula>"'= TRUE(顯示注音輸入)"</formula>
    </cfRule>
  </conditionalFormatting>
  <conditionalFormatting sqref="D83:R83">
    <cfRule type="expression" dxfId="105" priority="8">
      <formula>"'= TRUE(顯示注音輸入)"</formula>
    </cfRule>
    <cfRule type="expression" dxfId="104" priority="7">
      <formula>顯示注音輸入</formula>
    </cfRule>
  </conditionalFormatting>
  <conditionalFormatting sqref="D107:R107">
    <cfRule type="expression" dxfId="103" priority="5">
      <formula>顯示注音輸入</formula>
    </cfRule>
    <cfRule type="expression" dxfId="102" priority="6">
      <formula>"'= TRUE(顯示注音輸入)"</formula>
    </cfRule>
  </conditionalFormatting>
  <conditionalFormatting sqref="D167:R167 D171:R171 D175:R175 D179:R179 D183:R183 D187:R187 D191:R191 D195:R195 D199:R199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203:R203">
    <cfRule type="expression" dxfId="99" priority="43">
      <formula>顯示注音輸入</formula>
    </cfRule>
    <cfRule type="expression" dxfId="98" priority="44">
      <formula>"'= TRUE(顯示注音輸入)"</formula>
    </cfRule>
  </conditionalFormatting>
  <conditionalFormatting sqref="D207:R207 D211:R211 D215:R215 D219:R219 D223:R223 D227:R227 D231:R231 D235:R235 D239:R239">
    <cfRule type="expression" dxfId="97" priority="41">
      <formula>顯示注音輸入</formula>
    </cfRule>
    <cfRule type="expression" dxfId="96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58CB-2FC9-452E-BF1F-EE89F77A8897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/>
      <c r="H3" s="81"/>
      <c r="I3" s="81" t="s">
        <v>468</v>
      </c>
      <c r="J3" s="81"/>
      <c r="K3" s="81"/>
      <c r="L3" s="81"/>
      <c r="M3" s="81"/>
      <c r="N3" s="81"/>
      <c r="O3" s="81"/>
      <c r="P3" s="81"/>
      <c r="Q3" s="81"/>
      <c r="R3" s="81"/>
      <c r="T3" s="90"/>
      <c r="V3" s="109" t="s">
        <v>205</v>
      </c>
    </row>
    <row r="4" spans="2:29" s="1" customFormat="1" ht="36" customHeight="1">
      <c r="B4" s="56"/>
      <c r="D4" s="82" t="s">
        <v>266</v>
      </c>
      <c r="E4" s="82" t="s">
        <v>471</v>
      </c>
      <c r="F4" s="82" t="s">
        <v>268</v>
      </c>
      <c r="G4" s="82" t="s">
        <v>469</v>
      </c>
      <c r="H4" s="82" t="s">
        <v>472</v>
      </c>
      <c r="I4" s="82" t="s">
        <v>270</v>
      </c>
      <c r="J4" s="82" t="s">
        <v>271</v>
      </c>
      <c r="K4" s="82" t="s">
        <v>272</v>
      </c>
      <c r="L4" s="82" t="s">
        <v>273</v>
      </c>
      <c r="M4" s="82" t="s">
        <v>274</v>
      </c>
      <c r="N4" s="82"/>
      <c r="O4" s="82"/>
      <c r="P4" s="82"/>
      <c r="Q4" s="82"/>
      <c r="R4" s="82"/>
      <c r="S4" s="91"/>
      <c r="V4" s="110"/>
    </row>
    <row r="5" spans="2:29" s="1" customFormat="1" ht="80.099999999999994" customHeight="1">
      <c r="B5" s="57">
        <v>1</v>
      </c>
      <c r="D5" s="97" t="s">
        <v>206</v>
      </c>
      <c r="E5" s="97" t="s">
        <v>188</v>
      </c>
      <c r="F5" s="100" t="s">
        <v>207</v>
      </c>
      <c r="G5" s="97" t="s">
        <v>208</v>
      </c>
      <c r="H5" s="100" t="s">
        <v>209</v>
      </c>
      <c r="I5" s="97" t="s">
        <v>203</v>
      </c>
      <c r="J5" s="97" t="s">
        <v>192</v>
      </c>
      <c r="K5" s="97" t="s">
        <v>210</v>
      </c>
      <c r="L5" s="97" t="s">
        <v>211</v>
      </c>
      <c r="M5" s="97" t="s">
        <v>204</v>
      </c>
      <c r="N5" s="100"/>
      <c r="O5" s="97"/>
      <c r="P5" s="97"/>
      <c r="Q5" s="97"/>
      <c r="R5" s="97"/>
      <c r="S5" s="92"/>
      <c r="V5" s="110"/>
    </row>
    <row r="6" spans="2:29" s="50" customFormat="1" ht="36" customHeight="1">
      <c r="B6" s="58"/>
      <c r="C6" s="85"/>
      <c r="D6" s="83" t="s">
        <v>334</v>
      </c>
      <c r="E6" s="83" t="s">
        <v>335</v>
      </c>
      <c r="F6" s="83" t="s">
        <v>336</v>
      </c>
      <c r="G6" s="83" t="s">
        <v>479</v>
      </c>
      <c r="H6" s="83" t="s">
        <v>337</v>
      </c>
      <c r="I6" s="83" t="s">
        <v>338</v>
      </c>
      <c r="J6" s="83" t="s">
        <v>339</v>
      </c>
      <c r="K6" s="83" t="s">
        <v>340</v>
      </c>
      <c r="L6" s="83" t="s">
        <v>341</v>
      </c>
      <c r="M6" s="83" t="s">
        <v>342</v>
      </c>
      <c r="N6" s="83"/>
      <c r="O6" s="83"/>
      <c r="P6" s="83"/>
      <c r="Q6" s="83"/>
      <c r="R6" s="83"/>
      <c r="S6" s="93"/>
      <c r="V6" s="110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10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10"/>
    </row>
    <row r="9" spans="2:29" s="1" customFormat="1" ht="80.099999999999994" customHeight="1">
      <c r="B9" s="57">
        <f>B5+1</f>
        <v>2</v>
      </c>
      <c r="D9" s="100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2"/>
      <c r="T9" s="90"/>
      <c r="V9" s="110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10"/>
      <c r="AA10" s="1" t="s">
        <v>182</v>
      </c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260</v>
      </c>
      <c r="M11" s="81"/>
      <c r="N11" s="81"/>
      <c r="O11" s="81"/>
      <c r="P11" s="81"/>
      <c r="Q11" s="81"/>
      <c r="R11" s="81"/>
      <c r="V11" s="110"/>
    </row>
    <row r="12" spans="2:29" s="1" customFormat="1" ht="36" customHeight="1">
      <c r="B12" s="56"/>
      <c r="D12" s="82" t="s">
        <v>275</v>
      </c>
      <c r="E12" s="82" t="s">
        <v>276</v>
      </c>
      <c r="F12" s="82" t="s">
        <v>277</v>
      </c>
      <c r="G12" s="82" t="s">
        <v>473</v>
      </c>
      <c r="H12" s="82" t="s">
        <v>278</v>
      </c>
      <c r="I12" s="82" t="s">
        <v>279</v>
      </c>
      <c r="J12" s="82"/>
      <c r="K12" s="82" t="s">
        <v>323</v>
      </c>
      <c r="L12" s="82" t="s">
        <v>260</v>
      </c>
      <c r="M12" s="82"/>
      <c r="N12" s="82" t="s">
        <v>280</v>
      </c>
      <c r="O12" s="82" t="s">
        <v>316</v>
      </c>
      <c r="P12" s="82"/>
      <c r="Q12" s="82" t="s">
        <v>281</v>
      </c>
      <c r="R12" s="82" t="s">
        <v>324</v>
      </c>
      <c r="S12" s="91"/>
      <c r="V12" s="110"/>
    </row>
    <row r="13" spans="2:29" s="1" customFormat="1" ht="80.099999999999994" customHeight="1">
      <c r="B13" s="57">
        <f>B9+1</f>
        <v>3</v>
      </c>
      <c r="D13" s="100" t="s">
        <v>212</v>
      </c>
      <c r="E13" s="97" t="s">
        <v>213</v>
      </c>
      <c r="F13" s="97" t="s">
        <v>214</v>
      </c>
      <c r="G13" s="100" t="s">
        <v>318</v>
      </c>
      <c r="H13" s="97" t="s">
        <v>215</v>
      </c>
      <c r="I13" s="97" t="s">
        <v>200</v>
      </c>
      <c r="J13" s="97" t="s">
        <v>216</v>
      </c>
      <c r="K13" s="97" t="s">
        <v>217</v>
      </c>
      <c r="L13" s="97" t="s">
        <v>218</v>
      </c>
      <c r="M13" s="97" t="s">
        <v>216</v>
      </c>
      <c r="N13" s="97" t="s">
        <v>201</v>
      </c>
      <c r="O13" s="100" t="s">
        <v>219</v>
      </c>
      <c r="P13" s="97" t="s">
        <v>216</v>
      </c>
      <c r="Q13" s="97" t="s">
        <v>220</v>
      </c>
      <c r="R13" s="97" t="s">
        <v>221</v>
      </c>
      <c r="S13" s="92"/>
      <c r="V13" s="110"/>
    </row>
    <row r="14" spans="2:29" s="1" customFormat="1" ht="36" customHeight="1">
      <c r="B14" s="58"/>
      <c r="D14" s="83" t="s">
        <v>343</v>
      </c>
      <c r="E14" s="83" t="s">
        <v>344</v>
      </c>
      <c r="F14" s="83" t="s">
        <v>345</v>
      </c>
      <c r="G14" s="83" t="s">
        <v>346</v>
      </c>
      <c r="H14" s="83" t="s">
        <v>347</v>
      </c>
      <c r="I14" s="83" t="s">
        <v>348</v>
      </c>
      <c r="J14" s="83"/>
      <c r="K14" s="83" t="s">
        <v>349</v>
      </c>
      <c r="L14" s="83" t="s">
        <v>350</v>
      </c>
      <c r="M14" s="83"/>
      <c r="N14" s="83" t="s">
        <v>351</v>
      </c>
      <c r="O14" s="83" t="s">
        <v>352</v>
      </c>
      <c r="P14" s="83"/>
      <c r="Q14" s="83" t="s">
        <v>353</v>
      </c>
      <c r="R14" s="83" t="s">
        <v>354</v>
      </c>
      <c r="S14" s="94"/>
      <c r="V14" s="110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10"/>
      <c r="AC15" s="67" t="s">
        <v>182</v>
      </c>
    </row>
    <row r="16" spans="2:29" s="1" customFormat="1" ht="36" customHeight="1">
      <c r="B16" s="56"/>
      <c r="D16" s="82" t="s">
        <v>333</v>
      </c>
      <c r="E16" s="82" t="s">
        <v>474</v>
      </c>
      <c r="F16" s="82" t="s">
        <v>325</v>
      </c>
      <c r="G16" s="82" t="s">
        <v>283</v>
      </c>
      <c r="H16" s="82" t="s">
        <v>472</v>
      </c>
      <c r="I16" s="82" t="s">
        <v>284</v>
      </c>
      <c r="J16" s="82" t="s">
        <v>285</v>
      </c>
      <c r="K16" s="82"/>
      <c r="L16" s="82" t="s">
        <v>326</v>
      </c>
      <c r="M16" s="82" t="s">
        <v>286</v>
      </c>
      <c r="N16" s="82" t="s">
        <v>287</v>
      </c>
      <c r="O16" s="82" t="s">
        <v>284</v>
      </c>
      <c r="P16" s="82" t="s">
        <v>472</v>
      </c>
      <c r="Q16" s="82" t="s">
        <v>284</v>
      </c>
      <c r="R16" s="82" t="s">
        <v>285</v>
      </c>
      <c r="S16" s="91"/>
      <c r="V16" s="110"/>
    </row>
    <row r="17" spans="2:22" s="1" customFormat="1" ht="80.099999999999994" customHeight="1">
      <c r="B17" s="57">
        <f>B13+1</f>
        <v>4</v>
      </c>
      <c r="D17" s="100" t="s">
        <v>320</v>
      </c>
      <c r="E17" s="97" t="s">
        <v>223</v>
      </c>
      <c r="F17" s="97" t="s">
        <v>224</v>
      </c>
      <c r="G17" s="97" t="s">
        <v>202</v>
      </c>
      <c r="H17" s="100" t="s">
        <v>209</v>
      </c>
      <c r="I17" s="97" t="s">
        <v>225</v>
      </c>
      <c r="J17" s="97" t="s">
        <v>226</v>
      </c>
      <c r="K17" s="97" t="s">
        <v>183</v>
      </c>
      <c r="L17" s="97" t="s">
        <v>197</v>
      </c>
      <c r="M17" s="97" t="s">
        <v>227</v>
      </c>
      <c r="N17" s="97" t="s">
        <v>185</v>
      </c>
      <c r="O17" s="97" t="s">
        <v>225</v>
      </c>
      <c r="P17" s="100" t="s">
        <v>209</v>
      </c>
      <c r="Q17" s="97" t="s">
        <v>225</v>
      </c>
      <c r="R17" s="97" t="s">
        <v>226</v>
      </c>
      <c r="S17" s="92"/>
      <c r="V17" s="110"/>
    </row>
    <row r="18" spans="2:22" s="1" customFormat="1" ht="36" customHeight="1">
      <c r="B18" s="58"/>
      <c r="D18" s="83" t="s">
        <v>355</v>
      </c>
      <c r="E18" s="83" t="s">
        <v>356</v>
      </c>
      <c r="F18" s="83" t="s">
        <v>357</v>
      </c>
      <c r="G18" s="83" t="s">
        <v>358</v>
      </c>
      <c r="H18" s="83" t="s">
        <v>337</v>
      </c>
      <c r="I18" s="83" t="s">
        <v>359</v>
      </c>
      <c r="J18" s="83" t="s">
        <v>360</v>
      </c>
      <c r="K18" s="83"/>
      <c r="L18" s="83" t="s">
        <v>361</v>
      </c>
      <c r="M18" s="83" t="s">
        <v>362</v>
      </c>
      <c r="N18" s="83" t="s">
        <v>363</v>
      </c>
      <c r="O18" s="83" t="s">
        <v>359</v>
      </c>
      <c r="P18" s="83" t="s">
        <v>337</v>
      </c>
      <c r="Q18" s="83" t="s">
        <v>359</v>
      </c>
      <c r="R18" s="83" t="s">
        <v>360</v>
      </c>
      <c r="S18" s="94"/>
      <c r="V18" s="110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 t="s">
        <v>467</v>
      </c>
      <c r="N19" s="81"/>
      <c r="O19" s="81"/>
      <c r="P19" s="81" t="s">
        <v>314</v>
      </c>
      <c r="Q19" s="81"/>
      <c r="R19" s="81"/>
      <c r="V19" s="110"/>
    </row>
    <row r="20" spans="2:22" s="1" customFormat="1" ht="36" customHeight="1">
      <c r="B20" s="56"/>
      <c r="D20" s="82"/>
      <c r="E20" s="82" t="s">
        <v>266</v>
      </c>
      <c r="F20" s="82" t="s">
        <v>475</v>
      </c>
      <c r="G20" s="82" t="s">
        <v>289</v>
      </c>
      <c r="H20" s="82" t="s">
        <v>472</v>
      </c>
      <c r="I20" s="82" t="s">
        <v>284</v>
      </c>
      <c r="J20" s="82" t="s">
        <v>285</v>
      </c>
      <c r="K20" s="82"/>
      <c r="L20" s="82" t="s">
        <v>290</v>
      </c>
      <c r="M20" s="82" t="s">
        <v>467</v>
      </c>
      <c r="N20" s="82" t="s">
        <v>291</v>
      </c>
      <c r="O20" s="82" t="s">
        <v>292</v>
      </c>
      <c r="P20" s="82" t="s">
        <v>314</v>
      </c>
      <c r="Q20" s="82" t="s">
        <v>293</v>
      </c>
      <c r="R20" s="82"/>
      <c r="S20" s="91"/>
      <c r="V20" s="110"/>
    </row>
    <row r="21" spans="2:22" s="1" customFormat="1" ht="80.099999999999994" customHeight="1">
      <c r="B21" s="57">
        <f>B17+1</f>
        <v>5</v>
      </c>
      <c r="D21" s="97" t="s">
        <v>183</v>
      </c>
      <c r="E21" s="97" t="s">
        <v>261</v>
      </c>
      <c r="F21" s="97" t="s">
        <v>228</v>
      </c>
      <c r="G21" s="97" t="s">
        <v>195</v>
      </c>
      <c r="H21" s="97" t="s">
        <v>209</v>
      </c>
      <c r="I21" s="97" t="s">
        <v>225</v>
      </c>
      <c r="J21" s="97" t="s">
        <v>226</v>
      </c>
      <c r="K21" s="97" t="s">
        <v>183</v>
      </c>
      <c r="L21" s="97" t="s">
        <v>229</v>
      </c>
      <c r="M21" s="101" t="s">
        <v>320</v>
      </c>
      <c r="N21" s="97" t="s">
        <v>230</v>
      </c>
      <c r="O21" s="97" t="s">
        <v>231</v>
      </c>
      <c r="P21" s="97" t="s">
        <v>196</v>
      </c>
      <c r="Q21" s="97" t="s">
        <v>232</v>
      </c>
      <c r="R21" s="97" t="s">
        <v>216</v>
      </c>
      <c r="S21" s="92"/>
      <c r="V21" s="110"/>
    </row>
    <row r="22" spans="2:22" s="1" customFormat="1" ht="36" customHeight="1">
      <c r="B22" s="58"/>
      <c r="D22" s="83"/>
      <c r="E22" s="83" t="s">
        <v>334</v>
      </c>
      <c r="F22" s="83" t="s">
        <v>364</v>
      </c>
      <c r="G22" s="83" t="s">
        <v>365</v>
      </c>
      <c r="H22" s="83" t="s">
        <v>337</v>
      </c>
      <c r="I22" s="83" t="s">
        <v>359</v>
      </c>
      <c r="J22" s="83" t="s">
        <v>360</v>
      </c>
      <c r="K22" s="83"/>
      <c r="L22" s="83" t="s">
        <v>366</v>
      </c>
      <c r="M22" s="83" t="s">
        <v>480</v>
      </c>
      <c r="N22" s="83" t="s">
        <v>367</v>
      </c>
      <c r="O22" s="83" t="s">
        <v>368</v>
      </c>
      <c r="P22" s="83" t="s">
        <v>369</v>
      </c>
      <c r="Q22" s="83" t="s">
        <v>370</v>
      </c>
      <c r="R22" s="83"/>
      <c r="S22" s="94"/>
      <c r="V22" s="111"/>
    </row>
    <row r="23" spans="2:22" s="67" customFormat="1" ht="60" customHeight="1">
      <c r="B23" s="63"/>
      <c r="C23" s="88"/>
      <c r="D23" s="81" t="s">
        <v>314</v>
      </c>
      <c r="E23" s="81"/>
      <c r="F23" s="81"/>
      <c r="G23" s="81" t="s">
        <v>315</v>
      </c>
      <c r="H23" s="81"/>
      <c r="I23" s="81"/>
      <c r="J23" s="81"/>
      <c r="K23" s="81"/>
      <c r="L23" s="81"/>
      <c r="M23" s="81" t="s">
        <v>262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314</v>
      </c>
      <c r="E24" s="82" t="s">
        <v>293</v>
      </c>
      <c r="F24" s="82" t="s">
        <v>327</v>
      </c>
      <c r="G24" s="82" t="s">
        <v>315</v>
      </c>
      <c r="H24" s="82" t="s">
        <v>333</v>
      </c>
      <c r="I24" s="82" t="s">
        <v>275</v>
      </c>
      <c r="J24" s="82" t="s">
        <v>283</v>
      </c>
      <c r="K24" s="82" t="s">
        <v>294</v>
      </c>
      <c r="L24" s="82" t="s">
        <v>472</v>
      </c>
      <c r="M24" s="82" t="s">
        <v>262</v>
      </c>
      <c r="N24" s="82" t="s">
        <v>295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7" t="s">
        <v>196</v>
      </c>
      <c r="E25" s="97" t="s">
        <v>232</v>
      </c>
      <c r="F25" s="97" t="s">
        <v>199</v>
      </c>
      <c r="G25" s="97" t="s">
        <v>233</v>
      </c>
      <c r="H25" s="97" t="s">
        <v>320</v>
      </c>
      <c r="I25" s="100" t="s">
        <v>212</v>
      </c>
      <c r="J25" s="97" t="s">
        <v>234</v>
      </c>
      <c r="K25" s="97" t="s">
        <v>235</v>
      </c>
      <c r="L25" s="100" t="s">
        <v>209</v>
      </c>
      <c r="M25" s="100" t="s">
        <v>236</v>
      </c>
      <c r="N25" s="97" t="s">
        <v>237</v>
      </c>
      <c r="O25" s="97" t="s">
        <v>186</v>
      </c>
      <c r="P25" s="97"/>
      <c r="Q25" s="97"/>
      <c r="R25" s="97"/>
      <c r="S25" s="92"/>
      <c r="V25" s="60"/>
    </row>
    <row r="26" spans="2:22" s="1" customFormat="1" ht="36" customHeight="1">
      <c r="B26" s="58"/>
      <c r="D26" s="83" t="s">
        <v>369</v>
      </c>
      <c r="E26" s="83" t="s">
        <v>370</v>
      </c>
      <c r="F26" s="83" t="s">
        <v>371</v>
      </c>
      <c r="G26" s="83" t="s">
        <v>372</v>
      </c>
      <c r="H26" s="83" t="s">
        <v>355</v>
      </c>
      <c r="I26" s="83" t="s">
        <v>343</v>
      </c>
      <c r="J26" s="83" t="s">
        <v>358</v>
      </c>
      <c r="K26" s="83" t="s">
        <v>374</v>
      </c>
      <c r="L26" s="83" t="s">
        <v>337</v>
      </c>
      <c r="M26" s="83" t="s">
        <v>375</v>
      </c>
      <c r="N26" s="83" t="s">
        <v>376</v>
      </c>
      <c r="O26" s="83"/>
      <c r="P26" s="83"/>
      <c r="Q26" s="83"/>
      <c r="R26" s="83"/>
      <c r="S26" s="94"/>
      <c r="U26" s="1" t="str">
        <f xml:space="preserve"> MID($N$26,3,1)</f>
        <v>他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/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/>
      </c>
      <c r="V28" s="60"/>
    </row>
    <row r="29" spans="2:22" s="1" customFormat="1" ht="80.099999999999994" customHeight="1">
      <c r="B29" s="57">
        <f>B25+1</f>
        <v>7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2"/>
      <c r="U29" s="67" t="str">
        <f t="shared" si="0"/>
        <v/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/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260</v>
      </c>
      <c r="L31" s="81"/>
      <c r="M31" s="81"/>
      <c r="N31" s="81"/>
      <c r="O31" s="81" t="s">
        <v>263</v>
      </c>
      <c r="P31" s="81"/>
      <c r="Q31" s="81"/>
      <c r="R31" s="81"/>
      <c r="U31" s="67" t="str">
        <f t="shared" si="0"/>
        <v/>
      </c>
      <c r="V31" s="68"/>
    </row>
    <row r="32" spans="2:22" s="1" customFormat="1" ht="36" customHeight="1">
      <c r="B32" s="56"/>
      <c r="D32" s="82" t="s">
        <v>275</v>
      </c>
      <c r="E32" s="82" t="s">
        <v>280</v>
      </c>
      <c r="F32" s="82" t="s">
        <v>316</v>
      </c>
      <c r="G32" s="82"/>
      <c r="H32" s="82" t="s">
        <v>474</v>
      </c>
      <c r="I32" s="82" t="s">
        <v>333</v>
      </c>
      <c r="J32" s="82" t="s">
        <v>323</v>
      </c>
      <c r="K32" s="82" t="s">
        <v>260</v>
      </c>
      <c r="L32" s="82" t="s">
        <v>284</v>
      </c>
      <c r="M32" s="82" t="s">
        <v>285</v>
      </c>
      <c r="N32" s="82" t="s">
        <v>476</v>
      </c>
      <c r="O32" s="82" t="s">
        <v>263</v>
      </c>
      <c r="P32" s="82" t="s">
        <v>472</v>
      </c>
      <c r="Q32" s="82" t="s">
        <v>297</v>
      </c>
      <c r="R32" s="82" t="s">
        <v>298</v>
      </c>
      <c r="S32" s="91"/>
      <c r="U32" s="67" t="str">
        <f t="shared" si="0"/>
        <v/>
      </c>
      <c r="V32" s="60"/>
    </row>
    <row r="33" spans="2:22" s="1" customFormat="1" ht="80.099999999999994" customHeight="1">
      <c r="B33" s="57">
        <f>B29+1</f>
        <v>8</v>
      </c>
      <c r="D33" s="97" t="s">
        <v>212</v>
      </c>
      <c r="E33" s="97" t="s">
        <v>201</v>
      </c>
      <c r="F33" s="100" t="s">
        <v>219</v>
      </c>
      <c r="G33" s="97" t="s">
        <v>216</v>
      </c>
      <c r="H33" s="97" t="s">
        <v>223</v>
      </c>
      <c r="I33" s="100" t="s">
        <v>320</v>
      </c>
      <c r="J33" s="97" t="s">
        <v>217</v>
      </c>
      <c r="K33" s="97" t="s">
        <v>218</v>
      </c>
      <c r="L33" s="97" t="s">
        <v>225</v>
      </c>
      <c r="M33" s="97" t="s">
        <v>226</v>
      </c>
      <c r="N33" s="97" t="s">
        <v>238</v>
      </c>
      <c r="O33" s="97" t="s">
        <v>187</v>
      </c>
      <c r="P33" s="100" t="s">
        <v>209</v>
      </c>
      <c r="Q33" s="100" t="s">
        <v>239</v>
      </c>
      <c r="R33" s="100" t="s">
        <v>240</v>
      </c>
      <c r="S33" s="92"/>
      <c r="V33" s="60"/>
    </row>
    <row r="34" spans="2:22" s="1" customFormat="1" ht="36" customHeight="1">
      <c r="B34" s="58"/>
      <c r="D34" s="83" t="s">
        <v>343</v>
      </c>
      <c r="E34" s="83" t="s">
        <v>351</v>
      </c>
      <c r="F34" s="83" t="s">
        <v>352</v>
      </c>
      <c r="G34" s="83"/>
      <c r="H34" s="83" t="s">
        <v>356</v>
      </c>
      <c r="I34" s="83" t="s">
        <v>355</v>
      </c>
      <c r="J34" s="83" t="s">
        <v>349</v>
      </c>
      <c r="K34" s="83" t="s">
        <v>350</v>
      </c>
      <c r="L34" s="83" t="s">
        <v>359</v>
      </c>
      <c r="M34" s="83" t="s">
        <v>360</v>
      </c>
      <c r="N34" s="83" t="s">
        <v>377</v>
      </c>
      <c r="O34" s="83" t="s">
        <v>378</v>
      </c>
      <c r="P34" s="83" t="s">
        <v>337</v>
      </c>
      <c r="Q34" s="83" t="s">
        <v>379</v>
      </c>
      <c r="R34" s="83" t="s">
        <v>380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264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477</v>
      </c>
      <c r="F36" s="82" t="s">
        <v>300</v>
      </c>
      <c r="G36" s="82" t="s">
        <v>328</v>
      </c>
      <c r="H36" s="82" t="s">
        <v>301</v>
      </c>
      <c r="I36" s="82" t="s">
        <v>302</v>
      </c>
      <c r="J36" s="82" t="s">
        <v>264</v>
      </c>
      <c r="K36" s="82"/>
      <c r="L36" s="82" t="s">
        <v>290</v>
      </c>
      <c r="M36" s="82" t="s">
        <v>330</v>
      </c>
      <c r="N36" s="82" t="s">
        <v>275</v>
      </c>
      <c r="O36" s="82" t="s">
        <v>303</v>
      </c>
      <c r="P36" s="82" t="s">
        <v>317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7" t="s">
        <v>183</v>
      </c>
      <c r="E37" s="97" t="s">
        <v>241</v>
      </c>
      <c r="F37" s="97" t="s">
        <v>191</v>
      </c>
      <c r="G37" s="97" t="s">
        <v>198</v>
      </c>
      <c r="H37" s="97" t="s">
        <v>189</v>
      </c>
      <c r="I37" s="100" t="s">
        <v>265</v>
      </c>
      <c r="J37" s="100" t="s">
        <v>242</v>
      </c>
      <c r="K37" s="97" t="s">
        <v>183</v>
      </c>
      <c r="L37" s="97" t="s">
        <v>229</v>
      </c>
      <c r="M37" s="102" t="s">
        <v>319</v>
      </c>
      <c r="N37" s="100" t="s">
        <v>212</v>
      </c>
      <c r="O37" s="97" t="s">
        <v>243</v>
      </c>
      <c r="P37" s="100" t="s">
        <v>244</v>
      </c>
      <c r="Q37" s="97" t="s">
        <v>186</v>
      </c>
      <c r="R37" s="97"/>
      <c r="S37" s="92"/>
      <c r="V37" s="60"/>
    </row>
    <row r="38" spans="2:22" s="1" customFormat="1" ht="36" customHeight="1">
      <c r="B38" s="58"/>
      <c r="D38" s="83"/>
      <c r="E38" s="83" t="s">
        <v>381</v>
      </c>
      <c r="F38" s="83" t="s">
        <v>382</v>
      </c>
      <c r="G38" s="83" t="s">
        <v>383</v>
      </c>
      <c r="H38" s="83" t="s">
        <v>384</v>
      </c>
      <c r="I38" s="83" t="s">
        <v>385</v>
      </c>
      <c r="J38" s="83" t="s">
        <v>386</v>
      </c>
      <c r="K38" s="83"/>
      <c r="L38" s="83" t="s">
        <v>366</v>
      </c>
      <c r="M38" s="83" t="s">
        <v>387</v>
      </c>
      <c r="N38" s="83" t="s">
        <v>343</v>
      </c>
      <c r="O38" s="83" t="s">
        <v>388</v>
      </c>
      <c r="P38" s="83" t="s">
        <v>389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256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275</v>
      </c>
      <c r="E44" s="82" t="s">
        <v>329</v>
      </c>
      <c r="F44" s="82" t="s">
        <v>291</v>
      </c>
      <c r="G44" s="82" t="s">
        <v>304</v>
      </c>
      <c r="H44" s="82" t="s">
        <v>471</v>
      </c>
      <c r="I44" s="82" t="s">
        <v>305</v>
      </c>
      <c r="J44" s="82" t="s">
        <v>470</v>
      </c>
      <c r="K44" s="82" t="s">
        <v>257</v>
      </c>
      <c r="L44" s="82" t="s">
        <v>305</v>
      </c>
      <c r="M44" s="82" t="s">
        <v>307</v>
      </c>
      <c r="N44" s="82" t="s">
        <v>472</v>
      </c>
      <c r="O44" s="82" t="s">
        <v>308</v>
      </c>
      <c r="P44" s="82" t="s">
        <v>309</v>
      </c>
      <c r="Q44" s="82"/>
      <c r="R44" s="82" t="s">
        <v>275</v>
      </c>
      <c r="S44" s="91"/>
      <c r="V44" s="60"/>
    </row>
    <row r="45" spans="2:22" s="1" customFormat="1" ht="80.099999999999994" customHeight="1">
      <c r="B45" s="57">
        <f>B41+1</f>
        <v>11</v>
      </c>
      <c r="D45" s="100" t="s">
        <v>212</v>
      </c>
      <c r="E45" s="97" t="s">
        <v>245</v>
      </c>
      <c r="F45" s="97" t="s">
        <v>246</v>
      </c>
      <c r="G45" s="97" t="s">
        <v>190</v>
      </c>
      <c r="H45" s="97" t="s">
        <v>188</v>
      </c>
      <c r="I45" s="100" t="s">
        <v>247</v>
      </c>
      <c r="J45" s="100" t="s">
        <v>184</v>
      </c>
      <c r="K45" s="97" t="s">
        <v>258</v>
      </c>
      <c r="L45" s="100" t="s">
        <v>247</v>
      </c>
      <c r="M45" s="97" t="s">
        <v>248</v>
      </c>
      <c r="N45" s="100" t="s">
        <v>209</v>
      </c>
      <c r="O45" s="97" t="s">
        <v>249</v>
      </c>
      <c r="P45" s="97" t="s">
        <v>250</v>
      </c>
      <c r="Q45" s="97" t="s">
        <v>183</v>
      </c>
      <c r="R45" s="100" t="s">
        <v>212</v>
      </c>
      <c r="S45" s="92"/>
      <c r="V45" s="60"/>
    </row>
    <row r="46" spans="2:22" s="1" customFormat="1" ht="36" customHeight="1">
      <c r="B46" s="58"/>
      <c r="D46" s="83" t="s">
        <v>343</v>
      </c>
      <c r="E46" s="83" t="s">
        <v>390</v>
      </c>
      <c r="F46" s="83" t="s">
        <v>367</v>
      </c>
      <c r="G46" s="83" t="s">
        <v>391</v>
      </c>
      <c r="H46" s="83" t="s">
        <v>335</v>
      </c>
      <c r="I46" s="83" t="s">
        <v>392</v>
      </c>
      <c r="J46" s="83" t="s">
        <v>481</v>
      </c>
      <c r="K46" s="83" t="s">
        <v>373</v>
      </c>
      <c r="L46" s="83" t="s">
        <v>392</v>
      </c>
      <c r="M46" s="83" t="s">
        <v>393</v>
      </c>
      <c r="N46" s="83" t="s">
        <v>337</v>
      </c>
      <c r="O46" s="83" t="s">
        <v>394</v>
      </c>
      <c r="P46" s="83" t="s">
        <v>395</v>
      </c>
      <c r="Q46" s="83"/>
      <c r="R46" s="83" t="s">
        <v>343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260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280</v>
      </c>
      <c r="E48" s="82" t="s">
        <v>316</v>
      </c>
      <c r="F48" s="82"/>
      <c r="G48" s="82" t="s">
        <v>474</v>
      </c>
      <c r="H48" s="82" t="s">
        <v>257</v>
      </c>
      <c r="I48" s="82" t="s">
        <v>323</v>
      </c>
      <c r="J48" s="82" t="s">
        <v>260</v>
      </c>
      <c r="K48" s="82" t="s">
        <v>477</v>
      </c>
      <c r="L48" s="82"/>
      <c r="M48" s="82" t="s">
        <v>477</v>
      </c>
      <c r="N48" s="82" t="s">
        <v>300</v>
      </c>
      <c r="O48" s="82" t="s">
        <v>284</v>
      </c>
      <c r="P48" s="82" t="s">
        <v>285</v>
      </c>
      <c r="Q48" s="82" t="s">
        <v>472</v>
      </c>
      <c r="R48" s="82" t="s">
        <v>310</v>
      </c>
      <c r="S48" s="91"/>
      <c r="V48" s="60"/>
    </row>
    <row r="49" spans="2:22" s="1" customFormat="1" ht="80.099999999999994" customHeight="1">
      <c r="B49" s="57">
        <f>B45+1</f>
        <v>12</v>
      </c>
      <c r="D49" s="97" t="s">
        <v>201</v>
      </c>
      <c r="E49" s="100" t="s">
        <v>219</v>
      </c>
      <c r="F49" s="97" t="s">
        <v>216</v>
      </c>
      <c r="G49" s="97" t="s">
        <v>223</v>
      </c>
      <c r="H49" s="97" t="s">
        <v>222</v>
      </c>
      <c r="I49" s="97" t="s">
        <v>217</v>
      </c>
      <c r="J49" s="97" t="s">
        <v>218</v>
      </c>
      <c r="K49" s="100" t="s">
        <v>241</v>
      </c>
      <c r="L49" s="97" t="s">
        <v>183</v>
      </c>
      <c r="M49" s="97" t="s">
        <v>241</v>
      </c>
      <c r="N49" s="97" t="s">
        <v>191</v>
      </c>
      <c r="O49" s="97" t="s">
        <v>225</v>
      </c>
      <c r="P49" s="97" t="s">
        <v>226</v>
      </c>
      <c r="Q49" s="100" t="s">
        <v>209</v>
      </c>
      <c r="R49" s="97" t="s">
        <v>251</v>
      </c>
      <c r="S49" s="92"/>
      <c r="V49" s="60"/>
    </row>
    <row r="50" spans="2:22" s="1" customFormat="1" ht="36" customHeight="1">
      <c r="B50" s="58"/>
      <c r="D50" s="83" t="s">
        <v>351</v>
      </c>
      <c r="E50" s="83" t="s">
        <v>352</v>
      </c>
      <c r="F50" s="83"/>
      <c r="G50" s="83" t="s">
        <v>356</v>
      </c>
      <c r="H50" s="83" t="s">
        <v>373</v>
      </c>
      <c r="I50" s="83" t="s">
        <v>349</v>
      </c>
      <c r="J50" s="83" t="s">
        <v>350</v>
      </c>
      <c r="K50" s="83" t="s">
        <v>381</v>
      </c>
      <c r="L50" s="83"/>
      <c r="M50" s="83" t="s">
        <v>381</v>
      </c>
      <c r="N50" s="83" t="s">
        <v>382</v>
      </c>
      <c r="O50" s="83" t="s">
        <v>359</v>
      </c>
      <c r="P50" s="83" t="s">
        <v>360</v>
      </c>
      <c r="Q50" s="83" t="s">
        <v>337</v>
      </c>
      <c r="R50" s="83" t="s">
        <v>396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311</v>
      </c>
      <c r="E52" s="82"/>
      <c r="F52" s="82" t="s">
        <v>290</v>
      </c>
      <c r="G52" s="82" t="s">
        <v>330</v>
      </c>
      <c r="H52" s="82" t="s">
        <v>275</v>
      </c>
      <c r="I52" s="82" t="s">
        <v>283</v>
      </c>
      <c r="J52" s="82" t="s">
        <v>305</v>
      </c>
      <c r="K52" s="82" t="s">
        <v>472</v>
      </c>
      <c r="L52" s="82" t="s">
        <v>312</v>
      </c>
      <c r="M52" s="82" t="s">
        <v>313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7" t="s">
        <v>252</v>
      </c>
      <c r="E53" s="97" t="s">
        <v>183</v>
      </c>
      <c r="F53" s="97" t="s">
        <v>229</v>
      </c>
      <c r="G53" s="102" t="s">
        <v>319</v>
      </c>
      <c r="H53" s="100" t="s">
        <v>212</v>
      </c>
      <c r="I53" s="97" t="s">
        <v>234</v>
      </c>
      <c r="J53" s="97" t="s">
        <v>253</v>
      </c>
      <c r="K53" s="100" t="s">
        <v>209</v>
      </c>
      <c r="L53" s="97" t="s">
        <v>254</v>
      </c>
      <c r="M53" s="97" t="s">
        <v>255</v>
      </c>
      <c r="N53" s="97" t="s">
        <v>186</v>
      </c>
      <c r="O53" s="97"/>
      <c r="P53" s="97"/>
      <c r="Q53" s="97"/>
      <c r="R53" s="97"/>
      <c r="S53" s="92"/>
      <c r="V53" s="60"/>
    </row>
    <row r="54" spans="2:22" s="1" customFormat="1" ht="36" customHeight="1">
      <c r="B54" s="58"/>
      <c r="D54" s="83" t="s">
        <v>397</v>
      </c>
      <c r="E54" s="83"/>
      <c r="F54" s="83" t="s">
        <v>366</v>
      </c>
      <c r="G54" s="83" t="s">
        <v>387</v>
      </c>
      <c r="H54" s="83" t="s">
        <v>343</v>
      </c>
      <c r="I54" s="83" t="s">
        <v>358</v>
      </c>
      <c r="J54" s="83" t="s">
        <v>392</v>
      </c>
      <c r="K54" s="83" t="s">
        <v>337</v>
      </c>
      <c r="L54" s="83" t="s">
        <v>398</v>
      </c>
      <c r="M54" s="83" t="s">
        <v>399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7"/>
      <c r="E57" s="97"/>
      <c r="F57" s="97"/>
      <c r="G57" s="98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7"/>
      <c r="E61" s="97"/>
      <c r="F61" s="97"/>
      <c r="G61" s="98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7"/>
      <c r="E65" s="97"/>
      <c r="F65" s="97"/>
      <c r="G65" s="98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7"/>
      <c r="E69" s="97"/>
      <c r="F69" s="97"/>
      <c r="G69" s="98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7"/>
      <c r="E77" s="97"/>
      <c r="F77" s="97"/>
      <c r="G77" s="98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7"/>
      <c r="E85" s="97"/>
      <c r="F85" s="97"/>
      <c r="G85" s="98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7"/>
      <c r="E97" s="97"/>
      <c r="F97" s="97"/>
      <c r="G97" s="98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7"/>
      <c r="E105" s="97"/>
      <c r="F105" s="97"/>
      <c r="G105" s="98"/>
      <c r="H105" s="97"/>
      <c r="I105" s="97"/>
      <c r="J105" s="97"/>
      <c r="K105" s="97"/>
      <c r="L105" s="97"/>
      <c r="M105" s="97"/>
      <c r="N105" s="97"/>
      <c r="O105" s="99"/>
      <c r="P105" s="97"/>
      <c r="Q105" s="97"/>
      <c r="R105" s="97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9"/>
      <c r="P113" s="97"/>
      <c r="Q113" s="97"/>
      <c r="R113" s="97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7"/>
      <c r="E117" s="97"/>
      <c r="F117" s="98"/>
      <c r="G117" s="98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7"/>
      <c r="E121" s="97"/>
      <c r="F121" s="97"/>
      <c r="G121" s="98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7"/>
      <c r="E125" s="97"/>
      <c r="F125" s="97"/>
      <c r="G125" s="98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7"/>
      <c r="E133" s="97"/>
      <c r="F133" s="97"/>
      <c r="G133" s="98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7"/>
      <c r="E141" s="97"/>
      <c r="F141" s="97"/>
      <c r="G141" s="98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7"/>
      <c r="E145" s="97"/>
      <c r="F145" s="97"/>
      <c r="G145" s="98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7"/>
      <c r="E173" s="97"/>
      <c r="F173" s="97"/>
      <c r="G173" s="98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7"/>
      <c r="E181" s="97"/>
      <c r="F181" s="97"/>
      <c r="G181" s="98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7"/>
      <c r="E193" s="97"/>
      <c r="F193" s="97"/>
      <c r="G193" s="98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7"/>
      <c r="E197" s="97"/>
      <c r="F197" s="97"/>
      <c r="G197" s="98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7"/>
      <c r="E201" s="97"/>
      <c r="F201" s="97"/>
      <c r="G201" s="98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7"/>
      <c r="E205" s="97"/>
      <c r="F205" s="97"/>
      <c r="G205" s="98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7"/>
      <c r="E209" s="97"/>
      <c r="F209" s="97"/>
      <c r="G209" s="98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7"/>
      <c r="E213" s="97"/>
      <c r="F213" s="97"/>
      <c r="G213" s="98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7"/>
      <c r="E217" s="97"/>
      <c r="F217" s="97"/>
      <c r="G217" s="98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7"/>
      <c r="E221" s="97"/>
      <c r="F221" s="97"/>
      <c r="G221" s="98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7"/>
      <c r="E225" s="97"/>
      <c r="F225" s="97"/>
      <c r="G225" s="98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7"/>
      <c r="E229" s="97"/>
      <c r="F229" s="97"/>
      <c r="G229" s="98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7"/>
      <c r="E233" s="97"/>
      <c r="F233" s="97"/>
      <c r="G233" s="98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7"/>
      <c r="E237" s="97"/>
      <c r="F237" s="97"/>
      <c r="G237" s="98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7"/>
      <c r="E241" s="97"/>
      <c r="F241" s="97"/>
      <c r="G241" s="98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95" priority="1">
      <formula>顯示注音輸入</formula>
    </cfRule>
    <cfRule type="expression" dxfId="94" priority="2">
      <formula>"'= TRUE(顯示注音輸入)"</formula>
    </cfRule>
  </conditionalFormatting>
  <conditionalFormatting sqref="D7:R7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:R11">
    <cfRule type="expression" dxfId="91" priority="40">
      <formula>"'= TRUE(顯示注音輸入)"</formula>
    </cfRule>
    <cfRule type="expression" dxfId="90" priority="39">
      <formula>顯示注音輸入</formula>
    </cfRule>
  </conditionalFormatting>
  <conditionalFormatting sqref="D15:R15">
    <cfRule type="expression" dxfId="89" priority="38">
      <formula>"'= TRUE(顯示注音輸入)"</formula>
    </cfRule>
    <cfRule type="expression" dxfId="88" priority="37">
      <formula>顯示注音輸入</formula>
    </cfRule>
  </conditionalFormatting>
  <conditionalFormatting sqref="D19:R19">
    <cfRule type="expression" dxfId="87" priority="36">
      <formula>"'= TRUE(顯示注音輸入)"</formula>
    </cfRule>
    <cfRule type="expression" dxfId="86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85" priority="48">
      <formula>"'= TRUE(顯示注音輸入)"</formula>
    </cfRule>
    <cfRule type="expression" dxfId="84" priority="47">
      <formula>顯示注音輸入</formula>
    </cfRule>
  </conditionalFormatting>
  <conditionalFormatting sqref="D27:R27">
    <cfRule type="expression" dxfId="83" priority="34">
      <formula>"'= TRUE(顯示注音輸入)"</formula>
    </cfRule>
    <cfRule type="expression" dxfId="82" priority="33">
      <formula>顯示注音輸入</formula>
    </cfRule>
  </conditionalFormatting>
  <conditionalFormatting sqref="D31:R31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35:R35">
    <cfRule type="expression" dxfId="79" priority="30">
      <formula>"'= TRUE(顯示注音輸入)"</formula>
    </cfRule>
    <cfRule type="expression" dxfId="78" priority="29">
      <formula>顯示注音輸入</formula>
    </cfRule>
  </conditionalFormatting>
  <conditionalFormatting sqref="D43:R43">
    <cfRule type="expression" dxfId="77" priority="28">
      <formula>"'= TRUE(顯示注音輸入)"</formula>
    </cfRule>
    <cfRule type="expression" dxfId="76" priority="27">
      <formula>顯示注音輸入</formula>
    </cfRule>
  </conditionalFormatting>
  <conditionalFormatting sqref="D47:R47">
    <cfRule type="expression" dxfId="75" priority="25">
      <formula>顯示注音輸入</formula>
    </cfRule>
    <cfRule type="expression" dxfId="74" priority="26">
      <formula>"'= TRUE(顯示注音輸入)"</formula>
    </cfRule>
  </conditionalFormatting>
  <conditionalFormatting sqref="D51:R51">
    <cfRule type="expression" dxfId="73" priority="24">
      <formula>"'= TRUE(顯示注音輸入)"</formula>
    </cfRule>
    <cfRule type="expression" dxfId="72" priority="23">
      <formula>顯示注音輸入</formula>
    </cfRule>
  </conditionalFormatting>
  <conditionalFormatting sqref="D55:R55">
    <cfRule type="expression" dxfId="71" priority="22">
      <formula>"'= TRUE(顯示注音輸入)"</formula>
    </cfRule>
    <cfRule type="expression" dxfId="70" priority="21">
      <formula>顯示注音輸入</formula>
    </cfRule>
  </conditionalFormatting>
  <conditionalFormatting sqref="D59:R59">
    <cfRule type="expression" dxfId="69" priority="19">
      <formula>顯示注音輸入</formula>
    </cfRule>
    <cfRule type="expression" dxfId="68" priority="20">
      <formula>"'= TRUE(顯示注音輸入)"</formula>
    </cfRule>
  </conditionalFormatting>
  <conditionalFormatting sqref="D63:R63">
    <cfRule type="expression" dxfId="67" priority="18">
      <formula>"'= TRUE(顯示注音輸入)"</formula>
    </cfRule>
    <cfRule type="expression" dxfId="66" priority="17">
      <formula>顯示注音輸入</formula>
    </cfRule>
  </conditionalFormatting>
  <conditionalFormatting sqref="D67:R67">
    <cfRule type="expression" dxfId="65" priority="16">
      <formula>"'= TRUE(顯示注音輸入)"</formula>
    </cfRule>
    <cfRule type="expression" dxfId="64" priority="15">
      <formula>顯示注音輸入</formula>
    </cfRule>
  </conditionalFormatting>
  <conditionalFormatting sqref="D71:R71">
    <cfRule type="expression" dxfId="63" priority="14">
      <formula>"'= TRUE(顯示注音輸入)"</formula>
    </cfRule>
    <cfRule type="expression" dxfId="62" priority="13">
      <formula>顯示注音輸入</formula>
    </cfRule>
  </conditionalFormatting>
  <conditionalFormatting sqref="D75:R75">
    <cfRule type="expression" dxfId="61" priority="12">
      <formula>"'= TRUE(顯示注音輸入)"</formula>
    </cfRule>
    <cfRule type="expression" dxfId="60" priority="11">
      <formula>顯示注音輸入</formula>
    </cfRule>
  </conditionalFormatting>
  <conditionalFormatting sqref="D79:R79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D83:R83">
    <cfRule type="expression" dxfId="57" priority="8">
      <formula>"'= TRUE(顯示注音輸入)"</formula>
    </cfRule>
    <cfRule type="expression" dxfId="56" priority="7">
      <formula>顯示注音輸入</formula>
    </cfRule>
  </conditionalFormatting>
  <conditionalFormatting sqref="D107:R107">
    <cfRule type="expression" dxfId="55" priority="5">
      <formula>顯示注音輸入</formula>
    </cfRule>
    <cfRule type="expression" dxfId="54" priority="6">
      <formula>"'= TRUE(顯示注音輸入)"</formula>
    </cfRule>
  </conditionalFormatting>
  <conditionalFormatting sqref="D167:R167 D171:R171 D175:R175 D179:R179 D183:R183 D187:R187 D191:R191 D195:R195 D199:R199">
    <cfRule type="expression" dxfId="53" priority="45">
      <formula>顯示注音輸入</formula>
    </cfRule>
    <cfRule type="expression" dxfId="52" priority="46">
      <formula>"'= TRUE(顯示注音輸入)"</formula>
    </cfRule>
  </conditionalFormatting>
  <conditionalFormatting sqref="D203:R203">
    <cfRule type="expression" dxfId="51" priority="43">
      <formula>顯示注音輸入</formula>
    </cfRule>
    <cfRule type="expression" dxfId="50" priority="44">
      <formula>"'= TRUE(顯示注音輸入)"</formula>
    </cfRule>
  </conditionalFormatting>
  <conditionalFormatting sqref="D207:R207 D211:R211 D215:R215 D219:R219 D223:R223 D227:R227 D231:R231 D235:R235 D239:R239">
    <cfRule type="expression" dxfId="49" priority="41">
      <formula>顯示注音輸入</formula>
    </cfRule>
    <cfRule type="expression" dxfId="48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640-A47F-4E5D-97CC-218D5DA42E2F}">
  <dimension ref="B2:AC242"/>
  <sheetViews>
    <sheetView showGridLines="0" topLeftCell="A10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80" customWidth="1"/>
    <col min="19" max="19" width="3.69921875" style="1" customWidth="1"/>
    <col min="20" max="20" width="2.796875" customWidth="1"/>
    <col min="21" max="21" width="6.19921875" customWidth="1"/>
    <col min="22" max="22" width="71.69921875" style="60" customWidth="1"/>
    <col min="23" max="23" width="10.19921875" bestFit="1" customWidth="1"/>
  </cols>
  <sheetData>
    <row r="2" spans="2:29" s="51" customFormat="1" ht="36" customHeight="1"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89"/>
      <c r="V2" s="59">
        <f xml:space="preserve"> LEN(V3)</f>
        <v>143</v>
      </c>
    </row>
    <row r="3" spans="2:29" s="64" customFormat="1" ht="60" customHeight="1">
      <c r="B3" s="63"/>
      <c r="C3" s="84"/>
      <c r="D3" s="81"/>
      <c r="E3" s="81"/>
      <c r="F3" s="81"/>
      <c r="G3" s="81" t="s">
        <v>259</v>
      </c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T3" s="90"/>
      <c r="V3" s="109" t="s">
        <v>205</v>
      </c>
    </row>
    <row r="4" spans="2:29" s="1" customFormat="1" ht="36" customHeight="1">
      <c r="B4" s="56"/>
      <c r="D4" s="82" t="s">
        <v>266</v>
      </c>
      <c r="E4" s="82" t="s">
        <v>267</v>
      </c>
      <c r="F4" s="82" t="s">
        <v>268</v>
      </c>
      <c r="G4" s="82" t="s">
        <v>259</v>
      </c>
      <c r="H4" s="82" t="s">
        <v>269</v>
      </c>
      <c r="I4" s="82" t="s">
        <v>270</v>
      </c>
      <c r="J4" s="82" t="s">
        <v>271</v>
      </c>
      <c r="K4" s="82" t="s">
        <v>272</v>
      </c>
      <c r="L4" s="82" t="s">
        <v>273</v>
      </c>
      <c r="M4" s="82" t="s">
        <v>274</v>
      </c>
      <c r="N4" s="82"/>
      <c r="O4" s="82"/>
      <c r="P4" s="82"/>
      <c r="Q4" s="82"/>
      <c r="R4" s="82"/>
      <c r="S4" s="91"/>
      <c r="V4" s="110"/>
    </row>
    <row r="5" spans="2:29" s="1" customFormat="1" ht="80.099999999999994" customHeight="1">
      <c r="B5" s="57">
        <v>1</v>
      </c>
      <c r="D5" s="97" t="s">
        <v>206</v>
      </c>
      <c r="E5" s="97" t="s">
        <v>188</v>
      </c>
      <c r="F5" s="100" t="s">
        <v>207</v>
      </c>
      <c r="G5" s="97" t="s">
        <v>208</v>
      </c>
      <c r="H5" s="100" t="s">
        <v>209</v>
      </c>
      <c r="I5" s="97" t="s">
        <v>203</v>
      </c>
      <c r="J5" s="97" t="s">
        <v>192</v>
      </c>
      <c r="K5" s="97" t="s">
        <v>210</v>
      </c>
      <c r="L5" s="97" t="s">
        <v>211</v>
      </c>
      <c r="M5" s="97" t="s">
        <v>204</v>
      </c>
      <c r="N5" s="97"/>
      <c r="O5" s="97"/>
      <c r="P5" s="97"/>
      <c r="Q5" s="97"/>
      <c r="R5" s="97"/>
      <c r="S5" s="92"/>
      <c r="V5" s="110"/>
    </row>
    <row r="6" spans="2:29" s="50" customFormat="1" ht="36" customHeight="1">
      <c r="B6" s="58"/>
      <c r="C6" s="85"/>
      <c r="D6" s="83" t="s">
        <v>400</v>
      </c>
      <c r="E6" s="83" t="s">
        <v>401</v>
      </c>
      <c r="F6" s="83" t="s">
        <v>402</v>
      </c>
      <c r="G6" s="83" t="s">
        <v>403</v>
      </c>
      <c r="H6" s="83" t="s">
        <v>404</v>
      </c>
      <c r="I6" s="83" t="s">
        <v>405</v>
      </c>
      <c r="J6" s="83" t="s">
        <v>406</v>
      </c>
      <c r="K6" s="83" t="s">
        <v>407</v>
      </c>
      <c r="L6" s="83" t="s">
        <v>408</v>
      </c>
      <c r="M6" s="83" t="s">
        <v>409</v>
      </c>
      <c r="N6" s="83"/>
      <c r="O6" s="83"/>
      <c r="P6" s="83"/>
      <c r="Q6" s="83"/>
      <c r="R6" s="83"/>
      <c r="S6" s="93"/>
      <c r="V6" s="110"/>
    </row>
    <row r="7" spans="2:29" s="49" customFormat="1" ht="60" customHeight="1">
      <c r="B7" s="55"/>
      <c r="C7" s="86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66"/>
      <c r="V7" s="110"/>
    </row>
    <row r="8" spans="2:29" s="1" customFormat="1" ht="36" customHeight="1">
      <c r="B8" s="56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91"/>
      <c r="V8" s="110"/>
    </row>
    <row r="9" spans="2:29" s="1" customFormat="1" ht="80.099999999999994" customHeight="1">
      <c r="B9" s="57">
        <f>B5+1</f>
        <v>2</v>
      </c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2"/>
      <c r="T9" s="90"/>
      <c r="V9" s="110"/>
    </row>
    <row r="10" spans="2:29" s="1" customFormat="1" ht="36" customHeight="1">
      <c r="B10" s="58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94"/>
      <c r="V10" s="110"/>
    </row>
    <row r="11" spans="2:29" s="66" customFormat="1" ht="60" customHeight="1">
      <c r="B11" s="65"/>
      <c r="C11" s="87"/>
      <c r="D11" s="81"/>
      <c r="E11" s="81"/>
      <c r="F11" s="81"/>
      <c r="G11" s="81"/>
      <c r="H11" s="81"/>
      <c r="I11" s="81"/>
      <c r="J11" s="81"/>
      <c r="K11" s="81"/>
      <c r="L11" s="81" t="s">
        <v>260</v>
      </c>
      <c r="M11" s="81"/>
      <c r="N11" s="81"/>
      <c r="O11" s="81"/>
      <c r="P11" s="81"/>
      <c r="Q11" s="81"/>
      <c r="R11" s="81"/>
      <c r="V11" s="110"/>
    </row>
    <row r="12" spans="2:29" s="1" customFormat="1" ht="36" customHeight="1">
      <c r="B12" s="56"/>
      <c r="D12" s="82" t="s">
        <v>275</v>
      </c>
      <c r="E12" s="82" t="s">
        <v>276</v>
      </c>
      <c r="F12" s="82" t="s">
        <v>277</v>
      </c>
      <c r="G12" s="82" t="s">
        <v>332</v>
      </c>
      <c r="H12" s="82" t="s">
        <v>278</v>
      </c>
      <c r="I12" s="82" t="s">
        <v>279</v>
      </c>
      <c r="J12" s="82"/>
      <c r="K12" s="82" t="s">
        <v>323</v>
      </c>
      <c r="L12" s="82" t="s">
        <v>260</v>
      </c>
      <c r="M12" s="82"/>
      <c r="N12" s="82" t="s">
        <v>280</v>
      </c>
      <c r="O12" s="82" t="s">
        <v>316</v>
      </c>
      <c r="P12" s="82"/>
      <c r="Q12" s="82" t="s">
        <v>281</v>
      </c>
      <c r="R12" s="82" t="s">
        <v>324</v>
      </c>
      <c r="S12" s="91"/>
      <c r="V12" s="110"/>
    </row>
    <row r="13" spans="2:29" s="1" customFormat="1" ht="80.099999999999994" customHeight="1">
      <c r="B13" s="57">
        <f>B9+1</f>
        <v>3</v>
      </c>
      <c r="D13" s="100" t="s">
        <v>212</v>
      </c>
      <c r="E13" s="97" t="s">
        <v>213</v>
      </c>
      <c r="F13" s="97" t="s">
        <v>214</v>
      </c>
      <c r="G13" s="100" t="s">
        <v>318</v>
      </c>
      <c r="H13" s="97" t="s">
        <v>215</v>
      </c>
      <c r="I13" s="97" t="s">
        <v>200</v>
      </c>
      <c r="J13" s="97" t="s">
        <v>216</v>
      </c>
      <c r="K13" s="97" t="s">
        <v>217</v>
      </c>
      <c r="L13" s="97" t="s">
        <v>218</v>
      </c>
      <c r="M13" s="97" t="s">
        <v>216</v>
      </c>
      <c r="N13" s="97" t="s">
        <v>201</v>
      </c>
      <c r="O13" s="100" t="s">
        <v>219</v>
      </c>
      <c r="P13" s="97" t="s">
        <v>216</v>
      </c>
      <c r="Q13" s="97" t="s">
        <v>220</v>
      </c>
      <c r="R13" s="97" t="s">
        <v>221</v>
      </c>
      <c r="S13" s="92"/>
      <c r="V13" s="110"/>
    </row>
    <row r="14" spans="2:29" s="1" customFormat="1" ht="36" customHeight="1">
      <c r="B14" s="58"/>
      <c r="D14" s="83" t="s">
        <v>410</v>
      </c>
      <c r="E14" s="83" t="s">
        <v>411</v>
      </c>
      <c r="F14" s="83" t="s">
        <v>412</v>
      </c>
      <c r="G14" s="83" t="s">
        <v>413</v>
      </c>
      <c r="H14" s="83" t="s">
        <v>414</v>
      </c>
      <c r="I14" s="83" t="s">
        <v>415</v>
      </c>
      <c r="J14" s="83"/>
      <c r="K14" s="83" t="s">
        <v>416</v>
      </c>
      <c r="L14" s="83" t="s">
        <v>417</v>
      </c>
      <c r="M14" s="83"/>
      <c r="N14" s="83" t="s">
        <v>418</v>
      </c>
      <c r="O14" s="83" t="s">
        <v>419</v>
      </c>
      <c r="P14" s="83"/>
      <c r="Q14" s="83" t="s">
        <v>420</v>
      </c>
      <c r="R14" s="83" t="s">
        <v>421</v>
      </c>
      <c r="S14" s="94"/>
      <c r="V14" s="110"/>
    </row>
    <row r="15" spans="2:29" s="67" customFormat="1" ht="60" customHeight="1">
      <c r="B15" s="63"/>
      <c r="C15" s="88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V15" s="110"/>
      <c r="AC15" s="67" t="s">
        <v>182</v>
      </c>
    </row>
    <row r="16" spans="2:29" s="1" customFormat="1" ht="36" customHeight="1">
      <c r="B16" s="56"/>
      <c r="D16" s="82" t="s">
        <v>333</v>
      </c>
      <c r="E16" s="82" t="s">
        <v>282</v>
      </c>
      <c r="F16" s="82" t="s">
        <v>325</v>
      </c>
      <c r="G16" s="82" t="s">
        <v>283</v>
      </c>
      <c r="H16" s="82" t="s">
        <v>269</v>
      </c>
      <c r="I16" s="82" t="s">
        <v>284</v>
      </c>
      <c r="J16" s="82" t="s">
        <v>285</v>
      </c>
      <c r="K16" s="82"/>
      <c r="L16" s="82" t="s">
        <v>326</v>
      </c>
      <c r="M16" s="82" t="s">
        <v>286</v>
      </c>
      <c r="N16" s="82" t="s">
        <v>287</v>
      </c>
      <c r="O16" s="82" t="s">
        <v>284</v>
      </c>
      <c r="P16" s="82" t="s">
        <v>269</v>
      </c>
      <c r="Q16" s="82" t="s">
        <v>284</v>
      </c>
      <c r="R16" s="82" t="s">
        <v>285</v>
      </c>
      <c r="S16" s="91"/>
      <c r="V16" s="110"/>
    </row>
    <row r="17" spans="2:22" s="1" customFormat="1" ht="80.099999999999994" customHeight="1">
      <c r="B17" s="57">
        <f>B13+1</f>
        <v>4</v>
      </c>
      <c r="D17" s="100" t="s">
        <v>331</v>
      </c>
      <c r="E17" s="97" t="s">
        <v>223</v>
      </c>
      <c r="F17" s="97" t="s">
        <v>224</v>
      </c>
      <c r="G17" s="97" t="s">
        <v>202</v>
      </c>
      <c r="H17" s="100" t="s">
        <v>209</v>
      </c>
      <c r="I17" s="97" t="s">
        <v>225</v>
      </c>
      <c r="J17" s="97" t="s">
        <v>226</v>
      </c>
      <c r="K17" s="97" t="s">
        <v>183</v>
      </c>
      <c r="L17" s="97" t="s">
        <v>197</v>
      </c>
      <c r="M17" s="97" t="s">
        <v>227</v>
      </c>
      <c r="N17" s="97" t="s">
        <v>185</v>
      </c>
      <c r="O17" s="97" t="s">
        <v>225</v>
      </c>
      <c r="P17" s="100" t="s">
        <v>209</v>
      </c>
      <c r="Q17" s="97" t="s">
        <v>225</v>
      </c>
      <c r="R17" s="97" t="s">
        <v>226</v>
      </c>
      <c r="S17" s="92"/>
      <c r="V17" s="110"/>
    </row>
    <row r="18" spans="2:22" s="1" customFormat="1" ht="36" customHeight="1">
      <c r="B18" s="58"/>
      <c r="D18" s="83" t="s">
        <v>422</v>
      </c>
      <c r="E18" s="83" t="s">
        <v>423</v>
      </c>
      <c r="F18" s="83" t="s">
        <v>424</v>
      </c>
      <c r="G18" s="83" t="s">
        <v>425</v>
      </c>
      <c r="H18" s="83" t="s">
        <v>404</v>
      </c>
      <c r="I18" s="83" t="s">
        <v>426</v>
      </c>
      <c r="J18" s="83" t="s">
        <v>427</v>
      </c>
      <c r="K18" s="83"/>
      <c r="L18" s="83" t="s">
        <v>428</v>
      </c>
      <c r="M18" s="83" t="s">
        <v>429</v>
      </c>
      <c r="N18" s="83" t="s">
        <v>430</v>
      </c>
      <c r="O18" s="83" t="s">
        <v>426</v>
      </c>
      <c r="P18" s="83" t="s">
        <v>404</v>
      </c>
      <c r="Q18" s="83" t="s">
        <v>426</v>
      </c>
      <c r="R18" s="83" t="s">
        <v>427</v>
      </c>
      <c r="S18" s="94"/>
      <c r="V18" s="110"/>
    </row>
    <row r="19" spans="2:22" s="67" customFormat="1" ht="60" customHeight="1">
      <c r="B19" s="63"/>
      <c r="C19" s="88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 t="s">
        <v>314</v>
      </c>
      <c r="Q19" s="81"/>
      <c r="R19" s="81"/>
      <c r="V19" s="110"/>
    </row>
    <row r="20" spans="2:22" s="1" customFormat="1" ht="36" customHeight="1">
      <c r="B20" s="56"/>
      <c r="D20" s="82"/>
      <c r="E20" s="82" t="s">
        <v>266</v>
      </c>
      <c r="F20" s="82" t="s">
        <v>288</v>
      </c>
      <c r="G20" s="82" t="s">
        <v>289</v>
      </c>
      <c r="H20" s="82" t="s">
        <v>269</v>
      </c>
      <c r="I20" s="82" t="s">
        <v>284</v>
      </c>
      <c r="J20" s="82" t="s">
        <v>285</v>
      </c>
      <c r="K20" s="82"/>
      <c r="L20" s="82" t="s">
        <v>290</v>
      </c>
      <c r="M20" s="82" t="s">
        <v>333</v>
      </c>
      <c r="N20" s="82" t="s">
        <v>291</v>
      </c>
      <c r="O20" s="82" t="s">
        <v>292</v>
      </c>
      <c r="P20" s="82" t="s">
        <v>314</v>
      </c>
      <c r="Q20" s="82" t="s">
        <v>293</v>
      </c>
      <c r="R20" s="82"/>
      <c r="S20" s="91"/>
      <c r="V20" s="110"/>
    </row>
    <row r="21" spans="2:22" s="1" customFormat="1" ht="80.099999999999994" customHeight="1">
      <c r="B21" s="57">
        <f>B17+1</f>
        <v>5</v>
      </c>
      <c r="D21" s="97" t="s">
        <v>183</v>
      </c>
      <c r="E21" s="97" t="s">
        <v>261</v>
      </c>
      <c r="F21" s="97" t="s">
        <v>228</v>
      </c>
      <c r="G21" s="97" t="s">
        <v>195</v>
      </c>
      <c r="H21" s="97" t="s">
        <v>209</v>
      </c>
      <c r="I21" s="97" t="s">
        <v>225</v>
      </c>
      <c r="J21" s="97" t="s">
        <v>226</v>
      </c>
      <c r="K21" s="97" t="s">
        <v>183</v>
      </c>
      <c r="L21" s="97" t="s">
        <v>229</v>
      </c>
      <c r="M21" s="101" t="s">
        <v>320</v>
      </c>
      <c r="N21" s="97" t="s">
        <v>230</v>
      </c>
      <c r="O21" s="97" t="s">
        <v>231</v>
      </c>
      <c r="P21" s="97" t="s">
        <v>196</v>
      </c>
      <c r="Q21" s="97" t="s">
        <v>232</v>
      </c>
      <c r="R21" s="97" t="s">
        <v>216</v>
      </c>
      <c r="S21" s="92"/>
      <c r="V21" s="110"/>
    </row>
    <row r="22" spans="2:22" s="1" customFormat="1" ht="36" customHeight="1">
      <c r="B22" s="58"/>
      <c r="D22" s="83"/>
      <c r="E22" s="83" t="s">
        <v>400</v>
      </c>
      <c r="F22" s="83" t="s">
        <v>431</v>
      </c>
      <c r="G22" s="83" t="s">
        <v>432</v>
      </c>
      <c r="H22" s="83" t="s">
        <v>404</v>
      </c>
      <c r="I22" s="83" t="s">
        <v>426</v>
      </c>
      <c r="J22" s="83" t="s">
        <v>427</v>
      </c>
      <c r="K22" s="83"/>
      <c r="L22" s="83" t="s">
        <v>433</v>
      </c>
      <c r="M22" s="83" t="s">
        <v>422</v>
      </c>
      <c r="N22" s="83" t="s">
        <v>434</v>
      </c>
      <c r="O22" s="83" t="s">
        <v>435</v>
      </c>
      <c r="P22" s="83" t="s">
        <v>436</v>
      </c>
      <c r="Q22" s="83" t="s">
        <v>437</v>
      </c>
      <c r="R22" s="83"/>
      <c r="S22" s="94"/>
      <c r="V22" s="111"/>
    </row>
    <row r="23" spans="2:22" s="67" customFormat="1" ht="60" customHeight="1">
      <c r="B23" s="63"/>
      <c r="C23" s="88"/>
      <c r="D23" s="81" t="s">
        <v>314</v>
      </c>
      <c r="E23" s="81"/>
      <c r="F23" s="81"/>
      <c r="G23" s="81" t="s">
        <v>315</v>
      </c>
      <c r="H23" s="81"/>
      <c r="I23" s="81"/>
      <c r="J23" s="81"/>
      <c r="K23" s="81"/>
      <c r="L23" s="81"/>
      <c r="M23" s="81" t="s">
        <v>262</v>
      </c>
      <c r="N23" s="81"/>
      <c r="O23" s="81"/>
      <c r="P23" s="81"/>
      <c r="Q23" s="81"/>
      <c r="R23" s="81"/>
      <c r="V23" s="68"/>
    </row>
    <row r="24" spans="2:22" s="1" customFormat="1" ht="36" customHeight="1">
      <c r="B24" s="56"/>
      <c r="D24" s="82" t="s">
        <v>314</v>
      </c>
      <c r="E24" s="82" t="s">
        <v>293</v>
      </c>
      <c r="F24" s="82" t="s">
        <v>327</v>
      </c>
      <c r="G24" s="82" t="s">
        <v>315</v>
      </c>
      <c r="H24" s="82" t="s">
        <v>257</v>
      </c>
      <c r="I24" s="82" t="s">
        <v>275</v>
      </c>
      <c r="J24" s="82" t="s">
        <v>283</v>
      </c>
      <c r="K24" s="82" t="s">
        <v>294</v>
      </c>
      <c r="L24" s="82" t="s">
        <v>269</v>
      </c>
      <c r="M24" s="82" t="s">
        <v>262</v>
      </c>
      <c r="N24" s="82" t="s">
        <v>295</v>
      </c>
      <c r="O24" s="82"/>
      <c r="P24" s="82"/>
      <c r="Q24" s="82"/>
      <c r="R24" s="82"/>
      <c r="S24" s="91"/>
      <c r="V24" s="60"/>
    </row>
    <row r="25" spans="2:22" s="1" customFormat="1" ht="80.099999999999994" customHeight="1">
      <c r="B25" s="57">
        <f>B21+1</f>
        <v>6</v>
      </c>
      <c r="D25" s="97" t="s">
        <v>196</v>
      </c>
      <c r="E25" s="97" t="s">
        <v>232</v>
      </c>
      <c r="F25" s="97" t="s">
        <v>199</v>
      </c>
      <c r="G25" s="97" t="s">
        <v>233</v>
      </c>
      <c r="H25" s="97" t="s">
        <v>331</v>
      </c>
      <c r="I25" s="100" t="s">
        <v>212</v>
      </c>
      <c r="J25" s="97" t="s">
        <v>234</v>
      </c>
      <c r="K25" s="97" t="s">
        <v>235</v>
      </c>
      <c r="L25" s="100" t="s">
        <v>209</v>
      </c>
      <c r="M25" s="100" t="s">
        <v>236</v>
      </c>
      <c r="N25" s="97" t="s">
        <v>237</v>
      </c>
      <c r="O25" s="97" t="s">
        <v>186</v>
      </c>
      <c r="P25" s="97"/>
      <c r="Q25" s="97"/>
      <c r="R25" s="97"/>
      <c r="S25" s="92"/>
      <c r="V25" s="60"/>
    </row>
    <row r="26" spans="2:22" s="1" customFormat="1" ht="36" customHeight="1">
      <c r="B26" s="58"/>
      <c r="D26" s="83" t="s">
        <v>436</v>
      </c>
      <c r="E26" s="83" t="s">
        <v>437</v>
      </c>
      <c r="F26" s="83" t="s">
        <v>438</v>
      </c>
      <c r="G26" s="83" t="s">
        <v>439</v>
      </c>
      <c r="H26" s="83" t="s">
        <v>440</v>
      </c>
      <c r="I26" s="83" t="s">
        <v>410</v>
      </c>
      <c r="J26" s="83" t="s">
        <v>425</v>
      </c>
      <c r="K26" s="83" t="s">
        <v>441</v>
      </c>
      <c r="L26" s="83" t="s">
        <v>404</v>
      </c>
      <c r="M26" s="83" t="s">
        <v>442</v>
      </c>
      <c r="N26" s="83" t="s">
        <v>443</v>
      </c>
      <c r="O26" s="83"/>
      <c r="P26" s="83"/>
      <c r="Q26" s="83"/>
      <c r="R26" s="83"/>
      <c r="S26" s="94"/>
      <c r="U26" s="1" t="str">
        <f xml:space="preserve"> MID($N$26,3,1)</f>
        <v>̄</v>
      </c>
      <c r="V26" s="60"/>
    </row>
    <row r="27" spans="2:22" s="67" customFormat="1" ht="60" customHeight="1">
      <c r="B27" s="63"/>
      <c r="C27" s="88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U27" s="67" t="str">
        <f t="shared" ref="U27:U32" si="0" xml:space="preserve"> MID($N$26,4,1)</f>
        <v>a</v>
      </c>
      <c r="V27" s="68"/>
    </row>
    <row r="28" spans="2:22" s="1" customFormat="1" ht="36" customHeight="1">
      <c r="B28" s="56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91"/>
      <c r="U28" s="67" t="str">
        <f t="shared" si="0"/>
        <v>a</v>
      </c>
      <c r="V28" s="60"/>
    </row>
    <row r="29" spans="2:22" s="1" customFormat="1" ht="80.099999999999994" customHeight="1">
      <c r="B29" s="57">
        <f>B25+1</f>
        <v>7</v>
      </c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2"/>
      <c r="U29" s="67" t="str">
        <f t="shared" si="0"/>
        <v>a</v>
      </c>
      <c r="V29" s="60"/>
    </row>
    <row r="30" spans="2:22" s="1" customFormat="1" ht="36" customHeight="1">
      <c r="B30" s="58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94"/>
      <c r="U30" s="67" t="str">
        <f t="shared" si="0"/>
        <v>a</v>
      </c>
      <c r="V30" s="60"/>
    </row>
    <row r="31" spans="2:22" s="67" customFormat="1" ht="60" customHeight="1">
      <c r="B31" s="63"/>
      <c r="C31" s="88"/>
      <c r="D31" s="81"/>
      <c r="E31" s="81"/>
      <c r="F31" s="81"/>
      <c r="G31" s="81"/>
      <c r="H31" s="81"/>
      <c r="I31" s="81"/>
      <c r="J31" s="81"/>
      <c r="K31" s="81" t="s">
        <v>260</v>
      </c>
      <c r="L31" s="81"/>
      <c r="M31" s="81"/>
      <c r="N31" s="81"/>
      <c r="O31" s="81" t="s">
        <v>263</v>
      </c>
      <c r="P31" s="81"/>
      <c r="Q31" s="81"/>
      <c r="R31" s="81"/>
      <c r="U31" s="67" t="str">
        <f t="shared" si="0"/>
        <v>a</v>
      </c>
      <c r="V31" s="68"/>
    </row>
    <row r="32" spans="2:22" s="1" customFormat="1" ht="36" customHeight="1">
      <c r="B32" s="56"/>
      <c r="D32" s="82" t="s">
        <v>275</v>
      </c>
      <c r="E32" s="82" t="s">
        <v>280</v>
      </c>
      <c r="F32" s="82" t="s">
        <v>316</v>
      </c>
      <c r="G32" s="82"/>
      <c r="H32" s="82" t="s">
        <v>282</v>
      </c>
      <c r="I32" s="82" t="s">
        <v>333</v>
      </c>
      <c r="J32" s="82" t="s">
        <v>323</v>
      </c>
      <c r="K32" s="82" t="s">
        <v>260</v>
      </c>
      <c r="L32" s="82" t="s">
        <v>284</v>
      </c>
      <c r="M32" s="82" t="s">
        <v>285</v>
      </c>
      <c r="N32" s="82" t="s">
        <v>296</v>
      </c>
      <c r="O32" s="82" t="s">
        <v>263</v>
      </c>
      <c r="P32" s="82" t="s">
        <v>269</v>
      </c>
      <c r="Q32" s="82" t="s">
        <v>297</v>
      </c>
      <c r="R32" s="82" t="s">
        <v>298</v>
      </c>
      <c r="S32" s="91"/>
      <c r="U32" s="67" t="str">
        <f t="shared" si="0"/>
        <v>a</v>
      </c>
      <c r="V32" s="60"/>
    </row>
    <row r="33" spans="2:22" s="1" customFormat="1" ht="80.099999999999994" customHeight="1">
      <c r="B33" s="57">
        <f>B29+1</f>
        <v>8</v>
      </c>
      <c r="D33" s="97" t="s">
        <v>212</v>
      </c>
      <c r="E33" s="97" t="s">
        <v>201</v>
      </c>
      <c r="F33" s="100" t="s">
        <v>219</v>
      </c>
      <c r="G33" s="97" t="s">
        <v>216</v>
      </c>
      <c r="H33" s="97" t="s">
        <v>223</v>
      </c>
      <c r="I33" s="100" t="s">
        <v>331</v>
      </c>
      <c r="J33" s="97" t="s">
        <v>217</v>
      </c>
      <c r="K33" s="97" t="s">
        <v>218</v>
      </c>
      <c r="L33" s="97" t="s">
        <v>225</v>
      </c>
      <c r="M33" s="97" t="s">
        <v>226</v>
      </c>
      <c r="N33" s="97" t="s">
        <v>238</v>
      </c>
      <c r="O33" s="97" t="s">
        <v>187</v>
      </c>
      <c r="P33" s="100" t="s">
        <v>209</v>
      </c>
      <c r="Q33" s="100" t="s">
        <v>239</v>
      </c>
      <c r="R33" s="100" t="s">
        <v>240</v>
      </c>
      <c r="S33" s="92"/>
      <c r="V33" s="60"/>
    </row>
    <row r="34" spans="2:22" s="1" customFormat="1" ht="36" customHeight="1">
      <c r="B34" s="58"/>
      <c r="D34" s="83" t="s">
        <v>410</v>
      </c>
      <c r="E34" s="83" t="s">
        <v>418</v>
      </c>
      <c r="F34" s="83" t="s">
        <v>419</v>
      </c>
      <c r="G34" s="83"/>
      <c r="H34" s="83" t="s">
        <v>423</v>
      </c>
      <c r="I34" s="83" t="s">
        <v>422</v>
      </c>
      <c r="J34" s="83" t="s">
        <v>416</v>
      </c>
      <c r="K34" s="83" t="s">
        <v>417</v>
      </c>
      <c r="L34" s="83" t="s">
        <v>426</v>
      </c>
      <c r="M34" s="83" t="s">
        <v>427</v>
      </c>
      <c r="N34" s="83" t="s">
        <v>444</v>
      </c>
      <c r="O34" s="83" t="s">
        <v>445</v>
      </c>
      <c r="P34" s="83" t="s">
        <v>404</v>
      </c>
      <c r="Q34" s="83" t="s">
        <v>446</v>
      </c>
      <c r="R34" s="83" t="s">
        <v>447</v>
      </c>
      <c r="S34" s="94"/>
      <c r="V34" s="60"/>
    </row>
    <row r="35" spans="2:22" s="67" customFormat="1" ht="60" customHeight="1">
      <c r="B35" s="63"/>
      <c r="C35" s="88"/>
      <c r="D35" s="81"/>
      <c r="E35" s="81"/>
      <c r="F35" s="81"/>
      <c r="G35" s="81"/>
      <c r="H35" s="81"/>
      <c r="I35" s="81"/>
      <c r="J35" s="81" t="s">
        <v>264</v>
      </c>
      <c r="K35" s="81"/>
      <c r="L35" s="81"/>
      <c r="M35" s="81"/>
      <c r="N35" s="81"/>
      <c r="O35" s="81"/>
      <c r="P35" s="81"/>
      <c r="Q35" s="81"/>
      <c r="R35" s="81"/>
      <c r="V35" s="68"/>
    </row>
    <row r="36" spans="2:22" s="1" customFormat="1" ht="36" customHeight="1">
      <c r="B36" s="56"/>
      <c r="D36" s="82"/>
      <c r="E36" s="82" t="s">
        <v>299</v>
      </c>
      <c r="F36" s="82" t="s">
        <v>300</v>
      </c>
      <c r="G36" s="82" t="s">
        <v>328</v>
      </c>
      <c r="H36" s="82" t="s">
        <v>301</v>
      </c>
      <c r="I36" s="82" t="s">
        <v>302</v>
      </c>
      <c r="J36" s="82" t="s">
        <v>264</v>
      </c>
      <c r="K36" s="82"/>
      <c r="L36" s="82" t="s">
        <v>290</v>
      </c>
      <c r="M36" s="82" t="s">
        <v>330</v>
      </c>
      <c r="N36" s="82" t="s">
        <v>275</v>
      </c>
      <c r="O36" s="82" t="s">
        <v>303</v>
      </c>
      <c r="P36" s="82" t="s">
        <v>317</v>
      </c>
      <c r="Q36" s="82"/>
      <c r="R36" s="82"/>
      <c r="S36" s="91"/>
      <c r="V36" s="60"/>
    </row>
    <row r="37" spans="2:22" s="1" customFormat="1" ht="80.099999999999994" customHeight="1">
      <c r="B37" s="57">
        <f>B33+1</f>
        <v>9</v>
      </c>
      <c r="D37" s="97" t="s">
        <v>183</v>
      </c>
      <c r="E37" s="97" t="s">
        <v>241</v>
      </c>
      <c r="F37" s="97" t="s">
        <v>191</v>
      </c>
      <c r="G37" s="97" t="s">
        <v>198</v>
      </c>
      <c r="H37" s="97" t="s">
        <v>189</v>
      </c>
      <c r="I37" s="100" t="s">
        <v>265</v>
      </c>
      <c r="J37" s="100" t="s">
        <v>242</v>
      </c>
      <c r="K37" s="97" t="s">
        <v>183</v>
      </c>
      <c r="L37" s="97" t="s">
        <v>229</v>
      </c>
      <c r="M37" s="102" t="s">
        <v>319</v>
      </c>
      <c r="N37" s="100" t="s">
        <v>212</v>
      </c>
      <c r="O37" s="97" t="s">
        <v>243</v>
      </c>
      <c r="P37" s="100" t="s">
        <v>244</v>
      </c>
      <c r="Q37" s="97" t="s">
        <v>186</v>
      </c>
      <c r="R37" s="97"/>
      <c r="S37" s="92"/>
      <c r="V37" s="60"/>
    </row>
    <row r="38" spans="2:22" s="1" customFormat="1" ht="36" customHeight="1">
      <c r="B38" s="58"/>
      <c r="D38" s="83"/>
      <c r="E38" s="83" t="s">
        <v>448</v>
      </c>
      <c r="F38" s="83" t="s">
        <v>449</v>
      </c>
      <c r="G38" s="83" t="s">
        <v>450</v>
      </c>
      <c r="H38" s="83" t="s">
        <v>451</v>
      </c>
      <c r="I38" s="83" t="s">
        <v>452</v>
      </c>
      <c r="J38" s="83" t="s">
        <v>453</v>
      </c>
      <c r="K38" s="83"/>
      <c r="L38" s="83" t="s">
        <v>433</v>
      </c>
      <c r="M38" s="83" t="s">
        <v>454</v>
      </c>
      <c r="N38" s="83" t="s">
        <v>410</v>
      </c>
      <c r="O38" s="83" t="s">
        <v>455</v>
      </c>
      <c r="P38" s="83" t="s">
        <v>456</v>
      </c>
      <c r="Q38" s="83"/>
      <c r="R38" s="83"/>
      <c r="S38" s="94"/>
      <c r="V38" s="60"/>
    </row>
    <row r="39" spans="2:22" s="67" customFormat="1" ht="60" customHeight="1">
      <c r="B39" s="63"/>
      <c r="C39" s="88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V39" s="68"/>
    </row>
    <row r="40" spans="2:22" s="1" customFormat="1" ht="36" customHeight="1">
      <c r="B40" s="56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91"/>
      <c r="V40" s="60"/>
    </row>
    <row r="41" spans="2:22" s="1" customFormat="1" ht="80.099999999999994" customHeight="1">
      <c r="B41" s="57">
        <f>B37+1</f>
        <v>10</v>
      </c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2"/>
      <c r="V41" s="60"/>
    </row>
    <row r="42" spans="2:22" s="1" customFormat="1" ht="36" customHeight="1">
      <c r="B42" s="58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94"/>
      <c r="V42" s="60"/>
    </row>
    <row r="43" spans="2:22" s="67" customFormat="1" ht="60" customHeight="1">
      <c r="B43" s="63"/>
      <c r="C43" s="88"/>
      <c r="D43" s="81"/>
      <c r="E43" s="81"/>
      <c r="F43" s="81"/>
      <c r="G43" s="81"/>
      <c r="H43" s="81"/>
      <c r="I43" s="81"/>
      <c r="J43" s="81" t="s">
        <v>256</v>
      </c>
      <c r="K43" s="81"/>
      <c r="L43" s="81"/>
      <c r="M43" s="81"/>
      <c r="N43" s="81"/>
      <c r="O43" s="81"/>
      <c r="P43" s="81"/>
      <c r="Q43" s="81"/>
      <c r="R43" s="81"/>
      <c r="V43" s="68"/>
    </row>
    <row r="44" spans="2:22" s="1" customFormat="1" ht="36" customHeight="1">
      <c r="B44" s="56"/>
      <c r="D44" s="82" t="s">
        <v>275</v>
      </c>
      <c r="E44" s="82" t="s">
        <v>329</v>
      </c>
      <c r="F44" s="82" t="s">
        <v>291</v>
      </c>
      <c r="G44" s="82" t="s">
        <v>304</v>
      </c>
      <c r="H44" s="82" t="s">
        <v>267</v>
      </c>
      <c r="I44" s="82" t="s">
        <v>305</v>
      </c>
      <c r="J44" s="82" t="s">
        <v>306</v>
      </c>
      <c r="K44" s="82" t="s">
        <v>257</v>
      </c>
      <c r="L44" s="82" t="s">
        <v>305</v>
      </c>
      <c r="M44" s="82" t="s">
        <v>307</v>
      </c>
      <c r="N44" s="82" t="s">
        <v>269</v>
      </c>
      <c r="O44" s="82" t="s">
        <v>308</v>
      </c>
      <c r="P44" s="82" t="s">
        <v>309</v>
      </c>
      <c r="Q44" s="82"/>
      <c r="R44" s="82" t="s">
        <v>275</v>
      </c>
      <c r="S44" s="91"/>
      <c r="V44" s="60"/>
    </row>
    <row r="45" spans="2:22" s="1" customFormat="1" ht="80.099999999999994" customHeight="1">
      <c r="B45" s="57">
        <f>B41+1</f>
        <v>11</v>
      </c>
      <c r="D45" s="100" t="s">
        <v>212</v>
      </c>
      <c r="E45" s="97" t="s">
        <v>245</v>
      </c>
      <c r="F45" s="97" t="s">
        <v>246</v>
      </c>
      <c r="G45" s="97" t="s">
        <v>190</v>
      </c>
      <c r="H45" s="97" t="s">
        <v>188</v>
      </c>
      <c r="I45" s="100" t="s">
        <v>247</v>
      </c>
      <c r="J45" s="100" t="s">
        <v>184</v>
      </c>
      <c r="K45" s="97" t="s">
        <v>258</v>
      </c>
      <c r="L45" s="100" t="s">
        <v>247</v>
      </c>
      <c r="M45" s="97" t="s">
        <v>248</v>
      </c>
      <c r="N45" s="100" t="s">
        <v>209</v>
      </c>
      <c r="O45" s="97" t="s">
        <v>249</v>
      </c>
      <c r="P45" s="97" t="s">
        <v>250</v>
      </c>
      <c r="Q45" s="97" t="s">
        <v>183</v>
      </c>
      <c r="R45" s="100" t="s">
        <v>212</v>
      </c>
      <c r="S45" s="92"/>
      <c r="V45" s="60"/>
    </row>
    <row r="46" spans="2:22" s="1" customFormat="1" ht="36" customHeight="1">
      <c r="B46" s="58"/>
      <c r="D46" s="83" t="s">
        <v>410</v>
      </c>
      <c r="E46" s="83" t="s">
        <v>457</v>
      </c>
      <c r="F46" s="83" t="s">
        <v>434</v>
      </c>
      <c r="G46" s="83" t="s">
        <v>458</v>
      </c>
      <c r="H46" s="83" t="s">
        <v>401</v>
      </c>
      <c r="I46" s="83" t="s">
        <v>459</v>
      </c>
      <c r="J46" s="83"/>
      <c r="K46" s="83" t="s">
        <v>440</v>
      </c>
      <c r="L46" s="83" t="s">
        <v>459</v>
      </c>
      <c r="M46" s="83" t="s">
        <v>460</v>
      </c>
      <c r="N46" s="83" t="s">
        <v>404</v>
      </c>
      <c r="O46" s="83" t="s">
        <v>461</v>
      </c>
      <c r="P46" s="83" t="s">
        <v>462</v>
      </c>
      <c r="Q46" s="83"/>
      <c r="R46" s="83" t="s">
        <v>410</v>
      </c>
      <c r="S46" s="94"/>
      <c r="V46" s="60"/>
    </row>
    <row r="47" spans="2:22" s="67" customFormat="1" ht="60" customHeight="1">
      <c r="B47" s="63"/>
      <c r="C47" s="88"/>
      <c r="D47" s="81"/>
      <c r="E47" s="81"/>
      <c r="F47" s="81"/>
      <c r="G47" s="81"/>
      <c r="H47" s="81"/>
      <c r="I47" s="81"/>
      <c r="J47" s="81" t="s">
        <v>260</v>
      </c>
      <c r="K47" s="81"/>
      <c r="L47" s="81"/>
      <c r="M47" s="81"/>
      <c r="N47" s="81"/>
      <c r="O47" s="81"/>
      <c r="P47" s="81"/>
      <c r="Q47" s="81"/>
      <c r="R47" s="81"/>
      <c r="V47" s="68"/>
    </row>
    <row r="48" spans="2:22" s="1" customFormat="1" ht="36" customHeight="1">
      <c r="B48" s="56"/>
      <c r="D48" s="82" t="s">
        <v>280</v>
      </c>
      <c r="E48" s="82" t="s">
        <v>316</v>
      </c>
      <c r="F48" s="82"/>
      <c r="G48" s="82" t="s">
        <v>282</v>
      </c>
      <c r="H48" s="82" t="s">
        <v>257</v>
      </c>
      <c r="I48" s="82" t="s">
        <v>323</v>
      </c>
      <c r="J48" s="82" t="s">
        <v>260</v>
      </c>
      <c r="K48" s="82" t="s">
        <v>299</v>
      </c>
      <c r="L48" s="82"/>
      <c r="M48" s="82" t="s">
        <v>299</v>
      </c>
      <c r="N48" s="82" t="s">
        <v>300</v>
      </c>
      <c r="O48" s="82" t="s">
        <v>284</v>
      </c>
      <c r="P48" s="82" t="s">
        <v>285</v>
      </c>
      <c r="Q48" s="82" t="s">
        <v>269</v>
      </c>
      <c r="R48" s="82" t="s">
        <v>310</v>
      </c>
      <c r="S48" s="91"/>
      <c r="V48" s="60"/>
    </row>
    <row r="49" spans="2:22" s="1" customFormat="1" ht="80.099999999999994" customHeight="1">
      <c r="B49" s="57">
        <f>B45+1</f>
        <v>12</v>
      </c>
      <c r="D49" s="97" t="s">
        <v>201</v>
      </c>
      <c r="E49" s="100" t="s">
        <v>219</v>
      </c>
      <c r="F49" s="97" t="s">
        <v>216</v>
      </c>
      <c r="G49" s="97" t="s">
        <v>223</v>
      </c>
      <c r="H49" s="97" t="s">
        <v>222</v>
      </c>
      <c r="I49" s="97" t="s">
        <v>217</v>
      </c>
      <c r="J49" s="97" t="s">
        <v>218</v>
      </c>
      <c r="K49" s="100" t="s">
        <v>241</v>
      </c>
      <c r="L49" s="97" t="s">
        <v>183</v>
      </c>
      <c r="M49" s="97" t="s">
        <v>241</v>
      </c>
      <c r="N49" s="97" t="s">
        <v>191</v>
      </c>
      <c r="O49" s="97" t="s">
        <v>225</v>
      </c>
      <c r="P49" s="97" t="s">
        <v>226</v>
      </c>
      <c r="Q49" s="100" t="s">
        <v>209</v>
      </c>
      <c r="R49" s="97" t="s">
        <v>251</v>
      </c>
      <c r="S49" s="92"/>
      <c r="V49" s="60"/>
    </row>
    <row r="50" spans="2:22" s="1" customFormat="1" ht="36" customHeight="1">
      <c r="B50" s="58"/>
      <c r="D50" s="83" t="s">
        <v>418</v>
      </c>
      <c r="E50" s="83" t="s">
        <v>419</v>
      </c>
      <c r="F50" s="83"/>
      <c r="G50" s="83" t="s">
        <v>423</v>
      </c>
      <c r="H50" s="83" t="s">
        <v>440</v>
      </c>
      <c r="I50" s="83" t="s">
        <v>416</v>
      </c>
      <c r="J50" s="83" t="s">
        <v>417</v>
      </c>
      <c r="K50" s="83" t="s">
        <v>448</v>
      </c>
      <c r="L50" s="83"/>
      <c r="M50" s="83" t="s">
        <v>448</v>
      </c>
      <c r="N50" s="83" t="s">
        <v>449</v>
      </c>
      <c r="O50" s="83" t="s">
        <v>426</v>
      </c>
      <c r="P50" s="83" t="s">
        <v>427</v>
      </c>
      <c r="Q50" s="83" t="s">
        <v>404</v>
      </c>
      <c r="R50" s="83" t="s">
        <v>463</v>
      </c>
      <c r="S50" s="94"/>
      <c r="V50" s="60"/>
    </row>
    <row r="51" spans="2:22" s="67" customFormat="1" ht="60" customHeight="1">
      <c r="B51" s="63"/>
      <c r="C51" s="88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V51" s="68"/>
    </row>
    <row r="52" spans="2:22" s="1" customFormat="1" ht="36" customHeight="1">
      <c r="B52" s="56"/>
      <c r="D52" s="82" t="s">
        <v>311</v>
      </c>
      <c r="E52" s="82"/>
      <c r="F52" s="82" t="s">
        <v>290</v>
      </c>
      <c r="G52" s="82" t="s">
        <v>330</v>
      </c>
      <c r="H52" s="82" t="s">
        <v>275</v>
      </c>
      <c r="I52" s="82" t="s">
        <v>283</v>
      </c>
      <c r="J52" s="82" t="s">
        <v>305</v>
      </c>
      <c r="K52" s="82" t="s">
        <v>269</v>
      </c>
      <c r="L52" s="82" t="s">
        <v>312</v>
      </c>
      <c r="M52" s="82" t="s">
        <v>313</v>
      </c>
      <c r="N52" s="82"/>
      <c r="O52" s="82"/>
      <c r="P52" s="82"/>
      <c r="Q52" s="82"/>
      <c r="R52" s="82"/>
      <c r="S52" s="91"/>
      <c r="V52" s="60"/>
    </row>
    <row r="53" spans="2:22" s="1" customFormat="1" ht="80.099999999999994" customHeight="1">
      <c r="B53" s="57">
        <f>B49+1</f>
        <v>13</v>
      </c>
      <c r="D53" s="97" t="s">
        <v>252</v>
      </c>
      <c r="E53" s="97" t="s">
        <v>183</v>
      </c>
      <c r="F53" s="97" t="s">
        <v>229</v>
      </c>
      <c r="G53" s="102" t="s">
        <v>319</v>
      </c>
      <c r="H53" s="100" t="s">
        <v>212</v>
      </c>
      <c r="I53" s="97" t="s">
        <v>234</v>
      </c>
      <c r="J53" s="97" t="s">
        <v>253</v>
      </c>
      <c r="K53" s="100" t="s">
        <v>209</v>
      </c>
      <c r="L53" s="97" t="s">
        <v>254</v>
      </c>
      <c r="M53" s="97" t="s">
        <v>255</v>
      </c>
      <c r="N53" s="97" t="s">
        <v>186</v>
      </c>
      <c r="O53" s="97"/>
      <c r="P53" s="97"/>
      <c r="Q53" s="97"/>
      <c r="R53" s="97"/>
      <c r="S53" s="92"/>
      <c r="V53" s="60"/>
    </row>
    <row r="54" spans="2:22" s="1" customFormat="1" ht="36" customHeight="1">
      <c r="B54" s="58"/>
      <c r="D54" s="83" t="s">
        <v>464</v>
      </c>
      <c r="E54" s="83"/>
      <c r="F54" s="83" t="s">
        <v>433</v>
      </c>
      <c r="G54" s="83" t="s">
        <v>454</v>
      </c>
      <c r="H54" s="83" t="s">
        <v>410</v>
      </c>
      <c r="I54" s="83" t="s">
        <v>425</v>
      </c>
      <c r="J54" s="83" t="s">
        <v>459</v>
      </c>
      <c r="K54" s="83" t="s">
        <v>404</v>
      </c>
      <c r="L54" s="83" t="s">
        <v>465</v>
      </c>
      <c r="M54" s="83" t="s">
        <v>466</v>
      </c>
      <c r="N54" s="83"/>
      <c r="O54" s="83"/>
      <c r="P54" s="83"/>
      <c r="Q54" s="83"/>
      <c r="R54" s="83"/>
      <c r="S54" s="94"/>
      <c r="V54" s="60"/>
    </row>
    <row r="55" spans="2:22" s="67" customFormat="1" ht="60" customHeight="1">
      <c r="B55" s="63"/>
      <c r="C55" s="88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V55" s="68"/>
    </row>
    <row r="56" spans="2:22" s="1" customFormat="1" ht="36" customHeight="1">
      <c r="B56" s="56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91"/>
      <c r="V56" s="60"/>
    </row>
    <row r="57" spans="2:22" s="1" customFormat="1" ht="80.099999999999994" customHeight="1">
      <c r="B57" s="57">
        <f>B53+1</f>
        <v>14</v>
      </c>
      <c r="D57" s="97"/>
      <c r="E57" s="97"/>
      <c r="F57" s="97"/>
      <c r="G57" s="98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2"/>
      <c r="V57" s="60"/>
    </row>
    <row r="58" spans="2:22" s="1" customFormat="1" ht="36" customHeight="1">
      <c r="B58" s="58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94"/>
      <c r="V58" s="60"/>
    </row>
    <row r="59" spans="2:22" s="67" customFormat="1" ht="60" customHeight="1">
      <c r="B59" s="63"/>
      <c r="C59" s="88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V59" s="68"/>
    </row>
    <row r="60" spans="2:22" s="1" customFormat="1" ht="36" customHeight="1">
      <c r="B60" s="56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91"/>
      <c r="V60" s="60"/>
    </row>
    <row r="61" spans="2:22" s="1" customFormat="1" ht="80.099999999999994" customHeight="1">
      <c r="B61" s="57">
        <f>B57+1</f>
        <v>15</v>
      </c>
      <c r="D61" s="97"/>
      <c r="E61" s="97"/>
      <c r="F61" s="97"/>
      <c r="G61" s="98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2"/>
      <c r="V61" s="60"/>
    </row>
    <row r="62" spans="2:22" s="1" customFormat="1" ht="36" customHeight="1">
      <c r="B62" s="58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94"/>
      <c r="V62" s="60"/>
    </row>
    <row r="63" spans="2:22" s="67" customFormat="1" ht="60" customHeight="1">
      <c r="B63" s="63"/>
      <c r="C63" s="88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V63" s="68"/>
    </row>
    <row r="64" spans="2:22" s="1" customFormat="1" ht="36" customHeight="1">
      <c r="B64" s="56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91"/>
      <c r="V64" s="60"/>
    </row>
    <row r="65" spans="2:22" s="1" customFormat="1" ht="80.099999999999994" customHeight="1">
      <c r="B65" s="57">
        <f>B61+1</f>
        <v>16</v>
      </c>
      <c r="D65" s="97"/>
      <c r="E65" s="97"/>
      <c r="F65" s="97"/>
      <c r="G65" s="98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2"/>
      <c r="V65" s="60"/>
    </row>
    <row r="66" spans="2:22" s="1" customFormat="1" ht="36" customHeight="1">
      <c r="B66" s="58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94"/>
      <c r="V66" s="60"/>
    </row>
    <row r="67" spans="2:22" s="67" customFormat="1" ht="60" customHeight="1">
      <c r="B67" s="63"/>
      <c r="C67" s="88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V67" s="68"/>
    </row>
    <row r="68" spans="2:22" s="1" customFormat="1" ht="36" customHeight="1">
      <c r="B68" s="56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91"/>
      <c r="V68" s="60"/>
    </row>
    <row r="69" spans="2:22" s="1" customFormat="1" ht="80.099999999999994" customHeight="1">
      <c r="B69" s="57">
        <f>B65+1</f>
        <v>17</v>
      </c>
      <c r="D69" s="97"/>
      <c r="E69" s="97"/>
      <c r="F69" s="97"/>
      <c r="G69" s="98"/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2"/>
      <c r="V69" s="60"/>
    </row>
    <row r="70" spans="2:22" s="1" customFormat="1" ht="36" customHeight="1">
      <c r="B70" s="58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94"/>
      <c r="V70" s="60"/>
    </row>
    <row r="71" spans="2:22" s="67" customFormat="1" ht="60" customHeight="1">
      <c r="B71" s="63"/>
      <c r="C71" s="88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V71" s="68"/>
    </row>
    <row r="72" spans="2:22" s="1" customFormat="1" ht="36" customHeight="1">
      <c r="B72" s="56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91"/>
      <c r="V72" s="60"/>
    </row>
    <row r="73" spans="2:22" s="1" customFormat="1" ht="80.099999999999994" customHeight="1">
      <c r="B73" s="57">
        <f>B69+1</f>
        <v>18</v>
      </c>
      <c r="D73" s="97"/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2"/>
      <c r="V73" s="60"/>
    </row>
    <row r="74" spans="2:22" s="1" customFormat="1" ht="36" customHeight="1">
      <c r="B74" s="58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94"/>
      <c r="V74" s="60"/>
    </row>
    <row r="75" spans="2:22" s="67" customFormat="1" ht="60" customHeight="1">
      <c r="B75" s="63"/>
      <c r="C75" s="88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V75" s="68"/>
    </row>
    <row r="76" spans="2:22" s="1" customFormat="1" ht="36" customHeight="1">
      <c r="B76" s="56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91"/>
      <c r="V76" s="60"/>
    </row>
    <row r="77" spans="2:22" s="1" customFormat="1" ht="80.099999999999994" customHeight="1">
      <c r="B77" s="57">
        <f>B73+1</f>
        <v>19</v>
      </c>
      <c r="D77" s="97"/>
      <c r="E77" s="97"/>
      <c r="F77" s="97"/>
      <c r="G77" s="98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2"/>
      <c r="V77" s="60"/>
    </row>
    <row r="78" spans="2:22" s="1" customFormat="1" ht="36" customHeight="1">
      <c r="B78" s="58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94"/>
      <c r="V78" s="60"/>
    </row>
    <row r="79" spans="2:22" s="67" customFormat="1" ht="60" customHeight="1">
      <c r="B79" s="63"/>
      <c r="C79" s="88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V79" s="68"/>
    </row>
    <row r="80" spans="2:22" s="1" customFormat="1" ht="36" customHeight="1">
      <c r="B80" s="56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91"/>
      <c r="V80" s="60"/>
    </row>
    <row r="81" spans="2:22" s="1" customFormat="1" ht="80.099999999999994" customHeight="1">
      <c r="B81" s="57">
        <f>B77+1</f>
        <v>20</v>
      </c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2"/>
      <c r="V81" s="60"/>
    </row>
    <row r="82" spans="2:22" s="1" customFormat="1" ht="36" customHeight="1">
      <c r="B82" s="58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94"/>
      <c r="V82" s="60"/>
    </row>
    <row r="83" spans="2:22" s="67" customFormat="1" ht="60" customHeight="1">
      <c r="B83" s="63"/>
      <c r="C83" s="88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V83" s="68"/>
    </row>
    <row r="84" spans="2:22" s="1" customFormat="1" ht="36" customHeight="1">
      <c r="B84" s="56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91"/>
      <c r="V84" s="60"/>
    </row>
    <row r="85" spans="2:22" s="1" customFormat="1" ht="80.099999999999994" customHeight="1">
      <c r="B85" s="57">
        <f>B81+1</f>
        <v>21</v>
      </c>
      <c r="D85" s="97"/>
      <c r="E85" s="97"/>
      <c r="F85" s="97"/>
      <c r="G85" s="98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/>
      <c r="S85" s="92"/>
      <c r="V85" s="60"/>
    </row>
    <row r="86" spans="2:22" s="1" customFormat="1" ht="36" customHeight="1">
      <c r="B86" s="58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94"/>
      <c r="V86" s="60"/>
    </row>
    <row r="87" spans="2:22" s="67" customFormat="1" ht="60" customHeight="1">
      <c r="B87" s="63"/>
      <c r="C87" s="88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V87" s="68"/>
    </row>
    <row r="88" spans="2:22" s="1" customFormat="1" ht="36" customHeight="1">
      <c r="B88" s="56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91"/>
      <c r="V88" s="60"/>
    </row>
    <row r="89" spans="2:22" s="1" customFormat="1" ht="80.099999999999994" customHeight="1">
      <c r="B89" s="57">
        <f>B85+1</f>
        <v>22</v>
      </c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2"/>
      <c r="V89" s="60"/>
    </row>
    <row r="90" spans="2:22" s="1" customFormat="1" ht="36" customHeight="1">
      <c r="B90" s="5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94"/>
      <c r="V90" s="60"/>
    </row>
    <row r="91" spans="2:22" s="67" customFormat="1" ht="60" customHeight="1">
      <c r="B91" s="63"/>
      <c r="C91" s="88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V91" s="68"/>
    </row>
    <row r="92" spans="2:22" s="1" customFormat="1" ht="36" customHeight="1">
      <c r="B92" s="56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91"/>
      <c r="V92" s="60"/>
    </row>
    <row r="93" spans="2:22" s="1" customFormat="1" ht="80.099999999999994" customHeight="1">
      <c r="B93" s="57">
        <f>B89+1</f>
        <v>23</v>
      </c>
      <c r="D93" s="97"/>
      <c r="E93" s="97"/>
      <c r="F93" s="97"/>
      <c r="G93" s="97"/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/>
      <c r="S93" s="92"/>
      <c r="V93" s="60"/>
    </row>
    <row r="94" spans="2:22" s="1" customFormat="1" ht="36" customHeight="1">
      <c r="B94" s="5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94"/>
      <c r="V94" s="60"/>
    </row>
    <row r="95" spans="2:22" s="67" customFormat="1" ht="60" customHeight="1">
      <c r="B95" s="63"/>
      <c r="C95" s="88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V95" s="68"/>
    </row>
    <row r="96" spans="2:22" s="1" customFormat="1" ht="36" customHeight="1">
      <c r="B96" s="56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91"/>
      <c r="V96" s="60"/>
    </row>
    <row r="97" spans="2:22" s="1" customFormat="1" ht="80.099999999999994" customHeight="1">
      <c r="B97" s="57">
        <f>B93+1</f>
        <v>24</v>
      </c>
      <c r="D97" s="97"/>
      <c r="E97" s="97"/>
      <c r="F97" s="97"/>
      <c r="G97" s="98"/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2"/>
      <c r="V97" s="60"/>
    </row>
    <row r="98" spans="2:22" s="1" customFormat="1" ht="36" customHeight="1">
      <c r="B98" s="58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94"/>
      <c r="V98" s="60"/>
    </row>
    <row r="99" spans="2:22" s="67" customFormat="1" ht="60" customHeight="1">
      <c r="B99" s="63"/>
      <c r="C99" s="88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V99" s="68"/>
    </row>
    <row r="100" spans="2:22" s="1" customFormat="1" ht="36" customHeight="1">
      <c r="B100" s="56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91"/>
      <c r="V100" s="60"/>
    </row>
    <row r="101" spans="2:22" s="1" customFormat="1" ht="80.099999999999994" customHeight="1">
      <c r="B101" s="57">
        <f>B97+1</f>
        <v>25</v>
      </c>
      <c r="D101" s="97"/>
      <c r="E101" s="97"/>
      <c r="F101" s="97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2"/>
      <c r="V101" s="60"/>
    </row>
    <row r="102" spans="2:22" s="1" customFormat="1" ht="36" customHeight="1">
      <c r="B102" s="58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94"/>
      <c r="V102" s="60"/>
    </row>
    <row r="103" spans="2:22" s="67" customFormat="1" ht="60" customHeight="1">
      <c r="B103" s="63"/>
      <c r="C103" s="88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V103" s="68"/>
    </row>
    <row r="104" spans="2:22" s="1" customFormat="1" ht="36" customHeight="1">
      <c r="B104" s="56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91"/>
      <c r="V104" s="60"/>
    </row>
    <row r="105" spans="2:22" s="1" customFormat="1" ht="80.099999999999994" customHeight="1">
      <c r="B105" s="57">
        <f>B101+1</f>
        <v>26</v>
      </c>
      <c r="D105" s="97"/>
      <c r="E105" s="97"/>
      <c r="F105" s="97"/>
      <c r="G105" s="98"/>
      <c r="H105" s="97"/>
      <c r="I105" s="97"/>
      <c r="J105" s="97"/>
      <c r="K105" s="97"/>
      <c r="L105" s="97"/>
      <c r="M105" s="97"/>
      <c r="N105" s="97"/>
      <c r="O105" s="99"/>
      <c r="P105" s="97"/>
      <c r="Q105" s="97"/>
      <c r="R105" s="97"/>
      <c r="S105" s="92"/>
      <c r="V105" s="60"/>
    </row>
    <row r="106" spans="2:22" s="1" customFormat="1" ht="36" customHeight="1">
      <c r="B106" s="58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94"/>
      <c r="V106" s="60"/>
    </row>
    <row r="107" spans="2:22" s="67" customFormat="1" ht="60" customHeight="1">
      <c r="B107" s="63"/>
      <c r="C107" s="88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V107" s="68"/>
    </row>
    <row r="108" spans="2:22" s="1" customFormat="1" ht="36" customHeight="1">
      <c r="B108" s="56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91"/>
      <c r="V108" s="60"/>
    </row>
    <row r="109" spans="2:22" s="1" customFormat="1" ht="80.099999999999994" customHeight="1">
      <c r="B109" s="57">
        <f>B105+1</f>
        <v>27</v>
      </c>
      <c r="D109" s="97"/>
      <c r="E109" s="97"/>
      <c r="F109" s="97"/>
      <c r="G109" s="97"/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2"/>
      <c r="V109" s="60"/>
    </row>
    <row r="110" spans="2:22" s="1" customFormat="1" ht="36" customHeight="1">
      <c r="B110" s="58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94"/>
      <c r="V110" s="60"/>
    </row>
    <row r="111" spans="2:22" s="67" customFormat="1" ht="60" customHeight="1">
      <c r="B111" s="63"/>
      <c r="C111" s="88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V111" s="68"/>
    </row>
    <row r="112" spans="2:22" s="1" customFormat="1" ht="36" customHeight="1">
      <c r="B112" s="56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91"/>
      <c r="V112" s="60"/>
    </row>
    <row r="113" spans="2:22" s="1" customFormat="1" ht="80.099999999999994" customHeight="1">
      <c r="B113" s="57">
        <f>B109+1</f>
        <v>28</v>
      </c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9"/>
      <c r="P113" s="97"/>
      <c r="Q113" s="97"/>
      <c r="R113" s="97"/>
      <c r="S113" s="92"/>
      <c r="V113" s="60"/>
    </row>
    <row r="114" spans="2:22" s="1" customFormat="1" ht="36" customHeight="1">
      <c r="B114" s="58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94"/>
      <c r="V114" s="60"/>
    </row>
    <row r="115" spans="2:22" s="67" customFormat="1" ht="60" customHeight="1">
      <c r="B115" s="63"/>
      <c r="C115" s="88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V115" s="68"/>
    </row>
    <row r="116" spans="2:22" s="1" customFormat="1" ht="36" customHeight="1">
      <c r="B116" s="56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91"/>
      <c r="V116" s="60"/>
    </row>
    <row r="117" spans="2:22" s="1" customFormat="1" ht="80.099999999999994" customHeight="1">
      <c r="B117" s="57">
        <f>B113+1</f>
        <v>29</v>
      </c>
      <c r="D117" s="97"/>
      <c r="E117" s="97"/>
      <c r="F117" s="98"/>
      <c r="G117" s="98"/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2"/>
      <c r="V117" s="60"/>
    </row>
    <row r="118" spans="2:22" s="1" customFormat="1" ht="36" customHeight="1">
      <c r="B118" s="58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94"/>
      <c r="V118" s="60"/>
    </row>
    <row r="119" spans="2:22" s="67" customFormat="1" ht="60" customHeight="1">
      <c r="B119" s="63"/>
      <c r="C119" s="88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V119" s="68"/>
    </row>
    <row r="120" spans="2:22" s="1" customFormat="1" ht="36" customHeight="1">
      <c r="B120" s="56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91"/>
      <c r="V120" s="60"/>
    </row>
    <row r="121" spans="2:22" s="1" customFormat="1" ht="80.099999999999994" customHeight="1">
      <c r="B121" s="57">
        <f>B117+1</f>
        <v>30</v>
      </c>
      <c r="D121" s="97"/>
      <c r="E121" s="97"/>
      <c r="F121" s="97"/>
      <c r="G121" s="98"/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2"/>
      <c r="V121" s="60"/>
    </row>
    <row r="122" spans="2:22" s="1" customFormat="1" ht="36" customHeight="1">
      <c r="B122" s="58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94"/>
      <c r="V122" s="60"/>
    </row>
    <row r="123" spans="2:22" s="67" customFormat="1" ht="60" customHeight="1">
      <c r="B123" s="63"/>
      <c r="C123" s="88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V123" s="68"/>
    </row>
    <row r="124" spans="2:22" s="1" customFormat="1" ht="36" customHeight="1">
      <c r="B124" s="56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91"/>
      <c r="V124" s="60"/>
    </row>
    <row r="125" spans="2:22" s="1" customFormat="1" ht="80.099999999999994" customHeight="1">
      <c r="B125" s="57">
        <f>B121+1</f>
        <v>31</v>
      </c>
      <c r="D125" s="97"/>
      <c r="E125" s="97"/>
      <c r="F125" s="97"/>
      <c r="G125" s="98"/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/>
      <c r="S125" s="92"/>
      <c r="V125" s="60"/>
    </row>
    <row r="126" spans="2:22" s="1" customFormat="1" ht="36" customHeight="1">
      <c r="B126" s="58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94"/>
      <c r="V126" s="60"/>
    </row>
    <row r="127" spans="2:22" s="67" customFormat="1" ht="60" customHeight="1">
      <c r="B127" s="63"/>
      <c r="C127" s="88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V127" s="68"/>
    </row>
    <row r="128" spans="2:22" s="1" customFormat="1" ht="36" customHeight="1">
      <c r="B128" s="56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91"/>
      <c r="V128" s="60"/>
    </row>
    <row r="129" spans="2:22" s="1" customFormat="1" ht="80.099999999999994" customHeight="1">
      <c r="B129" s="57">
        <f>B125+1</f>
        <v>32</v>
      </c>
      <c r="D129" s="97"/>
      <c r="E129" s="97"/>
      <c r="F129" s="97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2"/>
      <c r="V129" s="60"/>
    </row>
    <row r="130" spans="2:22" s="1" customFormat="1" ht="36" customHeight="1">
      <c r="B130" s="58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94"/>
      <c r="V130" s="60"/>
    </row>
    <row r="131" spans="2:22" s="67" customFormat="1" ht="60" customHeight="1">
      <c r="B131" s="63"/>
      <c r="C131" s="88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V131" s="68"/>
    </row>
    <row r="132" spans="2:22" s="1" customFormat="1" ht="36" customHeight="1">
      <c r="B132" s="56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91"/>
      <c r="V132" s="60"/>
    </row>
    <row r="133" spans="2:22" s="1" customFormat="1" ht="80.099999999999994" customHeight="1">
      <c r="B133" s="57">
        <f>B129+1</f>
        <v>33</v>
      </c>
      <c r="D133" s="97"/>
      <c r="E133" s="97"/>
      <c r="F133" s="97"/>
      <c r="G133" s="98"/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/>
      <c r="S133" s="92"/>
      <c r="V133" s="60"/>
    </row>
    <row r="134" spans="2:22" s="1" customFormat="1" ht="36" customHeight="1">
      <c r="B134" s="58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94"/>
      <c r="V134" s="60"/>
    </row>
    <row r="135" spans="2:22" s="67" customFormat="1" ht="60" customHeight="1">
      <c r="B135" s="63"/>
      <c r="C135" s="88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V135" s="68"/>
    </row>
    <row r="136" spans="2:22" s="1" customFormat="1" ht="36" customHeight="1">
      <c r="B136" s="56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91"/>
      <c r="V136" s="60"/>
    </row>
    <row r="137" spans="2:22" s="1" customFormat="1" ht="80.099999999999994" customHeight="1">
      <c r="B137" s="57">
        <f>B133+1</f>
        <v>34</v>
      </c>
      <c r="D137" s="97"/>
      <c r="E137" s="9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2"/>
      <c r="V137" s="60"/>
    </row>
    <row r="138" spans="2:22" s="1" customFormat="1" ht="36" customHeight="1">
      <c r="B138" s="58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94"/>
      <c r="V138" s="60"/>
    </row>
    <row r="139" spans="2:22" s="67" customFormat="1" ht="60" customHeight="1">
      <c r="B139" s="63"/>
      <c r="C139" s="88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V139" s="68"/>
    </row>
    <row r="140" spans="2:22" s="1" customFormat="1" ht="36" customHeight="1">
      <c r="B140" s="56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91"/>
      <c r="V140" s="60"/>
    </row>
    <row r="141" spans="2:22" s="1" customFormat="1" ht="80.099999999999994" customHeight="1">
      <c r="B141" s="57">
        <f>B137+1</f>
        <v>35</v>
      </c>
      <c r="D141" s="97"/>
      <c r="E141" s="97"/>
      <c r="F141" s="97"/>
      <c r="G141" s="98"/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/>
      <c r="S141" s="92"/>
      <c r="V141" s="60"/>
    </row>
    <row r="142" spans="2:22" s="1" customFormat="1" ht="36" customHeight="1">
      <c r="B142" s="58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94"/>
      <c r="V142" s="60"/>
    </row>
    <row r="143" spans="2:22" s="67" customFormat="1" ht="60" customHeight="1">
      <c r="B143" s="63"/>
      <c r="C143" s="88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V143" s="68"/>
    </row>
    <row r="144" spans="2:22" s="1" customFormat="1" ht="36" customHeight="1">
      <c r="B144" s="56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91"/>
      <c r="V144" s="60"/>
    </row>
    <row r="145" spans="2:22" s="1" customFormat="1" ht="80.099999999999994" customHeight="1">
      <c r="B145" s="57">
        <f>B141+1</f>
        <v>36</v>
      </c>
      <c r="D145" s="97"/>
      <c r="E145" s="97"/>
      <c r="F145" s="97"/>
      <c r="G145" s="98"/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2"/>
      <c r="V145" s="60"/>
    </row>
    <row r="146" spans="2:22" s="1" customFormat="1" ht="36" customHeight="1">
      <c r="B146" s="58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94"/>
      <c r="V146" s="60"/>
    </row>
    <row r="147" spans="2:22" s="67" customFormat="1" ht="60" customHeight="1">
      <c r="B147" s="63"/>
      <c r="C147" s="88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V147" s="68"/>
    </row>
    <row r="148" spans="2:22" s="1" customFormat="1" ht="36" customHeight="1">
      <c r="B148" s="56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91"/>
      <c r="V148" s="60"/>
    </row>
    <row r="149" spans="2:22" s="1" customFormat="1" ht="80.099999999999994" customHeight="1">
      <c r="B149" s="57">
        <f>B145+1</f>
        <v>37</v>
      </c>
      <c r="D149" s="97"/>
      <c r="E149" s="97"/>
      <c r="F149" s="97"/>
      <c r="G149" s="97"/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/>
      <c r="S149" s="92"/>
      <c r="V149" s="60"/>
    </row>
    <row r="150" spans="2:22" s="1" customFormat="1" ht="36" customHeight="1">
      <c r="B150" s="58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94"/>
      <c r="V150" s="60"/>
    </row>
    <row r="151" spans="2:22" s="67" customFormat="1" ht="60" customHeight="1">
      <c r="B151" s="63"/>
      <c r="C151" s="88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V151" s="68"/>
    </row>
    <row r="152" spans="2:22" s="1" customFormat="1" ht="36" customHeight="1">
      <c r="B152" s="56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91"/>
      <c r="V152" s="60"/>
    </row>
    <row r="153" spans="2:22" s="1" customFormat="1" ht="80.099999999999994" customHeight="1">
      <c r="B153" s="57">
        <f>B149+1</f>
        <v>38</v>
      </c>
      <c r="D153" s="97"/>
      <c r="E153" s="97"/>
      <c r="F153" s="97"/>
      <c r="G153" s="97"/>
      <c r="H153" s="97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2"/>
      <c r="V153" s="60"/>
    </row>
    <row r="154" spans="2:22" s="1" customFormat="1" ht="36" customHeight="1">
      <c r="B154" s="58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94"/>
      <c r="V154" s="60"/>
    </row>
    <row r="155" spans="2:22" s="67" customFormat="1" ht="60" customHeight="1">
      <c r="B155" s="63"/>
      <c r="C155" s="88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V155" s="68"/>
    </row>
    <row r="156" spans="2:22" s="1" customFormat="1" ht="36" customHeight="1">
      <c r="B156" s="56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91"/>
      <c r="V156" s="60"/>
    </row>
    <row r="157" spans="2:22" s="1" customFormat="1" ht="80.099999999999994" customHeight="1">
      <c r="B157" s="57">
        <f>B153+1</f>
        <v>39</v>
      </c>
      <c r="D157" s="97"/>
      <c r="E157" s="97"/>
      <c r="F157" s="97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2"/>
      <c r="V157" s="60"/>
    </row>
    <row r="158" spans="2:22" s="1" customFormat="1" ht="36" customHeight="1">
      <c r="B158" s="58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94"/>
      <c r="V158" s="60"/>
    </row>
    <row r="159" spans="2:22" s="67" customFormat="1" ht="60" customHeight="1">
      <c r="B159" s="63"/>
      <c r="C159" s="88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V159" s="68"/>
    </row>
    <row r="160" spans="2:22" s="1" customFormat="1" ht="36" customHeight="1">
      <c r="B160" s="56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91"/>
      <c r="V160" s="60"/>
    </row>
    <row r="161" spans="2:22" s="1" customFormat="1" ht="80.099999999999994" customHeight="1">
      <c r="B161" s="57">
        <f>B157+1</f>
        <v>40</v>
      </c>
      <c r="D161" s="97"/>
      <c r="E161" s="97"/>
      <c r="F161" s="97"/>
      <c r="G161" s="97"/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2"/>
      <c r="V161" s="60"/>
    </row>
    <row r="162" spans="2:22" s="1" customFormat="1" ht="36" customHeight="1">
      <c r="B162" s="58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94"/>
      <c r="V162" s="60"/>
    </row>
    <row r="163" spans="2:22" s="67" customFormat="1" ht="60" customHeight="1">
      <c r="B163" s="63"/>
      <c r="C163" s="88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V163" s="68"/>
    </row>
    <row r="164" spans="2:22" s="1" customFormat="1" ht="36" customHeight="1">
      <c r="B164" s="56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91"/>
      <c r="V164" s="60"/>
    </row>
    <row r="165" spans="2:22" s="1" customFormat="1" ht="80.099999999999994" customHeight="1">
      <c r="B165" s="57">
        <f>B161+1</f>
        <v>41</v>
      </c>
      <c r="D165" s="97"/>
      <c r="E165" s="97"/>
      <c r="F165" s="97"/>
      <c r="G165" s="97"/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/>
      <c r="S165" s="92"/>
      <c r="V165" s="60"/>
    </row>
    <row r="166" spans="2:22" s="1" customFormat="1" ht="36" customHeight="1">
      <c r="B166" s="58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94"/>
      <c r="V166" s="60"/>
    </row>
    <row r="167" spans="2:22">
      <c r="B167" s="63"/>
      <c r="C167" s="88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</row>
    <row r="168" spans="2:22" ht="39.75">
      <c r="B168" s="56"/>
      <c r="C168" s="1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</row>
    <row r="169" spans="2:22" ht="58.5">
      <c r="B169" s="57">
        <f>B165+1</f>
        <v>42</v>
      </c>
      <c r="C169" s="1"/>
      <c r="D169" s="97"/>
      <c r="E169" s="97"/>
      <c r="F169" s="97"/>
      <c r="G169" s="97"/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/>
    </row>
    <row r="170" spans="2:22">
      <c r="B170" s="58"/>
      <c r="C170" s="1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</row>
    <row r="171" spans="2:22">
      <c r="B171" s="63"/>
      <c r="C171" s="88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</row>
    <row r="172" spans="2:22" ht="39.75">
      <c r="B172" s="56"/>
      <c r="C172" s="1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</row>
    <row r="173" spans="2:22" ht="58.5">
      <c r="B173" s="57">
        <f>B169+1</f>
        <v>43</v>
      </c>
      <c r="C173" s="1"/>
      <c r="D173" s="97"/>
      <c r="E173" s="97"/>
      <c r="F173" s="97"/>
      <c r="G173" s="98"/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/>
    </row>
    <row r="174" spans="2:22">
      <c r="B174" s="58"/>
      <c r="C174" s="1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</row>
    <row r="175" spans="2:22">
      <c r="B175" s="63"/>
      <c r="C175" s="88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</row>
    <row r="176" spans="2:22" ht="39.75">
      <c r="B176" s="56"/>
      <c r="C176" s="1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</row>
    <row r="177" spans="2:18" ht="58.5">
      <c r="B177" s="57">
        <f>B173+1</f>
        <v>44</v>
      </c>
      <c r="C177" s="1"/>
      <c r="D177" s="97"/>
      <c r="E177" s="97"/>
      <c r="F177" s="97"/>
      <c r="G177" s="97"/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/>
    </row>
    <row r="178" spans="2:18">
      <c r="B178" s="58"/>
      <c r="C178" s="1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</row>
    <row r="179" spans="2:18">
      <c r="B179" s="63"/>
      <c r="C179" s="88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</row>
    <row r="180" spans="2:18" ht="39.75">
      <c r="B180" s="56"/>
      <c r="C180" s="1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</row>
    <row r="181" spans="2:18" ht="58.5">
      <c r="B181" s="57">
        <f>B177+1</f>
        <v>45</v>
      </c>
      <c r="C181" s="1"/>
      <c r="D181" s="97"/>
      <c r="E181" s="97"/>
      <c r="F181" s="97"/>
      <c r="G181" s="98"/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/>
    </row>
    <row r="182" spans="2:18">
      <c r="B182" s="58"/>
      <c r="C182" s="1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</row>
    <row r="183" spans="2:18">
      <c r="B183" s="63"/>
      <c r="C183" s="88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</row>
    <row r="184" spans="2:18" ht="39.75">
      <c r="B184" s="56"/>
      <c r="C184" s="1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</row>
    <row r="185" spans="2:18" ht="58.5">
      <c r="B185" s="57">
        <f>B181+1</f>
        <v>46</v>
      </c>
      <c r="C185" s="1"/>
      <c r="D185" s="97"/>
      <c r="E185" s="97"/>
      <c r="F185" s="97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</row>
    <row r="186" spans="2:18">
      <c r="B186" s="58"/>
      <c r="C186" s="1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</row>
    <row r="187" spans="2:18">
      <c r="B187" s="63"/>
      <c r="C187" s="88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</row>
    <row r="188" spans="2:18" ht="39.75">
      <c r="B188" s="56"/>
      <c r="C188" s="1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</row>
    <row r="189" spans="2:18" ht="58.5">
      <c r="B189" s="57">
        <f>B185+1</f>
        <v>47</v>
      </c>
      <c r="C189" s="1"/>
      <c r="D189" s="97"/>
      <c r="E189" s="97"/>
      <c r="F189" s="97"/>
      <c r="G189" s="97"/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/>
    </row>
    <row r="190" spans="2:18">
      <c r="B190" s="58"/>
      <c r="C190" s="1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</row>
    <row r="191" spans="2:18">
      <c r="B191" s="63"/>
      <c r="C191" s="88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</row>
    <row r="192" spans="2:18" ht="39.75">
      <c r="B192" s="56"/>
      <c r="C192" s="1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</row>
    <row r="193" spans="2:18" ht="58.5">
      <c r="B193" s="57">
        <f>B189+1</f>
        <v>48</v>
      </c>
      <c r="C193" s="1"/>
      <c r="D193" s="97"/>
      <c r="E193" s="97"/>
      <c r="F193" s="97"/>
      <c r="G193" s="98"/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/>
    </row>
    <row r="194" spans="2:18">
      <c r="B194" s="58"/>
      <c r="C194" s="1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</row>
    <row r="195" spans="2:18">
      <c r="B195" s="63"/>
      <c r="C195" s="88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</row>
    <row r="196" spans="2:18" ht="39.75">
      <c r="B196" s="56"/>
      <c r="C196" s="1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</row>
    <row r="197" spans="2:18" ht="58.5">
      <c r="B197" s="57">
        <f>B193+1</f>
        <v>49</v>
      </c>
      <c r="C197" s="1"/>
      <c r="D197" s="97"/>
      <c r="E197" s="97"/>
      <c r="F197" s="97"/>
      <c r="G197" s="98"/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/>
    </row>
    <row r="198" spans="2:18">
      <c r="B198" s="58"/>
      <c r="C198" s="1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</row>
    <row r="199" spans="2:18">
      <c r="B199" s="63"/>
      <c r="C199" s="88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</row>
    <row r="200" spans="2:18" ht="39.75">
      <c r="B200" s="56"/>
      <c r="C200" s="1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</row>
    <row r="201" spans="2:18" ht="58.5">
      <c r="B201" s="57">
        <f>B197+1</f>
        <v>50</v>
      </c>
      <c r="C201" s="1"/>
      <c r="D201" s="97"/>
      <c r="E201" s="97"/>
      <c r="F201" s="97"/>
      <c r="G201" s="98"/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/>
    </row>
    <row r="202" spans="2:18">
      <c r="B202" s="58"/>
      <c r="C202" s="1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</row>
    <row r="203" spans="2:18">
      <c r="B203" s="63"/>
      <c r="C203" s="88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</row>
    <row r="204" spans="2:18" ht="39.75">
      <c r="B204" s="56"/>
      <c r="C204" s="1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</row>
    <row r="205" spans="2:18" ht="58.5">
      <c r="B205" s="57">
        <f>B201+1</f>
        <v>51</v>
      </c>
      <c r="C205" s="1"/>
      <c r="D205" s="97"/>
      <c r="E205" s="97"/>
      <c r="F205" s="97"/>
      <c r="G205" s="98"/>
      <c r="H205" s="97"/>
      <c r="I205" s="97"/>
      <c r="J205" s="97"/>
      <c r="K205" s="97"/>
      <c r="L205" s="97"/>
      <c r="M205" s="97"/>
      <c r="N205" s="97"/>
      <c r="O205" s="97"/>
      <c r="P205" s="97"/>
      <c r="Q205" s="97"/>
      <c r="R205" s="97"/>
    </row>
    <row r="206" spans="2:18">
      <c r="B206" s="58"/>
      <c r="C206" s="1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</row>
    <row r="207" spans="2:18">
      <c r="B207" s="63"/>
      <c r="C207" s="88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</row>
    <row r="208" spans="2:18" ht="39.75">
      <c r="B208" s="56"/>
      <c r="C208" s="1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</row>
    <row r="209" spans="2:18" ht="58.5">
      <c r="B209" s="57">
        <f>B205+1</f>
        <v>52</v>
      </c>
      <c r="C209" s="1"/>
      <c r="D209" s="97"/>
      <c r="E209" s="97"/>
      <c r="F209" s="97"/>
      <c r="G209" s="98"/>
      <c r="H209" s="97"/>
      <c r="I209" s="97"/>
      <c r="J209" s="97"/>
      <c r="K209" s="97"/>
      <c r="L209" s="97"/>
      <c r="M209" s="97"/>
      <c r="N209" s="97"/>
      <c r="O209" s="97"/>
      <c r="P209" s="97"/>
      <c r="Q209" s="97"/>
      <c r="R209" s="97"/>
    </row>
    <row r="210" spans="2:18">
      <c r="B210" s="58"/>
      <c r="C210" s="1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</row>
    <row r="211" spans="2:18">
      <c r="B211" s="63"/>
      <c r="C211" s="88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</row>
    <row r="212" spans="2:18" ht="39.75">
      <c r="B212" s="56"/>
      <c r="C212" s="1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</row>
    <row r="213" spans="2:18" ht="58.5">
      <c r="B213" s="57">
        <f>B209+1</f>
        <v>53</v>
      </c>
      <c r="C213" s="1"/>
      <c r="D213" s="97"/>
      <c r="E213" s="97"/>
      <c r="F213" s="97"/>
      <c r="G213" s="98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</row>
    <row r="214" spans="2:18">
      <c r="B214" s="58"/>
      <c r="C214" s="1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</row>
    <row r="215" spans="2:18">
      <c r="B215" s="63"/>
      <c r="C215" s="88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</row>
    <row r="216" spans="2:18" ht="39.75">
      <c r="B216" s="56"/>
      <c r="C216" s="1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</row>
    <row r="217" spans="2:18" ht="58.5">
      <c r="B217" s="57">
        <f>B213+1</f>
        <v>54</v>
      </c>
      <c r="C217" s="1"/>
      <c r="D217" s="97"/>
      <c r="E217" s="97"/>
      <c r="F217" s="97"/>
      <c r="G217" s="98"/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/>
    </row>
    <row r="218" spans="2:18">
      <c r="B218" s="58"/>
      <c r="C218" s="1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</row>
    <row r="219" spans="2:18">
      <c r="B219" s="63"/>
      <c r="C219" s="88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</row>
    <row r="220" spans="2:18" ht="39.75">
      <c r="B220" s="56"/>
      <c r="C220" s="1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</row>
    <row r="221" spans="2:18" ht="58.5">
      <c r="B221" s="57">
        <f>B217+1</f>
        <v>55</v>
      </c>
      <c r="C221" s="1"/>
      <c r="D221" s="97"/>
      <c r="E221" s="97"/>
      <c r="F221" s="97"/>
      <c r="G221" s="98"/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/>
    </row>
    <row r="222" spans="2:18">
      <c r="B222" s="58"/>
      <c r="C222" s="1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</row>
    <row r="223" spans="2:18">
      <c r="B223" s="63"/>
      <c r="C223" s="88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</row>
    <row r="224" spans="2:18" ht="39.75">
      <c r="B224" s="56"/>
      <c r="C224" s="1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</row>
    <row r="225" spans="2:18" ht="58.5">
      <c r="B225" s="57">
        <f>B221+1</f>
        <v>56</v>
      </c>
      <c r="C225" s="1"/>
      <c r="D225" s="97"/>
      <c r="E225" s="97"/>
      <c r="F225" s="97"/>
      <c r="G225" s="98"/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/>
    </row>
    <row r="226" spans="2:18">
      <c r="B226" s="58"/>
      <c r="C226" s="1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</row>
    <row r="227" spans="2:18">
      <c r="B227" s="63"/>
      <c r="C227" s="88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</row>
    <row r="228" spans="2:18" ht="39.75">
      <c r="B228" s="56"/>
      <c r="C228" s="1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</row>
    <row r="229" spans="2:18" ht="58.5">
      <c r="B229" s="57">
        <f>B225+1</f>
        <v>57</v>
      </c>
      <c r="C229" s="1"/>
      <c r="D229" s="97"/>
      <c r="E229" s="97"/>
      <c r="F229" s="97"/>
      <c r="G229" s="98"/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/>
    </row>
    <row r="230" spans="2:18">
      <c r="B230" s="58"/>
      <c r="C230" s="1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</row>
    <row r="231" spans="2:18">
      <c r="B231" s="63"/>
      <c r="C231" s="88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</row>
    <row r="232" spans="2:18" ht="39.75">
      <c r="B232" s="56"/>
      <c r="C232" s="1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</row>
    <row r="233" spans="2:18" ht="58.5">
      <c r="B233" s="57">
        <f>B229+1</f>
        <v>58</v>
      </c>
      <c r="C233" s="1"/>
      <c r="D233" s="97"/>
      <c r="E233" s="97"/>
      <c r="F233" s="97"/>
      <c r="G233" s="98"/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/>
    </row>
    <row r="234" spans="2:18">
      <c r="B234" s="58"/>
      <c r="C234" s="1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</row>
    <row r="235" spans="2:18">
      <c r="B235" s="63"/>
      <c r="C235" s="88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</row>
    <row r="236" spans="2:18" ht="39.75">
      <c r="B236" s="56"/>
      <c r="C236" s="1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</row>
    <row r="237" spans="2:18" ht="58.5">
      <c r="B237" s="57">
        <f>B233+1</f>
        <v>59</v>
      </c>
      <c r="C237" s="1"/>
      <c r="D237" s="97"/>
      <c r="E237" s="97"/>
      <c r="F237" s="97"/>
      <c r="G237" s="98"/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/>
    </row>
    <row r="238" spans="2:18">
      <c r="B238" s="58"/>
      <c r="C238" s="1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</row>
    <row r="239" spans="2:18">
      <c r="B239" s="63"/>
      <c r="C239" s="88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</row>
    <row r="240" spans="2:18" ht="39.75">
      <c r="B240" s="56"/>
      <c r="C240" s="1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</row>
    <row r="241" spans="2:18" ht="58.5">
      <c r="B241" s="57">
        <f>B237+1</f>
        <v>60</v>
      </c>
      <c r="C241" s="1"/>
      <c r="D241" s="97"/>
      <c r="E241" s="97"/>
      <c r="F241" s="97"/>
      <c r="G241" s="98"/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/>
    </row>
    <row r="242" spans="2:18">
      <c r="B242" s="58"/>
      <c r="C242" s="1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</row>
  </sheetData>
  <mergeCells count="1">
    <mergeCell ref="V3:V22"/>
  </mergeCells>
  <phoneticPr fontId="1" type="noConversion"/>
  <conditionalFormatting sqref="D3:R3">
    <cfRule type="expression" dxfId="47" priority="47">
      <formula>顯示注音輸入</formula>
    </cfRule>
    <cfRule type="expression" dxfId="46" priority="48">
      <formula>"'= TRUE(顯示注音輸入)"</formula>
    </cfRule>
  </conditionalFormatting>
  <conditionalFormatting sqref="D7:R7">
    <cfRule type="expression" dxfId="45" priority="38">
      <formula>"'= TRUE(顯示注音輸入)"</formula>
    </cfRule>
    <cfRule type="expression" dxfId="44" priority="37">
      <formula>顯示注音輸入</formula>
    </cfRule>
  </conditionalFormatting>
  <conditionalFormatting sqref="D11:R11">
    <cfRule type="expression" dxfId="43" priority="36">
      <formula>"'= TRUE(顯示注音輸入)"</formula>
    </cfRule>
    <cfRule type="expression" dxfId="42" priority="35">
      <formula>顯示注音輸入</formula>
    </cfRule>
  </conditionalFormatting>
  <conditionalFormatting sqref="D15:R15">
    <cfRule type="expression" dxfId="41" priority="34">
      <formula>"'= TRUE(顯示注音輸入)"</formula>
    </cfRule>
    <cfRule type="expression" dxfId="40" priority="33">
      <formula>顯示注音輸入</formula>
    </cfRule>
  </conditionalFormatting>
  <conditionalFormatting sqref="D19:R19">
    <cfRule type="expression" dxfId="39" priority="31">
      <formula>顯示注音輸入</formula>
    </cfRule>
    <cfRule type="expression" dxfId="38" priority="32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6">
      <formula>"'= TRUE(顯示注音輸入)"</formula>
    </cfRule>
    <cfRule type="expression" dxfId="36" priority="45">
      <formula>顯示注音輸入</formula>
    </cfRule>
  </conditionalFormatting>
  <conditionalFormatting sqref="D27:R27">
    <cfRule type="expression" dxfId="35" priority="30">
      <formula>"'= TRUE(顯示注音輸入)"</formula>
    </cfRule>
    <cfRule type="expression" dxfId="34" priority="29">
      <formula>顯示注音輸入</formula>
    </cfRule>
  </conditionalFormatting>
  <conditionalFormatting sqref="D31:R31">
    <cfRule type="expression" dxfId="33" priority="28">
      <formula>"'= TRUE(顯示注音輸入)"</formula>
    </cfRule>
    <cfRule type="expression" dxfId="32" priority="27">
      <formula>顯示注音輸入</formula>
    </cfRule>
  </conditionalFormatting>
  <conditionalFormatting sqref="D35:R35">
    <cfRule type="expression" dxfId="31" priority="25">
      <formula>顯示注音輸入</formula>
    </cfRule>
    <cfRule type="expression" dxfId="30" priority="26">
      <formula>"'= TRUE(顯示注音輸入)"</formula>
    </cfRule>
  </conditionalFormatting>
  <conditionalFormatting sqref="D43:R43">
    <cfRule type="expression" dxfId="29" priority="24">
      <formula>"'= TRUE(顯示注音輸入)"</formula>
    </cfRule>
    <cfRule type="expression" dxfId="28" priority="23">
      <formula>顯示注音輸入</formula>
    </cfRule>
  </conditionalFormatting>
  <conditionalFormatting sqref="D47:R47">
    <cfRule type="expression" dxfId="27" priority="22">
      <formula>"'= TRUE(顯示注音輸入)"</formula>
    </cfRule>
    <cfRule type="expression" dxfId="26" priority="21">
      <formula>顯示注音輸入</formula>
    </cfRule>
  </conditionalFormatting>
  <conditionalFormatting sqref="D51:R51">
    <cfRule type="expression" dxfId="25" priority="19">
      <formula>顯示注音輸入</formula>
    </cfRule>
    <cfRule type="expression" dxfId="24" priority="20">
      <formula>"'= TRUE(顯示注音輸入)"</formula>
    </cfRule>
  </conditionalFormatting>
  <conditionalFormatting sqref="D55:R55">
    <cfRule type="expression" dxfId="23" priority="18">
      <formula>"'= TRUE(顯示注音輸入)"</formula>
    </cfRule>
    <cfRule type="expression" dxfId="22" priority="17">
      <formula>顯示注音輸入</formula>
    </cfRule>
  </conditionalFormatting>
  <conditionalFormatting sqref="D59:R59">
    <cfRule type="expression" dxfId="21" priority="16">
      <formula>"'= TRUE(顯示注音輸入)"</formula>
    </cfRule>
    <cfRule type="expression" dxfId="20" priority="15">
      <formula>顯示注音輸入</formula>
    </cfRule>
  </conditionalFormatting>
  <conditionalFormatting sqref="D63:R63">
    <cfRule type="expression" dxfId="19" priority="13">
      <formula>顯示注音輸入</formula>
    </cfRule>
    <cfRule type="expression" dxfId="18" priority="14">
      <formula>"'= TRUE(顯示注音輸入)"</formula>
    </cfRule>
  </conditionalFormatting>
  <conditionalFormatting sqref="D67:R67">
    <cfRule type="expression" dxfId="17" priority="12">
      <formula>"'= TRUE(顯示注音輸入)"</formula>
    </cfRule>
    <cfRule type="expression" dxfId="16" priority="11">
      <formula>顯示注音輸入</formula>
    </cfRule>
  </conditionalFormatting>
  <conditionalFormatting sqref="D71:R71">
    <cfRule type="expression" dxfId="15" priority="9">
      <formula>顯示注音輸入</formula>
    </cfRule>
    <cfRule type="expression" dxfId="14" priority="10">
      <formula>"'= TRUE(顯示注音輸入)"</formula>
    </cfRule>
  </conditionalFormatting>
  <conditionalFormatting sqref="D75:R75">
    <cfRule type="expression" dxfId="13" priority="8">
      <formula>"'= TRUE(顯示注音輸入)"</formula>
    </cfRule>
    <cfRule type="expression" dxfId="12" priority="7">
      <formula>顯示注音輸入</formula>
    </cfRule>
  </conditionalFormatting>
  <conditionalFormatting sqref="D79:R79">
    <cfRule type="expression" dxfId="11" priority="5">
      <formula>顯示注音輸入</formula>
    </cfRule>
    <cfRule type="expression" dxfId="10" priority="6">
      <formula>"'= TRUE(顯示注音輸入)"</formula>
    </cfRule>
  </conditionalFormatting>
  <conditionalFormatting sqref="D83:R83">
    <cfRule type="expression" dxfId="9" priority="3">
      <formula>顯示注音輸入</formula>
    </cfRule>
    <cfRule type="expression" dxfId="8" priority="4">
      <formula>"'= TRUE(顯示注音輸入)"</formula>
    </cfRule>
  </conditionalFormatting>
  <conditionalFormatting sqref="D107:R107">
    <cfRule type="expression" dxfId="7" priority="2">
      <formula>"'= TRUE(顯示注音輸入)"</formula>
    </cfRule>
    <cfRule type="expression" dxfId="6" priority="1">
      <formula>顯示注音輸入</formula>
    </cfRule>
  </conditionalFormatting>
  <conditionalFormatting sqref="D167:R167 D171:R171 D175:R175 D179:R179 D183:R183 D187:R187 D191:R191 D195:R195 D199:R199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3:R203">
    <cfRule type="expression" dxfId="3" priority="41">
      <formula>顯示注音輸入</formula>
    </cfRule>
    <cfRule type="expression" dxfId="2" priority="42">
      <formula>"'= TRUE(顯示注音輸入)"</formula>
    </cfRule>
  </conditionalFormatting>
  <conditionalFormatting sqref="D207:R207 D211:R211 D215:R215 D219:R219 D223:R223 D227:R227 D231:R231 D235:R235 D239:R239">
    <cfRule type="expression" dxfId="1" priority="39">
      <formula>顯示注音輸入</formula>
    </cfRule>
    <cfRule type="expression" dxfId="0" priority="4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9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12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12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13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13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13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13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13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13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13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13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14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14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12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12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13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13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13"/>
      <c r="C13" s="15" t="s">
        <v>22</v>
      </c>
      <c r="D13" s="16">
        <v>24</v>
      </c>
      <c r="E13" s="30"/>
      <c r="F13" s="16" t="s">
        <v>60</v>
      </c>
      <c r="G13" s="16">
        <v>50</v>
      </c>
      <c r="I13" s="113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13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13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13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13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14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14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70">
        <v>1</v>
      </c>
      <c r="K19" s="71" t="s">
        <v>168</v>
      </c>
      <c r="L19" s="37"/>
      <c r="M19" s="37"/>
      <c r="N19" s="37"/>
    </row>
    <row r="20" spans="3:14" ht="42.75" customHeight="1">
      <c r="C20" s="36"/>
      <c r="J20" s="70">
        <v>7</v>
      </c>
      <c r="K20" s="71" t="s">
        <v>172</v>
      </c>
      <c r="L20" s="37"/>
      <c r="M20" s="37"/>
      <c r="N20" s="37"/>
    </row>
    <row r="21" spans="3:14" ht="42.75" customHeight="1">
      <c r="C21" s="36"/>
      <c r="J21" s="70">
        <v>3</v>
      </c>
      <c r="K21" s="71" t="s">
        <v>173</v>
      </c>
      <c r="L21" s="37"/>
      <c r="M21" s="37"/>
      <c r="N21" s="37"/>
    </row>
    <row r="22" spans="3:14" ht="42.75" customHeight="1">
      <c r="C22" s="36"/>
      <c r="J22" s="70">
        <v>2</v>
      </c>
      <c r="K22" s="72" t="s">
        <v>167</v>
      </c>
      <c r="L22" s="37"/>
      <c r="M22" s="37"/>
      <c r="N22" s="37"/>
    </row>
    <row r="23" spans="3:14" ht="42.75" customHeight="1">
      <c r="C23" s="36"/>
      <c r="J23" s="70">
        <v>5</v>
      </c>
      <c r="K23" s="72" t="s">
        <v>169</v>
      </c>
      <c r="L23" s="37"/>
      <c r="M23" s="37"/>
      <c r="N23" s="37"/>
    </row>
    <row r="24" spans="3:14" ht="42.75" customHeight="1">
      <c r="C24" s="36"/>
      <c r="J24" s="70" t="s">
        <v>174</v>
      </c>
      <c r="K24" s="73" t="s">
        <v>174</v>
      </c>
      <c r="L24" s="37"/>
      <c r="M24" s="37"/>
      <c r="N24" s="37"/>
    </row>
    <row r="25" spans="3:14" ht="42.75" customHeight="1">
      <c r="C25" s="36"/>
      <c r="J25" s="70">
        <v>4</v>
      </c>
      <c r="K25" s="71" t="s">
        <v>175</v>
      </c>
      <c r="L25" s="37"/>
      <c r="M25" s="37"/>
      <c r="N25" s="37"/>
    </row>
    <row r="26" spans="3:14" ht="42.75" customHeight="1">
      <c r="C26" s="36"/>
      <c r="J26" s="70">
        <v>8</v>
      </c>
      <c r="K26" s="71" t="s">
        <v>176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167</v>
      </c>
      <c r="G4" s="45" t="s">
        <v>82</v>
      </c>
      <c r="H4" s="44" t="s">
        <v>168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169</v>
      </c>
      <c r="G8" s="45" t="s">
        <v>82</v>
      </c>
      <c r="H8" s="44" t="s">
        <v>170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168</v>
      </c>
      <c r="G12" s="45" t="s">
        <v>82</v>
      </c>
      <c r="H12" s="44" t="s">
        <v>170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170</v>
      </c>
      <c r="G16" s="45" t="s">
        <v>82</v>
      </c>
      <c r="H16" s="44" t="s">
        <v>171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171</v>
      </c>
      <c r="G20" s="45" t="s">
        <v>82</v>
      </c>
      <c r="H20" s="44" t="s">
        <v>167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16</vt:i4>
      </vt:variant>
    </vt:vector>
  </HeadingPairs>
  <TitlesOfParts>
    <vt:vector size="27" baseType="lpstr">
      <vt:lpstr>env</vt:lpstr>
      <vt:lpstr>缺字表</vt:lpstr>
      <vt:lpstr>人工標音字庫</vt:lpstr>
      <vt:lpstr>標音字庫</vt:lpstr>
      <vt:lpstr>漢字注音</vt:lpstr>
      <vt:lpstr>台羅拼音</vt:lpstr>
      <vt:lpstr>十五音</vt:lpstr>
      <vt:lpstr>閩拼方案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上邊標音</vt:lpstr>
      <vt:lpstr>右邊標音</vt:lpstr>
      <vt:lpstr>每列總字數</vt:lpstr>
      <vt:lpstr>每頁總列數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2026-03-10T13:00:26Z</dcterms:modified>
  <cp:category/>
  <cp:contentStatus/>
</cp:coreProperties>
</file>