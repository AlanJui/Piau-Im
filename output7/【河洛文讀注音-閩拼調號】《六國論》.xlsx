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C0044638-4ABD-4A48-A5EA-CE2268B749A1}" xr6:coauthVersionLast="47" xr6:coauthVersionMax="47" xr10:uidLastSave="{00000000-0000-0000-0000-000000000000}"/>
  <bookViews>
    <workbookView xWindow="-28920" yWindow="-15" windowWidth="29040" windowHeight="15720" activeTab="1" xr2:uid="{25A76161-EFED-4AC8-8EAA-A42737AE1909}"/>
  </bookViews>
  <sheets>
    <sheet name="env" sheetId="8" r:id="rId1"/>
    <sheet name="漢字注音" sheetId="9" r:id="rId2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7" i="9" l="1"/>
  <c r="Q213" i="9"/>
  <c r="R137" i="9"/>
  <c r="H89" i="9"/>
  <c r="L69" i="9"/>
  <c r="O25" i="9"/>
  <c r="I5" i="9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D11" i="8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<sst xmlns="http://schemas.openxmlformats.org/spreadsheetml/2006/main" count="2520" uniqueCount="1038">
  <si>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</si>
  <si>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</si>
  <si>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</si>
  <si>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</si>
  <si>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</si>
  <si>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</si>
  <si>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</si>
  <si>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</si>
  <si>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</si>
  <si>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</si>
  <si>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</si>
  <si>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</si>
  <si>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</si>
  <si>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</si>
  <si>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</si>
  <si>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</si>
  <si>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</si>
  <si>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</si>
  <si>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</si>
  <si>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</si>
  <si>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文</t>
  </si>
  <si>
    <t>，</t>
  </si>
  <si>
    <t>至</t>
  </si>
  <si>
    <t>無</t>
  </si>
  <si>
    <t>與</t>
  </si>
  <si>
    <t>。</t>
  </si>
  <si>
    <t>一</t>
  </si>
  <si>
    <t>子</t>
  </si>
  <si>
    <t>是</t>
  </si>
  <si>
    <t>人</t>
  </si>
  <si>
    <t>φ</t>
  </si>
  <si>
    <t>bun5</t>
  </si>
  <si>
    <t>ho5</t>
  </si>
  <si>
    <t>ki5</t>
  </si>
  <si>
    <t>ling5</t>
  </si>
  <si>
    <t>zi3</t>
  </si>
  <si>
    <t>ko1</t>
  </si>
  <si>
    <t>su3</t>
  </si>
  <si>
    <t>ui5</t>
  </si>
  <si>
    <t>si7</t>
  </si>
  <si>
    <t>bin5</t>
  </si>
  <si>
    <t>su1</t>
  </si>
  <si>
    <t>hoo7</t>
  </si>
  <si>
    <t>siok8</t>
  </si>
  <si>
    <t>tai7</t>
  </si>
  <si>
    <t>sing1</t>
  </si>
  <si>
    <t>jin5</t>
  </si>
  <si>
    <t>四</t>
  </si>
  <si>
    <t>春</t>
  </si>
  <si>
    <t>守</t>
  </si>
  <si>
    <t>郡</t>
  </si>
  <si>
    <t>越</t>
  </si>
  <si>
    <t>政</t>
  </si>
  <si>
    <t>百</t>
  </si>
  <si>
    <t>其</t>
  </si>
  <si>
    <t>唐</t>
  </si>
  <si>
    <t>今</t>
  </si>
  <si>
    <t>於</t>
  </si>
  <si>
    <t>；</t>
  </si>
  <si>
    <t>以</t>
  </si>
  <si>
    <t>記</t>
  </si>
  <si>
    <t>之</t>
  </si>
  <si>
    <t>夫</t>
  </si>
  <si>
    <t>勝</t>
  </si>
  <si>
    <t>山</t>
  </si>
  <si>
    <t>橫</t>
  </si>
  <si>
    <t>萬</t>
  </si>
  <si>
    <t>千</t>
  </si>
  <si>
    <t>此</t>
  </si>
  <si>
    <t>則</t>
  </si>
  <si>
    <t>也</t>
  </si>
  <si>
    <t>矣</t>
  </si>
  <si>
    <t>然</t>
  </si>
  <si>
    <t>南</t>
  </si>
  <si>
    <t>客</t>
  </si>
  <si>
    <t>多</t>
  </si>
  <si>
    <t>得</t>
  </si>
  <si>
    <t>異</t>
  </si>
  <si>
    <t>乎</t>
  </si>
  <si>
    <t>？</t>
  </si>
  <si>
    <t>若</t>
  </si>
  <si>
    <t>不</t>
  </si>
  <si>
    <t>號</t>
  </si>
  <si>
    <t>虎</t>
  </si>
  <si>
    <t>斯</t>
  </si>
  <si>
    <t>去</t>
  </si>
  <si>
    <t>國</t>
  </si>
  <si>
    <t>畏</t>
  </si>
  <si>
    <t>蕭</t>
  </si>
  <si>
    <t>而</t>
  </si>
  <si>
    <t>者</t>
  </si>
  <si>
    <t>景</t>
  </si>
  <si>
    <t>下</t>
  </si>
  <si>
    <t>天</t>
  </si>
  <si>
    <t>或</t>
  </si>
  <si>
    <t>何</t>
  </si>
  <si>
    <t>皆</t>
  </si>
  <si>
    <t>！</t>
  </si>
  <si>
    <t>二</t>
  </si>
  <si>
    <t>為</t>
  </si>
  <si>
    <t>哉</t>
  </si>
  <si>
    <t>民</t>
  </si>
  <si>
    <t>處</t>
  </si>
  <si>
    <t>君</t>
  </si>
  <si>
    <t>亦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</si>
  <si>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</si>
  <si>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</si>
  <si>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</si>
  <si>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</si>
  <si>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</si>
  <si>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</si>
  <si>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</si>
  <si>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</si>
  <si>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</si>
  <si>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吾</t>
  </si>
  <si>
    <t>歸</t>
  </si>
  <si>
    <t>ting5</t>
  </si>
  <si>
    <t>zu2</t>
  </si>
  <si>
    <t>tik4</t>
  </si>
  <si>
    <t>siu2</t>
  </si>
  <si>
    <t>kun7</t>
  </si>
  <si>
    <t>uat8</t>
  </si>
  <si>
    <t>bing5</t>
  </si>
  <si>
    <t>zing3</t>
  </si>
  <si>
    <t>pik4</t>
  </si>
  <si>
    <t>tiong7</t>
  </si>
  <si>
    <t>khik4</t>
  </si>
  <si>
    <t>kim1</t>
  </si>
  <si>
    <t>hu3</t>
  </si>
  <si>
    <t>u1</t>
  </si>
  <si>
    <t>u2</t>
  </si>
  <si>
    <t>i2</t>
  </si>
  <si>
    <t>ki3</t>
  </si>
  <si>
    <t>zi1</t>
  </si>
  <si>
    <t>kuan1</t>
  </si>
  <si>
    <t>hu1</t>
  </si>
  <si>
    <t>it4</t>
  </si>
  <si>
    <t>san1</t>
  </si>
  <si>
    <t>bu5</t>
  </si>
  <si>
    <t>gai5</t>
  </si>
  <si>
    <t>ban7</t>
  </si>
  <si>
    <t>cian1</t>
  </si>
  <si>
    <t>cu2</t>
  </si>
  <si>
    <t>zik4</t>
  </si>
  <si>
    <t>ia7</t>
  </si>
  <si>
    <t>zian5</t>
  </si>
  <si>
    <t>jian5</t>
  </si>
  <si>
    <t>lam5</t>
  </si>
  <si>
    <t>siau1</t>
  </si>
  <si>
    <t>to1</t>
  </si>
  <si>
    <t>lam2</t>
  </si>
  <si>
    <t>zing5</t>
  </si>
  <si>
    <t>i7</t>
  </si>
  <si>
    <t>jiok8</t>
  </si>
  <si>
    <t>put4</t>
  </si>
  <si>
    <t>tak8</t>
  </si>
  <si>
    <t>li2</t>
  </si>
  <si>
    <t>hoo2</t>
  </si>
  <si>
    <t>iu2</t>
  </si>
  <si>
    <t>kok4</t>
  </si>
  <si>
    <t>huai5</t>
  </si>
  <si>
    <t>ui3</t>
  </si>
  <si>
    <t>ki1</t>
  </si>
  <si>
    <t>bok8</t>
  </si>
  <si>
    <t>ji5</t>
  </si>
  <si>
    <t>zia2</t>
  </si>
  <si>
    <t>king2</t>
  </si>
  <si>
    <t>king1</t>
  </si>
  <si>
    <t>ha7</t>
  </si>
  <si>
    <t>thian1</t>
  </si>
  <si>
    <t>kong1</t>
  </si>
  <si>
    <t>zi2</t>
  </si>
  <si>
    <t>hik8</t>
  </si>
  <si>
    <t>zing7</t>
  </si>
  <si>
    <t>sin5</t>
  </si>
  <si>
    <t>kai1</t>
  </si>
  <si>
    <t>lim5</t>
  </si>
  <si>
    <t>ji7</t>
  </si>
  <si>
    <t>zai1</t>
  </si>
  <si>
    <t>ki2</t>
  </si>
  <si>
    <t>tong5</t>
  </si>
  <si>
    <t>kun1</t>
  </si>
  <si>
    <t>zin3</t>
  </si>
  <si>
    <t>ik8</t>
  </si>
  <si>
    <t>si5</t>
  </si>
  <si>
    <t>ia5</t>
  </si>
  <si>
    <t>pit4</t>
  </si>
  <si>
    <t>sian1</t>
  </si>
  <si>
    <t>ngoo5</t>
  </si>
  <si>
    <t>kui1</t>
  </si>
  <si>
    <t>i1</t>
  </si>
  <si>
    <t>i1</t>
    <phoneticPr fontId="1" type="noConversion"/>
  </si>
  <si>
    <t>su3</t>
    <phoneticPr fontId="1" type="noConversion"/>
  </si>
  <si>
    <t>cun1</t>
    <phoneticPr fontId="1" type="noConversion"/>
  </si>
  <si>
    <t>zu2</t>
    <phoneticPr fontId="1" type="noConversion"/>
  </si>
  <si>
    <t>ling5</t>
    <phoneticPr fontId="1" type="noConversion"/>
  </si>
  <si>
    <t>uat8</t>
    <phoneticPr fontId="1" type="noConversion"/>
  </si>
  <si>
    <t>bing5</t>
    <phoneticPr fontId="1" type="noConversion"/>
  </si>
  <si>
    <t>jin5</t>
    <phoneticPr fontId="1" type="noConversion"/>
  </si>
  <si>
    <t>ho5</t>
    <phoneticPr fontId="1" type="noConversion"/>
  </si>
  <si>
    <t>pik4</t>
    <phoneticPr fontId="1" type="noConversion"/>
  </si>
  <si>
    <t>ki5</t>
    <phoneticPr fontId="1" type="noConversion"/>
  </si>
  <si>
    <t>khik4</t>
    <phoneticPr fontId="1" type="noConversion"/>
  </si>
  <si>
    <t>u1</t>
    <phoneticPr fontId="1" type="noConversion"/>
  </si>
  <si>
    <t>bun5</t>
    <phoneticPr fontId="1" type="noConversion"/>
  </si>
  <si>
    <t>i2</t>
    <phoneticPr fontId="1" type="noConversion"/>
  </si>
  <si>
    <t>ki3</t>
    <phoneticPr fontId="1" type="noConversion"/>
  </si>
  <si>
    <t>zi1</t>
    <phoneticPr fontId="1" type="noConversion"/>
  </si>
  <si>
    <t>kuan1</t>
    <phoneticPr fontId="1" type="noConversion"/>
  </si>
  <si>
    <t>hu1</t>
    <phoneticPr fontId="1" type="noConversion"/>
  </si>
  <si>
    <t>sing3</t>
    <phoneticPr fontId="1" type="noConversion"/>
  </si>
  <si>
    <t>ho7</t>
    <phoneticPr fontId="1" type="noConversion"/>
  </si>
  <si>
    <t>hing5</t>
    <phoneticPr fontId="1" type="noConversion"/>
  </si>
  <si>
    <t>bu5</t>
    <phoneticPr fontId="1" type="noConversion"/>
  </si>
  <si>
    <t>tiau1</t>
    <phoneticPr fontId="1" type="noConversion"/>
  </si>
  <si>
    <t>ban7</t>
    <phoneticPr fontId="1" type="noConversion"/>
  </si>
  <si>
    <t>cian1</t>
    <phoneticPr fontId="1" type="noConversion"/>
  </si>
  <si>
    <t>cu2</t>
    <phoneticPr fontId="1" type="noConversion"/>
  </si>
  <si>
    <t>zik4</t>
    <phoneticPr fontId="1" type="noConversion"/>
  </si>
  <si>
    <t>ia7</t>
    <phoneticPr fontId="1" type="noConversion"/>
  </si>
  <si>
    <t>zian5</t>
    <phoneticPr fontId="1" type="noConversion"/>
  </si>
  <si>
    <t>pi7</t>
    <phoneticPr fontId="1" type="noConversion"/>
  </si>
  <si>
    <t>kiap4</t>
    <phoneticPr fontId="1" type="noConversion"/>
  </si>
  <si>
    <t>to1</t>
    <phoneticPr fontId="1" type="noConversion"/>
  </si>
  <si>
    <t>i7</t>
    <phoneticPr fontId="1" type="noConversion"/>
  </si>
  <si>
    <t>hoo5</t>
    <phoneticPr fontId="1" type="noConversion"/>
  </si>
  <si>
    <t>put4</t>
    <phoneticPr fontId="1" type="noConversion"/>
  </si>
  <si>
    <t>tak8</t>
    <phoneticPr fontId="1" type="noConversion"/>
  </si>
  <si>
    <t>li2</t>
    <phoneticPr fontId="1" type="noConversion"/>
  </si>
  <si>
    <t>khing1</t>
    <phoneticPr fontId="1" type="noConversion"/>
  </si>
  <si>
    <t>hoo2</t>
    <phoneticPr fontId="1" type="noConversion"/>
  </si>
  <si>
    <t>su1</t>
    <phoneticPr fontId="1" type="noConversion"/>
  </si>
  <si>
    <t>iu2</t>
    <phoneticPr fontId="1" type="noConversion"/>
  </si>
  <si>
    <t>khu2</t>
    <phoneticPr fontId="1" type="noConversion"/>
  </si>
  <si>
    <t>kok4</t>
    <phoneticPr fontId="1" type="noConversion"/>
  </si>
  <si>
    <t>ki1</t>
    <phoneticPr fontId="1" type="noConversion"/>
  </si>
  <si>
    <t>bok8</t>
    <phoneticPr fontId="1" type="noConversion"/>
  </si>
  <si>
    <t>ji5</t>
    <phoneticPr fontId="1" type="noConversion"/>
  </si>
  <si>
    <t>zia2</t>
    <phoneticPr fontId="1" type="noConversion"/>
  </si>
  <si>
    <t>zi3</t>
    <phoneticPr fontId="1" type="noConversion"/>
  </si>
  <si>
    <t>king1</t>
    <phoneticPr fontId="1" type="noConversion"/>
  </si>
  <si>
    <t>ha7</t>
    <phoneticPr fontId="1" type="noConversion"/>
  </si>
  <si>
    <t>thian1</t>
    <phoneticPr fontId="1" type="noConversion"/>
  </si>
  <si>
    <t>iu5</t>
    <phoneticPr fontId="1" type="noConversion"/>
  </si>
  <si>
    <t>hik8</t>
    <phoneticPr fontId="1" type="noConversion"/>
  </si>
  <si>
    <t>ian1</t>
    <phoneticPr fontId="1" type="noConversion"/>
  </si>
  <si>
    <t>gu5</t>
    <phoneticPr fontId="1" type="noConversion"/>
  </si>
  <si>
    <t>kai1</t>
    <phoneticPr fontId="1" type="noConversion"/>
  </si>
  <si>
    <t>hi2</t>
    <phoneticPr fontId="1" type="noConversion"/>
  </si>
  <si>
    <t>ui5</t>
    <phoneticPr fontId="1" type="noConversion"/>
  </si>
  <si>
    <t>tong5</t>
    <phoneticPr fontId="1" type="noConversion"/>
  </si>
  <si>
    <t>bin5</t>
    <phoneticPr fontId="1" type="noConversion"/>
  </si>
  <si>
    <t>kun1</t>
    <phoneticPr fontId="1" type="noConversion"/>
  </si>
  <si>
    <t>si7</t>
    <phoneticPr fontId="1" type="noConversion"/>
  </si>
  <si>
    <t>ik8</t>
    <phoneticPr fontId="1" type="noConversion"/>
  </si>
  <si>
    <t>sian1</t>
    <phoneticPr fontId="1" type="noConversion"/>
  </si>
  <si>
    <t>bi5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</si>
  <si>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</si>
  <si>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</si>
  <si>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</si>
  <si>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</si>
  <si>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</si>
  <si>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方音符號</t>
  </si>
  <si>
    <t>output7</t>
    <phoneticPr fontId="1" type="noConversion"/>
  </si>
  <si>
    <t>《</t>
  </si>
  <si>
    <t>六</t>
  </si>
  <si>
    <t>論</t>
  </si>
  <si>
    <t>》</t>
  </si>
  <si>
    <t>秋</t>
  </si>
  <si>
    <t>末</t>
  </si>
  <si>
    <t>戰</t>
  </si>
  <si>
    <t>諸</t>
  </si>
  <si>
    <t>侯</t>
  </si>
  <si>
    <t>卿</t>
  </si>
  <si>
    <t>相</t>
  </si>
  <si>
    <t>爭</t>
  </si>
  <si>
    <t>養</t>
  </si>
  <si>
    <t>士</t>
  </si>
  <si>
    <t>自</t>
  </si>
  <si>
    <t>謀</t>
  </si>
  <si>
    <t>說</t>
  </si>
  <si>
    <t>、</t>
  </si>
  <si>
    <t>談</t>
  </si>
  <si>
    <t>雕</t>
  </si>
  <si>
    <t>龍</t>
  </si>
  <si>
    <t>堅</t>
  </si>
  <si>
    <t>白</t>
  </si>
  <si>
    <t>同</t>
  </si>
  <si>
    <t>流</t>
  </si>
  <si>
    <t>擊</t>
  </si>
  <si>
    <t>劍</t>
  </si>
  <si>
    <t>摃</t>
  </si>
  <si>
    <t>鼎</t>
  </si>
  <si>
    <t>雞</t>
  </si>
  <si>
    <t>鳴</t>
  </si>
  <si>
    <t>狗</t>
  </si>
  <si>
    <t>盜</t>
  </si>
  <si>
    <t>徒</t>
  </si>
  <si>
    <t>莫</t>
  </si>
  <si>
    <t>賓</t>
  </si>
  <si>
    <t>禮</t>
  </si>
  <si>
    <t>靡</t>
  </si>
  <si>
    <t>衣</t>
  </si>
  <si>
    <t>玉</t>
  </si>
  <si>
    <t>食</t>
  </si>
  <si>
    <t>館</t>
  </si>
  <si>
    <t>可</t>
  </si>
  <si>
    <t>數</t>
  </si>
  <si>
    <t>王</t>
  </si>
  <si>
    <t>句</t>
  </si>
  <si>
    <t>踐</t>
  </si>
  <si>
    <t>魏</t>
  </si>
  <si>
    <t>忌</t>
  </si>
  <si>
    <t>齊</t>
  </si>
  <si>
    <t>田</t>
  </si>
  <si>
    <t>趙</t>
  </si>
  <si>
    <t>黃</t>
  </si>
  <si>
    <t>歇</t>
  </si>
  <si>
    <t>呂</t>
  </si>
  <si>
    <t>韋</t>
  </si>
  <si>
    <t>三</t>
  </si>
  <si>
    <t>招</t>
  </si>
  <si>
    <t>致</t>
  </si>
  <si>
    <t>任</t>
  </si>
  <si>
    <t>俠</t>
  </si>
  <si>
    <t>奸</t>
  </si>
  <si>
    <t>家</t>
  </si>
  <si>
    <t>薛</t>
  </si>
  <si>
    <t>稷</t>
  </si>
  <si>
    <t>燕</t>
  </si>
  <si>
    <t>昭</t>
  </si>
  <si>
    <t>太</t>
  </si>
  <si>
    <t>丹</t>
  </si>
  <si>
    <t>秦</t>
  </si>
  <si>
    <t>漢</t>
  </si>
  <si>
    <t>間</t>
  </si>
  <si>
    <t>張</t>
  </si>
  <si>
    <t>耳</t>
  </si>
  <si>
    <t>陳</t>
  </si>
  <si>
    <t>餘</t>
  </si>
  <si>
    <t>廝</t>
  </si>
  <si>
    <t>豪</t>
  </si>
  <si>
    <t>傑</t>
  </si>
  <si>
    <t>五</t>
  </si>
  <si>
    <t>略</t>
  </si>
  <si>
    <t>見</t>
  </si>
  <si>
    <t>傳</t>
  </si>
  <si>
    <t>如</t>
  </si>
  <si>
    <t>度</t>
  </si>
  <si>
    <t>當</t>
  </si>
  <si>
    <t>倍</t>
  </si>
  <si>
    <t>官</t>
  </si>
  <si>
    <t>吏</t>
  </si>
  <si>
    <t>半</t>
  </si>
  <si>
    <t>農</t>
  </si>
  <si>
    <t>姦</t>
  </si>
  <si>
    <t>蠹</t>
  </si>
  <si>
    <t>支</t>
  </si>
  <si>
    <t>堪</t>
  </si>
  <si>
    <t>蘇</t>
  </si>
  <si>
    <t>所</t>
  </si>
  <si>
    <t>能</t>
  </si>
  <si>
    <t>免</t>
  </si>
  <si>
    <t>猶</t>
  </si>
  <si>
    <t>鳥</t>
  </si>
  <si>
    <t>獸</t>
  </si>
  <si>
    <t>鷙</t>
  </si>
  <si>
    <t>猛</t>
  </si>
  <si>
    <t>昆</t>
  </si>
  <si>
    <t>蟲</t>
  </si>
  <si>
    <t>毒</t>
  </si>
  <si>
    <t>螫</t>
  </si>
  <si>
    <t>區</t>
  </si>
  <si>
    <t>條</t>
  </si>
  <si>
    <t>理</t>
  </si>
  <si>
    <t>使</t>
  </si>
  <si>
    <t>各</t>
  </si>
  <si>
    <t>安</t>
  </si>
  <si>
    <t>鋤</t>
  </si>
  <si>
    <t>盡</t>
  </si>
  <si>
    <t>道</t>
  </si>
  <si>
    <t>考</t>
  </si>
  <si>
    <t>世</t>
  </si>
  <si>
    <t>變</t>
  </si>
  <si>
    <t>知</t>
  </si>
  <si>
    <t>久</t>
  </si>
  <si>
    <t>存</t>
  </si>
  <si>
    <t>速</t>
  </si>
  <si>
    <t>亡</t>
  </si>
  <si>
    <t>蓋</t>
  </si>
  <si>
    <t>出</t>
  </si>
  <si>
    <t>察</t>
  </si>
  <si>
    <t>智</t>
  </si>
  <si>
    <t>勇</t>
  </si>
  <si>
    <t>辨</t>
  </si>
  <si>
    <t>力</t>
  </si>
  <si>
    <t>秀</t>
  </si>
  <si>
    <t>類</t>
  </si>
  <si>
    <t>惡</t>
  </si>
  <si>
    <t>役</t>
  </si>
  <si>
    <t>故</t>
  </si>
  <si>
    <t>分</t>
  </si>
  <si>
    <t>貴</t>
  </si>
  <si>
    <t>富</t>
  </si>
  <si>
    <t>共</t>
  </si>
  <si>
    <t>失</t>
  </si>
  <si>
    <t>職</t>
  </si>
  <si>
    <t>靖</t>
  </si>
  <si>
    <t>雖</t>
  </si>
  <si>
    <t>因</t>
  </si>
  <si>
    <t>俗</t>
  </si>
  <si>
    <t>設</t>
  </si>
  <si>
    <t>法</t>
  </si>
  <si>
    <t>代</t>
  </si>
  <si>
    <t>學</t>
  </si>
  <si>
    <t>縣</t>
  </si>
  <si>
    <t>晉</t>
  </si>
  <si>
    <t>來</t>
  </si>
  <si>
    <t>九</t>
  </si>
  <si>
    <t>品</t>
  </si>
  <si>
    <t>中</t>
  </si>
  <si>
    <t>正</t>
  </si>
  <si>
    <t>隋</t>
  </si>
  <si>
    <t>科</t>
  </si>
  <si>
    <t>舉</t>
  </si>
  <si>
    <t>取</t>
  </si>
  <si>
    <t>虐</t>
  </si>
  <si>
    <t>用</t>
  </si>
  <si>
    <t>減</t>
  </si>
  <si>
    <t>始</t>
  </si>
  <si>
    <t>皇</t>
  </si>
  <si>
    <t>姓</t>
  </si>
  <si>
    <t>叛</t>
  </si>
  <si>
    <t>凡</t>
  </si>
  <si>
    <t>耕</t>
  </si>
  <si>
    <t>奉</t>
  </si>
  <si>
    <t>椎</t>
  </si>
  <si>
    <t>魯</t>
  </si>
  <si>
    <t>欲</t>
  </si>
  <si>
    <t>怨</t>
  </si>
  <si>
    <t>少</t>
  </si>
  <si>
    <t>即</t>
  </si>
  <si>
    <t>初</t>
  </si>
  <si>
    <t>逐</t>
  </si>
  <si>
    <t>李</t>
  </si>
  <si>
    <t>言</t>
  </si>
  <si>
    <t>止</t>
  </si>
  <si>
    <t>既</t>
  </si>
  <si>
    <t>併</t>
  </si>
  <si>
    <t>謂</t>
  </si>
  <si>
    <t>恃</t>
  </si>
  <si>
    <t>治</t>
  </si>
  <si>
    <t>才</t>
  </si>
  <si>
    <t>已</t>
  </si>
  <si>
    <t>墮</t>
  </si>
  <si>
    <t>名</t>
  </si>
  <si>
    <t>城</t>
  </si>
  <si>
    <t>殺</t>
  </si>
  <si>
    <t>散</t>
  </si>
  <si>
    <t>畝</t>
  </si>
  <si>
    <t>向</t>
  </si>
  <si>
    <t>公</t>
  </si>
  <si>
    <t>槁</t>
  </si>
  <si>
    <t>項</t>
  </si>
  <si>
    <t>馘</t>
  </si>
  <si>
    <t>老</t>
  </si>
  <si>
    <t>死</t>
  </si>
  <si>
    <t>布</t>
  </si>
  <si>
    <t>褐</t>
  </si>
  <si>
    <t>抑</t>
  </si>
  <si>
    <t>將</t>
  </si>
  <si>
    <t>輟</t>
  </si>
  <si>
    <t>息</t>
  </si>
  <si>
    <t>俟</t>
  </si>
  <si>
    <t>亂</t>
  </si>
  <si>
    <t>成</t>
  </si>
  <si>
    <t>縱</t>
  </si>
  <si>
    <t>狼</t>
  </si>
  <si>
    <t>林</t>
  </si>
  <si>
    <t>飢</t>
  </si>
  <si>
    <t>渴</t>
  </si>
  <si>
    <t>噬</t>
  </si>
  <si>
    <t>信</t>
  </si>
  <si>
    <t>楚</t>
  </si>
  <si>
    <t>禍</t>
  </si>
  <si>
    <t>生</t>
  </si>
  <si>
    <t>宜</t>
  </si>
  <si>
    <t>幾</t>
  </si>
  <si>
    <t>豨</t>
  </si>
  <si>
    <t>過</t>
  </si>
  <si>
    <t>從</t>
  </si>
  <si>
    <t>車</t>
  </si>
  <si>
    <t>乘</t>
  </si>
  <si>
    <t>曹</t>
  </si>
  <si>
    <t>禁</t>
  </si>
  <si>
    <t>武</t>
  </si>
  <si>
    <t>令</t>
  </si>
  <si>
    <t>密</t>
  </si>
  <si>
    <t>吳</t>
  </si>
  <si>
    <t>濞</t>
  </si>
  <si>
    <t>淮</t>
  </si>
  <si>
    <t>梁</t>
  </si>
  <si>
    <t>主</t>
  </si>
  <si>
    <t>問</t>
  </si>
  <si>
    <t>豈</t>
  </si>
  <si>
    <t>懲</t>
  </si>
  <si>
    <t>爵</t>
  </si>
  <si>
    <t>祿</t>
  </si>
  <si>
    <t>縻</t>
  </si>
  <si>
    <t>寬</t>
  </si>
  <si>
    <t>愛</t>
  </si>
  <si>
    <t>小</t>
  </si>
  <si>
    <t>易</t>
  </si>
  <si>
    <t>嗚</t>
  </si>
  <si>
    <t>呼</t>
  </si>
  <si>
    <t>及</t>
  </si>
  <si>
    <t xml:space="preserve">《六國論》
春秋之末，至於戰國，諸侯卿相皆爭養士。自謀夫說客、談天雕龍、堅白同異之流，下至擊劍摃鼎、雞鳴狗盜之徒，莫不賓禮，靡衣玉食以館於上者，何可勝數。
越王句踐有君子六千人；魏無忌，齊田文，趙勝、黃歇、呂不韋，皆有客三千人；而田文招致任俠奸人六萬家於薛，齊稷下談者亦千人；魏文侯、燕昭王、太子丹，皆致客無數。下至秦、漢之間，張耳、陳餘號多士，賓客廝養皆天下豪傑，而田橫亦有士五百人。其略見於傳記者如此，度其餘，當倍官吏而半農夫也。此皆姦民蠹國者，民何以支而國何以堪乎？
蘇子曰：此先王之所不能免也。國之有姦也，猶鳥獸之有鷙猛，昆蟲之有毒螫也。區處條理，使各安其處，則有之矣；鋤而盡去之，則無是道也。
吾考之世變，知六國之所以久存而秦之所以速亡者，蓋出於此，不可以不察也。夫智、勇、辨、力，此四者皆天民之秀傑者也，類不能惡衣食以養人，皆役人以自養者也，故先王分天下之貴富與此四者共之。此四者不失職，則民靖矣。四者雖異，先王因俗設法，使出於一。三代以上出於學，戰國至秦出於客，漢以後出於郡縣吏，魏、晉以來出於九品中正，隋、唐至今出於科舉，雖不盡然，取其多者論之。
六國之君虐用其民，不減始皇、二世，然當是時百姓無一人叛者，以凡民之秀傑者多以客養之，不失職也。其力耕以奉上，皆椎魯無能為者，雖欲怨叛，而莫為之先，此其所以少安而不即亡也。始皇初欲逐客，因李斯之言而止。既併天下，則以客為無用，於是任法而不任人，謂民可以恃法而治，謂吏不必才取，能守吾法而已。故墮名城，殺豪傑，民之秀異者散而歸田畝。向之食於四公子、呂不韋之徒者，皆安歸哉？不知其能槁項黃馘以老死於布褐乎？抑將輟耕太息以俟時也？秦之亂雖成於二世，然使始皇知畏此四人者，有以處之，使不失職，秦之亡不至若是速也。縱百萬虎狼於山林而飢渴之，不知其將噬人，世以始皇為智，吾不信也。
楚、漢之禍，生民盡矣，豪傑宜無幾，而代相陳豨過趙，從車千乘，蕭、曹為政，莫之禁也。至文、景、武之世，法令至密，然吳王濞、淮南、梁王、魏其、武安之流，皆爭致賓客，世主不問也。豈懲秦之禍，以為爵祿不能盡縻天下士，故少寬之，使得或出於此也耶？若夫先王之政則不然，曰：「君子學道則愛人，小人學道則易使也。」嗚呼，此豈秦、漢之所及也哉！
</t>
  </si>
  <si>
    <t>liok8</t>
  </si>
  <si>
    <t>lun7</t>
  </si>
  <si>
    <t>zian3</t>
  </si>
  <si>
    <t>siong1</t>
  </si>
  <si>
    <t>zenn1</t>
  </si>
  <si>
    <t>iong2</t>
  </si>
  <si>
    <t>su7</t>
  </si>
  <si>
    <t>zu7</t>
  </si>
  <si>
    <t>boo5</t>
  </si>
  <si>
    <t>liong5</t>
  </si>
  <si>
    <t>liu5</t>
  </si>
  <si>
    <t>to7</t>
  </si>
  <si>
    <t>too5</t>
  </si>
  <si>
    <t>pin1</t>
  </si>
  <si>
    <t>giok8</t>
  </si>
  <si>
    <t>sit8</t>
  </si>
  <si>
    <t>siong2</t>
  </si>
  <si>
    <t>kho2</t>
  </si>
  <si>
    <t>soo3</t>
  </si>
  <si>
    <t>ong5</t>
  </si>
  <si>
    <t>gui7</t>
  </si>
  <si>
    <t>can5</t>
  </si>
  <si>
    <t>tiau7</t>
  </si>
  <si>
    <t>hong5</t>
  </si>
  <si>
    <t>li7</t>
  </si>
  <si>
    <t>sam1</t>
  </si>
  <si>
    <t>ti3</t>
  </si>
  <si>
    <t>jim7</t>
  </si>
  <si>
    <t>thai3</t>
  </si>
  <si>
    <t>zin5</t>
  </si>
  <si>
    <t>han3</t>
  </si>
  <si>
    <t>tin7</t>
  </si>
  <si>
    <t>kiat8</t>
  </si>
  <si>
    <t>tong1</t>
  </si>
  <si>
    <t>long5</t>
  </si>
  <si>
    <t>hoonnh4</t>
  </si>
  <si>
    <t>soo2</t>
  </si>
  <si>
    <t>siu3</t>
  </si>
  <si>
    <t>su2</t>
  </si>
  <si>
    <t>an1</t>
  </si>
  <si>
    <t>zin7</t>
  </si>
  <si>
    <t>goo5</t>
  </si>
  <si>
    <t>se3</t>
  </si>
  <si>
    <t>pian3</t>
  </si>
  <si>
    <t>ti1</t>
  </si>
  <si>
    <t>ku2</t>
  </si>
  <si>
    <t>zun5</t>
  </si>
  <si>
    <t>sok4</t>
  </si>
  <si>
    <t>bong5</t>
  </si>
  <si>
    <t>kai3</t>
  </si>
  <si>
    <t>cut4</t>
  </si>
  <si>
    <t>cat4</t>
  </si>
  <si>
    <t>pian7</t>
  </si>
  <si>
    <t>lik8</t>
  </si>
  <si>
    <t>lui7</t>
  </si>
  <si>
    <t>ok4</t>
  </si>
  <si>
    <t>koo3</t>
  </si>
  <si>
    <t>hun1</t>
  </si>
  <si>
    <t>kui3</t>
  </si>
  <si>
    <t>kiong7</t>
  </si>
  <si>
    <t>sit4</t>
  </si>
  <si>
    <t>zit4</t>
  </si>
  <si>
    <t>sui1</t>
  </si>
  <si>
    <t>in1</t>
  </si>
  <si>
    <t>siat4</t>
  </si>
  <si>
    <t>huat4</t>
  </si>
  <si>
    <t>hak8</t>
  </si>
  <si>
    <t>hio7</t>
  </si>
  <si>
    <t>kuan7</t>
  </si>
  <si>
    <t>lai5</t>
  </si>
  <si>
    <t>kiu2</t>
  </si>
  <si>
    <t>phin2</t>
  </si>
  <si>
    <t>sui5</t>
  </si>
  <si>
    <t>kho1</t>
  </si>
  <si>
    <t>iong7</t>
  </si>
  <si>
    <t>kiam2</t>
  </si>
  <si>
    <t>senn3</t>
  </si>
  <si>
    <t>puan7</t>
  </si>
  <si>
    <t>huan5</t>
  </si>
  <si>
    <t>hong7</t>
  </si>
  <si>
    <t>zui1</t>
  </si>
  <si>
    <t>loo2</t>
  </si>
  <si>
    <t>iok8</t>
  </si>
  <si>
    <t>uan3</t>
  </si>
  <si>
    <t>siau2</t>
  </si>
  <si>
    <t>coo1</t>
  </si>
  <si>
    <t>gian5</t>
  </si>
  <si>
    <t>ping3</t>
  </si>
  <si>
    <t>ui7</t>
  </si>
  <si>
    <t>ti7</t>
  </si>
  <si>
    <t>zai5</t>
  </si>
  <si>
    <t>tui7</t>
  </si>
  <si>
    <t>sing5</t>
  </si>
  <si>
    <t>sat4</t>
  </si>
  <si>
    <t>san3</t>
  </si>
  <si>
    <t>boo2</t>
  </si>
  <si>
    <t>hiong3</t>
  </si>
  <si>
    <t>hang7</t>
  </si>
  <si>
    <t>lo2</t>
  </si>
  <si>
    <t>poo3</t>
  </si>
  <si>
    <t>ik4</t>
  </si>
  <si>
    <t>ziong1</t>
  </si>
  <si>
    <t>tuat4</t>
  </si>
  <si>
    <t>sik4</t>
  </si>
  <si>
    <t>luan7</t>
  </si>
  <si>
    <t>ciong2</t>
  </si>
  <si>
    <t>khat4</t>
  </si>
  <si>
    <t>se7</t>
  </si>
  <si>
    <t>sin3</t>
  </si>
  <si>
    <t>coo2</t>
  </si>
  <si>
    <t>gi5</t>
  </si>
  <si>
    <t>ko3</t>
  </si>
  <si>
    <t>ziong5</t>
  </si>
  <si>
    <t>ku1</t>
  </si>
  <si>
    <t>zo5</t>
  </si>
  <si>
    <t>bu2</t>
  </si>
  <si>
    <t>ling7</t>
  </si>
  <si>
    <t>bat8</t>
  </si>
  <si>
    <t>bun7</t>
  </si>
  <si>
    <t>khi2</t>
  </si>
  <si>
    <t>ziak4</t>
  </si>
  <si>
    <t>lok8</t>
  </si>
  <si>
    <t>khuan1</t>
  </si>
  <si>
    <t>ai3</t>
  </si>
  <si>
    <t>oo1</t>
  </si>
  <si>
    <t>hoo1</t>
  </si>
  <si>
    <t>kip8</t>
  </si>
  <si>
    <t>gok7</t>
  </si>
  <si>
    <t>lun6</t>
  </si>
  <si>
    <t>zi5</t>
  </si>
  <si>
    <t>wu1</t>
  </si>
  <si>
    <t>gai1</t>
  </si>
  <si>
    <t>zne1</t>
  </si>
  <si>
    <t>yong3</t>
  </si>
  <si>
    <t>su6</t>
  </si>
  <si>
    <t>zu6</t>
  </si>
  <si>
    <t>kik7</t>
  </si>
  <si>
    <t>tian1</t>
  </si>
  <si>
    <t>liong2</t>
  </si>
  <si>
    <t>dong2</t>
  </si>
  <si>
    <t>yi6</t>
  </si>
  <si>
    <t>liu2</t>
  </si>
  <si>
    <t>ha6</t>
  </si>
  <si>
    <t>bbing2</t>
  </si>
  <si>
    <t>do6</t>
  </si>
  <si>
    <t>doo2</t>
  </si>
  <si>
    <t>bbok8</t>
  </si>
  <si>
    <t>but7</t>
  </si>
  <si>
    <t>bin1</t>
  </si>
  <si>
    <t>yi1</t>
  </si>
  <si>
    <t>ggiok8</t>
  </si>
  <si>
    <t>yi3</t>
  </si>
  <si>
    <t>siong3</t>
  </si>
  <si>
    <t>zia3</t>
  </si>
  <si>
    <t>ho2</t>
  </si>
  <si>
    <t>wat8</t>
  </si>
  <si>
    <t>ong2</t>
  </si>
  <si>
    <t>yu3</t>
  </si>
  <si>
    <t>gun1</t>
  </si>
  <si>
    <t>zu3</t>
  </si>
  <si>
    <t>zzin2</t>
  </si>
  <si>
    <t>ggui6</t>
  </si>
  <si>
    <t>bbu2</t>
  </si>
  <si>
    <t>can2</t>
  </si>
  <si>
    <t>bbun2</t>
  </si>
  <si>
    <t>diao6</t>
  </si>
  <si>
    <t>hong2</t>
  </si>
  <si>
    <t>li6</t>
  </si>
  <si>
    <t>wi2</t>
  </si>
  <si>
    <t>zzi2</t>
  </si>
  <si>
    <t>di5</t>
  </si>
  <si>
    <t>zzim6</t>
  </si>
  <si>
    <t>bban6</t>
  </si>
  <si>
    <t>zik7</t>
  </si>
  <si>
    <t>yk8</t>
  </si>
  <si>
    <t>tai5</t>
  </si>
  <si>
    <t>zin2</t>
  </si>
  <si>
    <t>han5</t>
  </si>
  <si>
    <t>din6</t>
  </si>
  <si>
    <t>do1</t>
  </si>
  <si>
    <t>giat8</t>
  </si>
  <si>
    <t>bik7</t>
  </si>
  <si>
    <t>gi2</t>
  </si>
  <si>
    <t>cu3</t>
  </si>
  <si>
    <t>dong1</t>
  </si>
  <si>
    <t>long2</t>
  </si>
  <si>
    <t>ya6</t>
  </si>
  <si>
    <t>bbin2</t>
  </si>
  <si>
    <t>gi1</t>
  </si>
  <si>
    <t>hnooh7</t>
  </si>
  <si>
    <t>ling2</t>
  </si>
  <si>
    <t>siu5</t>
  </si>
  <si>
    <t>dak8</t>
  </si>
  <si>
    <t>li3</t>
  </si>
  <si>
    <t>zin6</t>
  </si>
  <si>
    <t>si6</t>
  </si>
  <si>
    <t>ggoo2</t>
  </si>
  <si>
    <t>se5</t>
  </si>
  <si>
    <t>bian5</t>
  </si>
  <si>
    <t>di1</t>
  </si>
  <si>
    <t>gu3</t>
  </si>
  <si>
    <t>zun2</t>
  </si>
  <si>
    <t>sok7</t>
  </si>
  <si>
    <t>bbong2</t>
  </si>
  <si>
    <t>cut7</t>
  </si>
  <si>
    <t>cat7</t>
  </si>
  <si>
    <t>bian6</t>
  </si>
  <si>
    <t>su5</t>
  </si>
  <si>
    <t>lui6</t>
  </si>
  <si>
    <t>ok7</t>
  </si>
  <si>
    <t>gui5</t>
  </si>
  <si>
    <t>hu5</t>
  </si>
  <si>
    <t>wu3</t>
  </si>
  <si>
    <t>giong6</t>
  </si>
  <si>
    <t>sit7</t>
  </si>
  <si>
    <t>zit7</t>
  </si>
  <si>
    <t>zing6</t>
  </si>
  <si>
    <t>yn1</t>
  </si>
  <si>
    <t>siat7</t>
  </si>
  <si>
    <t>huat7</t>
  </si>
  <si>
    <t>yt7</t>
  </si>
  <si>
    <t>dai6</t>
  </si>
  <si>
    <t>hio6</t>
  </si>
  <si>
    <t>gun6</t>
  </si>
  <si>
    <t>guan6</t>
  </si>
  <si>
    <t>lai2</t>
  </si>
  <si>
    <t>giu3</t>
  </si>
  <si>
    <t>pin3</t>
  </si>
  <si>
    <t>diong6</t>
  </si>
  <si>
    <t>sui2</t>
  </si>
  <si>
    <t>gim1</t>
  </si>
  <si>
    <t>zzian2</t>
  </si>
  <si>
    <t>yong6</t>
  </si>
  <si>
    <t>giam3</t>
  </si>
  <si>
    <t>zzi6</t>
  </si>
  <si>
    <t>si2</t>
  </si>
  <si>
    <t>sne5</t>
  </si>
  <si>
    <t>buan6</t>
  </si>
  <si>
    <t>huan2</t>
  </si>
  <si>
    <t>ging1</t>
  </si>
  <si>
    <t>hong6</t>
  </si>
  <si>
    <t>loo3</t>
  </si>
  <si>
    <t>yok8</t>
  </si>
  <si>
    <t>wan5</t>
  </si>
  <si>
    <t>siao3</t>
  </si>
  <si>
    <t>ggian2</t>
  </si>
  <si>
    <t>wi6</t>
  </si>
  <si>
    <t>di6</t>
  </si>
  <si>
    <t>bit7</t>
  </si>
  <si>
    <t>zai2</t>
  </si>
  <si>
    <t>dui6</t>
  </si>
  <si>
    <t>sing2</t>
  </si>
  <si>
    <t>sat7</t>
  </si>
  <si>
    <t>san5</t>
  </si>
  <si>
    <t>gui1</t>
  </si>
  <si>
    <t>bboo3</t>
  </si>
  <si>
    <t>hiong5</t>
  </si>
  <si>
    <t>gong1</t>
  </si>
  <si>
    <t>hang6</t>
  </si>
  <si>
    <t>lo3</t>
  </si>
  <si>
    <t>yk7</t>
  </si>
  <si>
    <t>duat7</t>
  </si>
  <si>
    <t>sik7</t>
  </si>
  <si>
    <t>luan6</t>
  </si>
  <si>
    <t>wi5</t>
  </si>
  <si>
    <t>zziok8</t>
  </si>
  <si>
    <t>ciong3</t>
  </si>
  <si>
    <t>hoo3</t>
  </si>
  <si>
    <t>lim2</t>
  </si>
  <si>
    <t>kat7</t>
  </si>
  <si>
    <t>se6</t>
  </si>
  <si>
    <t>coo3</t>
  </si>
  <si>
    <t>hoo6</t>
  </si>
  <si>
    <t>ggi2</t>
  </si>
  <si>
    <t>gi3</t>
  </si>
  <si>
    <t>go5</t>
  </si>
  <si>
    <t>ziong2</t>
  </si>
  <si>
    <t>gu1</t>
  </si>
  <si>
    <t>siao1</t>
  </si>
  <si>
    <t>zo2</t>
  </si>
  <si>
    <t>ging3</t>
  </si>
  <si>
    <t>bbu3</t>
  </si>
  <si>
    <t>ling6</t>
  </si>
  <si>
    <t>bbat8</t>
  </si>
  <si>
    <t>ggnoo2</t>
  </si>
  <si>
    <t>huai2</t>
  </si>
  <si>
    <t>bbun6</t>
  </si>
  <si>
    <t>ding2</t>
  </si>
  <si>
    <t>ziak7</t>
  </si>
  <si>
    <t>dik7</t>
  </si>
  <si>
    <t>ya2</t>
  </si>
  <si>
    <t>ai5</t>
  </si>
  <si>
    <t>gip8</t>
  </si>
  <si>
    <t>六國論</t>
    <phoneticPr fontId="1" type="noConversion"/>
  </si>
  <si>
    <t>zi5</t>
    <phoneticPr fontId="1" type="noConversion"/>
  </si>
  <si>
    <t>ko2</t>
    <phoneticPr fontId="1" type="noConversion"/>
  </si>
  <si>
    <t>hat4</t>
    <phoneticPr fontId="1" type="noConversion"/>
  </si>
  <si>
    <t>go3</t>
    <phoneticPr fontId="1" type="noConversion"/>
  </si>
  <si>
    <t>hat7</t>
    <phoneticPr fontId="1" type="noConversion"/>
  </si>
  <si>
    <t>hi3</t>
    <phoneticPr fontId="1" type="noConversion"/>
  </si>
  <si>
    <t>bi6</t>
    <phoneticPr fontId="1" type="noConversion"/>
  </si>
  <si>
    <t>bbi2</t>
    <phoneticPr fontId="1" type="noConversion"/>
  </si>
  <si>
    <t>liok8</t>
    <phoneticPr fontId="1" type="noConversion"/>
  </si>
  <si>
    <t>gok7</t>
    <phoneticPr fontId="1" type="noConversion"/>
  </si>
  <si>
    <t>lun7</t>
    <phoneticPr fontId="1" type="noConversion"/>
  </si>
  <si>
    <t>lun6</t>
    <phoneticPr fontId="1" type="noConversion"/>
  </si>
  <si>
    <t>ciu1</t>
    <phoneticPr fontId="1" type="noConversion"/>
  </si>
  <si>
    <t>buah8</t>
    <phoneticPr fontId="1" type="noConversion"/>
  </si>
  <si>
    <t>bbuah8</t>
    <phoneticPr fontId="1" type="noConversion"/>
  </si>
  <si>
    <t>wu1</t>
    <phoneticPr fontId="1" type="noConversion"/>
  </si>
  <si>
    <t>zian3</t>
    <phoneticPr fontId="1" type="noConversion"/>
  </si>
  <si>
    <t>zu1</t>
    <phoneticPr fontId="1" type="noConversion"/>
  </si>
  <si>
    <t>siong1</t>
    <phoneticPr fontId="1" type="noConversion"/>
  </si>
  <si>
    <t>gai1</t>
    <phoneticPr fontId="1" type="noConversion"/>
  </si>
  <si>
    <t>zenn1</t>
    <phoneticPr fontId="1" type="noConversion"/>
  </si>
  <si>
    <t>zne1</t>
    <phoneticPr fontId="1" type="noConversion"/>
  </si>
  <si>
    <t>iong2</t>
    <phoneticPr fontId="1" type="noConversion"/>
  </si>
  <si>
    <t>yong3</t>
    <phoneticPr fontId="1" type="noConversion"/>
  </si>
  <si>
    <t>su7</t>
    <phoneticPr fontId="1" type="noConversion"/>
  </si>
  <si>
    <t>su6</t>
    <phoneticPr fontId="1" type="noConversion"/>
  </si>
  <si>
    <t>zu7</t>
    <phoneticPr fontId="1" type="noConversion"/>
  </si>
  <si>
    <t>zu6</t>
    <phoneticPr fontId="1" type="noConversion"/>
  </si>
  <si>
    <t>boo5</t>
    <phoneticPr fontId="1" type="noConversion"/>
  </si>
  <si>
    <t>bboo2</t>
    <phoneticPr fontId="1" type="noConversion"/>
  </si>
  <si>
    <t>suat4</t>
    <phoneticPr fontId="1" type="noConversion"/>
  </si>
  <si>
    <t>suat7</t>
    <phoneticPr fontId="1" type="noConversion"/>
  </si>
  <si>
    <t>kik7</t>
    <phoneticPr fontId="1" type="noConversion"/>
  </si>
  <si>
    <t>tam5</t>
    <phoneticPr fontId="1" type="noConversion"/>
  </si>
  <si>
    <t>dam2</t>
    <phoneticPr fontId="1" type="noConversion"/>
  </si>
  <si>
    <t>tian1</t>
    <phoneticPr fontId="1" type="noConversion"/>
  </si>
  <si>
    <t>diao1</t>
    <phoneticPr fontId="1" type="noConversion"/>
  </si>
  <si>
    <t>liong5</t>
    <phoneticPr fontId="1" type="noConversion"/>
  </si>
  <si>
    <t>liong2</t>
    <phoneticPr fontId="1" type="noConversion"/>
  </si>
  <si>
    <t>kian1</t>
    <phoneticPr fontId="1" type="noConversion"/>
  </si>
  <si>
    <t>gian1</t>
    <phoneticPr fontId="1" type="noConversion"/>
  </si>
  <si>
    <t>pik8</t>
    <phoneticPr fontId="1" type="noConversion"/>
  </si>
  <si>
    <t>bik8</t>
    <phoneticPr fontId="1" type="noConversion"/>
  </si>
  <si>
    <t>dong2</t>
    <phoneticPr fontId="1" type="noConversion"/>
  </si>
  <si>
    <t>yi6</t>
    <phoneticPr fontId="1" type="noConversion"/>
  </si>
  <si>
    <t>liu5</t>
    <phoneticPr fontId="1" type="noConversion"/>
  </si>
  <si>
    <t>liu2</t>
    <phoneticPr fontId="1" type="noConversion"/>
  </si>
  <si>
    <t>ha6</t>
    <phoneticPr fontId="1" type="noConversion"/>
  </si>
  <si>
    <t>kik4</t>
    <phoneticPr fontId="1" type="noConversion"/>
  </si>
  <si>
    <t>gik7</t>
    <phoneticPr fontId="1" type="noConversion"/>
  </si>
  <si>
    <t>kiam3</t>
    <phoneticPr fontId="1" type="noConversion"/>
  </si>
  <si>
    <t>giam5</t>
    <phoneticPr fontId="1" type="noConversion"/>
  </si>
  <si>
    <t>kong3</t>
    <phoneticPr fontId="1" type="noConversion"/>
  </si>
  <si>
    <t>gong5</t>
    <phoneticPr fontId="1" type="noConversion"/>
  </si>
  <si>
    <t>ting2</t>
    <phoneticPr fontId="1" type="noConversion"/>
  </si>
  <si>
    <t>ding3</t>
    <phoneticPr fontId="1" type="noConversion"/>
  </si>
  <si>
    <t>ke1</t>
    <phoneticPr fontId="1" type="noConversion"/>
  </si>
  <si>
    <t>ge1</t>
    <phoneticPr fontId="1" type="noConversion"/>
  </si>
  <si>
    <t>bbing2</t>
    <phoneticPr fontId="1" type="noConversion"/>
  </si>
  <si>
    <t>kau2</t>
    <phoneticPr fontId="1" type="noConversion"/>
  </si>
  <si>
    <t>gao3</t>
    <phoneticPr fontId="1" type="noConversion"/>
  </si>
  <si>
    <t>to7</t>
    <phoneticPr fontId="1" type="noConversion"/>
  </si>
  <si>
    <t>do6</t>
    <phoneticPr fontId="1" type="noConversion"/>
  </si>
  <si>
    <t>too5</t>
    <phoneticPr fontId="1" type="noConversion"/>
  </si>
  <si>
    <t>doo2</t>
    <phoneticPr fontId="1" type="noConversion"/>
  </si>
  <si>
    <t>bbok8</t>
    <phoneticPr fontId="1" type="noConversion"/>
  </si>
  <si>
    <t>but7</t>
    <phoneticPr fontId="1" type="noConversion"/>
  </si>
  <si>
    <t>pin1</t>
    <phoneticPr fontId="1" type="noConversion"/>
  </si>
  <si>
    <t>bin1</t>
    <phoneticPr fontId="1" type="noConversion"/>
  </si>
  <si>
    <t>le2</t>
    <phoneticPr fontId="1" type="noConversion"/>
  </si>
  <si>
    <t>le3</t>
    <phoneticPr fontId="1" type="noConversion"/>
  </si>
  <si>
    <t>bi2</t>
    <phoneticPr fontId="1" type="noConversion"/>
  </si>
  <si>
    <t>bbi3</t>
    <phoneticPr fontId="1" type="noConversion"/>
  </si>
  <si>
    <t>yi1</t>
    <phoneticPr fontId="1" type="noConversion"/>
  </si>
  <si>
    <t>giok8</t>
    <phoneticPr fontId="1" type="noConversion"/>
  </si>
  <si>
    <t>ggiok8</t>
    <phoneticPr fontId="1" type="noConversion"/>
  </si>
  <si>
    <t>sit8</t>
    <phoneticPr fontId="1" type="noConversion"/>
  </si>
  <si>
    <t>yi3</t>
    <phoneticPr fontId="1" type="noConversion"/>
  </si>
  <si>
    <t>kuan2</t>
    <phoneticPr fontId="1" type="noConversion"/>
  </si>
  <si>
    <t>guan3</t>
    <phoneticPr fontId="1" type="noConversion"/>
  </si>
  <si>
    <t>siong2</t>
    <phoneticPr fontId="1" type="noConversion"/>
  </si>
  <si>
    <t>siong3</t>
    <phoneticPr fontId="1" type="noConversion"/>
  </si>
  <si>
    <t>zia3</t>
    <phoneticPr fontId="1" type="noConversion"/>
  </si>
  <si>
    <t>ho2</t>
    <phoneticPr fontId="1" type="noConversion"/>
  </si>
  <si>
    <t>kho2</t>
    <phoneticPr fontId="1" type="noConversion"/>
  </si>
  <si>
    <t>ko3</t>
    <phoneticPr fontId="1" type="noConversion"/>
  </si>
  <si>
    <t>sing5</t>
    <phoneticPr fontId="1" type="noConversion"/>
  </si>
  <si>
    <t>soo3</t>
    <phoneticPr fontId="1" type="noConversion"/>
  </si>
  <si>
    <t>soo5</t>
    <phoneticPr fontId="1" type="noConversion"/>
  </si>
  <si>
    <t>wat8</t>
    <phoneticPr fontId="1" type="noConversion"/>
  </si>
  <si>
    <t>ong5</t>
    <phoneticPr fontId="1" type="noConversion"/>
  </si>
  <si>
    <t>ong2</t>
    <phoneticPr fontId="1" type="noConversion"/>
  </si>
  <si>
    <t>ku3</t>
    <phoneticPr fontId="1" type="noConversion"/>
  </si>
  <si>
    <t>zian7</t>
    <phoneticPr fontId="1" type="noConversion"/>
  </si>
  <si>
    <t>zian6</t>
    <phoneticPr fontId="1" type="noConversion"/>
  </si>
  <si>
    <t>yu3</t>
    <phoneticPr fontId="1" type="noConversion"/>
  </si>
  <si>
    <t>gun1</t>
    <phoneticPr fontId="1" type="noConversion"/>
  </si>
  <si>
    <t>zu3</t>
    <phoneticPr fontId="1" type="noConversion"/>
  </si>
  <si>
    <t>zzin2</t>
    <phoneticPr fontId="1" type="noConversion"/>
  </si>
  <si>
    <t>gui7</t>
    <phoneticPr fontId="1" type="noConversion"/>
  </si>
  <si>
    <t>ggui6</t>
    <phoneticPr fontId="1" type="noConversion"/>
  </si>
  <si>
    <t>bbu2</t>
    <phoneticPr fontId="1" type="noConversion"/>
  </si>
  <si>
    <t>ki7</t>
    <phoneticPr fontId="1" type="noConversion"/>
  </si>
  <si>
    <t>gi6</t>
    <phoneticPr fontId="1" type="noConversion"/>
  </si>
  <si>
    <t>ze5</t>
    <phoneticPr fontId="1" type="noConversion"/>
  </si>
  <si>
    <t>ze2</t>
    <phoneticPr fontId="1" type="noConversion"/>
  </si>
  <si>
    <t>can5</t>
    <phoneticPr fontId="1" type="noConversion"/>
  </si>
  <si>
    <t>can2</t>
    <phoneticPr fontId="1" type="noConversion"/>
  </si>
  <si>
    <t>bbun2</t>
    <phoneticPr fontId="1" type="noConversion"/>
  </si>
  <si>
    <t>tiau7</t>
    <phoneticPr fontId="1" type="noConversion"/>
  </si>
  <si>
    <t>diao6</t>
    <phoneticPr fontId="1" type="noConversion"/>
  </si>
  <si>
    <t>hong5</t>
    <phoneticPr fontId="1" type="noConversion"/>
  </si>
  <si>
    <t>hong2</t>
    <phoneticPr fontId="1" type="noConversion"/>
  </si>
  <si>
    <t>hiat4</t>
    <phoneticPr fontId="1" type="noConversion"/>
  </si>
  <si>
    <t>hiat7</t>
    <phoneticPr fontId="1" type="noConversion"/>
  </si>
  <si>
    <t>li7</t>
    <phoneticPr fontId="1" type="noConversion"/>
  </si>
  <si>
    <t>li6</t>
    <phoneticPr fontId="1" type="noConversion"/>
  </si>
  <si>
    <t>wi2</t>
    <phoneticPr fontId="1" type="noConversion"/>
  </si>
  <si>
    <t>sam1</t>
    <phoneticPr fontId="1" type="noConversion"/>
  </si>
  <si>
    <t>zzi2</t>
    <phoneticPr fontId="1" type="noConversion"/>
  </si>
  <si>
    <t>ziau1</t>
    <phoneticPr fontId="1" type="noConversion"/>
  </si>
  <si>
    <t>ziao1</t>
    <phoneticPr fontId="1" type="noConversion"/>
  </si>
  <si>
    <t>ti3</t>
    <phoneticPr fontId="1" type="noConversion"/>
  </si>
  <si>
    <t>di5</t>
    <phoneticPr fontId="1" type="noConversion"/>
  </si>
  <si>
    <t>jim7</t>
    <phoneticPr fontId="1" type="noConversion"/>
  </si>
  <si>
    <t>zzim6</t>
    <phoneticPr fontId="1" type="noConversion"/>
  </si>
  <si>
    <t>giap7</t>
    <phoneticPr fontId="1" type="noConversion"/>
  </si>
  <si>
    <t>kan1</t>
    <phoneticPr fontId="1" type="noConversion"/>
  </si>
  <si>
    <t>gan1</t>
    <phoneticPr fontId="1" type="noConversion"/>
  </si>
  <si>
    <t>bban6</t>
    <phoneticPr fontId="1" type="noConversion"/>
  </si>
  <si>
    <t>ka1</t>
    <phoneticPr fontId="1" type="noConversion"/>
  </si>
  <si>
    <t>ga1</t>
    <phoneticPr fontId="1" type="noConversion"/>
  </si>
  <si>
    <t>sih4</t>
    <phoneticPr fontId="1" type="noConversion"/>
  </si>
  <si>
    <t>sih7</t>
    <phoneticPr fontId="1" type="noConversion"/>
  </si>
  <si>
    <t>zik7</t>
    <phoneticPr fontId="1" type="noConversion"/>
  </si>
  <si>
    <t>yk8</t>
    <phoneticPr fontId="1" type="noConversion"/>
  </si>
  <si>
    <t>yan1</t>
    <phoneticPr fontId="1" type="noConversion"/>
  </si>
  <si>
    <t>thai3</t>
    <phoneticPr fontId="1" type="noConversion"/>
  </si>
  <si>
    <t>tai5</t>
    <phoneticPr fontId="1" type="noConversion"/>
  </si>
  <si>
    <t>tan1</t>
    <phoneticPr fontId="1" type="noConversion"/>
  </si>
  <si>
    <t>dan1</t>
    <phoneticPr fontId="1" type="noConversion"/>
  </si>
  <si>
    <t>zin5</t>
    <phoneticPr fontId="1" type="noConversion"/>
  </si>
  <si>
    <t>zin2</t>
    <phoneticPr fontId="1" type="noConversion"/>
  </si>
  <si>
    <t>han3</t>
    <phoneticPr fontId="1" type="noConversion"/>
  </si>
  <si>
    <t>han5</t>
    <phoneticPr fontId="1" type="noConversion"/>
  </si>
  <si>
    <t>tiong1</t>
    <phoneticPr fontId="1" type="noConversion"/>
  </si>
  <si>
    <t>diong1</t>
    <phoneticPr fontId="1" type="noConversion"/>
  </si>
  <si>
    <t>ni2</t>
    <phoneticPr fontId="1" type="noConversion"/>
  </si>
  <si>
    <t>lni3</t>
    <phoneticPr fontId="1" type="noConversion"/>
  </si>
  <si>
    <t>tin7</t>
    <phoneticPr fontId="1" type="noConversion"/>
  </si>
  <si>
    <t>din6</t>
    <phoneticPr fontId="1" type="noConversion"/>
  </si>
  <si>
    <t>u5</t>
    <phoneticPr fontId="1" type="noConversion"/>
  </si>
  <si>
    <t>wu2</t>
    <phoneticPr fontId="1" type="noConversion"/>
  </si>
  <si>
    <t>ho6</t>
    <phoneticPr fontId="1" type="noConversion"/>
  </si>
  <si>
    <t>do1</t>
    <phoneticPr fontId="1" type="noConversion"/>
  </si>
  <si>
    <t>kiat8</t>
    <phoneticPr fontId="1" type="noConversion"/>
  </si>
  <si>
    <t>giat8</t>
    <phoneticPr fontId="1" type="noConversion"/>
  </si>
  <si>
    <t>hing2</t>
    <phoneticPr fontId="1" type="noConversion"/>
  </si>
  <si>
    <t>ngoo2</t>
    <phoneticPr fontId="1" type="noConversion"/>
  </si>
  <si>
    <t>ggnoo3</t>
    <phoneticPr fontId="1" type="noConversion"/>
  </si>
  <si>
    <t>bik7</t>
    <phoneticPr fontId="1" type="noConversion"/>
  </si>
  <si>
    <t>gi2</t>
    <phoneticPr fontId="1" type="noConversion"/>
  </si>
  <si>
    <t>liak8</t>
    <phoneticPr fontId="1" type="noConversion"/>
  </si>
  <si>
    <t>kian3</t>
    <phoneticPr fontId="1" type="noConversion"/>
  </si>
  <si>
    <t>gian5</t>
    <phoneticPr fontId="1" type="noConversion"/>
  </si>
  <si>
    <t>thuan5</t>
    <phoneticPr fontId="1" type="noConversion"/>
  </si>
  <si>
    <t>tuan2</t>
    <phoneticPr fontId="1" type="noConversion"/>
  </si>
  <si>
    <t>gi5</t>
    <phoneticPr fontId="1" type="noConversion"/>
  </si>
  <si>
    <t>ju5</t>
    <phoneticPr fontId="1" type="noConversion"/>
  </si>
  <si>
    <t>zzu2</t>
    <phoneticPr fontId="1" type="noConversion"/>
  </si>
  <si>
    <t>cu3</t>
    <phoneticPr fontId="1" type="noConversion"/>
  </si>
  <si>
    <t>too7</t>
    <phoneticPr fontId="1" type="noConversion"/>
  </si>
  <si>
    <t>doo6</t>
    <phoneticPr fontId="1" type="noConversion"/>
  </si>
  <si>
    <t>tong1</t>
    <phoneticPr fontId="1" type="noConversion"/>
  </si>
  <si>
    <t>dong1</t>
    <phoneticPr fontId="1" type="noConversion"/>
  </si>
  <si>
    <t>pe7</t>
    <phoneticPr fontId="1" type="noConversion"/>
  </si>
  <si>
    <t>be6</t>
    <phoneticPr fontId="1" type="noConversion"/>
  </si>
  <si>
    <t>guan1</t>
    <phoneticPr fontId="1" type="noConversion"/>
  </si>
  <si>
    <t>puann3</t>
    <phoneticPr fontId="1" type="noConversion"/>
  </si>
  <si>
    <t>bnua5</t>
    <phoneticPr fontId="1" type="noConversion"/>
  </si>
  <si>
    <t>long5</t>
    <phoneticPr fontId="1" type="noConversion"/>
  </si>
  <si>
    <t>long2</t>
    <phoneticPr fontId="1" type="noConversion"/>
  </si>
  <si>
    <t>ya6</t>
    <phoneticPr fontId="1" type="noConversion"/>
  </si>
  <si>
    <t>bbin2</t>
    <phoneticPr fontId="1" type="noConversion"/>
  </si>
  <si>
    <t>too3</t>
    <phoneticPr fontId="1" type="noConversion"/>
  </si>
  <si>
    <t>doo5</t>
    <phoneticPr fontId="1" type="noConversion"/>
  </si>
  <si>
    <t>gi1</t>
    <phoneticPr fontId="1" type="noConversion"/>
  </si>
  <si>
    <t>kham1</t>
    <phoneticPr fontId="1" type="noConversion"/>
  </si>
  <si>
    <t>kam1</t>
    <phoneticPr fontId="1" type="noConversion"/>
  </si>
  <si>
    <t>honnh4</t>
    <phoneticPr fontId="1" type="noConversion"/>
  </si>
  <si>
    <t>hnoh7</t>
    <phoneticPr fontId="1" type="noConversion"/>
  </si>
  <si>
    <t>soo1</t>
    <phoneticPr fontId="1" type="noConversion"/>
  </si>
  <si>
    <t>soo2</t>
    <phoneticPr fontId="1" type="noConversion"/>
  </si>
  <si>
    <t>ling2</t>
    <phoneticPr fontId="1" type="noConversion"/>
  </si>
  <si>
    <t>bian2</t>
    <phoneticPr fontId="1" type="noConversion"/>
  </si>
  <si>
    <t>bbian3</t>
    <phoneticPr fontId="1" type="noConversion"/>
  </si>
  <si>
    <t>yu2</t>
    <phoneticPr fontId="1" type="noConversion"/>
  </si>
  <si>
    <t>ziau2</t>
    <phoneticPr fontId="1" type="noConversion"/>
  </si>
  <si>
    <t>ziao3</t>
    <phoneticPr fontId="1" type="noConversion"/>
  </si>
  <si>
    <t>siu3</t>
    <phoneticPr fontId="1" type="noConversion"/>
  </si>
  <si>
    <t>siu5</t>
    <phoneticPr fontId="1" type="noConversion"/>
  </si>
  <si>
    <t>bing2</t>
    <phoneticPr fontId="1" type="noConversion"/>
  </si>
  <si>
    <t>bbing3</t>
    <phoneticPr fontId="1" type="noConversion"/>
  </si>
  <si>
    <t>khun1</t>
    <phoneticPr fontId="1" type="noConversion"/>
  </si>
  <si>
    <t>thang5</t>
    <phoneticPr fontId="1" type="noConversion"/>
  </si>
  <si>
    <t>tang2</t>
    <phoneticPr fontId="1" type="noConversion"/>
  </si>
  <si>
    <t>dak8</t>
    <phoneticPr fontId="1" type="noConversion"/>
  </si>
  <si>
    <t>cioh4</t>
    <phoneticPr fontId="1" type="noConversion"/>
  </si>
  <si>
    <t>cioh7</t>
    <phoneticPr fontId="1" type="noConversion"/>
  </si>
  <si>
    <t>khu1</t>
    <phoneticPr fontId="1" type="noConversion"/>
  </si>
  <si>
    <t>ku1</t>
    <phoneticPr fontId="1" type="noConversion"/>
  </si>
  <si>
    <t>tiau5</t>
    <phoneticPr fontId="1" type="noConversion"/>
  </si>
  <si>
    <t>diao2</t>
    <phoneticPr fontId="1" type="noConversion"/>
  </si>
  <si>
    <t>li3</t>
    <phoneticPr fontId="1" type="noConversion"/>
  </si>
  <si>
    <t>su2</t>
    <phoneticPr fontId="1" type="noConversion"/>
  </si>
  <si>
    <t>an1</t>
    <phoneticPr fontId="1" type="noConversion"/>
  </si>
  <si>
    <t>thi5</t>
    <phoneticPr fontId="1" type="noConversion"/>
  </si>
  <si>
    <t>ti2</t>
    <phoneticPr fontId="1" type="noConversion"/>
  </si>
  <si>
    <t>zin7</t>
    <phoneticPr fontId="1" type="noConversion"/>
  </si>
  <si>
    <t>zin6</t>
    <phoneticPr fontId="1" type="noConversion"/>
  </si>
  <si>
    <t>si6</t>
    <phoneticPr fontId="1" type="noConversion"/>
  </si>
  <si>
    <t>Su</t>
    <phoneticPr fontId="1" type="noConversion"/>
  </si>
  <si>
    <t>None</t>
    <phoneticPr fontId="1" type="noConversion"/>
  </si>
  <si>
    <t>河洛話</t>
    <phoneticPr fontId="1" type="noConversion"/>
  </si>
  <si>
    <t>閩拼調符</t>
  </si>
  <si>
    <t>無預設</t>
    <phoneticPr fontId="1" type="noConversion"/>
  </si>
  <si>
    <t>上及右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</si>
</sst>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4"/>
      <color rgb="FFFF0000"/>
      <name val="Arial"/>
      <family val="2"/>
    </font>
    <font>
      <b/>
      <sz val="48"/>
      <color rgb="FFFF0000"/>
      <name val="吳守禮細明台語注音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27" fillId="4" borderId="0" xfId="4" applyFill="1" applyAlignment="1">
      <alignment vertical="center" readingOrder="1"/>
    </xf>
    <xf numFmtId="0" fontId="19" fillId="5" borderId="0" xfId="3" applyFont="1" applyFill="1" applyAlignment="1">
      <alignment horizontal="center" vertical="center"/>
    </xf>
    <xf numFmtId="0" fontId="35" fillId="5" borderId="0" xfId="3" applyFont="1" applyFill="1" applyAlignment="1">
      <alignment horizontal="center" vertical="center"/>
    </xf>
    <xf numFmtId="0" fontId="36" fillId="2" borderId="3" xfId="3" applyFont="1" applyFill="1" applyBorder="1" applyAlignment="1" applyProtection="1">
      <alignment horizontal="center" vertical="center" wrapText="1" readingOrder="1"/>
      <protection locked="0"/>
    </xf>
    <xf numFmtId="0" fontId="37" fillId="4" borderId="0" xfId="3" applyFont="1" applyFill="1" applyAlignme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4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zoomScale="80" zoomScaleNormal="80" workbookViewId="0">
      <selection activeCell="C20" sqref="C20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258</v>
      </c>
      <c r="C2" s="40">
        <v>1</v>
      </c>
    </row>
    <row r="3" spans="2:4" ht="30">
      <c r="B3" s="37" t="s">
        <v>259</v>
      </c>
      <c r="C3" s="45" t="s">
        <v>260</v>
      </c>
    </row>
    <row r="4" spans="2:4">
      <c r="B4" s="4" t="s">
        <v>2</v>
      </c>
      <c r="C4" s="2"/>
    </row>
    <row r="5" spans="2:4">
      <c r="B5" s="4" t="s">
        <v>3</v>
      </c>
      <c r="C5" s="2"/>
    </row>
    <row r="6" spans="2:4">
      <c r="B6" s="4" t="s">
        <v>4</v>
      </c>
      <c r="C6" s="3" t="s">
        <v>810</v>
      </c>
    </row>
    <row r="7" spans="2:4">
      <c r="B7" s="4" t="s">
        <v>5</v>
      </c>
      <c r="C7" s="49"/>
      <c r="D7" s="44"/>
    </row>
    <row r="8" spans="2:4">
      <c r="B8" s="4" t="s">
        <v>6</v>
      </c>
      <c r="C8" s="41" t="s">
        <v>263</v>
      </c>
    </row>
    <row r="9" spans="2:4" ht="30">
      <c r="B9" s="37" t="s">
        <v>7</v>
      </c>
      <c r="C9" s="40" t="s">
        <v>1033</v>
      </c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120</v>
      </c>
      <c r="D11" s="1">
        <f>每頁總列數*4+5</f>
        <v>485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261</v>
      </c>
    </row>
    <row r="14" spans="2:4" ht="30">
      <c r="B14" s="37" t="s">
        <v>12</v>
      </c>
      <c r="C14" s="39" t="s">
        <v>1034</v>
      </c>
    </row>
    <row r="15" spans="2:4" ht="30">
      <c r="B15" s="37" t="s">
        <v>13</v>
      </c>
      <c r="C15" s="39" t="s">
        <v>1035</v>
      </c>
    </row>
    <row r="16" spans="2:4" ht="30">
      <c r="B16" s="37" t="s">
        <v>14</v>
      </c>
      <c r="C16" s="39" t="s">
        <v>1036</v>
      </c>
    </row>
    <row r="17" spans="2:3" ht="30">
      <c r="B17" s="37" t="s">
        <v>15</v>
      </c>
      <c r="C17" s="39" t="s">
        <v>1037</v>
      </c>
    </row>
    <row r="18" spans="2:3" ht="30">
      <c r="B18" s="37" t="s">
        <v>16</v>
      </c>
      <c r="C18" s="39" t="s">
        <v>1035</v>
      </c>
    </row>
    <row r="19" spans="2:3" ht="30">
      <c r="B19" s="37" t="s">
        <v>17</v>
      </c>
      <c r="C19" s="39" t="s">
        <v>262</v>
      </c>
    </row>
    <row r="20" spans="2:3" ht="30">
      <c r="B20" s="37" t="s">
        <v>257</v>
      </c>
      <c r="C20" s="43">
        <v>0</v>
      </c>
    </row>
  </sheetData>
  <phoneticPr fontId="1" type="noConversion"/>
  <dataValidations disablePrompts="1" count="6">
    <dataValidation type="list" allowBlank="1" showInputMessage="1" showErrorMessage="1" sqref="C17" xr:uid="{3FFF6E9B-F7C4-42BB-BF6B-D9404AB14A06}">
      <formula1>"預設,上,右,上及右"</formula1>
    </dataValidation>
    <dataValidation type="list" allowBlank="1" showInputMessage="1" showErrorMessage="1" sqref="C16" xr:uid="{027FF89C-6DC6-4777-AC0C-AA3C5EF8781B}">
      <formula1>"無預設, SNI, TPS, POJ, TL, BP, TLPA_Plus, DBL"</formula1>
    </dataValidation>
    <dataValidation type="list" allowBlank="1" showInputMessage="1" showErrorMessage="1" sqref="C14" xr:uid="{DFF44F91-C017-46CE-8E9B-BA574D01ED8C}">
      <formula1>"河洛話, 廣韻"</formula1>
    </dataValidation>
    <dataValidation type="list" allowBlank="1" showInputMessage="1" showErrorMessage="1" sqref="C13" xr:uid="{7CAE5A71-D53C-4864-942D-87D928C9FC67}">
      <formula1>"白話音, 文讀音"</formula1>
    </dataValidation>
    <dataValidation type="list" allowBlank="1" showInputMessage="1" showErrorMessage="1" sqref="C10" xr:uid="{B01FA7CA-3A3F-4906-A59E-08B361D52E22}">
      <formula1>"TRUE, FALSE"</formula1>
    </dataValidation>
    <dataValidation type="list" showInputMessage="1" showErrorMessage="1" sqref="C18:C19 C15" xr:uid="{2DEB5A6F-7C84-42EA-BB5A-DC833C1971CF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53" sqref="A5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930</v>
      </c>
    </row>
    <row r="3" spans="1:22" s="14" customFormat="1" ht="60" customHeight="1">
      <c r="B3" s="12"/>
      <c r="C3" s="13"/>
      <c r="D3" s="52"/>
      <c r="E3" s="52"/>
      <c r="F3" s="52"/>
      <c r="G3" s="52"/>
      <c r="H3" s="52"/>
      <c r="I3" s="52"/>
      <c r="J3" s="48"/>
      <c r="K3" s="48"/>
      <c r="L3" s="48"/>
      <c r="M3" s="48"/>
      <c r="N3" s="48"/>
      <c r="O3" s="48"/>
      <c r="P3" s="48"/>
      <c r="Q3" s="48"/>
      <c r="R3" s="48"/>
      <c r="T3" s="15"/>
      <c r="V3" s="54" t="s">
        <v>516</v>
      </c>
    </row>
    <row r="4" spans="1:22" s="6" customFormat="1" ht="36" customHeight="1">
      <c r="B4" s="16"/>
      <c r="D4" s="51"/>
      <c r="E4" s="51" t="s">
        <v>819</v>
      </c>
      <c r="F4" s="51" t="s">
        <v>234</v>
      </c>
      <c r="G4" s="51" t="s">
        <v>821</v>
      </c>
      <c r="H4" s="51"/>
      <c r="I4" s="51"/>
      <c r="J4" s="46"/>
      <c r="K4" s="46"/>
      <c r="L4" s="46"/>
      <c r="M4" s="46"/>
      <c r="N4" s="46"/>
      <c r="O4" s="46"/>
      <c r="P4" s="46"/>
      <c r="Q4" s="46"/>
      <c r="R4" s="46"/>
      <c r="S4" s="17"/>
      <c r="V4" s="55"/>
    </row>
    <row r="5" spans="1:22" s="6" customFormat="1" ht="80.099999999999994" customHeight="1">
      <c r="B5" s="18">
        <v>1</v>
      </c>
      <c r="D5" s="50" t="s">
        <v>264</v>
      </c>
      <c r="E5" s="50" t="s">
        <v>265</v>
      </c>
      <c r="F5" s="50" t="s">
        <v>86</v>
      </c>
      <c r="G5" s="50" t="s">
        <v>266</v>
      </c>
      <c r="H5" s="50" t="s">
        <v>267</v>
      </c>
      <c r="I5" s="50" t="str">
        <f>CHAR(10)</f>
        <v xml:space="preserve">
</v>
      </c>
      <c r="J5" s="36"/>
      <c r="K5" s="36"/>
      <c r="L5" s="36"/>
      <c r="M5" s="36"/>
      <c r="N5" s="36"/>
      <c r="O5" s="36"/>
      <c r="P5" s="36"/>
      <c r="Q5" s="36"/>
      <c r="R5" s="36"/>
      <c r="S5" s="19"/>
      <c r="V5" s="55"/>
    </row>
    <row r="6" spans="1:22" s="23" customFormat="1" ht="36" customHeight="1">
      <c r="B6" s="20"/>
      <c r="C6" s="21"/>
      <c r="D6" s="47"/>
      <c r="E6" s="47" t="s">
        <v>819</v>
      </c>
      <c r="F6" s="47" t="s">
        <v>820</v>
      </c>
      <c r="G6" s="47" t="s">
        <v>822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22"/>
      <c r="V6" s="55"/>
    </row>
    <row r="7" spans="1:22" s="27" customFormat="1" ht="60" customHeight="1">
      <c r="B7" s="24"/>
      <c r="C7" s="25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6"/>
      <c r="V7" s="55"/>
    </row>
    <row r="8" spans="1:22" s="6" customFormat="1" ht="36" customHeight="1">
      <c r="B8" s="16"/>
      <c r="D8" s="51" t="s">
        <v>193</v>
      </c>
      <c r="E8" s="51" t="s">
        <v>823</v>
      </c>
      <c r="F8" s="51" t="s">
        <v>207</v>
      </c>
      <c r="G8" s="51" t="s">
        <v>824</v>
      </c>
      <c r="H8" s="51"/>
      <c r="I8" s="51" t="s">
        <v>239</v>
      </c>
      <c r="J8" s="51" t="s">
        <v>203</v>
      </c>
      <c r="K8" s="51" t="s">
        <v>827</v>
      </c>
      <c r="L8" s="51" t="s">
        <v>234</v>
      </c>
      <c r="M8" s="51"/>
      <c r="N8" s="51" t="s">
        <v>828</v>
      </c>
      <c r="O8" s="51" t="s">
        <v>225</v>
      </c>
      <c r="P8" s="51" t="s">
        <v>229</v>
      </c>
      <c r="Q8" s="51" t="s">
        <v>829</v>
      </c>
      <c r="R8" s="51" t="s">
        <v>247</v>
      </c>
      <c r="S8" s="17"/>
      <c r="V8" s="55"/>
    </row>
    <row r="9" spans="1:22" s="6" customFormat="1" ht="80.099999999999994" customHeight="1">
      <c r="B9" s="18">
        <f>B5+1</f>
        <v>2</v>
      </c>
      <c r="D9" s="50" t="s">
        <v>48</v>
      </c>
      <c r="E9" s="50" t="s">
        <v>268</v>
      </c>
      <c r="F9" s="50" t="s">
        <v>61</v>
      </c>
      <c r="G9" s="50" t="s">
        <v>269</v>
      </c>
      <c r="H9" s="50" t="s">
        <v>21</v>
      </c>
      <c r="I9" s="50" t="s">
        <v>22</v>
      </c>
      <c r="J9" s="50" t="s">
        <v>57</v>
      </c>
      <c r="K9" s="50" t="s">
        <v>270</v>
      </c>
      <c r="L9" s="50" t="s">
        <v>86</v>
      </c>
      <c r="M9" s="50" t="s">
        <v>21</v>
      </c>
      <c r="N9" s="50" t="s">
        <v>271</v>
      </c>
      <c r="O9" s="50" t="s">
        <v>272</v>
      </c>
      <c r="P9" s="50" t="s">
        <v>273</v>
      </c>
      <c r="Q9" s="50" t="s">
        <v>274</v>
      </c>
      <c r="R9" s="50" t="s">
        <v>96</v>
      </c>
      <c r="S9" s="19"/>
      <c r="T9" s="15"/>
      <c r="V9" s="55"/>
    </row>
    <row r="10" spans="1:22" s="6" customFormat="1" ht="36" customHeight="1">
      <c r="B10" s="20"/>
      <c r="D10" s="47" t="s">
        <v>193</v>
      </c>
      <c r="E10" s="47" t="s">
        <v>823</v>
      </c>
      <c r="F10" s="47" t="s">
        <v>207</v>
      </c>
      <c r="G10" s="47" t="s">
        <v>825</v>
      </c>
      <c r="H10" s="47"/>
      <c r="I10" s="47" t="s">
        <v>811</v>
      </c>
      <c r="J10" s="47" t="s">
        <v>826</v>
      </c>
      <c r="K10" s="47" t="s">
        <v>220</v>
      </c>
      <c r="L10" s="47" t="s">
        <v>820</v>
      </c>
      <c r="M10" s="47"/>
      <c r="N10" s="47" t="s">
        <v>828</v>
      </c>
      <c r="O10" s="47" t="s">
        <v>230</v>
      </c>
      <c r="P10" s="47" t="s">
        <v>240</v>
      </c>
      <c r="Q10" s="47" t="s">
        <v>829</v>
      </c>
      <c r="R10" s="47" t="s">
        <v>830</v>
      </c>
      <c r="S10" s="28"/>
      <c r="V10" s="55"/>
    </row>
    <row r="11" spans="1:22" s="26" customFormat="1" ht="60" customHeight="1">
      <c r="B11" s="29"/>
      <c r="C11" s="30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5"/>
    </row>
    <row r="12" spans="1:22" s="6" customFormat="1" ht="36" customHeight="1">
      <c r="B12" s="16"/>
      <c r="D12" s="51" t="s">
        <v>831</v>
      </c>
      <c r="E12" s="51" t="s">
        <v>833</v>
      </c>
      <c r="F12" s="51" t="s">
        <v>835</v>
      </c>
      <c r="G12" s="51"/>
      <c r="H12" s="51" t="s">
        <v>837</v>
      </c>
      <c r="I12" s="51" t="s">
        <v>839</v>
      </c>
      <c r="J12" s="51" t="s">
        <v>209</v>
      </c>
      <c r="K12" s="51" t="s">
        <v>841</v>
      </c>
      <c r="L12" s="51" t="s">
        <v>202</v>
      </c>
      <c r="M12" s="51"/>
      <c r="N12" s="51" t="s">
        <v>844</v>
      </c>
      <c r="O12" s="51" t="s">
        <v>242</v>
      </c>
      <c r="P12" s="51" t="s">
        <v>214</v>
      </c>
      <c r="Q12" s="51" t="s">
        <v>848</v>
      </c>
      <c r="R12" s="51"/>
      <c r="S12" s="17"/>
      <c r="V12" s="55"/>
    </row>
    <row r="13" spans="1:22" s="6" customFormat="1" ht="80.099999999999994" customHeight="1">
      <c r="B13" s="18">
        <f>B9+1</f>
        <v>3</v>
      </c>
      <c r="D13" s="50" t="s">
        <v>275</v>
      </c>
      <c r="E13" s="50" t="s">
        <v>276</v>
      </c>
      <c r="F13" s="50" t="s">
        <v>277</v>
      </c>
      <c r="G13" s="50" t="s">
        <v>25</v>
      </c>
      <c r="H13" s="50" t="s">
        <v>278</v>
      </c>
      <c r="I13" s="50" t="s">
        <v>279</v>
      </c>
      <c r="J13" s="50" t="s">
        <v>62</v>
      </c>
      <c r="K13" s="50" t="s">
        <v>280</v>
      </c>
      <c r="L13" s="50" t="s">
        <v>74</v>
      </c>
      <c r="M13" s="50" t="s">
        <v>281</v>
      </c>
      <c r="N13" s="50" t="s">
        <v>282</v>
      </c>
      <c r="O13" s="50" t="s">
        <v>93</v>
      </c>
      <c r="P13" s="50" t="s">
        <v>283</v>
      </c>
      <c r="Q13" s="50" t="s">
        <v>284</v>
      </c>
      <c r="R13" s="50" t="s">
        <v>281</v>
      </c>
      <c r="S13" s="19"/>
      <c r="V13" s="55"/>
    </row>
    <row r="14" spans="1:22" s="6" customFormat="1" ht="36" customHeight="1">
      <c r="B14" s="20"/>
      <c r="D14" s="47" t="s">
        <v>832</v>
      </c>
      <c r="E14" s="47" t="s">
        <v>834</v>
      </c>
      <c r="F14" s="47" t="s">
        <v>836</v>
      </c>
      <c r="G14" s="47"/>
      <c r="H14" s="47" t="s">
        <v>838</v>
      </c>
      <c r="I14" s="47" t="s">
        <v>840</v>
      </c>
      <c r="J14" s="47" t="s">
        <v>209</v>
      </c>
      <c r="K14" s="47" t="s">
        <v>842</v>
      </c>
      <c r="L14" s="47" t="s">
        <v>843</v>
      </c>
      <c r="M14" s="47"/>
      <c r="N14" s="47" t="s">
        <v>845</v>
      </c>
      <c r="O14" s="47" t="s">
        <v>846</v>
      </c>
      <c r="P14" s="47" t="s">
        <v>847</v>
      </c>
      <c r="Q14" s="47" t="s">
        <v>849</v>
      </c>
      <c r="R14" s="47"/>
      <c r="S14" s="28"/>
      <c r="V14" s="55"/>
    </row>
    <row r="15" spans="1:22" s="32" customFormat="1" ht="60" customHeight="1">
      <c r="B15" s="12"/>
      <c r="C15" s="3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5"/>
    </row>
    <row r="16" spans="1:22" s="6" customFormat="1" ht="36" customHeight="1">
      <c r="B16" s="16"/>
      <c r="D16" s="51" t="s">
        <v>850</v>
      </c>
      <c r="E16" s="51" t="s">
        <v>852</v>
      </c>
      <c r="F16" s="51" t="s">
        <v>250</v>
      </c>
      <c r="G16" s="51" t="s">
        <v>224</v>
      </c>
      <c r="H16" s="51" t="s">
        <v>207</v>
      </c>
      <c r="I16" s="51" t="s">
        <v>856</v>
      </c>
      <c r="J16" s="51"/>
      <c r="K16" s="51" t="s">
        <v>241</v>
      </c>
      <c r="L16" s="51" t="s">
        <v>239</v>
      </c>
      <c r="M16" s="51" t="s">
        <v>859</v>
      </c>
      <c r="N16" s="51" t="s">
        <v>861</v>
      </c>
      <c r="O16" s="51" t="s">
        <v>863</v>
      </c>
      <c r="P16" s="51" t="s">
        <v>865</v>
      </c>
      <c r="Q16" s="51"/>
      <c r="R16" s="51" t="s">
        <v>867</v>
      </c>
      <c r="S16" s="17"/>
      <c r="V16" s="55"/>
    </row>
    <row r="17" spans="2:22" s="6" customFormat="1" ht="80.099999999999994" customHeight="1">
      <c r="B17" s="18">
        <f>B13+1</f>
        <v>4</v>
      </c>
      <c r="D17" s="50" t="s">
        <v>285</v>
      </c>
      <c r="E17" s="50" t="s">
        <v>286</v>
      </c>
      <c r="F17" s="50" t="s">
        <v>287</v>
      </c>
      <c r="G17" s="50" t="s">
        <v>77</v>
      </c>
      <c r="H17" s="50" t="s">
        <v>61</v>
      </c>
      <c r="I17" s="50" t="s">
        <v>288</v>
      </c>
      <c r="J17" s="50" t="s">
        <v>21</v>
      </c>
      <c r="K17" s="50" t="s">
        <v>92</v>
      </c>
      <c r="L17" s="50" t="s">
        <v>22</v>
      </c>
      <c r="M17" s="50" t="s">
        <v>289</v>
      </c>
      <c r="N17" s="50" t="s">
        <v>290</v>
      </c>
      <c r="O17" s="50" t="s">
        <v>291</v>
      </c>
      <c r="P17" s="50" t="s">
        <v>292</v>
      </c>
      <c r="Q17" s="50" t="s">
        <v>281</v>
      </c>
      <c r="R17" s="50" t="s">
        <v>293</v>
      </c>
      <c r="S17" s="19"/>
      <c r="V17" s="55"/>
    </row>
    <row r="18" spans="2:22" s="6" customFormat="1" ht="36" customHeight="1">
      <c r="B18" s="20"/>
      <c r="D18" s="47" t="s">
        <v>851</v>
      </c>
      <c r="E18" s="47" t="s">
        <v>853</v>
      </c>
      <c r="F18" s="47" t="s">
        <v>854</v>
      </c>
      <c r="G18" s="47" t="s">
        <v>855</v>
      </c>
      <c r="H18" s="47" t="s">
        <v>207</v>
      </c>
      <c r="I18" s="47" t="s">
        <v>857</v>
      </c>
      <c r="J18" s="47"/>
      <c r="K18" s="47" t="s">
        <v>858</v>
      </c>
      <c r="L18" s="47" t="s">
        <v>811</v>
      </c>
      <c r="M18" s="47" t="s">
        <v>860</v>
      </c>
      <c r="N18" s="47" t="s">
        <v>862</v>
      </c>
      <c r="O18" s="47" t="s">
        <v>864</v>
      </c>
      <c r="P18" s="47" t="s">
        <v>866</v>
      </c>
      <c r="Q18" s="47"/>
      <c r="R18" s="47" t="s">
        <v>868</v>
      </c>
      <c r="S18" s="28"/>
      <c r="V18" s="55"/>
    </row>
    <row r="19" spans="2:22" s="32" customFormat="1" ht="60" customHeight="1">
      <c r="B19" s="12"/>
      <c r="C19" s="31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5"/>
    </row>
    <row r="20" spans="2:22" s="6" customFormat="1" ht="36" customHeight="1">
      <c r="B20" s="16"/>
      <c r="D20" s="51" t="s">
        <v>197</v>
      </c>
      <c r="E20" s="51" t="s">
        <v>870</v>
      </c>
      <c r="F20" s="51" t="s">
        <v>872</v>
      </c>
      <c r="G20" s="51" t="s">
        <v>207</v>
      </c>
      <c r="H20" s="51" t="s">
        <v>874</v>
      </c>
      <c r="I20" s="51"/>
      <c r="J20" s="51" t="s">
        <v>236</v>
      </c>
      <c r="K20" s="51" t="s">
        <v>226</v>
      </c>
      <c r="L20" s="51" t="s">
        <v>878</v>
      </c>
      <c r="M20" s="51" t="s">
        <v>880</v>
      </c>
      <c r="N20" s="51"/>
      <c r="O20" s="51" t="s">
        <v>882</v>
      </c>
      <c r="P20" s="51" t="s">
        <v>191</v>
      </c>
      <c r="Q20" s="51" t="s">
        <v>885</v>
      </c>
      <c r="R20" s="51" t="s">
        <v>887</v>
      </c>
      <c r="S20" s="17"/>
      <c r="V20" s="55"/>
    </row>
    <row r="21" spans="2:22" s="6" customFormat="1" ht="80.099999999999994" customHeight="1">
      <c r="B21" s="18">
        <f>B17+1</f>
        <v>5</v>
      </c>
      <c r="D21" s="50" t="s">
        <v>294</v>
      </c>
      <c r="E21" s="50" t="s">
        <v>295</v>
      </c>
      <c r="F21" s="50" t="s">
        <v>296</v>
      </c>
      <c r="G21" s="50" t="s">
        <v>61</v>
      </c>
      <c r="H21" s="50" t="s">
        <v>297</v>
      </c>
      <c r="I21" s="50" t="s">
        <v>21</v>
      </c>
      <c r="J21" s="50" t="s">
        <v>298</v>
      </c>
      <c r="K21" s="50" t="s">
        <v>81</v>
      </c>
      <c r="L21" s="50" t="s">
        <v>299</v>
      </c>
      <c r="M21" s="50" t="s">
        <v>300</v>
      </c>
      <c r="N21" s="50" t="s">
        <v>21</v>
      </c>
      <c r="O21" s="50" t="s">
        <v>301</v>
      </c>
      <c r="P21" s="50" t="s">
        <v>302</v>
      </c>
      <c r="Q21" s="50" t="s">
        <v>303</v>
      </c>
      <c r="R21" s="50" t="s">
        <v>304</v>
      </c>
      <c r="S21" s="19"/>
      <c r="V21" s="55"/>
    </row>
    <row r="22" spans="2:22" s="6" customFormat="1" ht="36" customHeight="1">
      <c r="B22" s="20"/>
      <c r="D22" s="47" t="s">
        <v>869</v>
      </c>
      <c r="E22" s="47" t="s">
        <v>871</v>
      </c>
      <c r="F22" s="47" t="s">
        <v>873</v>
      </c>
      <c r="G22" s="47" t="s">
        <v>207</v>
      </c>
      <c r="H22" s="47" t="s">
        <v>875</v>
      </c>
      <c r="I22" s="47"/>
      <c r="J22" s="47" t="s">
        <v>876</v>
      </c>
      <c r="K22" s="47" t="s">
        <v>877</v>
      </c>
      <c r="L22" s="47" t="s">
        <v>879</v>
      </c>
      <c r="M22" s="47" t="s">
        <v>881</v>
      </c>
      <c r="N22" s="47"/>
      <c r="O22" s="47" t="s">
        <v>883</v>
      </c>
      <c r="P22" s="47" t="s">
        <v>884</v>
      </c>
      <c r="Q22" s="47" t="s">
        <v>886</v>
      </c>
      <c r="R22" s="47" t="s">
        <v>887</v>
      </c>
      <c r="S22" s="28"/>
      <c r="V22" s="55"/>
    </row>
    <row r="23" spans="2:22" s="32" customFormat="1" ht="60" customHeight="1">
      <c r="B23" s="12"/>
      <c r="C23" s="31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48"/>
      <c r="Q23" s="48"/>
      <c r="R23" s="48"/>
      <c r="V23" s="55"/>
    </row>
    <row r="24" spans="2:22" s="6" customFormat="1" ht="36" customHeight="1">
      <c r="B24" s="16"/>
      <c r="D24" s="51" t="s">
        <v>205</v>
      </c>
      <c r="E24" s="51" t="s">
        <v>889</v>
      </c>
      <c r="F24" s="51" t="s">
        <v>203</v>
      </c>
      <c r="G24" s="51" t="s">
        <v>891</v>
      </c>
      <c r="H24" s="51" t="s">
        <v>238</v>
      </c>
      <c r="I24" s="51"/>
      <c r="J24" s="51" t="s">
        <v>199</v>
      </c>
      <c r="K24" s="51" t="s">
        <v>895</v>
      </c>
      <c r="L24" s="51" t="s">
        <v>210</v>
      </c>
      <c r="M24" s="51" t="s">
        <v>898</v>
      </c>
      <c r="N24" s="51"/>
      <c r="O24" s="51"/>
      <c r="P24" s="46"/>
      <c r="Q24" s="46"/>
      <c r="R24" s="46"/>
      <c r="S24" s="17"/>
      <c r="V24" s="55"/>
    </row>
    <row r="25" spans="2:22" s="6" customFormat="1" ht="80.099999999999994" customHeight="1">
      <c r="B25" s="18">
        <f>B21+1</f>
        <v>6</v>
      </c>
      <c r="D25" s="50" t="s">
        <v>59</v>
      </c>
      <c r="E25" s="50" t="s">
        <v>305</v>
      </c>
      <c r="F25" s="50" t="s">
        <v>57</v>
      </c>
      <c r="G25" s="50" t="s">
        <v>18</v>
      </c>
      <c r="H25" s="50" t="s">
        <v>90</v>
      </c>
      <c r="I25" s="50" t="s">
        <v>21</v>
      </c>
      <c r="J25" s="50" t="s">
        <v>95</v>
      </c>
      <c r="K25" s="50" t="s">
        <v>306</v>
      </c>
      <c r="L25" s="50" t="s">
        <v>63</v>
      </c>
      <c r="M25" s="50" t="s">
        <v>307</v>
      </c>
      <c r="N25" s="50" t="s">
        <v>25</v>
      </c>
      <c r="O25" s="50" t="str">
        <f>CHAR(10)</f>
        <v xml:space="preserve">
</v>
      </c>
      <c r="P25" s="36"/>
      <c r="Q25" s="36"/>
      <c r="R25" s="36"/>
      <c r="S25" s="19"/>
      <c r="V25" s="55"/>
    </row>
    <row r="26" spans="2:22" s="6" customFormat="1" ht="36" customHeight="1">
      <c r="B26" s="20"/>
      <c r="D26" s="47" t="s">
        <v>888</v>
      </c>
      <c r="E26" s="47" t="s">
        <v>890</v>
      </c>
      <c r="F26" s="47" t="s">
        <v>826</v>
      </c>
      <c r="G26" s="47" t="s">
        <v>892</v>
      </c>
      <c r="H26" s="47" t="s">
        <v>893</v>
      </c>
      <c r="I26" s="47"/>
      <c r="J26" s="47" t="s">
        <v>894</v>
      </c>
      <c r="K26" s="47" t="s">
        <v>896</v>
      </c>
      <c r="L26" s="47" t="s">
        <v>897</v>
      </c>
      <c r="M26" s="47" t="s">
        <v>899</v>
      </c>
      <c r="N26" s="47"/>
      <c r="O26" s="47"/>
      <c r="P26" s="47"/>
      <c r="Q26" s="47"/>
      <c r="R26" s="47"/>
      <c r="S26" s="28"/>
      <c r="V26" s="55"/>
    </row>
    <row r="27" spans="2:22" s="32" customFormat="1" ht="60" customHeight="1">
      <c r="B27" s="12"/>
      <c r="C27" s="31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2" t="str">
        <f t="shared" ref="U27:U32" si="1" xml:space="preserve"> MID($N$26,4,1)</f>
        <v/>
      </c>
      <c r="V27" s="55"/>
    </row>
    <row r="28" spans="2:22" s="6" customFormat="1" ht="36" customHeight="1">
      <c r="B28" s="16"/>
      <c r="D28" s="51" t="s">
        <v>196</v>
      </c>
      <c r="E28" s="51" t="s">
        <v>901</v>
      </c>
      <c r="F28" s="51" t="s">
        <v>903</v>
      </c>
      <c r="G28" s="51" t="s">
        <v>904</v>
      </c>
      <c r="H28" s="51" t="s">
        <v>232</v>
      </c>
      <c r="I28" s="51" t="s">
        <v>252</v>
      </c>
      <c r="J28" s="51" t="s">
        <v>194</v>
      </c>
      <c r="K28" s="51" t="s">
        <v>819</v>
      </c>
      <c r="L28" s="51" t="s">
        <v>216</v>
      </c>
      <c r="M28" s="51" t="s">
        <v>198</v>
      </c>
      <c r="N28" s="51"/>
      <c r="O28" s="51" t="s">
        <v>910</v>
      </c>
      <c r="P28" s="51" t="s">
        <v>213</v>
      </c>
      <c r="Q28" s="51" t="s">
        <v>913</v>
      </c>
      <c r="R28" s="51"/>
      <c r="S28" s="17"/>
      <c r="U28" s="32" t="str">
        <f t="shared" si="1"/>
        <v/>
      </c>
      <c r="V28" s="55"/>
    </row>
    <row r="29" spans="2:22" s="6" customFormat="1" ht="80.099999999999994" customHeight="1">
      <c r="B29" s="18">
        <f>B25+1</f>
        <v>7</v>
      </c>
      <c r="D29" s="50" t="s">
        <v>51</v>
      </c>
      <c r="E29" s="50" t="s">
        <v>308</v>
      </c>
      <c r="F29" s="50" t="s">
        <v>309</v>
      </c>
      <c r="G29" s="50" t="s">
        <v>310</v>
      </c>
      <c r="H29" s="50" t="s">
        <v>19</v>
      </c>
      <c r="I29" s="50" t="s">
        <v>103</v>
      </c>
      <c r="J29" s="50" t="s">
        <v>27</v>
      </c>
      <c r="K29" s="50" t="s">
        <v>265</v>
      </c>
      <c r="L29" s="50" t="s">
        <v>67</v>
      </c>
      <c r="M29" s="50" t="s">
        <v>29</v>
      </c>
      <c r="N29" s="50" t="s">
        <v>58</v>
      </c>
      <c r="O29" s="50" t="s">
        <v>311</v>
      </c>
      <c r="P29" s="50" t="s">
        <v>23</v>
      </c>
      <c r="Q29" s="50" t="s">
        <v>312</v>
      </c>
      <c r="R29" s="50" t="s">
        <v>21</v>
      </c>
      <c r="S29" s="19"/>
      <c r="U29" s="32" t="str">
        <f t="shared" si="1"/>
        <v/>
      </c>
      <c r="V29" s="55"/>
    </row>
    <row r="30" spans="2:22" s="6" customFormat="1" ht="36" customHeight="1">
      <c r="B30" s="20"/>
      <c r="D30" s="47" t="s">
        <v>900</v>
      </c>
      <c r="E30" s="47" t="s">
        <v>902</v>
      </c>
      <c r="F30" s="47" t="s">
        <v>246</v>
      </c>
      <c r="G30" s="47" t="s">
        <v>905</v>
      </c>
      <c r="H30" s="47" t="s">
        <v>906</v>
      </c>
      <c r="I30" s="47" t="s">
        <v>907</v>
      </c>
      <c r="J30" s="47" t="s">
        <v>908</v>
      </c>
      <c r="K30" s="47" t="s">
        <v>819</v>
      </c>
      <c r="L30" s="47" t="s">
        <v>216</v>
      </c>
      <c r="M30" s="47" t="s">
        <v>909</v>
      </c>
      <c r="N30" s="47"/>
      <c r="O30" s="47" t="s">
        <v>911</v>
      </c>
      <c r="P30" s="47" t="s">
        <v>912</v>
      </c>
      <c r="Q30" s="47" t="s">
        <v>914</v>
      </c>
      <c r="R30" s="47"/>
      <c r="S30" s="28"/>
      <c r="U30" s="32" t="str">
        <f t="shared" si="1"/>
        <v/>
      </c>
      <c r="V30" s="55"/>
    </row>
    <row r="31" spans="2:22" s="32" customFormat="1" ht="60" customHeight="1">
      <c r="B31" s="12"/>
      <c r="C31" s="31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2" t="str">
        <f t="shared" si="1"/>
        <v/>
      </c>
      <c r="V31" s="55"/>
    </row>
    <row r="32" spans="2:22" s="6" customFormat="1" ht="36" customHeight="1">
      <c r="B32" s="16"/>
      <c r="D32" s="51" t="s">
        <v>915</v>
      </c>
      <c r="E32" s="51" t="s">
        <v>917</v>
      </c>
      <c r="F32" s="51" t="s">
        <v>204</v>
      </c>
      <c r="G32" s="51"/>
      <c r="H32" s="51" t="s">
        <v>920</v>
      </c>
      <c r="I32" s="51" t="s">
        <v>210</v>
      </c>
      <c r="J32" s="51"/>
      <c r="K32" s="51" t="s">
        <v>922</v>
      </c>
      <c r="L32" s="51" t="s">
        <v>924</v>
      </c>
      <c r="M32" s="51"/>
      <c r="N32" s="51" t="s">
        <v>926</v>
      </c>
      <c r="O32" s="51" t="s">
        <v>226</v>
      </c>
      <c r="P32" s="51" t="s">
        <v>249</v>
      </c>
      <c r="Q32" s="51"/>
      <c r="R32" s="51" t="s">
        <v>247</v>
      </c>
      <c r="S32" s="17"/>
      <c r="U32" s="32" t="str">
        <f t="shared" si="1"/>
        <v/>
      </c>
      <c r="V32" s="55"/>
    </row>
    <row r="33" spans="2:22" s="6" customFormat="1" ht="80.099999999999994" customHeight="1">
      <c r="B33" s="18">
        <f>B29+1</f>
        <v>8</v>
      </c>
      <c r="D33" s="50" t="s">
        <v>313</v>
      </c>
      <c r="E33" s="50" t="s">
        <v>314</v>
      </c>
      <c r="F33" s="50" t="s">
        <v>20</v>
      </c>
      <c r="G33" s="50" t="s">
        <v>21</v>
      </c>
      <c r="H33" s="50" t="s">
        <v>315</v>
      </c>
      <c r="I33" s="50" t="s">
        <v>63</v>
      </c>
      <c r="J33" s="50" t="s">
        <v>281</v>
      </c>
      <c r="K33" s="50" t="s">
        <v>316</v>
      </c>
      <c r="L33" s="50" t="s">
        <v>317</v>
      </c>
      <c r="M33" s="50" t="s">
        <v>281</v>
      </c>
      <c r="N33" s="50" t="s">
        <v>318</v>
      </c>
      <c r="O33" s="50" t="s">
        <v>81</v>
      </c>
      <c r="P33" s="50" t="s">
        <v>319</v>
      </c>
      <c r="Q33" s="50" t="s">
        <v>21</v>
      </c>
      <c r="R33" s="50" t="s">
        <v>96</v>
      </c>
      <c r="S33" s="19"/>
      <c r="V33" s="55"/>
    </row>
    <row r="34" spans="2:22" s="6" customFormat="1" ht="36" customHeight="1">
      <c r="B34" s="20"/>
      <c r="D34" s="47" t="s">
        <v>916</v>
      </c>
      <c r="E34" s="47" t="s">
        <v>918</v>
      </c>
      <c r="F34" s="47" t="s">
        <v>919</v>
      </c>
      <c r="G34" s="47"/>
      <c r="H34" s="47" t="s">
        <v>921</v>
      </c>
      <c r="I34" s="47" t="s">
        <v>897</v>
      </c>
      <c r="J34" s="47"/>
      <c r="K34" s="47" t="s">
        <v>923</v>
      </c>
      <c r="L34" s="47" t="s">
        <v>925</v>
      </c>
      <c r="M34" s="47"/>
      <c r="N34" s="47" t="s">
        <v>927</v>
      </c>
      <c r="O34" s="47" t="s">
        <v>877</v>
      </c>
      <c r="P34" s="47" t="s">
        <v>928</v>
      </c>
      <c r="Q34" s="47"/>
      <c r="R34" s="47" t="s">
        <v>830</v>
      </c>
      <c r="S34" s="28"/>
      <c r="V34" s="55"/>
    </row>
    <row r="35" spans="2:22" s="32" customFormat="1" ht="60" customHeight="1">
      <c r="B35" s="12"/>
      <c r="C35" s="3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5"/>
    </row>
    <row r="36" spans="2:22" s="6" customFormat="1" ht="36" customHeight="1">
      <c r="B36" s="16"/>
      <c r="D36" s="51" t="s">
        <v>232</v>
      </c>
      <c r="E36" s="51" t="s">
        <v>202</v>
      </c>
      <c r="F36" s="51" t="s">
        <v>929</v>
      </c>
      <c r="G36" s="51" t="s">
        <v>216</v>
      </c>
      <c r="H36" s="51" t="s">
        <v>198</v>
      </c>
      <c r="I36" s="51"/>
      <c r="J36" s="51" t="s">
        <v>237</v>
      </c>
      <c r="K36" s="51" t="s">
        <v>917</v>
      </c>
      <c r="L36" s="51" t="s">
        <v>204</v>
      </c>
      <c r="M36" s="51" t="s">
        <v>931</v>
      </c>
      <c r="N36" s="51" t="s">
        <v>933</v>
      </c>
      <c r="O36" s="51" t="s">
        <v>935</v>
      </c>
      <c r="P36" s="51" t="s">
        <v>222</v>
      </c>
      <c r="Q36" s="51" t="s">
        <v>938</v>
      </c>
      <c r="R36" s="51" t="s">
        <v>198</v>
      </c>
      <c r="S36" s="17"/>
      <c r="V36" s="55"/>
    </row>
    <row r="37" spans="2:22" s="6" customFormat="1" ht="80.099999999999994" customHeight="1">
      <c r="B37" s="18">
        <f>B33+1</f>
        <v>9</v>
      </c>
      <c r="D37" s="50" t="s">
        <v>19</v>
      </c>
      <c r="E37" s="50" t="s">
        <v>74</v>
      </c>
      <c r="F37" s="50" t="s">
        <v>320</v>
      </c>
      <c r="G37" s="50" t="s">
        <v>67</v>
      </c>
      <c r="H37" s="50" t="s">
        <v>29</v>
      </c>
      <c r="I37" s="50" t="s">
        <v>58</v>
      </c>
      <c r="J37" s="50" t="s">
        <v>89</v>
      </c>
      <c r="K37" s="50" t="s">
        <v>314</v>
      </c>
      <c r="L37" s="50" t="s">
        <v>20</v>
      </c>
      <c r="M37" s="50" t="s">
        <v>321</v>
      </c>
      <c r="N37" s="50" t="s">
        <v>322</v>
      </c>
      <c r="O37" s="50" t="s">
        <v>323</v>
      </c>
      <c r="P37" s="50" t="s">
        <v>324</v>
      </c>
      <c r="Q37" s="50" t="s">
        <v>325</v>
      </c>
      <c r="R37" s="50" t="s">
        <v>29</v>
      </c>
      <c r="S37" s="19"/>
      <c r="V37" s="55"/>
    </row>
    <row r="38" spans="2:22" s="6" customFormat="1" ht="36" customHeight="1">
      <c r="B38" s="20"/>
      <c r="D38" s="47" t="s">
        <v>906</v>
      </c>
      <c r="E38" s="47" t="s">
        <v>843</v>
      </c>
      <c r="F38" s="47" t="s">
        <v>929</v>
      </c>
      <c r="G38" s="47" t="s">
        <v>216</v>
      </c>
      <c r="H38" s="47" t="s">
        <v>909</v>
      </c>
      <c r="I38" s="47"/>
      <c r="J38" s="47" t="s">
        <v>930</v>
      </c>
      <c r="K38" s="47" t="s">
        <v>918</v>
      </c>
      <c r="L38" s="47" t="s">
        <v>919</v>
      </c>
      <c r="M38" s="47" t="s">
        <v>932</v>
      </c>
      <c r="N38" s="47" t="s">
        <v>934</v>
      </c>
      <c r="O38" s="47" t="s">
        <v>936</v>
      </c>
      <c r="P38" s="47" t="s">
        <v>937</v>
      </c>
      <c r="Q38" s="47" t="s">
        <v>939</v>
      </c>
      <c r="R38" s="47" t="s">
        <v>909</v>
      </c>
      <c r="S38" s="28"/>
      <c r="V38" s="55"/>
    </row>
    <row r="39" spans="2:22" s="32" customFormat="1" ht="60" customHeight="1">
      <c r="B39" s="12"/>
      <c r="C39" s="31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55"/>
    </row>
    <row r="40" spans="2:22" s="6" customFormat="1" ht="36" customHeight="1">
      <c r="B40" s="16"/>
      <c r="D40" s="51" t="s">
        <v>819</v>
      </c>
      <c r="E40" s="51" t="s">
        <v>215</v>
      </c>
      <c r="F40" s="51" t="s">
        <v>941</v>
      </c>
      <c r="G40" s="51" t="s">
        <v>203</v>
      </c>
      <c r="H40" s="51" t="s">
        <v>943</v>
      </c>
      <c r="I40" s="51"/>
      <c r="J40" s="51" t="s">
        <v>915</v>
      </c>
      <c r="K40" s="51" t="s">
        <v>218</v>
      </c>
      <c r="L40" s="51" t="s">
        <v>241</v>
      </c>
      <c r="M40" s="51" t="s">
        <v>844</v>
      </c>
      <c r="N40" s="51" t="s">
        <v>238</v>
      </c>
      <c r="O40" s="51" t="s">
        <v>254</v>
      </c>
      <c r="P40" s="51" t="s">
        <v>216</v>
      </c>
      <c r="Q40" s="51" t="s">
        <v>198</v>
      </c>
      <c r="R40" s="51"/>
      <c r="S40" s="17"/>
      <c r="V40" s="55"/>
    </row>
    <row r="41" spans="2:22" s="6" customFormat="1" ht="80.099999999999994" customHeight="1">
      <c r="B41" s="18">
        <f>B37+1</f>
        <v>10</v>
      </c>
      <c r="D41" s="50" t="s">
        <v>265</v>
      </c>
      <c r="E41" s="50" t="s">
        <v>66</v>
      </c>
      <c r="F41" s="50" t="s">
        <v>326</v>
      </c>
      <c r="G41" s="50" t="s">
        <v>57</v>
      </c>
      <c r="H41" s="50" t="s">
        <v>327</v>
      </c>
      <c r="I41" s="50" t="s">
        <v>21</v>
      </c>
      <c r="J41" s="50" t="s">
        <v>313</v>
      </c>
      <c r="K41" s="50" t="s">
        <v>328</v>
      </c>
      <c r="L41" s="50" t="s">
        <v>92</v>
      </c>
      <c r="M41" s="50" t="s">
        <v>282</v>
      </c>
      <c r="N41" s="50" t="s">
        <v>90</v>
      </c>
      <c r="O41" s="50" t="s">
        <v>104</v>
      </c>
      <c r="P41" s="50" t="s">
        <v>67</v>
      </c>
      <c r="Q41" s="50" t="s">
        <v>29</v>
      </c>
      <c r="R41" s="50" t="s">
        <v>58</v>
      </c>
      <c r="S41" s="19"/>
      <c r="V41" s="55"/>
    </row>
    <row r="42" spans="2:22" s="6" customFormat="1" ht="36" customHeight="1">
      <c r="B42" s="20"/>
      <c r="D42" s="47" t="s">
        <v>819</v>
      </c>
      <c r="E42" s="47" t="s">
        <v>940</v>
      </c>
      <c r="F42" s="47" t="s">
        <v>942</v>
      </c>
      <c r="G42" s="47" t="s">
        <v>826</v>
      </c>
      <c r="H42" s="47" t="s">
        <v>944</v>
      </c>
      <c r="I42" s="47"/>
      <c r="J42" s="47" t="s">
        <v>916</v>
      </c>
      <c r="K42" s="47" t="s">
        <v>945</v>
      </c>
      <c r="L42" s="47" t="s">
        <v>858</v>
      </c>
      <c r="M42" s="47" t="s">
        <v>845</v>
      </c>
      <c r="N42" s="47" t="s">
        <v>893</v>
      </c>
      <c r="O42" s="47" t="s">
        <v>946</v>
      </c>
      <c r="P42" s="47" t="s">
        <v>216</v>
      </c>
      <c r="Q42" s="47" t="s">
        <v>909</v>
      </c>
      <c r="R42" s="47"/>
      <c r="S42" s="28"/>
      <c r="V42" s="55"/>
    </row>
    <row r="43" spans="2:22" s="32" customFormat="1" ht="60" customHeight="1">
      <c r="B43" s="12"/>
      <c r="C43" s="31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55"/>
    </row>
    <row r="44" spans="2:22" s="6" customFormat="1" ht="36" customHeight="1">
      <c r="B44" s="16"/>
      <c r="D44" s="51" t="s">
        <v>910</v>
      </c>
      <c r="E44" s="51" t="s">
        <v>204</v>
      </c>
      <c r="F44" s="51" t="s">
        <v>225</v>
      </c>
      <c r="G44" s="51"/>
      <c r="H44" s="51" t="s">
        <v>245</v>
      </c>
      <c r="I44" s="51" t="s">
        <v>931</v>
      </c>
      <c r="J44" s="51" t="s">
        <v>901</v>
      </c>
      <c r="K44" s="51"/>
      <c r="L44" s="51" t="s">
        <v>948</v>
      </c>
      <c r="M44" s="51" t="s">
        <v>194</v>
      </c>
      <c r="N44" s="51" t="s">
        <v>950</v>
      </c>
      <c r="O44" s="51"/>
      <c r="P44" s="51" t="s">
        <v>247</v>
      </c>
      <c r="Q44" s="51" t="s">
        <v>933</v>
      </c>
      <c r="R44" s="51" t="s">
        <v>202</v>
      </c>
      <c r="S44" s="17"/>
      <c r="V44" s="55"/>
    </row>
    <row r="45" spans="2:22" s="6" customFormat="1" ht="80.099999999999994" customHeight="1">
      <c r="B45" s="18">
        <f>B41+1</f>
        <v>11</v>
      </c>
      <c r="D45" s="50" t="s">
        <v>311</v>
      </c>
      <c r="E45" s="50" t="s">
        <v>20</v>
      </c>
      <c r="F45" s="50" t="s">
        <v>272</v>
      </c>
      <c r="G45" s="50" t="s">
        <v>281</v>
      </c>
      <c r="H45" s="50" t="s">
        <v>329</v>
      </c>
      <c r="I45" s="50" t="s">
        <v>330</v>
      </c>
      <c r="J45" s="50" t="s">
        <v>308</v>
      </c>
      <c r="K45" s="50" t="s">
        <v>281</v>
      </c>
      <c r="L45" s="50" t="s">
        <v>331</v>
      </c>
      <c r="M45" s="50" t="s">
        <v>27</v>
      </c>
      <c r="N45" s="50" t="s">
        <v>332</v>
      </c>
      <c r="O45" s="50" t="s">
        <v>21</v>
      </c>
      <c r="P45" s="50" t="s">
        <v>96</v>
      </c>
      <c r="Q45" s="50" t="s">
        <v>322</v>
      </c>
      <c r="R45" s="50" t="s">
        <v>74</v>
      </c>
      <c r="S45" s="19"/>
      <c r="V45" s="55"/>
    </row>
    <row r="46" spans="2:22" s="6" customFormat="1" ht="36" customHeight="1">
      <c r="B46" s="20"/>
      <c r="D46" s="47" t="s">
        <v>911</v>
      </c>
      <c r="E46" s="47" t="s">
        <v>919</v>
      </c>
      <c r="F46" s="47" t="s">
        <v>230</v>
      </c>
      <c r="G46" s="47"/>
      <c r="H46" s="47" t="s">
        <v>947</v>
      </c>
      <c r="I46" s="47" t="s">
        <v>932</v>
      </c>
      <c r="J46" s="47" t="s">
        <v>902</v>
      </c>
      <c r="K46" s="47"/>
      <c r="L46" s="47" t="s">
        <v>949</v>
      </c>
      <c r="M46" s="47" t="s">
        <v>908</v>
      </c>
      <c r="N46" s="47" t="s">
        <v>951</v>
      </c>
      <c r="O46" s="47"/>
      <c r="P46" s="47" t="s">
        <v>830</v>
      </c>
      <c r="Q46" s="47" t="s">
        <v>934</v>
      </c>
      <c r="R46" s="47" t="s">
        <v>843</v>
      </c>
      <c r="S46" s="28"/>
      <c r="V46" s="55"/>
    </row>
    <row r="47" spans="2:22" s="32" customFormat="1" ht="60" customHeight="1">
      <c r="B47" s="12"/>
      <c r="C47" s="3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5"/>
    </row>
    <row r="48" spans="2:22" s="6" customFormat="1" ht="36" customHeight="1">
      <c r="B48" s="16"/>
      <c r="D48" s="51" t="s">
        <v>213</v>
      </c>
      <c r="E48" s="51" t="s">
        <v>898</v>
      </c>
      <c r="F48" s="51"/>
      <c r="G48" s="51" t="s">
        <v>241</v>
      </c>
      <c r="H48" s="51" t="s">
        <v>239</v>
      </c>
      <c r="I48" s="51" t="s">
        <v>952</v>
      </c>
      <c r="J48" s="51"/>
      <c r="K48" s="51" t="s">
        <v>954</v>
      </c>
      <c r="L48" s="51" t="s">
        <v>207</v>
      </c>
      <c r="M48" s="51" t="s">
        <v>938</v>
      </c>
      <c r="N48" s="51"/>
      <c r="O48" s="51" t="s">
        <v>956</v>
      </c>
      <c r="P48" s="51" t="s">
        <v>958</v>
      </c>
      <c r="Q48" s="51"/>
      <c r="R48" s="51" t="s">
        <v>960</v>
      </c>
      <c r="S48" s="17"/>
      <c r="V48" s="55"/>
    </row>
    <row r="49" spans="2:22" s="6" customFormat="1" ht="80.099999999999994" customHeight="1">
      <c r="B49" s="18">
        <f>B45+1</f>
        <v>12</v>
      </c>
      <c r="D49" s="50" t="s">
        <v>23</v>
      </c>
      <c r="E49" s="50" t="s">
        <v>307</v>
      </c>
      <c r="F49" s="50" t="s">
        <v>25</v>
      </c>
      <c r="G49" s="50" t="s">
        <v>92</v>
      </c>
      <c r="H49" s="50" t="s">
        <v>22</v>
      </c>
      <c r="I49" s="50" t="s">
        <v>333</v>
      </c>
      <c r="J49" s="50" t="s">
        <v>281</v>
      </c>
      <c r="K49" s="50" t="s">
        <v>334</v>
      </c>
      <c r="L49" s="50" t="s">
        <v>61</v>
      </c>
      <c r="M49" s="50" t="s">
        <v>335</v>
      </c>
      <c r="N49" s="50" t="s">
        <v>21</v>
      </c>
      <c r="O49" s="50" t="s">
        <v>336</v>
      </c>
      <c r="P49" s="50" t="s">
        <v>337</v>
      </c>
      <c r="Q49" s="50" t="s">
        <v>281</v>
      </c>
      <c r="R49" s="50" t="s">
        <v>338</v>
      </c>
      <c r="S49" s="19"/>
      <c r="V49" s="55"/>
    </row>
    <row r="50" spans="2:22" s="6" customFormat="1" ht="36" customHeight="1">
      <c r="B50" s="20"/>
      <c r="D50" s="47" t="s">
        <v>912</v>
      </c>
      <c r="E50" s="47" t="s">
        <v>899</v>
      </c>
      <c r="F50" s="47"/>
      <c r="G50" s="47" t="s">
        <v>858</v>
      </c>
      <c r="H50" s="47" t="s">
        <v>811</v>
      </c>
      <c r="I50" s="47" t="s">
        <v>953</v>
      </c>
      <c r="J50" s="47"/>
      <c r="K50" s="47" t="s">
        <v>955</v>
      </c>
      <c r="L50" s="47" t="s">
        <v>207</v>
      </c>
      <c r="M50" s="47" t="s">
        <v>939</v>
      </c>
      <c r="N50" s="47"/>
      <c r="O50" s="47" t="s">
        <v>957</v>
      </c>
      <c r="P50" s="47" t="s">
        <v>959</v>
      </c>
      <c r="Q50" s="47"/>
      <c r="R50" s="47" t="s">
        <v>961</v>
      </c>
      <c r="S50" s="28"/>
      <c r="V50" s="55"/>
    </row>
    <row r="51" spans="2:22" s="32" customFormat="1" ht="60" customHeight="1">
      <c r="B51" s="12"/>
      <c r="C51" s="31"/>
      <c r="D51" s="52"/>
      <c r="E51" s="52"/>
      <c r="F51" s="52"/>
      <c r="G51" s="52"/>
      <c r="H51" s="52"/>
      <c r="I51" s="52"/>
      <c r="J51" s="52"/>
      <c r="K51" s="52" t="s">
        <v>1032</v>
      </c>
      <c r="L51" s="52"/>
      <c r="M51" s="52"/>
      <c r="N51" s="52"/>
      <c r="O51" s="52"/>
      <c r="P51" s="52"/>
      <c r="Q51" s="52"/>
      <c r="R51" s="52"/>
      <c r="V51" s="55"/>
    </row>
    <row r="52" spans="2:22" s="6" customFormat="1" ht="36" customHeight="1">
      <c r="B52" s="16"/>
      <c r="D52" s="51" t="s">
        <v>962</v>
      </c>
      <c r="E52" s="51" t="s">
        <v>211</v>
      </c>
      <c r="F52" s="51" t="s">
        <v>223</v>
      </c>
      <c r="G52" s="51" t="s">
        <v>835</v>
      </c>
      <c r="H52" s="51"/>
      <c r="I52" s="51" t="s">
        <v>878</v>
      </c>
      <c r="J52" s="51" t="s">
        <v>202</v>
      </c>
      <c r="K52" s="51" t="s">
        <v>231</v>
      </c>
      <c r="L52" s="51" t="s">
        <v>833</v>
      </c>
      <c r="M52" s="51" t="s">
        <v>247</v>
      </c>
      <c r="N52" s="51" t="s">
        <v>242</v>
      </c>
      <c r="O52" s="51" t="s">
        <v>241</v>
      </c>
      <c r="P52" s="51" t="s">
        <v>199</v>
      </c>
      <c r="Q52" s="51" t="s">
        <v>966</v>
      </c>
      <c r="R52" s="51"/>
      <c r="S52" s="17"/>
      <c r="V52" s="55"/>
    </row>
    <row r="53" spans="2:22" s="6" customFormat="1" ht="80.099999999999994" customHeight="1">
      <c r="B53" s="18">
        <f>B49+1</f>
        <v>13</v>
      </c>
      <c r="D53" s="50" t="s">
        <v>339</v>
      </c>
      <c r="E53" s="50" t="s">
        <v>82</v>
      </c>
      <c r="F53" s="50" t="s">
        <v>75</v>
      </c>
      <c r="G53" s="50" t="s">
        <v>277</v>
      </c>
      <c r="H53" s="50" t="s">
        <v>21</v>
      </c>
      <c r="I53" s="50" t="s">
        <v>299</v>
      </c>
      <c r="J53" s="50" t="s">
        <v>74</v>
      </c>
      <c r="K53" s="53" t="s">
        <v>340</v>
      </c>
      <c r="L53" s="36" t="s">
        <v>276</v>
      </c>
      <c r="M53" s="36" t="s">
        <v>96</v>
      </c>
      <c r="N53" s="36" t="s">
        <v>93</v>
      </c>
      <c r="O53" s="36" t="s">
        <v>92</v>
      </c>
      <c r="P53" s="36" t="s">
        <v>341</v>
      </c>
      <c r="Q53" s="36" t="s">
        <v>342</v>
      </c>
      <c r="R53" s="36" t="s">
        <v>21</v>
      </c>
      <c r="S53" s="19"/>
      <c r="V53" s="55"/>
    </row>
    <row r="54" spans="2:22" s="6" customFormat="1" ht="36" customHeight="1">
      <c r="B54" s="20"/>
      <c r="D54" s="47" t="s">
        <v>963</v>
      </c>
      <c r="E54" s="47" t="s">
        <v>964</v>
      </c>
      <c r="F54" s="47" t="s">
        <v>965</v>
      </c>
      <c r="G54" s="47" t="s">
        <v>836</v>
      </c>
      <c r="H54" s="47"/>
      <c r="I54" s="47" t="s">
        <v>879</v>
      </c>
      <c r="J54" s="47" t="s">
        <v>843</v>
      </c>
      <c r="K54" s="47" t="s">
        <v>231</v>
      </c>
      <c r="L54" s="47" t="s">
        <v>834</v>
      </c>
      <c r="M54" s="47" t="s">
        <v>830</v>
      </c>
      <c r="N54" s="47" t="s">
        <v>846</v>
      </c>
      <c r="O54" s="47" t="s">
        <v>858</v>
      </c>
      <c r="P54" s="47" t="s">
        <v>894</v>
      </c>
      <c r="Q54" s="47" t="s">
        <v>967</v>
      </c>
      <c r="R54" s="47"/>
      <c r="S54" s="28"/>
      <c r="V54" s="55"/>
    </row>
    <row r="55" spans="2:22" s="32" customFormat="1" ht="60" customHeight="1">
      <c r="B55" s="12"/>
      <c r="C55" s="31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5"/>
    </row>
    <row r="56" spans="2:22" s="6" customFormat="1" ht="36" customHeight="1">
      <c r="B56" s="16"/>
      <c r="D56" s="51" t="s">
        <v>237</v>
      </c>
      <c r="E56" s="51" t="s">
        <v>917</v>
      </c>
      <c r="F56" s="51" t="s">
        <v>212</v>
      </c>
      <c r="G56" s="51" t="s">
        <v>254</v>
      </c>
      <c r="H56" s="51" t="s">
        <v>232</v>
      </c>
      <c r="I56" s="51" t="s">
        <v>835</v>
      </c>
      <c r="J56" s="51" t="s">
        <v>969</v>
      </c>
      <c r="K56" s="51" t="s">
        <v>200</v>
      </c>
      <c r="L56" s="51" t="s">
        <v>198</v>
      </c>
      <c r="M56" s="51"/>
      <c r="N56" s="51" t="s">
        <v>201</v>
      </c>
      <c r="O56" s="51" t="s">
        <v>973</v>
      </c>
      <c r="P56" s="51" t="s">
        <v>974</v>
      </c>
      <c r="Q56" s="51" t="s">
        <v>203</v>
      </c>
      <c r="R56" s="51" t="s">
        <v>976</v>
      </c>
      <c r="S56" s="17"/>
      <c r="V56" s="55"/>
    </row>
    <row r="57" spans="2:22" s="6" customFormat="1" ht="80.099999999999994" customHeight="1">
      <c r="B57" s="18">
        <f>B53+1</f>
        <v>14</v>
      </c>
      <c r="D57" s="36" t="s">
        <v>89</v>
      </c>
      <c r="E57" s="36" t="s">
        <v>314</v>
      </c>
      <c r="F57" s="36" t="s">
        <v>65</v>
      </c>
      <c r="G57" s="36" t="s">
        <v>104</v>
      </c>
      <c r="H57" s="36" t="s">
        <v>19</v>
      </c>
      <c r="I57" s="36" t="s">
        <v>277</v>
      </c>
      <c r="J57" s="36" t="s">
        <v>343</v>
      </c>
      <c r="K57" s="36" t="s">
        <v>53</v>
      </c>
      <c r="L57" s="36" t="s">
        <v>29</v>
      </c>
      <c r="M57" s="36" t="s">
        <v>25</v>
      </c>
      <c r="N57" s="36" t="s">
        <v>54</v>
      </c>
      <c r="O57" s="36" t="s">
        <v>344</v>
      </c>
      <c r="P57" s="36" t="s">
        <v>345</v>
      </c>
      <c r="Q57" s="36" t="s">
        <v>57</v>
      </c>
      <c r="R57" s="36" t="s">
        <v>346</v>
      </c>
      <c r="S57" s="19"/>
      <c r="V57" s="55"/>
    </row>
    <row r="58" spans="2:22" s="6" customFormat="1" ht="36" customHeight="1">
      <c r="B58" s="20"/>
      <c r="D58" s="47" t="s">
        <v>930</v>
      </c>
      <c r="E58" s="47" t="s">
        <v>918</v>
      </c>
      <c r="F58" s="47" t="s">
        <v>968</v>
      </c>
      <c r="G58" s="47" t="s">
        <v>946</v>
      </c>
      <c r="H58" s="47" t="s">
        <v>906</v>
      </c>
      <c r="I58" s="47" t="s">
        <v>836</v>
      </c>
      <c r="J58" s="47" t="s">
        <v>970</v>
      </c>
      <c r="K58" s="47" t="s">
        <v>971</v>
      </c>
      <c r="L58" s="47" t="s">
        <v>909</v>
      </c>
      <c r="M58" s="47"/>
      <c r="N58" s="47" t="s">
        <v>972</v>
      </c>
      <c r="O58" s="47" t="s">
        <v>973</v>
      </c>
      <c r="P58" s="47" t="s">
        <v>975</v>
      </c>
      <c r="Q58" s="47" t="s">
        <v>826</v>
      </c>
      <c r="R58" s="47" t="s">
        <v>977</v>
      </c>
      <c r="S58" s="28"/>
      <c r="V58" s="55"/>
    </row>
    <row r="59" spans="2:22" s="32" customFormat="1" ht="60" customHeight="1">
      <c r="B59" s="12"/>
      <c r="C59" s="3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5"/>
    </row>
    <row r="60" spans="2:22" s="6" customFormat="1" ht="36" customHeight="1">
      <c r="B60" s="16"/>
      <c r="D60" s="51" t="s">
        <v>206</v>
      </c>
      <c r="E60" s="51" t="s">
        <v>238</v>
      </c>
      <c r="F60" s="51" t="s">
        <v>979</v>
      </c>
      <c r="G60" s="51" t="s">
        <v>217</v>
      </c>
      <c r="H60" s="51"/>
      <c r="I60" s="51" t="s">
        <v>982</v>
      </c>
      <c r="J60" s="51" t="s">
        <v>201</v>
      </c>
      <c r="K60" s="51" t="s">
        <v>962</v>
      </c>
      <c r="L60" s="51"/>
      <c r="M60" s="51" t="s">
        <v>984</v>
      </c>
      <c r="N60" s="51" t="s">
        <v>986</v>
      </c>
      <c r="O60" s="51" t="s">
        <v>208</v>
      </c>
      <c r="P60" s="51" t="s">
        <v>926</v>
      </c>
      <c r="Q60" s="51" t="s">
        <v>237</v>
      </c>
      <c r="R60" s="51" t="s">
        <v>989</v>
      </c>
      <c r="S60" s="17"/>
      <c r="V60" s="55"/>
    </row>
    <row r="61" spans="2:22" s="6" customFormat="1" ht="80.099999999999994" customHeight="1">
      <c r="B61" s="18">
        <f>B57+1</f>
        <v>15</v>
      </c>
      <c r="D61" s="36" t="s">
        <v>60</v>
      </c>
      <c r="E61" s="36" t="s">
        <v>90</v>
      </c>
      <c r="F61" s="36" t="s">
        <v>347</v>
      </c>
      <c r="G61" s="36" t="s">
        <v>68</v>
      </c>
      <c r="H61" s="36" t="s">
        <v>21</v>
      </c>
      <c r="I61" s="36" t="s">
        <v>348</v>
      </c>
      <c r="J61" s="36" t="s">
        <v>54</v>
      </c>
      <c r="K61" s="36" t="s">
        <v>339</v>
      </c>
      <c r="L61" s="36" t="s">
        <v>21</v>
      </c>
      <c r="M61" s="36" t="s">
        <v>349</v>
      </c>
      <c r="N61" s="36" t="s">
        <v>350</v>
      </c>
      <c r="O61" s="36" t="s">
        <v>351</v>
      </c>
      <c r="P61" s="36" t="s">
        <v>352</v>
      </c>
      <c r="Q61" s="36" t="s">
        <v>89</v>
      </c>
      <c r="R61" s="36" t="s">
        <v>353</v>
      </c>
      <c r="S61" s="19"/>
      <c r="V61" s="55"/>
    </row>
    <row r="62" spans="2:22" s="6" customFormat="1" ht="36" customHeight="1">
      <c r="B62" s="20"/>
      <c r="D62" s="47" t="s">
        <v>978</v>
      </c>
      <c r="E62" s="47" t="s">
        <v>893</v>
      </c>
      <c r="F62" s="47" t="s">
        <v>980</v>
      </c>
      <c r="G62" s="47" t="s">
        <v>981</v>
      </c>
      <c r="H62" s="47"/>
      <c r="I62" s="47" t="s">
        <v>983</v>
      </c>
      <c r="J62" s="47" t="s">
        <v>972</v>
      </c>
      <c r="K62" s="47" t="s">
        <v>963</v>
      </c>
      <c r="L62" s="47"/>
      <c r="M62" s="47" t="s">
        <v>985</v>
      </c>
      <c r="N62" s="47" t="s">
        <v>987</v>
      </c>
      <c r="O62" s="47" t="s">
        <v>988</v>
      </c>
      <c r="P62" s="47" t="s">
        <v>927</v>
      </c>
      <c r="Q62" s="47" t="s">
        <v>930</v>
      </c>
      <c r="R62" s="47" t="s">
        <v>990</v>
      </c>
      <c r="S62" s="28"/>
      <c r="V62" s="55"/>
    </row>
    <row r="63" spans="2:22" s="32" customFormat="1" ht="60" customHeight="1">
      <c r="B63" s="12"/>
      <c r="C63" s="3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5"/>
    </row>
    <row r="64" spans="2:22" s="6" customFormat="1" ht="36" customHeight="1">
      <c r="B64" s="16"/>
      <c r="D64" s="51" t="s">
        <v>991</v>
      </c>
      <c r="E64" s="51" t="s">
        <v>209</v>
      </c>
      <c r="F64" s="51" t="s">
        <v>219</v>
      </c>
      <c r="G64" s="51"/>
      <c r="H64" s="51" t="s">
        <v>217</v>
      </c>
      <c r="I64" s="51" t="s">
        <v>247</v>
      </c>
      <c r="J64" s="51" t="s">
        <v>938</v>
      </c>
      <c r="K64" s="51" t="s">
        <v>251</v>
      </c>
      <c r="L64" s="51" t="s">
        <v>995</v>
      </c>
      <c r="M64" s="51" t="s">
        <v>234</v>
      </c>
      <c r="N64" s="51" t="s">
        <v>238</v>
      </c>
      <c r="O64" s="51"/>
      <c r="P64" s="51" t="s">
        <v>251</v>
      </c>
      <c r="Q64" s="51" t="s">
        <v>199</v>
      </c>
      <c r="R64" s="51" t="s">
        <v>205</v>
      </c>
      <c r="S64" s="17"/>
      <c r="V64" s="55"/>
    </row>
    <row r="65" spans="2:22" s="6" customFormat="1" ht="80.099999999999994" customHeight="1">
      <c r="B65" s="18">
        <f>B61+1</f>
        <v>16</v>
      </c>
      <c r="D65" s="36" t="s">
        <v>354</v>
      </c>
      <c r="E65" s="36" t="s">
        <v>62</v>
      </c>
      <c r="F65" s="36" t="s">
        <v>70</v>
      </c>
      <c r="G65" s="36" t="s">
        <v>25</v>
      </c>
      <c r="H65" s="36" t="s">
        <v>68</v>
      </c>
      <c r="I65" s="36" t="s">
        <v>96</v>
      </c>
      <c r="J65" s="36" t="s">
        <v>355</v>
      </c>
      <c r="K65" s="36" t="s">
        <v>101</v>
      </c>
      <c r="L65" s="36" t="s">
        <v>356</v>
      </c>
      <c r="M65" s="36" t="s">
        <v>86</v>
      </c>
      <c r="N65" s="36" t="s">
        <v>90</v>
      </c>
      <c r="O65" s="36" t="s">
        <v>21</v>
      </c>
      <c r="P65" s="36" t="s">
        <v>101</v>
      </c>
      <c r="Q65" s="36" t="s">
        <v>95</v>
      </c>
      <c r="R65" s="36" t="s">
        <v>59</v>
      </c>
      <c r="S65" s="19"/>
      <c r="V65" s="55"/>
    </row>
    <row r="66" spans="2:22" s="6" customFormat="1" ht="36" customHeight="1">
      <c r="B66" s="20"/>
      <c r="D66" s="47" t="s">
        <v>992</v>
      </c>
      <c r="E66" s="47" t="s">
        <v>209</v>
      </c>
      <c r="F66" s="47" t="s">
        <v>993</v>
      </c>
      <c r="G66" s="47"/>
      <c r="H66" s="47" t="s">
        <v>981</v>
      </c>
      <c r="I66" s="47" t="s">
        <v>830</v>
      </c>
      <c r="J66" s="47" t="s">
        <v>939</v>
      </c>
      <c r="K66" s="47" t="s">
        <v>994</v>
      </c>
      <c r="L66" s="47" t="s">
        <v>996</v>
      </c>
      <c r="M66" s="47" t="s">
        <v>820</v>
      </c>
      <c r="N66" s="47" t="s">
        <v>893</v>
      </c>
      <c r="O66" s="47"/>
      <c r="P66" s="47" t="s">
        <v>994</v>
      </c>
      <c r="Q66" s="47" t="s">
        <v>894</v>
      </c>
      <c r="R66" s="47" t="s">
        <v>888</v>
      </c>
      <c r="S66" s="28"/>
      <c r="V66" s="55"/>
    </row>
    <row r="67" spans="2:22" s="32" customFormat="1" ht="60" customHeight="1">
      <c r="B67" s="12"/>
      <c r="C67" s="31"/>
      <c r="D67" s="52"/>
      <c r="E67" s="52"/>
      <c r="F67" s="52"/>
      <c r="G67" s="52"/>
      <c r="H67" s="52"/>
      <c r="I67" s="52"/>
      <c r="J67" s="52"/>
      <c r="K67" s="52"/>
      <c r="L67" s="52"/>
      <c r="M67" s="48"/>
      <c r="N67" s="48"/>
      <c r="O67" s="48"/>
      <c r="P67" s="48"/>
      <c r="Q67" s="48"/>
      <c r="R67" s="48"/>
      <c r="V67" s="55"/>
    </row>
    <row r="68" spans="2:22" s="6" customFormat="1" ht="36" customHeight="1">
      <c r="B68" s="16"/>
      <c r="D68" s="51" t="s">
        <v>235</v>
      </c>
      <c r="E68" s="51" t="s">
        <v>237</v>
      </c>
      <c r="F68" s="51" t="s">
        <v>234</v>
      </c>
      <c r="G68" s="51" t="s">
        <v>199</v>
      </c>
      <c r="H68" s="51" t="s">
        <v>205</v>
      </c>
      <c r="I68" s="51" t="s">
        <v>998</v>
      </c>
      <c r="J68" s="51" t="s">
        <v>1000</v>
      </c>
      <c r="K68" s="51"/>
      <c r="L68" s="51"/>
      <c r="M68" s="46"/>
      <c r="N68" s="46"/>
      <c r="O68" s="46"/>
      <c r="P68" s="46"/>
      <c r="Q68" s="46"/>
      <c r="R68" s="46"/>
      <c r="S68" s="17"/>
      <c r="V68" s="55"/>
    </row>
    <row r="69" spans="2:22" s="6" customFormat="1" ht="80.099999999999994" customHeight="1">
      <c r="B69" s="18">
        <f>B65+1</f>
        <v>17</v>
      </c>
      <c r="D69" s="36" t="s">
        <v>357</v>
      </c>
      <c r="E69" s="36" t="s">
        <v>89</v>
      </c>
      <c r="F69" s="36" t="s">
        <v>86</v>
      </c>
      <c r="G69" s="36" t="s">
        <v>95</v>
      </c>
      <c r="H69" s="36" t="s">
        <v>59</v>
      </c>
      <c r="I69" s="36" t="s">
        <v>358</v>
      </c>
      <c r="J69" s="36" t="s">
        <v>78</v>
      </c>
      <c r="K69" s="36" t="s">
        <v>79</v>
      </c>
      <c r="L69" s="36" t="str">
        <f>CHAR(10)</f>
        <v xml:space="preserve">
</v>
      </c>
      <c r="M69" s="36"/>
      <c r="N69" s="36"/>
      <c r="O69" s="36"/>
      <c r="P69" s="36"/>
      <c r="Q69" s="36"/>
      <c r="R69" s="36"/>
      <c r="S69" s="19"/>
      <c r="V69" s="55"/>
    </row>
    <row r="70" spans="2:22" s="6" customFormat="1" ht="36" customHeight="1">
      <c r="B70" s="20"/>
      <c r="D70" s="47" t="s">
        <v>997</v>
      </c>
      <c r="E70" s="47" t="s">
        <v>930</v>
      </c>
      <c r="F70" s="47" t="s">
        <v>820</v>
      </c>
      <c r="G70" s="47" t="s">
        <v>894</v>
      </c>
      <c r="H70" s="47" t="s">
        <v>888</v>
      </c>
      <c r="I70" s="47" t="s">
        <v>999</v>
      </c>
      <c r="J70" s="47" t="s">
        <v>1001</v>
      </c>
      <c r="K70" s="47"/>
      <c r="L70" s="47"/>
      <c r="M70" s="47"/>
      <c r="N70" s="47"/>
      <c r="O70" s="47"/>
      <c r="P70" s="47"/>
      <c r="Q70" s="47"/>
      <c r="R70" s="47"/>
      <c r="S70" s="28"/>
      <c r="V70" s="55"/>
    </row>
    <row r="71" spans="2:22" s="32" customFormat="1" ht="60" customHeight="1">
      <c r="B71" s="12"/>
      <c r="C71" s="3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5"/>
    </row>
    <row r="72" spans="2:22" s="6" customFormat="1" ht="36" customHeight="1">
      <c r="B72" s="16"/>
      <c r="D72" s="51" t="s">
        <v>1002</v>
      </c>
      <c r="E72" s="51" t="s">
        <v>194</v>
      </c>
      <c r="F72" s="51" t="s">
        <v>196</v>
      </c>
      <c r="G72" s="51"/>
      <c r="H72" s="51" t="s">
        <v>217</v>
      </c>
      <c r="I72" s="51" t="s">
        <v>255</v>
      </c>
      <c r="J72" s="51" t="s">
        <v>901</v>
      </c>
      <c r="K72" s="51" t="s">
        <v>207</v>
      </c>
      <c r="L72" s="51" t="s">
        <v>1003</v>
      </c>
      <c r="M72" s="51" t="s">
        <v>226</v>
      </c>
      <c r="N72" s="51" t="s">
        <v>195</v>
      </c>
      <c r="O72" s="51" t="s">
        <v>1005</v>
      </c>
      <c r="P72" s="51" t="s">
        <v>219</v>
      </c>
      <c r="Q72" s="51"/>
      <c r="R72" s="51" t="s">
        <v>234</v>
      </c>
      <c r="S72" s="17"/>
      <c r="V72" s="55"/>
    </row>
    <row r="73" spans="2:22" s="6" customFormat="1" ht="80.099999999999994" customHeight="1">
      <c r="B73" s="18">
        <f>B69+1</f>
        <v>18</v>
      </c>
      <c r="D73" s="36" t="s">
        <v>359</v>
      </c>
      <c r="E73" s="36" t="s">
        <v>27</v>
      </c>
      <c r="F73" s="36" t="s">
        <v>108</v>
      </c>
      <c r="G73" s="36" t="s">
        <v>109</v>
      </c>
      <c r="H73" s="36" t="s">
        <v>68</v>
      </c>
      <c r="I73" s="36" t="s">
        <v>111</v>
      </c>
      <c r="J73" s="36" t="s">
        <v>308</v>
      </c>
      <c r="K73" s="36" t="s">
        <v>61</v>
      </c>
      <c r="L73" s="36" t="s">
        <v>360</v>
      </c>
      <c r="M73" s="36" t="s">
        <v>81</v>
      </c>
      <c r="N73" s="36" t="s">
        <v>361</v>
      </c>
      <c r="O73" s="36" t="s">
        <v>362</v>
      </c>
      <c r="P73" s="36" t="s">
        <v>70</v>
      </c>
      <c r="Q73" s="36" t="s">
        <v>25</v>
      </c>
      <c r="R73" s="36" t="s">
        <v>86</v>
      </c>
      <c r="S73" s="19"/>
      <c r="V73" s="55"/>
    </row>
    <row r="74" spans="2:22" s="6" customFormat="1" ht="36" customHeight="1">
      <c r="B74" s="20"/>
      <c r="D74" s="47" t="s">
        <v>1002</v>
      </c>
      <c r="E74" s="47" t="s">
        <v>908</v>
      </c>
      <c r="F74" s="47" t="s">
        <v>900</v>
      </c>
      <c r="G74" s="47"/>
      <c r="H74" s="47" t="s">
        <v>981</v>
      </c>
      <c r="I74" s="47" t="s">
        <v>255</v>
      </c>
      <c r="J74" s="47" t="s">
        <v>902</v>
      </c>
      <c r="K74" s="47" t="s">
        <v>207</v>
      </c>
      <c r="L74" s="47" t="s">
        <v>898</v>
      </c>
      <c r="M74" s="47" t="s">
        <v>877</v>
      </c>
      <c r="N74" s="47" t="s">
        <v>1004</v>
      </c>
      <c r="O74" s="47" t="s">
        <v>1006</v>
      </c>
      <c r="P74" s="47" t="s">
        <v>993</v>
      </c>
      <c r="Q74" s="47"/>
      <c r="R74" s="47" t="s">
        <v>820</v>
      </c>
      <c r="S74" s="28"/>
      <c r="V74" s="55"/>
    </row>
    <row r="75" spans="2:22" s="32" customFormat="1" ht="60" customHeight="1">
      <c r="B75" s="12"/>
      <c r="C75" s="31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5"/>
    </row>
    <row r="76" spans="2:22" s="6" customFormat="1" ht="36" customHeight="1">
      <c r="B76" s="16"/>
      <c r="D76" s="51" t="s">
        <v>207</v>
      </c>
      <c r="E76" s="51" t="s">
        <v>232</v>
      </c>
      <c r="F76" s="51" t="s">
        <v>938</v>
      </c>
      <c r="G76" s="51" t="s">
        <v>219</v>
      </c>
      <c r="H76" s="51"/>
      <c r="I76" s="51" t="s">
        <v>243</v>
      </c>
      <c r="J76" s="51" t="s">
        <v>1008</v>
      </c>
      <c r="K76" s="51" t="s">
        <v>1010</v>
      </c>
      <c r="L76" s="51" t="s">
        <v>207</v>
      </c>
      <c r="M76" s="51" t="s">
        <v>232</v>
      </c>
      <c r="N76" s="51" t="s">
        <v>239</v>
      </c>
      <c r="O76" s="51" t="s">
        <v>1012</v>
      </c>
      <c r="P76" s="51"/>
      <c r="Q76" s="51" t="s">
        <v>1014</v>
      </c>
      <c r="R76" s="51" t="s">
        <v>1015</v>
      </c>
      <c r="S76" s="17"/>
      <c r="V76" s="55"/>
    </row>
    <row r="77" spans="2:22" s="6" customFormat="1" ht="80.099999999999994" customHeight="1">
      <c r="B77" s="18">
        <f>B73+1</f>
        <v>19</v>
      </c>
      <c r="D77" s="36" t="s">
        <v>61</v>
      </c>
      <c r="E77" s="36" t="s">
        <v>19</v>
      </c>
      <c r="F77" s="36" t="s">
        <v>355</v>
      </c>
      <c r="G77" s="36" t="s">
        <v>70</v>
      </c>
      <c r="H77" s="36" t="s">
        <v>21</v>
      </c>
      <c r="I77" s="36" t="s">
        <v>363</v>
      </c>
      <c r="J77" s="36" t="s">
        <v>364</v>
      </c>
      <c r="K77" s="36" t="s">
        <v>365</v>
      </c>
      <c r="L77" s="36" t="s">
        <v>61</v>
      </c>
      <c r="M77" s="36" t="s">
        <v>19</v>
      </c>
      <c r="N77" s="36" t="s">
        <v>366</v>
      </c>
      <c r="O77" s="36" t="s">
        <v>367</v>
      </c>
      <c r="P77" s="36" t="s">
        <v>21</v>
      </c>
      <c r="Q77" s="36" t="s">
        <v>368</v>
      </c>
      <c r="R77" s="36" t="s">
        <v>369</v>
      </c>
      <c r="S77" s="19"/>
      <c r="V77" s="55"/>
    </row>
    <row r="78" spans="2:22" s="6" customFormat="1" ht="36" customHeight="1">
      <c r="B78" s="20"/>
      <c r="D78" s="47" t="s">
        <v>207</v>
      </c>
      <c r="E78" s="47" t="s">
        <v>906</v>
      </c>
      <c r="F78" s="47" t="s">
        <v>939</v>
      </c>
      <c r="G78" s="47" t="s">
        <v>993</v>
      </c>
      <c r="H78" s="47"/>
      <c r="I78" s="47" t="s">
        <v>1007</v>
      </c>
      <c r="J78" s="47" t="s">
        <v>1009</v>
      </c>
      <c r="K78" s="47" t="s">
        <v>1011</v>
      </c>
      <c r="L78" s="47" t="s">
        <v>207</v>
      </c>
      <c r="M78" s="47" t="s">
        <v>906</v>
      </c>
      <c r="N78" s="47" t="s">
        <v>811</v>
      </c>
      <c r="O78" s="47" t="s">
        <v>1013</v>
      </c>
      <c r="P78" s="47"/>
      <c r="Q78" s="47" t="s">
        <v>252</v>
      </c>
      <c r="R78" s="47" t="s">
        <v>1016</v>
      </c>
      <c r="S78" s="28"/>
      <c r="V78" s="55"/>
    </row>
    <row r="79" spans="2:22" s="32" customFormat="1" ht="60" customHeight="1">
      <c r="B79" s="12"/>
      <c r="C79" s="31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5"/>
    </row>
    <row r="80" spans="2:22" s="6" customFormat="1" ht="36" customHeight="1">
      <c r="B80" s="16"/>
      <c r="D80" s="51" t="s">
        <v>207</v>
      </c>
      <c r="E80" s="51" t="s">
        <v>232</v>
      </c>
      <c r="F80" s="51" t="s">
        <v>227</v>
      </c>
      <c r="G80" s="51" t="s">
        <v>1018</v>
      </c>
      <c r="H80" s="51" t="s">
        <v>219</v>
      </c>
      <c r="I80" s="51"/>
      <c r="J80" s="51" t="s">
        <v>1020</v>
      </c>
      <c r="K80" s="51" t="s">
        <v>217</v>
      </c>
      <c r="L80" s="51" t="s">
        <v>1022</v>
      </c>
      <c r="M80" s="51" t="s">
        <v>228</v>
      </c>
      <c r="N80" s="51"/>
      <c r="O80" s="51" t="s">
        <v>1025</v>
      </c>
      <c r="P80" s="51" t="s">
        <v>234</v>
      </c>
      <c r="Q80" s="51" t="s">
        <v>1026</v>
      </c>
      <c r="R80" s="51" t="s">
        <v>201</v>
      </c>
      <c r="S80" s="17"/>
      <c r="V80" s="55"/>
    </row>
    <row r="81" spans="2:22" s="6" customFormat="1" ht="80.099999999999994" customHeight="1">
      <c r="B81" s="18">
        <f>B77+1</f>
        <v>20</v>
      </c>
      <c r="D81" s="36" t="s">
        <v>61</v>
      </c>
      <c r="E81" s="36" t="s">
        <v>19</v>
      </c>
      <c r="F81" s="36" t="s">
        <v>370</v>
      </c>
      <c r="G81" s="36" t="s">
        <v>371</v>
      </c>
      <c r="H81" s="36" t="s">
        <v>70</v>
      </c>
      <c r="I81" s="36" t="s">
        <v>25</v>
      </c>
      <c r="J81" s="36" t="s">
        <v>372</v>
      </c>
      <c r="K81" s="36" t="s">
        <v>102</v>
      </c>
      <c r="L81" s="36" t="s">
        <v>373</v>
      </c>
      <c r="M81" s="36" t="s">
        <v>374</v>
      </c>
      <c r="N81" s="36" t="s">
        <v>21</v>
      </c>
      <c r="O81" s="36" t="s">
        <v>375</v>
      </c>
      <c r="P81" s="36" t="s">
        <v>376</v>
      </c>
      <c r="Q81" s="36" t="s">
        <v>377</v>
      </c>
      <c r="R81" s="36" t="s">
        <v>54</v>
      </c>
      <c r="S81" s="19"/>
      <c r="V81" s="55"/>
    </row>
    <row r="82" spans="2:22" s="6" customFormat="1" ht="36" customHeight="1">
      <c r="B82" s="20"/>
      <c r="D82" s="47" t="s">
        <v>207</v>
      </c>
      <c r="E82" s="47" t="s">
        <v>906</v>
      </c>
      <c r="F82" s="47" t="s">
        <v>1017</v>
      </c>
      <c r="G82" s="47" t="s">
        <v>1019</v>
      </c>
      <c r="H82" s="47" t="s">
        <v>993</v>
      </c>
      <c r="I82" s="47"/>
      <c r="J82" s="47" t="s">
        <v>1021</v>
      </c>
      <c r="K82" s="47" t="s">
        <v>981</v>
      </c>
      <c r="L82" s="47" t="s">
        <v>1023</v>
      </c>
      <c r="M82" s="47" t="s">
        <v>1024</v>
      </c>
      <c r="N82" s="47"/>
      <c r="O82" s="47" t="s">
        <v>192</v>
      </c>
      <c r="P82" s="47" t="s">
        <v>820</v>
      </c>
      <c r="Q82" s="47" t="s">
        <v>1026</v>
      </c>
      <c r="R82" s="47" t="s">
        <v>972</v>
      </c>
      <c r="S82" s="28"/>
      <c r="V82" s="56"/>
    </row>
    <row r="83" spans="2:22" s="32" customFormat="1" ht="60" customHeight="1">
      <c r="B83" s="12"/>
      <c r="C83" s="3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3"/>
    </row>
    <row r="84" spans="2:22" s="6" customFormat="1" ht="36" customHeight="1">
      <c r="B84" s="16"/>
      <c r="D84" s="51" t="s">
        <v>217</v>
      </c>
      <c r="E84" s="51"/>
      <c r="F84" s="51" t="s">
        <v>218</v>
      </c>
      <c r="G84" s="51" t="s">
        <v>232</v>
      </c>
      <c r="H84" s="51" t="s">
        <v>207</v>
      </c>
      <c r="I84" s="51" t="s">
        <v>205</v>
      </c>
      <c r="J84" s="51"/>
      <c r="K84" s="51" t="s">
        <v>1027</v>
      </c>
      <c r="L84" s="51" t="s">
        <v>237</v>
      </c>
      <c r="M84" s="51" t="s">
        <v>1029</v>
      </c>
      <c r="N84" s="51" t="s">
        <v>233</v>
      </c>
      <c r="O84" s="51" t="s">
        <v>207</v>
      </c>
      <c r="P84" s="51"/>
      <c r="Q84" s="51" t="s">
        <v>218</v>
      </c>
      <c r="R84" s="51" t="s">
        <v>213</v>
      </c>
      <c r="S84" s="17"/>
      <c r="V84" s="7"/>
    </row>
    <row r="85" spans="2:22" s="6" customFormat="1" ht="80.099999999999994" customHeight="1">
      <c r="B85" s="18">
        <f>B81+1</f>
        <v>21</v>
      </c>
      <c r="D85" s="36" t="s">
        <v>102</v>
      </c>
      <c r="E85" s="36" t="s">
        <v>21</v>
      </c>
      <c r="F85" s="36" t="s">
        <v>69</v>
      </c>
      <c r="G85" s="36" t="s">
        <v>19</v>
      </c>
      <c r="H85" s="36" t="s">
        <v>61</v>
      </c>
      <c r="I85" s="36" t="s">
        <v>71</v>
      </c>
      <c r="J85" s="36" t="s">
        <v>58</v>
      </c>
      <c r="K85" s="36" t="s">
        <v>378</v>
      </c>
      <c r="L85" s="36" t="s">
        <v>89</v>
      </c>
      <c r="M85" s="36" t="s">
        <v>379</v>
      </c>
      <c r="N85" s="36" t="s">
        <v>85</v>
      </c>
      <c r="O85" s="36" t="s">
        <v>61</v>
      </c>
      <c r="P85" s="36" t="s">
        <v>21</v>
      </c>
      <c r="Q85" s="36" t="s">
        <v>69</v>
      </c>
      <c r="R85" s="36" t="s">
        <v>23</v>
      </c>
      <c r="S85" s="19"/>
      <c r="V85" s="7"/>
    </row>
    <row r="86" spans="2:22" s="6" customFormat="1" ht="36" customHeight="1">
      <c r="B86" s="20"/>
      <c r="D86" s="47" t="s">
        <v>981</v>
      </c>
      <c r="E86" s="47"/>
      <c r="F86" s="47" t="s">
        <v>945</v>
      </c>
      <c r="G86" s="47" t="s">
        <v>906</v>
      </c>
      <c r="H86" s="47" t="s">
        <v>207</v>
      </c>
      <c r="I86" s="47" t="s">
        <v>888</v>
      </c>
      <c r="J86" s="47"/>
      <c r="K86" s="47" t="s">
        <v>1028</v>
      </c>
      <c r="L86" s="47" t="s">
        <v>930</v>
      </c>
      <c r="M86" s="47" t="s">
        <v>1030</v>
      </c>
      <c r="N86" s="47" t="s">
        <v>903</v>
      </c>
      <c r="O86" s="47" t="s">
        <v>207</v>
      </c>
      <c r="P86" s="47"/>
      <c r="Q86" s="47" t="s">
        <v>945</v>
      </c>
      <c r="R86" s="47" t="s">
        <v>912</v>
      </c>
      <c r="S86" s="28"/>
      <c r="V86" s="7"/>
    </row>
    <row r="87" spans="2:22" s="32" customFormat="1" ht="60" customHeight="1">
      <c r="B87" s="12"/>
      <c r="C87" s="31"/>
      <c r="D87" s="52"/>
      <c r="E87" s="52"/>
      <c r="F87" s="52"/>
      <c r="G87" s="52"/>
      <c r="H87" s="52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51" t="s">
        <v>253</v>
      </c>
      <c r="E88" s="51" t="s">
        <v>528</v>
      </c>
      <c r="F88" s="51" t="s">
        <v>144</v>
      </c>
      <c r="G88" s="51"/>
      <c r="H88" s="51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 t="s">
        <v>28</v>
      </c>
      <c r="E89" s="36" t="s">
        <v>380</v>
      </c>
      <c r="F89" s="50" t="s">
        <v>70</v>
      </c>
      <c r="G89" s="50" t="s">
        <v>25</v>
      </c>
      <c r="H89" s="50" t="str">
        <f>CHAR(10)</f>
        <v xml:space="preserve">
</v>
      </c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47" t="s">
        <v>1031</v>
      </c>
      <c r="E90" s="47" t="s">
        <v>661</v>
      </c>
      <c r="F90" s="47" t="s">
        <v>703</v>
      </c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28"/>
      <c r="V90" s="7"/>
    </row>
    <row r="91" spans="2:22" s="32" customFormat="1" ht="60" customHeight="1">
      <c r="B91" s="12"/>
      <c r="C91" s="31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3"/>
    </row>
    <row r="92" spans="2:22" s="6" customFormat="1" ht="36" customHeight="1">
      <c r="B92" s="16"/>
      <c r="D92" s="51" t="s">
        <v>558</v>
      </c>
      <c r="E92" s="51" t="s">
        <v>534</v>
      </c>
      <c r="F92" s="51" t="s">
        <v>133</v>
      </c>
      <c r="G92" s="51" t="s">
        <v>559</v>
      </c>
      <c r="H92" s="51" t="s">
        <v>560</v>
      </c>
      <c r="I92" s="51"/>
      <c r="J92" s="51" t="s">
        <v>561</v>
      </c>
      <c r="K92" s="51" t="s">
        <v>517</v>
      </c>
      <c r="L92" s="51" t="s">
        <v>159</v>
      </c>
      <c r="M92" s="51" t="s">
        <v>133</v>
      </c>
      <c r="N92" s="51" t="s">
        <v>553</v>
      </c>
      <c r="O92" s="51" t="s">
        <v>131</v>
      </c>
      <c r="P92" s="51" t="s">
        <v>562</v>
      </c>
      <c r="Q92" s="51" t="s">
        <v>563</v>
      </c>
      <c r="R92" s="51" t="s">
        <v>164</v>
      </c>
      <c r="S92" s="17"/>
      <c r="V92" s="7"/>
    </row>
    <row r="93" spans="2:22" s="6" customFormat="1" ht="80.099999999999994" customHeight="1">
      <c r="B93" s="18">
        <f>B89+1</f>
        <v>23</v>
      </c>
      <c r="D93" s="50" t="s">
        <v>114</v>
      </c>
      <c r="E93" s="50" t="s">
        <v>381</v>
      </c>
      <c r="F93" s="50" t="s">
        <v>61</v>
      </c>
      <c r="G93" s="50" t="s">
        <v>382</v>
      </c>
      <c r="H93" s="50" t="s">
        <v>383</v>
      </c>
      <c r="I93" s="50" t="s">
        <v>21</v>
      </c>
      <c r="J93" s="50" t="s">
        <v>384</v>
      </c>
      <c r="K93" s="50" t="s">
        <v>265</v>
      </c>
      <c r="L93" s="50" t="s">
        <v>86</v>
      </c>
      <c r="M93" s="50" t="s">
        <v>61</v>
      </c>
      <c r="N93" s="50" t="s">
        <v>360</v>
      </c>
      <c r="O93" s="50" t="s">
        <v>59</v>
      </c>
      <c r="P93" s="50" t="s">
        <v>385</v>
      </c>
      <c r="Q93" s="50" t="s">
        <v>386</v>
      </c>
      <c r="R93" s="50" t="s">
        <v>89</v>
      </c>
      <c r="S93" s="19"/>
      <c r="V93" s="7"/>
    </row>
    <row r="94" spans="2:22" s="6" customFormat="1" ht="36" customHeight="1">
      <c r="B94" s="20"/>
      <c r="D94" s="47" t="s">
        <v>713</v>
      </c>
      <c r="E94" s="47" t="s">
        <v>628</v>
      </c>
      <c r="F94" s="47" t="s">
        <v>133</v>
      </c>
      <c r="G94" s="47" t="s">
        <v>714</v>
      </c>
      <c r="H94" s="47" t="s">
        <v>715</v>
      </c>
      <c r="I94" s="47"/>
      <c r="J94" s="47" t="s">
        <v>716</v>
      </c>
      <c r="K94" s="47" t="s">
        <v>517</v>
      </c>
      <c r="L94" s="47" t="s">
        <v>644</v>
      </c>
      <c r="M94" s="47" t="s">
        <v>133</v>
      </c>
      <c r="N94" s="47" t="s">
        <v>535</v>
      </c>
      <c r="O94" s="47" t="s">
        <v>668</v>
      </c>
      <c r="P94" s="47" t="s">
        <v>717</v>
      </c>
      <c r="Q94" s="47" t="s">
        <v>718</v>
      </c>
      <c r="R94" s="47" t="s">
        <v>686</v>
      </c>
      <c r="S94" s="28"/>
      <c r="V94" s="7"/>
    </row>
    <row r="95" spans="2:22">
      <c r="B95" s="12"/>
      <c r="C95" s="31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6"/>
      <c r="C96" s="6"/>
      <c r="D96" s="51" t="s">
        <v>546</v>
      </c>
      <c r="E96" s="51" t="s">
        <v>133</v>
      </c>
      <c r="F96" s="51" t="s">
        <v>553</v>
      </c>
      <c r="G96" s="51" t="s">
        <v>131</v>
      </c>
      <c r="H96" s="51" t="s">
        <v>564</v>
      </c>
      <c r="I96" s="51" t="s">
        <v>565</v>
      </c>
      <c r="J96" s="51" t="s">
        <v>165</v>
      </c>
      <c r="K96" s="51"/>
      <c r="L96" s="51" t="s">
        <v>566</v>
      </c>
      <c r="M96" s="51" t="s">
        <v>567</v>
      </c>
      <c r="N96" s="51" t="s">
        <v>129</v>
      </c>
      <c r="O96" s="51" t="s">
        <v>142</v>
      </c>
      <c r="P96" s="51"/>
      <c r="Q96" s="51" t="s">
        <v>154</v>
      </c>
      <c r="R96" s="51" t="s">
        <v>534</v>
      </c>
    </row>
    <row r="97" spans="2:18" s="6" customFormat="1" ht="80.099999999999994" customHeight="1">
      <c r="B97" s="18">
        <f>B93+1</f>
        <v>24</v>
      </c>
      <c r="D97" s="50" t="s">
        <v>333</v>
      </c>
      <c r="E97" s="50" t="s">
        <v>61</v>
      </c>
      <c r="F97" s="50" t="s">
        <v>360</v>
      </c>
      <c r="G97" s="50" t="s">
        <v>59</v>
      </c>
      <c r="H97" s="50" t="s">
        <v>387</v>
      </c>
      <c r="I97" s="50" t="s">
        <v>388</v>
      </c>
      <c r="J97" s="50" t="s">
        <v>90</v>
      </c>
      <c r="K97" s="50" t="s">
        <v>21</v>
      </c>
      <c r="L97" s="50" t="s">
        <v>389</v>
      </c>
      <c r="M97" s="50" t="s">
        <v>390</v>
      </c>
      <c r="N97" s="50" t="s">
        <v>57</v>
      </c>
      <c r="O97" s="50" t="s">
        <v>68</v>
      </c>
      <c r="P97" s="50" t="s">
        <v>21</v>
      </c>
      <c r="Q97" s="50" t="s">
        <v>81</v>
      </c>
      <c r="R97" s="50" t="s">
        <v>306</v>
      </c>
    </row>
    <row r="98" spans="2:18" s="6" customFormat="1" ht="36" customHeight="1">
      <c r="B98" s="20"/>
      <c r="D98" s="47" t="s">
        <v>693</v>
      </c>
      <c r="E98" s="47" t="s">
        <v>133</v>
      </c>
      <c r="F98" s="47" t="s">
        <v>535</v>
      </c>
      <c r="G98" s="47" t="s">
        <v>668</v>
      </c>
      <c r="H98" s="47" t="s">
        <v>719</v>
      </c>
      <c r="I98" s="47" t="s">
        <v>720</v>
      </c>
      <c r="J98" s="47" t="s">
        <v>670</v>
      </c>
      <c r="K98" s="47"/>
      <c r="L98" s="47" t="s">
        <v>139</v>
      </c>
      <c r="M98" s="47" t="s">
        <v>721</v>
      </c>
      <c r="N98" s="47" t="s">
        <v>647</v>
      </c>
      <c r="O98" s="47" t="s">
        <v>700</v>
      </c>
      <c r="P98" s="47"/>
      <c r="Q98" s="47" t="s">
        <v>664</v>
      </c>
      <c r="R98" s="47" t="s">
        <v>628</v>
      </c>
    </row>
    <row r="99" spans="2:18" s="32" customFormat="1" ht="60" customHeight="1">
      <c r="B99" s="12"/>
      <c r="C99" s="31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6"/>
      <c r="D100" s="51" t="s">
        <v>131</v>
      </c>
      <c r="E100" s="51" t="s">
        <v>154</v>
      </c>
      <c r="F100" s="51" t="s">
        <v>568</v>
      </c>
      <c r="G100" s="51" t="s">
        <v>144</v>
      </c>
      <c r="H100" s="51"/>
      <c r="I100" s="51" t="s">
        <v>135</v>
      </c>
      <c r="J100" s="51" t="s">
        <v>543</v>
      </c>
      <c r="K100" s="51"/>
      <c r="L100" s="51" t="s">
        <v>522</v>
      </c>
      <c r="M100" s="51"/>
      <c r="N100" s="51" t="s">
        <v>569</v>
      </c>
      <c r="O100" s="51"/>
      <c r="P100" s="51" t="s">
        <v>570</v>
      </c>
      <c r="Q100" s="51"/>
      <c r="R100" s="51" t="s">
        <v>142</v>
      </c>
    </row>
    <row r="101" spans="2:18" s="6" customFormat="1" ht="80.099999999999994" customHeight="1">
      <c r="B101" s="18">
        <f>B97+1</f>
        <v>25</v>
      </c>
      <c r="D101" s="50" t="s">
        <v>59</v>
      </c>
      <c r="E101" s="50" t="s">
        <v>81</v>
      </c>
      <c r="F101" s="50" t="s">
        <v>391</v>
      </c>
      <c r="G101" s="50" t="s">
        <v>70</v>
      </c>
      <c r="H101" s="50" t="s">
        <v>25</v>
      </c>
      <c r="I101" s="50" t="s">
        <v>62</v>
      </c>
      <c r="J101" s="50" t="s">
        <v>392</v>
      </c>
      <c r="K101" s="50" t="s">
        <v>281</v>
      </c>
      <c r="L101" s="50" t="s">
        <v>393</v>
      </c>
      <c r="M101" s="50" t="s">
        <v>281</v>
      </c>
      <c r="N101" s="50" t="s">
        <v>394</v>
      </c>
      <c r="O101" s="50" t="s">
        <v>281</v>
      </c>
      <c r="P101" s="50" t="s">
        <v>395</v>
      </c>
      <c r="Q101" s="50" t="s">
        <v>21</v>
      </c>
      <c r="R101" s="50" t="s">
        <v>68</v>
      </c>
    </row>
    <row r="102" spans="2:18" s="6" customFormat="1" ht="36" customHeight="1">
      <c r="B102" s="20"/>
      <c r="D102" s="47" t="s">
        <v>668</v>
      </c>
      <c r="E102" s="47" t="s">
        <v>664</v>
      </c>
      <c r="F102" s="47" t="s">
        <v>722</v>
      </c>
      <c r="G102" s="47" t="s">
        <v>703</v>
      </c>
      <c r="H102" s="47"/>
      <c r="I102" s="47" t="s">
        <v>135</v>
      </c>
      <c r="J102" s="47" t="s">
        <v>687</v>
      </c>
      <c r="K102" s="47"/>
      <c r="L102" s="47" t="s">
        <v>650</v>
      </c>
      <c r="M102" s="47"/>
      <c r="N102" s="47" t="s">
        <v>723</v>
      </c>
      <c r="O102" s="47"/>
      <c r="P102" s="47" t="s">
        <v>570</v>
      </c>
      <c r="Q102" s="47"/>
      <c r="R102" s="47" t="s">
        <v>700</v>
      </c>
    </row>
    <row r="103" spans="2:18" s="32" customFormat="1" ht="60" customHeight="1">
      <c r="B103" s="12"/>
      <c r="C103" s="31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6"/>
      <c r="D104" s="51" t="s">
        <v>37</v>
      </c>
      <c r="E104" s="51" t="s">
        <v>165</v>
      </c>
      <c r="F104" s="51" t="s">
        <v>175</v>
      </c>
      <c r="G104" s="51" t="s">
        <v>169</v>
      </c>
      <c r="H104" s="51" t="s">
        <v>40</v>
      </c>
      <c r="I104" s="51" t="s">
        <v>133</v>
      </c>
      <c r="J104" s="51" t="s">
        <v>554</v>
      </c>
      <c r="K104" s="51" t="s">
        <v>549</v>
      </c>
      <c r="L104" s="51" t="s">
        <v>165</v>
      </c>
      <c r="M104" s="51" t="s">
        <v>144</v>
      </c>
      <c r="N104" s="51"/>
      <c r="O104" s="51" t="s">
        <v>571</v>
      </c>
      <c r="P104" s="51" t="s">
        <v>154</v>
      </c>
      <c r="Q104" s="51" t="s">
        <v>34</v>
      </c>
      <c r="R104" s="51" t="s">
        <v>572</v>
      </c>
    </row>
    <row r="105" spans="2:18" s="6" customFormat="1" ht="80.099999999999994" customHeight="1">
      <c r="B105" s="18">
        <f>B101+1</f>
        <v>26</v>
      </c>
      <c r="D105" s="50" t="s">
        <v>47</v>
      </c>
      <c r="E105" s="50" t="s">
        <v>90</v>
      </c>
      <c r="F105" s="50" t="s">
        <v>96</v>
      </c>
      <c r="G105" s="50" t="s">
        <v>93</v>
      </c>
      <c r="H105" s="50" t="s">
        <v>101</v>
      </c>
      <c r="I105" s="50" t="s">
        <v>61</v>
      </c>
      <c r="J105" s="50" t="s">
        <v>396</v>
      </c>
      <c r="K105" s="50" t="s">
        <v>342</v>
      </c>
      <c r="L105" s="50" t="s">
        <v>90</v>
      </c>
      <c r="M105" s="50" t="s">
        <v>70</v>
      </c>
      <c r="N105" s="50" t="s">
        <v>21</v>
      </c>
      <c r="O105" s="50" t="s">
        <v>397</v>
      </c>
      <c r="P105" s="50" t="s">
        <v>81</v>
      </c>
      <c r="Q105" s="50" t="s">
        <v>361</v>
      </c>
      <c r="R105" s="50" t="s">
        <v>398</v>
      </c>
    </row>
    <row r="106" spans="2:18" s="6" customFormat="1" ht="36" customHeight="1">
      <c r="B106" s="20"/>
      <c r="D106" s="47" t="s">
        <v>724</v>
      </c>
      <c r="E106" s="47" t="s">
        <v>670</v>
      </c>
      <c r="F106" s="47" t="s">
        <v>648</v>
      </c>
      <c r="G106" s="47" t="s">
        <v>654</v>
      </c>
      <c r="H106" s="47" t="s">
        <v>704</v>
      </c>
      <c r="I106" s="47" t="s">
        <v>133</v>
      </c>
      <c r="J106" s="47" t="s">
        <v>708</v>
      </c>
      <c r="K106" s="47" t="s">
        <v>697</v>
      </c>
      <c r="L106" s="47" t="s">
        <v>670</v>
      </c>
      <c r="M106" s="47" t="s">
        <v>703</v>
      </c>
      <c r="N106" s="47"/>
      <c r="O106" s="47" t="s">
        <v>725</v>
      </c>
      <c r="P106" s="47" t="s">
        <v>664</v>
      </c>
      <c r="Q106" s="47" t="s">
        <v>707</v>
      </c>
      <c r="R106" s="47" t="s">
        <v>726</v>
      </c>
    </row>
    <row r="107" spans="2:18" s="32" customFormat="1" ht="60" customHeight="1">
      <c r="B107" s="12"/>
      <c r="C107" s="31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6"/>
      <c r="D108" s="51" t="s">
        <v>190</v>
      </c>
      <c r="E108" s="51" t="s">
        <v>532</v>
      </c>
      <c r="F108" s="51" t="s">
        <v>131</v>
      </c>
      <c r="G108" s="51" t="s">
        <v>522</v>
      </c>
      <c r="H108" s="51" t="s">
        <v>46</v>
      </c>
      <c r="I108" s="51"/>
      <c r="J108" s="51" t="s">
        <v>175</v>
      </c>
      <c r="K108" s="51" t="s">
        <v>183</v>
      </c>
      <c r="L108" s="51" t="s">
        <v>46</v>
      </c>
      <c r="M108" s="51" t="s">
        <v>131</v>
      </c>
      <c r="N108" s="51" t="s">
        <v>524</v>
      </c>
      <c r="O108" s="51" t="s">
        <v>522</v>
      </c>
      <c r="P108" s="51" t="s">
        <v>165</v>
      </c>
      <c r="Q108" s="51" t="s">
        <v>144</v>
      </c>
      <c r="R108" s="51"/>
    </row>
    <row r="109" spans="2:18" s="6" customFormat="1" ht="80.099999999999994" customHeight="1">
      <c r="B109" s="18">
        <f>B105+1</f>
        <v>27</v>
      </c>
      <c r="D109" s="50" t="s">
        <v>302</v>
      </c>
      <c r="E109" s="50" t="s">
        <v>304</v>
      </c>
      <c r="F109" s="50" t="s">
        <v>59</v>
      </c>
      <c r="G109" s="50" t="s">
        <v>276</v>
      </c>
      <c r="H109" s="50" t="s">
        <v>29</v>
      </c>
      <c r="I109" s="50" t="s">
        <v>21</v>
      </c>
      <c r="J109" s="50" t="s">
        <v>96</v>
      </c>
      <c r="K109" s="50" t="s">
        <v>399</v>
      </c>
      <c r="L109" s="50" t="s">
        <v>29</v>
      </c>
      <c r="M109" s="50" t="s">
        <v>59</v>
      </c>
      <c r="N109" s="50" t="s">
        <v>278</v>
      </c>
      <c r="O109" s="50" t="s">
        <v>276</v>
      </c>
      <c r="P109" s="50" t="s">
        <v>90</v>
      </c>
      <c r="Q109" s="50" t="s">
        <v>70</v>
      </c>
      <c r="R109" s="50" t="s">
        <v>21</v>
      </c>
    </row>
    <row r="110" spans="2:18" s="6" customFormat="1" ht="36" customHeight="1">
      <c r="B110" s="20"/>
      <c r="D110" s="47" t="s">
        <v>666</v>
      </c>
      <c r="E110" s="47" t="s">
        <v>532</v>
      </c>
      <c r="F110" s="47" t="s">
        <v>668</v>
      </c>
      <c r="G110" s="47" t="s">
        <v>650</v>
      </c>
      <c r="H110" s="47" t="s">
        <v>677</v>
      </c>
      <c r="I110" s="47"/>
      <c r="J110" s="47" t="s">
        <v>648</v>
      </c>
      <c r="K110" s="47" t="s">
        <v>691</v>
      </c>
      <c r="L110" s="47" t="s">
        <v>677</v>
      </c>
      <c r="M110" s="47" t="s">
        <v>668</v>
      </c>
      <c r="N110" s="47" t="s">
        <v>652</v>
      </c>
      <c r="O110" s="47" t="s">
        <v>650</v>
      </c>
      <c r="P110" s="47" t="s">
        <v>670</v>
      </c>
      <c r="Q110" s="47" t="s">
        <v>703</v>
      </c>
      <c r="R110" s="47"/>
    </row>
    <row r="111" spans="2:18">
      <c r="B111" s="12"/>
      <c r="C111" s="31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6"/>
      <c r="C112" s="6"/>
      <c r="D112" s="51" t="s">
        <v>573</v>
      </c>
      <c r="E112" s="51" t="s">
        <v>187</v>
      </c>
      <c r="F112" s="51" t="s">
        <v>536</v>
      </c>
      <c r="G112" s="51" t="s">
        <v>574</v>
      </c>
      <c r="H112" s="51" t="s">
        <v>169</v>
      </c>
      <c r="I112" s="51" t="s">
        <v>168</v>
      </c>
      <c r="J112" s="51" t="s">
        <v>133</v>
      </c>
      <c r="K112" s="51" t="s">
        <v>575</v>
      </c>
      <c r="L112" s="51" t="s">
        <v>128</v>
      </c>
      <c r="M112" s="51" t="s">
        <v>130</v>
      </c>
      <c r="N112" s="51" t="s">
        <v>142</v>
      </c>
      <c r="O112" s="51" t="s">
        <v>37</v>
      </c>
      <c r="P112" s="51" t="s">
        <v>165</v>
      </c>
      <c r="Q112" s="51" t="s">
        <v>576</v>
      </c>
      <c r="R112" s="51" t="s">
        <v>133</v>
      </c>
    </row>
    <row r="113" spans="2:18" s="6" customFormat="1" ht="80.099999999999994" customHeight="1">
      <c r="B113" s="18">
        <f t="shared" ref="B113" si="2">B109+1</f>
        <v>28</v>
      </c>
      <c r="D113" s="50" t="s">
        <v>400</v>
      </c>
      <c r="E113" s="50" t="s">
        <v>111</v>
      </c>
      <c r="F113" s="50" t="s">
        <v>308</v>
      </c>
      <c r="G113" s="50" t="s">
        <v>401</v>
      </c>
      <c r="H113" s="50" t="s">
        <v>93</v>
      </c>
      <c r="I113" s="50" t="s">
        <v>92</v>
      </c>
      <c r="J113" s="50" t="s">
        <v>61</v>
      </c>
      <c r="K113" s="50" t="s">
        <v>402</v>
      </c>
      <c r="L113" s="50" t="s">
        <v>403</v>
      </c>
      <c r="M113" s="50" t="s">
        <v>24</v>
      </c>
      <c r="N113" s="50" t="s">
        <v>68</v>
      </c>
      <c r="O113" s="50" t="s">
        <v>47</v>
      </c>
      <c r="P113" s="50" t="s">
        <v>90</v>
      </c>
      <c r="Q113" s="50" t="s">
        <v>404</v>
      </c>
      <c r="R113" s="50" t="s">
        <v>61</v>
      </c>
    </row>
    <row r="114" spans="2:18" s="6" customFormat="1" ht="36" customHeight="1">
      <c r="B114" s="20"/>
      <c r="D114" s="47" t="s">
        <v>558</v>
      </c>
      <c r="E114" s="47" t="s">
        <v>187</v>
      </c>
      <c r="F114" s="47" t="s">
        <v>673</v>
      </c>
      <c r="G114" s="47" t="s">
        <v>574</v>
      </c>
      <c r="H114" s="47" t="s">
        <v>654</v>
      </c>
      <c r="I114" s="47" t="s">
        <v>659</v>
      </c>
      <c r="J114" s="47" t="s">
        <v>133</v>
      </c>
      <c r="K114" s="47" t="s">
        <v>727</v>
      </c>
      <c r="L114" s="47" t="s">
        <v>728</v>
      </c>
      <c r="M114" s="47" t="s">
        <v>729</v>
      </c>
      <c r="N114" s="47" t="s">
        <v>700</v>
      </c>
      <c r="O114" s="47" t="s">
        <v>724</v>
      </c>
      <c r="P114" s="47" t="s">
        <v>670</v>
      </c>
      <c r="Q114" s="47" t="s">
        <v>730</v>
      </c>
      <c r="R114" s="47" t="s">
        <v>133</v>
      </c>
    </row>
    <row r="115" spans="2:18" s="32" customFormat="1" ht="60" customHeight="1">
      <c r="B115" s="12"/>
      <c r="C115" s="31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6"/>
      <c r="D116" s="51"/>
      <c r="E116" s="51" t="s">
        <v>142</v>
      </c>
      <c r="F116" s="51" t="s">
        <v>37</v>
      </c>
      <c r="G116" s="51" t="s">
        <v>165</v>
      </c>
      <c r="H116" s="51" t="s">
        <v>154</v>
      </c>
      <c r="I116" s="51" t="s">
        <v>577</v>
      </c>
      <c r="J116" s="51" t="s">
        <v>578</v>
      </c>
      <c r="K116" s="51"/>
      <c r="L116" s="51" t="s">
        <v>143</v>
      </c>
      <c r="M116" s="51" t="s">
        <v>40</v>
      </c>
      <c r="N116" s="51" t="s">
        <v>173</v>
      </c>
      <c r="O116" s="51" t="s">
        <v>131</v>
      </c>
      <c r="P116" s="51"/>
      <c r="Q116" s="51" t="s">
        <v>37</v>
      </c>
      <c r="R116" s="51" t="s">
        <v>165</v>
      </c>
    </row>
    <row r="117" spans="2:18" s="6" customFormat="1" ht="80.099999999999994" customHeight="1">
      <c r="B117" s="18">
        <f t="shared" ref="B117" si="3">B113+1</f>
        <v>29</v>
      </c>
      <c r="D117" s="50" t="s">
        <v>25</v>
      </c>
      <c r="E117" s="50" t="s">
        <v>68</v>
      </c>
      <c r="F117" s="50" t="s">
        <v>47</v>
      </c>
      <c r="G117" s="50" t="s">
        <v>90</v>
      </c>
      <c r="H117" s="50" t="s">
        <v>81</v>
      </c>
      <c r="I117" s="50" t="s">
        <v>405</v>
      </c>
      <c r="J117" s="50" t="s">
        <v>406</v>
      </c>
      <c r="K117" s="50" t="s">
        <v>21</v>
      </c>
      <c r="L117" s="50" t="s">
        <v>69</v>
      </c>
      <c r="M117" s="50" t="s">
        <v>101</v>
      </c>
      <c r="N117" s="50" t="s">
        <v>407</v>
      </c>
      <c r="O117" s="50" t="s">
        <v>71</v>
      </c>
      <c r="P117" s="50" t="s">
        <v>25</v>
      </c>
      <c r="Q117" s="50" t="s">
        <v>47</v>
      </c>
      <c r="R117" s="50" t="s">
        <v>90</v>
      </c>
    </row>
    <row r="118" spans="2:18" s="6" customFormat="1" ht="36" customHeight="1">
      <c r="B118" s="20"/>
      <c r="D118" s="47"/>
      <c r="E118" s="47" t="s">
        <v>700</v>
      </c>
      <c r="F118" s="47" t="s">
        <v>724</v>
      </c>
      <c r="G118" s="47" t="s">
        <v>670</v>
      </c>
      <c r="H118" s="47" t="s">
        <v>664</v>
      </c>
      <c r="I118" s="47" t="s">
        <v>731</v>
      </c>
      <c r="J118" s="47" t="s">
        <v>732</v>
      </c>
      <c r="K118" s="47"/>
      <c r="L118" s="47" t="s">
        <v>690</v>
      </c>
      <c r="M118" s="47" t="s">
        <v>704</v>
      </c>
      <c r="N118" s="47" t="s">
        <v>733</v>
      </c>
      <c r="O118" s="47" t="s">
        <v>668</v>
      </c>
      <c r="P118" s="47"/>
      <c r="Q118" s="47" t="s">
        <v>724</v>
      </c>
      <c r="R118" s="47" t="s">
        <v>670</v>
      </c>
    </row>
    <row r="119" spans="2:18" s="32" customFormat="1" ht="60" customHeight="1">
      <c r="B119" s="12"/>
      <c r="C119" s="31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6"/>
      <c r="D120" s="51" t="s">
        <v>579</v>
      </c>
      <c r="E120" s="51" t="s">
        <v>152</v>
      </c>
      <c r="F120" s="51"/>
      <c r="G120" s="51" t="s">
        <v>187</v>
      </c>
      <c r="H120" s="51" t="s">
        <v>536</v>
      </c>
      <c r="I120" s="51" t="s">
        <v>580</v>
      </c>
      <c r="J120" s="51" t="s">
        <v>43</v>
      </c>
      <c r="K120" s="51" t="s">
        <v>581</v>
      </c>
      <c r="L120" s="51" t="s">
        <v>582</v>
      </c>
      <c r="M120" s="51"/>
      <c r="N120" s="51" t="s">
        <v>555</v>
      </c>
      <c r="O120" s="51" t="s">
        <v>567</v>
      </c>
      <c r="P120" s="51" t="s">
        <v>129</v>
      </c>
      <c r="Q120" s="51" t="s">
        <v>136</v>
      </c>
      <c r="R120" s="51"/>
    </row>
    <row r="121" spans="2:18" s="6" customFormat="1" ht="80.099999999999994" customHeight="1">
      <c r="B121" s="18">
        <f t="shared" ref="B121" si="4">B117+1</f>
        <v>30</v>
      </c>
      <c r="D121" s="50" t="s">
        <v>408</v>
      </c>
      <c r="E121" s="50" t="s">
        <v>77</v>
      </c>
      <c r="F121" s="50" t="s">
        <v>21</v>
      </c>
      <c r="G121" s="50" t="s">
        <v>111</v>
      </c>
      <c r="H121" s="50" t="s">
        <v>308</v>
      </c>
      <c r="I121" s="50" t="s">
        <v>409</v>
      </c>
      <c r="J121" s="50" t="s">
        <v>410</v>
      </c>
      <c r="K121" s="50" t="s">
        <v>411</v>
      </c>
      <c r="L121" s="50" t="s">
        <v>412</v>
      </c>
      <c r="M121" s="50" t="s">
        <v>21</v>
      </c>
      <c r="N121" s="50" t="s">
        <v>375</v>
      </c>
      <c r="O121" s="50" t="s">
        <v>390</v>
      </c>
      <c r="P121" s="50" t="s">
        <v>57</v>
      </c>
      <c r="Q121" s="50" t="s">
        <v>26</v>
      </c>
      <c r="R121" s="50" t="s">
        <v>25</v>
      </c>
    </row>
    <row r="122" spans="2:18" s="6" customFormat="1" ht="36" customHeight="1">
      <c r="B122" s="20"/>
      <c r="D122" s="47" t="s">
        <v>579</v>
      </c>
      <c r="E122" s="47" t="s">
        <v>657</v>
      </c>
      <c r="F122" s="47"/>
      <c r="G122" s="47" t="s">
        <v>187</v>
      </c>
      <c r="H122" s="47" t="s">
        <v>673</v>
      </c>
      <c r="I122" s="47" t="s">
        <v>734</v>
      </c>
      <c r="J122" s="47" t="s">
        <v>43</v>
      </c>
      <c r="K122" s="47" t="s">
        <v>735</v>
      </c>
      <c r="L122" s="47" t="s">
        <v>736</v>
      </c>
      <c r="M122" s="47"/>
      <c r="N122" s="47" t="s">
        <v>37</v>
      </c>
      <c r="O122" s="47" t="s">
        <v>721</v>
      </c>
      <c r="P122" s="47" t="s">
        <v>647</v>
      </c>
      <c r="Q122" s="47" t="s">
        <v>737</v>
      </c>
      <c r="R122" s="47"/>
    </row>
    <row r="123" spans="2:18" s="32" customFormat="1" ht="60" customHeight="1">
      <c r="B123" s="12"/>
      <c r="C123" s="31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6"/>
      <c r="D124" s="51" t="s">
        <v>542</v>
      </c>
      <c r="E124" s="51" t="s">
        <v>44</v>
      </c>
      <c r="F124" s="51" t="s">
        <v>131</v>
      </c>
      <c r="G124" s="51" t="s">
        <v>533</v>
      </c>
      <c r="H124" s="51" t="s">
        <v>567</v>
      </c>
      <c r="I124" s="51" t="s">
        <v>129</v>
      </c>
      <c r="J124" s="51" t="s">
        <v>583</v>
      </c>
      <c r="K124" s="51"/>
      <c r="L124" s="51" t="s">
        <v>519</v>
      </c>
      <c r="M124" s="51" t="s">
        <v>159</v>
      </c>
      <c r="N124" s="51" t="s">
        <v>35</v>
      </c>
      <c r="O124" s="51" t="s">
        <v>546</v>
      </c>
      <c r="P124" s="51" t="s">
        <v>567</v>
      </c>
      <c r="Q124" s="51" t="s">
        <v>129</v>
      </c>
      <c r="R124" s="51" t="s">
        <v>126</v>
      </c>
    </row>
    <row r="125" spans="2:18" s="6" customFormat="1" ht="80.099999999999994" customHeight="1">
      <c r="B125" s="18">
        <f t="shared" ref="B125" si="5">B121+1</f>
        <v>31</v>
      </c>
      <c r="D125" s="50" t="s">
        <v>320</v>
      </c>
      <c r="E125" s="50" t="s">
        <v>413</v>
      </c>
      <c r="F125" s="50" t="s">
        <v>59</v>
      </c>
      <c r="G125" s="50" t="s">
        <v>18</v>
      </c>
      <c r="H125" s="50" t="s">
        <v>390</v>
      </c>
      <c r="I125" s="50" t="s">
        <v>57</v>
      </c>
      <c r="J125" s="50" t="s">
        <v>414</v>
      </c>
      <c r="K125" s="50" t="s">
        <v>21</v>
      </c>
      <c r="L125" s="50" t="s">
        <v>270</v>
      </c>
      <c r="M125" s="50" t="s">
        <v>86</v>
      </c>
      <c r="N125" s="50" t="s">
        <v>22</v>
      </c>
      <c r="O125" s="50" t="s">
        <v>333</v>
      </c>
      <c r="P125" s="50" t="s">
        <v>390</v>
      </c>
      <c r="Q125" s="50" t="s">
        <v>57</v>
      </c>
      <c r="R125" s="50" t="s">
        <v>74</v>
      </c>
    </row>
    <row r="126" spans="2:18" s="6" customFormat="1" ht="36" customHeight="1">
      <c r="B126" s="20"/>
      <c r="D126" s="47" t="s">
        <v>542</v>
      </c>
      <c r="E126" s="47" t="s">
        <v>738</v>
      </c>
      <c r="F126" s="47" t="s">
        <v>668</v>
      </c>
      <c r="G126" s="47" t="s">
        <v>669</v>
      </c>
      <c r="H126" s="47" t="s">
        <v>721</v>
      </c>
      <c r="I126" s="47" t="s">
        <v>647</v>
      </c>
      <c r="J126" s="47" t="s">
        <v>583</v>
      </c>
      <c r="K126" s="47"/>
      <c r="L126" s="47" t="s">
        <v>145</v>
      </c>
      <c r="M126" s="47" t="s">
        <v>644</v>
      </c>
      <c r="N126" s="47" t="s">
        <v>646</v>
      </c>
      <c r="O126" s="47" t="s">
        <v>693</v>
      </c>
      <c r="P126" s="47" t="s">
        <v>721</v>
      </c>
      <c r="Q126" s="47" t="s">
        <v>647</v>
      </c>
      <c r="R126" s="47" t="s">
        <v>653</v>
      </c>
    </row>
    <row r="127" spans="2:18" s="32" customFormat="1" ht="60" customHeight="1">
      <c r="B127" s="12"/>
      <c r="C127" s="31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6"/>
      <c r="D128" s="51"/>
      <c r="E128" s="51" t="s">
        <v>547</v>
      </c>
      <c r="F128" s="51" t="s">
        <v>131</v>
      </c>
      <c r="G128" s="51" t="s">
        <v>584</v>
      </c>
      <c r="H128" s="51" t="s">
        <v>567</v>
      </c>
      <c r="I128" s="51" t="s">
        <v>129</v>
      </c>
      <c r="J128" s="51" t="s">
        <v>120</v>
      </c>
      <c r="K128" s="51" t="s">
        <v>585</v>
      </c>
      <c r="L128" s="51" t="s">
        <v>541</v>
      </c>
      <c r="M128" s="51"/>
      <c r="N128" s="51" t="s">
        <v>537</v>
      </c>
      <c r="O128" s="51"/>
      <c r="P128" s="51" t="s">
        <v>182</v>
      </c>
      <c r="Q128" s="51" t="s">
        <v>131</v>
      </c>
      <c r="R128" s="51" t="s">
        <v>586</v>
      </c>
    </row>
    <row r="129" spans="2:18" s="6" customFormat="1" ht="80.099999999999994" customHeight="1">
      <c r="B129" s="18">
        <f t="shared" ref="B129" si="6">B125+1</f>
        <v>32</v>
      </c>
      <c r="D129" s="50" t="s">
        <v>21</v>
      </c>
      <c r="E129" s="50" t="s">
        <v>334</v>
      </c>
      <c r="F129" s="50" t="s">
        <v>59</v>
      </c>
      <c r="G129" s="50" t="s">
        <v>112</v>
      </c>
      <c r="H129" s="50" t="s">
        <v>390</v>
      </c>
      <c r="I129" s="50" t="s">
        <v>57</v>
      </c>
      <c r="J129" s="50" t="s">
        <v>50</v>
      </c>
      <c r="K129" s="50" t="s">
        <v>415</v>
      </c>
      <c r="L129" s="50" t="s">
        <v>352</v>
      </c>
      <c r="M129" s="50" t="s">
        <v>21</v>
      </c>
      <c r="N129" s="50" t="s">
        <v>311</v>
      </c>
      <c r="O129" s="50" t="s">
        <v>281</v>
      </c>
      <c r="P129" s="50" t="s">
        <v>416</v>
      </c>
      <c r="Q129" s="50" t="s">
        <v>59</v>
      </c>
      <c r="R129" s="50" t="s">
        <v>417</v>
      </c>
    </row>
    <row r="130" spans="2:18" s="6" customFormat="1" ht="36" customHeight="1">
      <c r="B130" s="20"/>
      <c r="D130" s="47"/>
      <c r="E130" s="47" t="s">
        <v>694</v>
      </c>
      <c r="F130" s="47" t="s">
        <v>668</v>
      </c>
      <c r="G130" s="47" t="s">
        <v>739</v>
      </c>
      <c r="H130" s="47" t="s">
        <v>721</v>
      </c>
      <c r="I130" s="47" t="s">
        <v>647</v>
      </c>
      <c r="J130" s="47" t="s">
        <v>740</v>
      </c>
      <c r="K130" s="47" t="s">
        <v>741</v>
      </c>
      <c r="L130" s="47" t="s">
        <v>684</v>
      </c>
      <c r="M130" s="47"/>
      <c r="N130" s="47" t="s">
        <v>678</v>
      </c>
      <c r="O130" s="47"/>
      <c r="P130" s="47" t="s">
        <v>546</v>
      </c>
      <c r="Q130" s="47" t="s">
        <v>668</v>
      </c>
      <c r="R130" s="47" t="s">
        <v>742</v>
      </c>
    </row>
    <row r="131" spans="2:18" s="32" customFormat="1" ht="60" customHeight="1">
      <c r="B131" s="12"/>
      <c r="C131" s="31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6"/>
      <c r="D132" s="51" t="s">
        <v>567</v>
      </c>
      <c r="E132" s="51" t="s">
        <v>129</v>
      </c>
      <c r="F132" s="51" t="s">
        <v>587</v>
      </c>
      <c r="G132" s="51" t="s">
        <v>588</v>
      </c>
      <c r="H132" s="51" t="s">
        <v>125</v>
      </c>
      <c r="I132" s="51" t="s">
        <v>123</v>
      </c>
      <c r="J132" s="51"/>
      <c r="K132" s="51" t="s">
        <v>589</v>
      </c>
      <c r="L132" s="51"/>
      <c r="M132" s="51" t="s">
        <v>180</v>
      </c>
      <c r="N132" s="51" t="s">
        <v>35</v>
      </c>
      <c r="O132" s="51" t="s">
        <v>127</v>
      </c>
      <c r="P132" s="51" t="s">
        <v>567</v>
      </c>
      <c r="Q132" s="51" t="s">
        <v>129</v>
      </c>
      <c r="R132" s="51" t="s">
        <v>590</v>
      </c>
    </row>
    <row r="133" spans="2:18" s="6" customFormat="1" ht="80.099999999999994" customHeight="1">
      <c r="B133" s="18">
        <f t="shared" ref="B133" si="7">B129+1</f>
        <v>33</v>
      </c>
      <c r="D133" s="50" t="s">
        <v>390</v>
      </c>
      <c r="E133" s="50" t="s">
        <v>57</v>
      </c>
      <c r="F133" s="50" t="s">
        <v>418</v>
      </c>
      <c r="G133" s="50" t="s">
        <v>419</v>
      </c>
      <c r="H133" s="50" t="s">
        <v>420</v>
      </c>
      <c r="I133" s="50" t="s">
        <v>421</v>
      </c>
      <c r="J133" s="50" t="s">
        <v>21</v>
      </c>
      <c r="K133" s="50" t="s">
        <v>422</v>
      </c>
      <c r="L133" s="50" t="s">
        <v>281</v>
      </c>
      <c r="M133" s="50" t="s">
        <v>55</v>
      </c>
      <c r="N133" s="50" t="s">
        <v>22</v>
      </c>
      <c r="O133" s="50" t="s">
        <v>56</v>
      </c>
      <c r="P133" s="50" t="s">
        <v>390</v>
      </c>
      <c r="Q133" s="50" t="s">
        <v>57</v>
      </c>
      <c r="R133" s="50" t="s">
        <v>423</v>
      </c>
    </row>
    <row r="134" spans="2:18" s="6" customFormat="1" ht="36" customHeight="1">
      <c r="B134" s="20"/>
      <c r="D134" s="47" t="s">
        <v>721</v>
      </c>
      <c r="E134" s="47" t="s">
        <v>647</v>
      </c>
      <c r="F134" s="47" t="s">
        <v>743</v>
      </c>
      <c r="G134" s="47" t="s">
        <v>744</v>
      </c>
      <c r="H134" s="47" t="s">
        <v>745</v>
      </c>
      <c r="I134" s="47" t="s">
        <v>151</v>
      </c>
      <c r="J134" s="47"/>
      <c r="K134" s="47" t="s">
        <v>746</v>
      </c>
      <c r="L134" s="47"/>
      <c r="M134" s="47" t="s">
        <v>656</v>
      </c>
      <c r="N134" s="47" t="s">
        <v>646</v>
      </c>
      <c r="O134" s="47" t="s">
        <v>747</v>
      </c>
      <c r="P134" s="47" t="s">
        <v>721</v>
      </c>
      <c r="Q134" s="47" t="s">
        <v>647</v>
      </c>
      <c r="R134" s="47" t="s">
        <v>36</v>
      </c>
    </row>
    <row r="135" spans="2:18" s="32" customFormat="1" ht="60" customHeight="1">
      <c r="B135" s="12"/>
      <c r="C135" s="31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6"/>
      <c r="D136" s="51" t="s">
        <v>562</v>
      </c>
      <c r="E136" s="51"/>
      <c r="F136" s="51" t="s">
        <v>579</v>
      </c>
      <c r="G136" s="51" t="s">
        <v>154</v>
      </c>
      <c r="H136" s="51" t="s">
        <v>557</v>
      </c>
      <c r="I136" s="51" t="s">
        <v>146</v>
      </c>
      <c r="J136" s="51"/>
      <c r="K136" s="51" t="s">
        <v>142</v>
      </c>
      <c r="L136" s="51" t="s">
        <v>33</v>
      </c>
      <c r="M136" s="51" t="s">
        <v>149</v>
      </c>
      <c r="N136" s="51" t="s">
        <v>165</v>
      </c>
      <c r="O136" s="51" t="s">
        <v>518</v>
      </c>
      <c r="P136" s="51" t="s">
        <v>133</v>
      </c>
      <c r="Q136" s="51"/>
      <c r="R136" s="51"/>
    </row>
    <row r="137" spans="2:18" s="6" customFormat="1" ht="80.099999999999994" customHeight="1">
      <c r="B137" s="18">
        <f t="shared" ref="B137" si="8">B133+1</f>
        <v>34</v>
      </c>
      <c r="D137" s="50" t="s">
        <v>424</v>
      </c>
      <c r="E137" s="50" t="s">
        <v>21</v>
      </c>
      <c r="F137" s="50" t="s">
        <v>408</v>
      </c>
      <c r="G137" s="50" t="s">
        <v>81</v>
      </c>
      <c r="H137" s="50" t="s">
        <v>379</v>
      </c>
      <c r="I137" s="50" t="s">
        <v>72</v>
      </c>
      <c r="J137" s="50" t="s">
        <v>21</v>
      </c>
      <c r="K137" s="50" t="s">
        <v>425</v>
      </c>
      <c r="L137" s="50" t="s">
        <v>54</v>
      </c>
      <c r="M137" s="50" t="s">
        <v>75</v>
      </c>
      <c r="N137" s="50" t="s">
        <v>90</v>
      </c>
      <c r="O137" s="50" t="s">
        <v>266</v>
      </c>
      <c r="P137" s="50" t="s">
        <v>61</v>
      </c>
      <c r="Q137" s="50" t="s">
        <v>25</v>
      </c>
      <c r="R137" s="50" t="str">
        <f>CHAR(10)</f>
        <v xml:space="preserve">
</v>
      </c>
    </row>
    <row r="138" spans="2:18" s="6" customFormat="1" ht="36" customHeight="1">
      <c r="B138" s="20"/>
      <c r="D138" s="47" t="s">
        <v>717</v>
      </c>
      <c r="E138" s="47"/>
      <c r="F138" s="47" t="s">
        <v>579</v>
      </c>
      <c r="G138" s="47" t="s">
        <v>664</v>
      </c>
      <c r="H138" s="47" t="s">
        <v>711</v>
      </c>
      <c r="I138" s="47" t="s">
        <v>748</v>
      </c>
      <c r="J138" s="47"/>
      <c r="K138" s="47" t="s">
        <v>700</v>
      </c>
      <c r="L138" s="47" t="s">
        <v>699</v>
      </c>
      <c r="M138" s="47" t="s">
        <v>696</v>
      </c>
      <c r="N138" s="47" t="s">
        <v>670</v>
      </c>
      <c r="O138" s="47" t="s">
        <v>645</v>
      </c>
      <c r="P138" s="47" t="s">
        <v>133</v>
      </c>
      <c r="Q138" s="47"/>
      <c r="R138" s="47"/>
    </row>
    <row r="139" spans="2:18" s="32" customFormat="1" ht="60" customHeight="1">
      <c r="B139" s="12"/>
      <c r="C139" s="31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6"/>
      <c r="D140" s="51" t="s">
        <v>517</v>
      </c>
      <c r="E140" s="51" t="s">
        <v>159</v>
      </c>
      <c r="F140" s="51" t="s">
        <v>133</v>
      </c>
      <c r="G140" s="51" t="s">
        <v>181</v>
      </c>
      <c r="H140" s="51" t="s">
        <v>531</v>
      </c>
      <c r="I140" s="51" t="s">
        <v>591</v>
      </c>
      <c r="J140" s="51" t="s">
        <v>33</v>
      </c>
      <c r="K140" s="51" t="s">
        <v>40</v>
      </c>
      <c r="L140" s="51"/>
      <c r="M140" s="51" t="s">
        <v>154</v>
      </c>
      <c r="N140" s="51" t="s">
        <v>592</v>
      </c>
      <c r="O140" s="51" t="s">
        <v>555</v>
      </c>
      <c r="P140" s="51" t="s">
        <v>540</v>
      </c>
      <c r="Q140" s="51"/>
      <c r="R140" s="51" t="s">
        <v>177</v>
      </c>
    </row>
    <row r="141" spans="2:18" s="6" customFormat="1" ht="80.099999999999994" customHeight="1">
      <c r="B141" s="18">
        <f t="shared" ref="B141" si="9">B137+1</f>
        <v>35</v>
      </c>
      <c r="D141" s="50" t="s">
        <v>265</v>
      </c>
      <c r="E141" s="50" t="s">
        <v>86</v>
      </c>
      <c r="F141" s="50" t="s">
        <v>61</v>
      </c>
      <c r="G141" s="50" t="s">
        <v>103</v>
      </c>
      <c r="H141" s="50" t="s">
        <v>426</v>
      </c>
      <c r="I141" s="50" t="s">
        <v>427</v>
      </c>
      <c r="J141" s="50" t="s">
        <v>54</v>
      </c>
      <c r="K141" s="50" t="s">
        <v>101</v>
      </c>
      <c r="L141" s="50" t="s">
        <v>21</v>
      </c>
      <c r="M141" s="50" t="s">
        <v>81</v>
      </c>
      <c r="N141" s="50" t="s">
        <v>428</v>
      </c>
      <c r="O141" s="50" t="s">
        <v>429</v>
      </c>
      <c r="P141" s="50" t="s">
        <v>430</v>
      </c>
      <c r="Q141" s="50" t="s">
        <v>281</v>
      </c>
      <c r="R141" s="50" t="s">
        <v>98</v>
      </c>
    </row>
    <row r="142" spans="2:18" s="6" customFormat="1" ht="36" customHeight="1">
      <c r="B142" s="20"/>
      <c r="D142" s="47" t="s">
        <v>517</v>
      </c>
      <c r="E142" s="47" t="s">
        <v>644</v>
      </c>
      <c r="F142" s="47" t="s">
        <v>133</v>
      </c>
      <c r="G142" s="47" t="s">
        <v>675</v>
      </c>
      <c r="H142" s="47" t="s">
        <v>667</v>
      </c>
      <c r="I142" s="47" t="s">
        <v>749</v>
      </c>
      <c r="J142" s="47" t="s">
        <v>699</v>
      </c>
      <c r="K142" s="47" t="s">
        <v>704</v>
      </c>
      <c r="L142" s="47"/>
      <c r="M142" s="47" t="s">
        <v>664</v>
      </c>
      <c r="N142" s="47" t="s">
        <v>750</v>
      </c>
      <c r="O142" s="47" t="s">
        <v>37</v>
      </c>
      <c r="P142" s="47" t="s">
        <v>683</v>
      </c>
      <c r="Q142" s="47"/>
      <c r="R142" s="47" t="s">
        <v>751</v>
      </c>
    </row>
    <row r="143" spans="2:18" s="32" customFormat="1" ht="60" customHeight="1">
      <c r="B143" s="12"/>
      <c r="C143" s="31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6"/>
      <c r="D144" s="51" t="s">
        <v>559</v>
      </c>
      <c r="E144" s="51"/>
      <c r="F144" s="51" t="s">
        <v>146</v>
      </c>
      <c r="G144" s="51" t="s">
        <v>550</v>
      </c>
      <c r="H144" s="51" t="s">
        <v>39</v>
      </c>
      <c r="I144" s="51" t="s">
        <v>184</v>
      </c>
      <c r="J144" s="51" t="s">
        <v>124</v>
      </c>
      <c r="K144" s="51" t="s">
        <v>593</v>
      </c>
      <c r="L144" s="51" t="s">
        <v>138</v>
      </c>
      <c r="M144" s="51" t="s">
        <v>136</v>
      </c>
      <c r="N144" s="51" t="s">
        <v>46</v>
      </c>
      <c r="O144" s="51" t="s">
        <v>594</v>
      </c>
      <c r="P144" s="51" t="s">
        <v>165</v>
      </c>
      <c r="Q144" s="51"/>
      <c r="R144" s="51" t="s">
        <v>131</v>
      </c>
    </row>
    <row r="145" spans="2:18" s="6" customFormat="1" ht="80.099999999999994" customHeight="1">
      <c r="B145" s="18">
        <f t="shared" ref="B145" si="10">B141+1</f>
        <v>36</v>
      </c>
      <c r="D145" s="50" t="s">
        <v>382</v>
      </c>
      <c r="E145" s="50" t="s">
        <v>21</v>
      </c>
      <c r="F145" s="50" t="s">
        <v>72</v>
      </c>
      <c r="G145" s="50" t="s">
        <v>349</v>
      </c>
      <c r="H145" s="50" t="s">
        <v>28</v>
      </c>
      <c r="I145" s="50" t="s">
        <v>105</v>
      </c>
      <c r="J145" s="50" t="s">
        <v>53</v>
      </c>
      <c r="K145" s="50" t="s">
        <v>431</v>
      </c>
      <c r="L145" s="50" t="s">
        <v>23</v>
      </c>
      <c r="M145" s="50" t="s">
        <v>26</v>
      </c>
      <c r="N145" s="50" t="s">
        <v>29</v>
      </c>
      <c r="O145" s="50" t="s">
        <v>432</v>
      </c>
      <c r="P145" s="50" t="s">
        <v>90</v>
      </c>
      <c r="Q145" s="50" t="s">
        <v>21</v>
      </c>
      <c r="R145" s="50" t="s">
        <v>59</v>
      </c>
    </row>
    <row r="146" spans="2:18" s="6" customFormat="1" ht="36" customHeight="1">
      <c r="B146" s="20"/>
      <c r="D146" s="47" t="s">
        <v>714</v>
      </c>
      <c r="E146" s="47"/>
      <c r="F146" s="47" t="s">
        <v>748</v>
      </c>
      <c r="G146" s="47" t="s">
        <v>701</v>
      </c>
      <c r="H146" s="47" t="s">
        <v>712</v>
      </c>
      <c r="I146" s="47" t="s">
        <v>752</v>
      </c>
      <c r="J146" s="47" t="s">
        <v>698</v>
      </c>
      <c r="K146" s="47" t="s">
        <v>753</v>
      </c>
      <c r="L146" s="47" t="s">
        <v>679</v>
      </c>
      <c r="M146" s="47" t="s">
        <v>737</v>
      </c>
      <c r="N146" s="47" t="s">
        <v>677</v>
      </c>
      <c r="O146" s="47" t="s">
        <v>754</v>
      </c>
      <c r="P146" s="47" t="s">
        <v>670</v>
      </c>
      <c r="Q146" s="47"/>
      <c r="R146" s="47" t="s">
        <v>668</v>
      </c>
    </row>
    <row r="147" spans="2:18" s="32" customFormat="1" ht="60" customHeight="1">
      <c r="B147" s="12"/>
      <c r="C147" s="31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6"/>
      <c r="D148" s="51" t="s">
        <v>595</v>
      </c>
      <c r="E148" s="51" t="s">
        <v>40</v>
      </c>
      <c r="F148" s="51" t="s">
        <v>133</v>
      </c>
      <c r="G148" s="51" t="s">
        <v>554</v>
      </c>
      <c r="H148" s="51" t="s">
        <v>549</v>
      </c>
      <c r="I148" s="51" t="s">
        <v>165</v>
      </c>
      <c r="J148" s="51" t="s">
        <v>149</v>
      </c>
      <c r="K148" s="51" t="s">
        <v>131</v>
      </c>
      <c r="L148" s="51" t="s">
        <v>126</v>
      </c>
      <c r="M148" s="51" t="s">
        <v>522</v>
      </c>
      <c r="N148" s="51" t="s">
        <v>133</v>
      </c>
      <c r="O148" s="51"/>
      <c r="P148" s="51" t="s">
        <v>154</v>
      </c>
      <c r="Q148" s="51" t="s">
        <v>577</v>
      </c>
      <c r="R148" s="51" t="s">
        <v>578</v>
      </c>
    </row>
    <row r="149" spans="2:18" s="6" customFormat="1" ht="80.099999999999994" customHeight="1">
      <c r="B149" s="18">
        <f t="shared" ref="B149" si="11">B145+1</f>
        <v>37</v>
      </c>
      <c r="D149" s="50" t="s">
        <v>433</v>
      </c>
      <c r="E149" s="50" t="s">
        <v>101</v>
      </c>
      <c r="F149" s="50" t="s">
        <v>61</v>
      </c>
      <c r="G149" s="50" t="s">
        <v>396</v>
      </c>
      <c r="H149" s="50" t="s">
        <v>342</v>
      </c>
      <c r="I149" s="50" t="s">
        <v>90</v>
      </c>
      <c r="J149" s="50" t="s">
        <v>75</v>
      </c>
      <c r="K149" s="50" t="s">
        <v>59</v>
      </c>
      <c r="L149" s="50" t="s">
        <v>74</v>
      </c>
      <c r="M149" s="50" t="s">
        <v>276</v>
      </c>
      <c r="N149" s="50" t="s">
        <v>61</v>
      </c>
      <c r="O149" s="50" t="s">
        <v>21</v>
      </c>
      <c r="P149" s="50" t="s">
        <v>81</v>
      </c>
      <c r="Q149" s="50" t="s">
        <v>405</v>
      </c>
      <c r="R149" s="50" t="s">
        <v>406</v>
      </c>
    </row>
    <row r="150" spans="2:18" s="6" customFormat="1" ht="36" customHeight="1">
      <c r="B150" s="20"/>
      <c r="D150" s="47" t="s">
        <v>755</v>
      </c>
      <c r="E150" s="47" t="s">
        <v>704</v>
      </c>
      <c r="F150" s="47" t="s">
        <v>133</v>
      </c>
      <c r="G150" s="47" t="s">
        <v>708</v>
      </c>
      <c r="H150" s="47" t="s">
        <v>697</v>
      </c>
      <c r="I150" s="47" t="s">
        <v>670</v>
      </c>
      <c r="J150" s="47" t="s">
        <v>696</v>
      </c>
      <c r="K150" s="47" t="s">
        <v>668</v>
      </c>
      <c r="L150" s="47" t="s">
        <v>653</v>
      </c>
      <c r="M150" s="47" t="s">
        <v>650</v>
      </c>
      <c r="N150" s="47" t="s">
        <v>133</v>
      </c>
      <c r="O150" s="47"/>
      <c r="P150" s="47" t="s">
        <v>664</v>
      </c>
      <c r="Q150" s="47" t="s">
        <v>731</v>
      </c>
      <c r="R150" s="47" t="s">
        <v>732</v>
      </c>
    </row>
    <row r="151" spans="2:18" s="32" customFormat="1" ht="60" customHeight="1">
      <c r="B151" s="12"/>
      <c r="C151" s="31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6"/>
      <c r="D152" s="51" t="s">
        <v>144</v>
      </c>
      <c r="E152" s="51"/>
      <c r="F152" s="51" t="s">
        <v>33</v>
      </c>
      <c r="G152" s="51" t="s">
        <v>570</v>
      </c>
      <c r="H152" s="51" t="s">
        <v>167</v>
      </c>
      <c r="I152" s="51" t="s">
        <v>131</v>
      </c>
      <c r="J152" s="51" t="s">
        <v>596</v>
      </c>
      <c r="K152" s="51" t="s">
        <v>533</v>
      </c>
      <c r="L152" s="51"/>
      <c r="M152" s="51" t="s">
        <v>175</v>
      </c>
      <c r="N152" s="51" t="s">
        <v>597</v>
      </c>
      <c r="O152" s="51" t="s">
        <v>598</v>
      </c>
      <c r="P152" s="51" t="s">
        <v>138</v>
      </c>
      <c r="Q152" s="51" t="s">
        <v>34</v>
      </c>
      <c r="R152" s="51" t="s">
        <v>38</v>
      </c>
    </row>
    <row r="153" spans="2:18" s="6" customFormat="1" ht="80.099999999999994" customHeight="1">
      <c r="B153" s="18">
        <f t="shared" ref="B153" si="12">B149+1</f>
        <v>38</v>
      </c>
      <c r="D153" s="50" t="s">
        <v>70</v>
      </c>
      <c r="E153" s="50" t="s">
        <v>25</v>
      </c>
      <c r="F153" s="50" t="s">
        <v>54</v>
      </c>
      <c r="G153" s="50" t="s">
        <v>395</v>
      </c>
      <c r="H153" s="50" t="s">
        <v>434</v>
      </c>
      <c r="I153" s="50" t="s">
        <v>59</v>
      </c>
      <c r="J153" s="50" t="s">
        <v>435</v>
      </c>
      <c r="K153" s="50" t="s">
        <v>18</v>
      </c>
      <c r="L153" s="50" t="s">
        <v>21</v>
      </c>
      <c r="M153" s="50" t="s">
        <v>96</v>
      </c>
      <c r="N153" s="50" t="s">
        <v>436</v>
      </c>
      <c r="O153" s="50" t="s">
        <v>437</v>
      </c>
      <c r="P153" s="50" t="s">
        <v>23</v>
      </c>
      <c r="Q153" s="50" t="s">
        <v>361</v>
      </c>
      <c r="R153" s="50" t="s">
        <v>99</v>
      </c>
    </row>
    <row r="154" spans="2:18" s="6" customFormat="1" ht="36" customHeight="1">
      <c r="B154" s="20"/>
      <c r="D154" s="47" t="s">
        <v>703</v>
      </c>
      <c r="E154" s="47"/>
      <c r="F154" s="47" t="s">
        <v>699</v>
      </c>
      <c r="G154" s="47" t="s">
        <v>570</v>
      </c>
      <c r="H154" s="47" t="s">
        <v>756</v>
      </c>
      <c r="I154" s="47" t="s">
        <v>668</v>
      </c>
      <c r="J154" s="47" t="s">
        <v>757</v>
      </c>
      <c r="K154" s="47" t="s">
        <v>669</v>
      </c>
      <c r="L154" s="47"/>
      <c r="M154" s="47" t="s">
        <v>648</v>
      </c>
      <c r="N154" s="47" t="s">
        <v>597</v>
      </c>
      <c r="O154" s="47" t="s">
        <v>758</v>
      </c>
      <c r="P154" s="47" t="s">
        <v>679</v>
      </c>
      <c r="Q154" s="47" t="s">
        <v>707</v>
      </c>
      <c r="R154" s="47" t="s">
        <v>685</v>
      </c>
    </row>
    <row r="155" spans="2:18" s="32" customFormat="1" ht="60" customHeight="1">
      <c r="B155" s="12"/>
      <c r="C155" s="31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6"/>
      <c r="D156" s="51" t="s">
        <v>165</v>
      </c>
      <c r="E156" s="51"/>
      <c r="F156" s="51" t="s">
        <v>579</v>
      </c>
      <c r="G156" s="51" t="s">
        <v>599</v>
      </c>
      <c r="H156" s="51" t="s">
        <v>600</v>
      </c>
      <c r="I156" s="51" t="s">
        <v>594</v>
      </c>
      <c r="J156" s="51"/>
      <c r="K156" s="51" t="s">
        <v>164</v>
      </c>
      <c r="L156" s="51" t="s">
        <v>163</v>
      </c>
      <c r="M156" s="51" t="s">
        <v>38</v>
      </c>
      <c r="N156" s="51" t="s">
        <v>133</v>
      </c>
      <c r="O156" s="51" t="s">
        <v>187</v>
      </c>
      <c r="P156" s="51"/>
      <c r="Q156" s="51" t="s">
        <v>142</v>
      </c>
      <c r="R156" s="51" t="s">
        <v>33</v>
      </c>
    </row>
    <row r="157" spans="2:18" s="6" customFormat="1" ht="80.099999999999994" customHeight="1">
      <c r="B157" s="18">
        <f t="shared" ref="B157" si="13">B153+1</f>
        <v>39</v>
      </c>
      <c r="D157" s="50" t="s">
        <v>90</v>
      </c>
      <c r="E157" s="50" t="s">
        <v>21</v>
      </c>
      <c r="F157" s="50" t="s">
        <v>408</v>
      </c>
      <c r="G157" s="50" t="s">
        <v>438</v>
      </c>
      <c r="H157" s="50" t="s">
        <v>439</v>
      </c>
      <c r="I157" s="50" t="s">
        <v>432</v>
      </c>
      <c r="J157" s="50" t="s">
        <v>21</v>
      </c>
      <c r="K157" s="50" t="s">
        <v>89</v>
      </c>
      <c r="L157" s="50" t="s">
        <v>298</v>
      </c>
      <c r="M157" s="50" t="s">
        <v>99</v>
      </c>
      <c r="N157" s="50" t="s">
        <v>61</v>
      </c>
      <c r="O157" s="50" t="s">
        <v>111</v>
      </c>
      <c r="P157" s="50" t="s">
        <v>21</v>
      </c>
      <c r="Q157" s="50" t="s">
        <v>68</v>
      </c>
      <c r="R157" s="50" t="s">
        <v>54</v>
      </c>
    </row>
    <row r="158" spans="2:18" s="6" customFormat="1" ht="36" customHeight="1">
      <c r="B158" s="20"/>
      <c r="D158" s="47" t="s">
        <v>670</v>
      </c>
      <c r="E158" s="47"/>
      <c r="F158" s="47" t="s">
        <v>579</v>
      </c>
      <c r="G158" s="47" t="s">
        <v>759</v>
      </c>
      <c r="H158" s="47" t="s">
        <v>760</v>
      </c>
      <c r="I158" s="47" t="s">
        <v>754</v>
      </c>
      <c r="J158" s="47"/>
      <c r="K158" s="47" t="s">
        <v>686</v>
      </c>
      <c r="L158" s="47" t="s">
        <v>663</v>
      </c>
      <c r="M158" s="47" t="s">
        <v>685</v>
      </c>
      <c r="N158" s="47" t="s">
        <v>133</v>
      </c>
      <c r="O158" s="47" t="s">
        <v>187</v>
      </c>
      <c r="P158" s="47"/>
      <c r="Q158" s="47" t="s">
        <v>700</v>
      </c>
      <c r="R158" s="47" t="s">
        <v>699</v>
      </c>
    </row>
    <row r="159" spans="2:18">
      <c r="B159" s="12"/>
      <c r="C159" s="31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6"/>
      <c r="C160" s="6"/>
      <c r="D160" s="51" t="s">
        <v>553</v>
      </c>
      <c r="E160" s="51" t="s">
        <v>131</v>
      </c>
      <c r="F160" s="51" t="s">
        <v>601</v>
      </c>
      <c r="G160" s="51" t="s">
        <v>556</v>
      </c>
      <c r="H160" s="51" t="s">
        <v>164</v>
      </c>
      <c r="I160" s="51" t="s">
        <v>154</v>
      </c>
      <c r="J160" s="51" t="s">
        <v>143</v>
      </c>
      <c r="K160" s="51" t="s">
        <v>565</v>
      </c>
      <c r="L160" s="51" t="s">
        <v>144</v>
      </c>
      <c r="M160" s="51"/>
      <c r="N160" s="51" t="s">
        <v>555</v>
      </c>
      <c r="O160" s="51" t="s">
        <v>540</v>
      </c>
      <c r="P160" s="51" t="s">
        <v>602</v>
      </c>
      <c r="Q160" s="51" t="s">
        <v>599</v>
      </c>
      <c r="R160" s="51" t="s">
        <v>155</v>
      </c>
    </row>
    <row r="161" spans="2:18" s="6" customFormat="1" ht="80.099999999999994" customHeight="1">
      <c r="B161" s="18">
        <f t="shared" ref="B161" si="14">B157+1</f>
        <v>40</v>
      </c>
      <c r="D161" s="50" t="s">
        <v>360</v>
      </c>
      <c r="E161" s="50" t="s">
        <v>59</v>
      </c>
      <c r="F161" s="50" t="s">
        <v>440</v>
      </c>
      <c r="G161" s="50" t="s">
        <v>377</v>
      </c>
      <c r="H161" s="50" t="s">
        <v>89</v>
      </c>
      <c r="I161" s="50" t="s">
        <v>81</v>
      </c>
      <c r="J161" s="50" t="s">
        <v>441</v>
      </c>
      <c r="K161" s="50" t="s">
        <v>388</v>
      </c>
      <c r="L161" s="50" t="s">
        <v>70</v>
      </c>
      <c r="M161" s="50" t="s">
        <v>25</v>
      </c>
      <c r="N161" s="50" t="s">
        <v>429</v>
      </c>
      <c r="O161" s="50" t="s">
        <v>430</v>
      </c>
      <c r="P161" s="50" t="s">
        <v>442</v>
      </c>
      <c r="Q161" s="50" t="s">
        <v>438</v>
      </c>
      <c r="R161" s="50" t="s">
        <v>443</v>
      </c>
    </row>
    <row r="162" spans="2:18" s="6" customFormat="1" ht="36" customHeight="1">
      <c r="B162" s="20"/>
      <c r="D162" s="47" t="s">
        <v>535</v>
      </c>
      <c r="E162" s="47" t="s">
        <v>668</v>
      </c>
      <c r="F162" s="47" t="s">
        <v>761</v>
      </c>
      <c r="G162" s="47" t="s">
        <v>556</v>
      </c>
      <c r="H162" s="47" t="s">
        <v>686</v>
      </c>
      <c r="I162" s="47" t="s">
        <v>664</v>
      </c>
      <c r="J162" s="47" t="s">
        <v>690</v>
      </c>
      <c r="K162" s="47" t="s">
        <v>720</v>
      </c>
      <c r="L162" s="47" t="s">
        <v>703</v>
      </c>
      <c r="M162" s="47"/>
      <c r="N162" s="47" t="s">
        <v>37</v>
      </c>
      <c r="O162" s="47" t="s">
        <v>683</v>
      </c>
      <c r="P162" s="47" t="s">
        <v>602</v>
      </c>
      <c r="Q162" s="47" t="s">
        <v>759</v>
      </c>
      <c r="R162" s="47" t="s">
        <v>709</v>
      </c>
    </row>
    <row r="163" spans="2:18" s="32" customFormat="1" ht="60" customHeight="1">
      <c r="B163" s="12"/>
      <c r="C163" s="31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6"/>
      <c r="D164" s="51" t="s">
        <v>126</v>
      </c>
      <c r="E164" s="51"/>
      <c r="F164" s="51" t="s">
        <v>580</v>
      </c>
      <c r="G164" s="51" t="s">
        <v>156</v>
      </c>
      <c r="H164" s="51" t="s">
        <v>41</v>
      </c>
      <c r="I164" s="51" t="s">
        <v>133</v>
      </c>
      <c r="J164" s="51" t="s">
        <v>603</v>
      </c>
      <c r="K164" s="51" t="s">
        <v>164</v>
      </c>
      <c r="L164" s="51" t="s">
        <v>171</v>
      </c>
      <c r="M164" s="51"/>
      <c r="N164" s="51" t="s">
        <v>132</v>
      </c>
      <c r="O164" s="51" t="s">
        <v>604</v>
      </c>
      <c r="P164" s="51" t="s">
        <v>169</v>
      </c>
      <c r="Q164" s="51" t="s">
        <v>168</v>
      </c>
      <c r="R164" s="51"/>
    </row>
    <row r="165" spans="2:18" s="6" customFormat="1" ht="80.099999999999994" customHeight="1">
      <c r="B165" s="18">
        <f t="shared" ref="B165" si="15">B161+1</f>
        <v>41</v>
      </c>
      <c r="D165" s="50" t="s">
        <v>74</v>
      </c>
      <c r="E165" s="50" t="s">
        <v>21</v>
      </c>
      <c r="F165" s="50" t="s">
        <v>409</v>
      </c>
      <c r="G165" s="50" t="s">
        <v>444</v>
      </c>
      <c r="H165" s="50" t="s">
        <v>84</v>
      </c>
      <c r="I165" s="50" t="s">
        <v>61</v>
      </c>
      <c r="J165" s="50" t="s">
        <v>445</v>
      </c>
      <c r="K165" s="50" t="s">
        <v>89</v>
      </c>
      <c r="L165" s="50" t="s">
        <v>446</v>
      </c>
      <c r="M165" s="50" t="s">
        <v>25</v>
      </c>
      <c r="N165" s="50" t="s">
        <v>447</v>
      </c>
      <c r="O165" s="50" t="s">
        <v>448</v>
      </c>
      <c r="P165" s="50" t="s">
        <v>93</v>
      </c>
      <c r="Q165" s="50" t="s">
        <v>92</v>
      </c>
      <c r="R165" s="50" t="s">
        <v>21</v>
      </c>
    </row>
    <row r="166" spans="2:18" s="6" customFormat="1" ht="36" customHeight="1">
      <c r="B166" s="20"/>
      <c r="D166" s="47" t="s">
        <v>653</v>
      </c>
      <c r="E166" s="47"/>
      <c r="F166" s="47" t="s">
        <v>734</v>
      </c>
      <c r="G166" s="47" t="s">
        <v>710</v>
      </c>
      <c r="H166" s="47" t="s">
        <v>41</v>
      </c>
      <c r="I166" s="47" t="s">
        <v>133</v>
      </c>
      <c r="J166" s="47" t="s">
        <v>762</v>
      </c>
      <c r="K166" s="47" t="s">
        <v>686</v>
      </c>
      <c r="L166" s="47" t="s">
        <v>35</v>
      </c>
      <c r="M166" s="47"/>
      <c r="N166" s="47" t="s">
        <v>627</v>
      </c>
      <c r="O166" s="47" t="s">
        <v>122</v>
      </c>
      <c r="P166" s="47" t="s">
        <v>654</v>
      </c>
      <c r="Q166" s="47" t="s">
        <v>659</v>
      </c>
      <c r="R166" s="47"/>
    </row>
    <row r="167" spans="2:18">
      <c r="B167" s="12"/>
      <c r="C167" s="31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6"/>
      <c r="C168" s="6"/>
      <c r="D168" s="51" t="s">
        <v>143</v>
      </c>
      <c r="E168" s="51" t="s">
        <v>131</v>
      </c>
      <c r="F168" s="51" t="s">
        <v>126</v>
      </c>
      <c r="G168" s="51" t="s">
        <v>38</v>
      </c>
      <c r="H168" s="51" t="s">
        <v>138</v>
      </c>
      <c r="I168" s="51" t="s">
        <v>591</v>
      </c>
      <c r="J168" s="51"/>
      <c r="K168" s="51" t="s">
        <v>129</v>
      </c>
      <c r="L168" s="51" t="s">
        <v>39</v>
      </c>
      <c r="M168" s="51" t="s">
        <v>544</v>
      </c>
      <c r="N168" s="51" t="s">
        <v>582</v>
      </c>
      <c r="O168" s="51" t="s">
        <v>164</v>
      </c>
      <c r="P168" s="51" t="s">
        <v>154</v>
      </c>
      <c r="Q168" s="51" t="s">
        <v>544</v>
      </c>
      <c r="R168" s="51" t="s">
        <v>46</v>
      </c>
    </row>
    <row r="169" spans="2:18" ht="58.5">
      <c r="B169" s="18">
        <f t="shared" ref="B169" si="16">B165+1</f>
        <v>42</v>
      </c>
      <c r="C169" s="6"/>
      <c r="D169" s="50" t="s">
        <v>69</v>
      </c>
      <c r="E169" s="50" t="s">
        <v>59</v>
      </c>
      <c r="F169" s="50" t="s">
        <v>74</v>
      </c>
      <c r="G169" s="50" t="s">
        <v>99</v>
      </c>
      <c r="H169" s="50" t="s">
        <v>23</v>
      </c>
      <c r="I169" s="50" t="s">
        <v>427</v>
      </c>
      <c r="J169" s="50" t="s">
        <v>21</v>
      </c>
      <c r="K169" s="50" t="s">
        <v>57</v>
      </c>
      <c r="L169" s="50" t="s">
        <v>28</v>
      </c>
      <c r="M169" s="50" t="s">
        <v>323</v>
      </c>
      <c r="N169" s="50" t="s">
        <v>412</v>
      </c>
      <c r="O169" s="50" t="s">
        <v>89</v>
      </c>
      <c r="P169" s="50" t="s">
        <v>81</v>
      </c>
      <c r="Q169" s="50" t="s">
        <v>323</v>
      </c>
      <c r="R169" s="50" t="s">
        <v>29</v>
      </c>
    </row>
    <row r="170" spans="2:18">
      <c r="B170" s="20"/>
      <c r="C170" s="6"/>
      <c r="D170" s="47" t="s">
        <v>690</v>
      </c>
      <c r="E170" s="47" t="s">
        <v>668</v>
      </c>
      <c r="F170" s="47" t="s">
        <v>653</v>
      </c>
      <c r="G170" s="47" t="s">
        <v>685</v>
      </c>
      <c r="H170" s="47" t="s">
        <v>679</v>
      </c>
      <c r="I170" s="47" t="s">
        <v>749</v>
      </c>
      <c r="J170" s="47"/>
      <c r="K170" s="47" t="s">
        <v>647</v>
      </c>
      <c r="L170" s="47" t="s">
        <v>712</v>
      </c>
      <c r="M170" s="47" t="s">
        <v>688</v>
      </c>
      <c r="N170" s="47" t="s">
        <v>736</v>
      </c>
      <c r="O170" s="47" t="s">
        <v>686</v>
      </c>
      <c r="P170" s="47" t="s">
        <v>664</v>
      </c>
      <c r="Q170" s="47" t="s">
        <v>688</v>
      </c>
      <c r="R170" s="47" t="s">
        <v>677</v>
      </c>
    </row>
    <row r="171" spans="2:18">
      <c r="B171" s="12"/>
      <c r="C171" s="31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6"/>
      <c r="C172" s="6"/>
      <c r="D172" s="51"/>
      <c r="E172" s="51" t="s">
        <v>605</v>
      </c>
      <c r="F172" s="51" t="s">
        <v>40</v>
      </c>
      <c r="G172" s="51" t="s">
        <v>534</v>
      </c>
      <c r="H172" s="51" t="s">
        <v>131</v>
      </c>
      <c r="I172" s="51" t="s">
        <v>39</v>
      </c>
      <c r="J172" s="51" t="s">
        <v>582</v>
      </c>
      <c r="K172" s="51" t="s">
        <v>164</v>
      </c>
      <c r="L172" s="51" t="s">
        <v>606</v>
      </c>
      <c r="M172" s="51"/>
      <c r="N172" s="51" t="s">
        <v>605</v>
      </c>
      <c r="O172" s="51" t="s">
        <v>541</v>
      </c>
      <c r="P172" s="51" t="s">
        <v>154</v>
      </c>
      <c r="Q172" s="51" t="s">
        <v>186</v>
      </c>
      <c r="R172" s="51" t="s">
        <v>607</v>
      </c>
    </row>
    <row r="173" spans="2:18" ht="58.5">
      <c r="B173" s="18">
        <f t="shared" ref="B173" si="17">B169+1</f>
        <v>43</v>
      </c>
      <c r="C173" s="6"/>
      <c r="D173" s="50" t="s">
        <v>21</v>
      </c>
      <c r="E173" s="50" t="s">
        <v>449</v>
      </c>
      <c r="F173" s="50" t="s">
        <v>101</v>
      </c>
      <c r="G173" s="50" t="s">
        <v>306</v>
      </c>
      <c r="H173" s="50" t="s">
        <v>59</v>
      </c>
      <c r="I173" s="50" t="s">
        <v>450</v>
      </c>
      <c r="J173" s="50" t="s">
        <v>412</v>
      </c>
      <c r="K173" s="50" t="s">
        <v>89</v>
      </c>
      <c r="L173" s="50" t="s">
        <v>451</v>
      </c>
      <c r="M173" s="50" t="s">
        <v>21</v>
      </c>
      <c r="N173" s="50" t="s">
        <v>449</v>
      </c>
      <c r="O173" s="50" t="s">
        <v>352</v>
      </c>
      <c r="P173" s="50" t="s">
        <v>81</v>
      </c>
      <c r="Q173" s="50" t="s">
        <v>107</v>
      </c>
      <c r="R173" s="50" t="s">
        <v>452</v>
      </c>
    </row>
    <row r="174" spans="2:18">
      <c r="B174" s="20"/>
      <c r="C174" s="6"/>
      <c r="D174" s="47"/>
      <c r="E174" s="47" t="s">
        <v>763</v>
      </c>
      <c r="F174" s="47" t="s">
        <v>704</v>
      </c>
      <c r="G174" s="47" t="s">
        <v>628</v>
      </c>
      <c r="H174" s="47" t="s">
        <v>668</v>
      </c>
      <c r="I174" s="47" t="s">
        <v>712</v>
      </c>
      <c r="J174" s="47" t="s">
        <v>736</v>
      </c>
      <c r="K174" s="47" t="s">
        <v>686</v>
      </c>
      <c r="L174" s="47" t="s">
        <v>764</v>
      </c>
      <c r="M174" s="47"/>
      <c r="N174" s="47" t="s">
        <v>763</v>
      </c>
      <c r="O174" s="47" t="s">
        <v>684</v>
      </c>
      <c r="P174" s="47" t="s">
        <v>664</v>
      </c>
      <c r="Q174" s="47" t="s">
        <v>765</v>
      </c>
      <c r="R174" s="47" t="s">
        <v>766</v>
      </c>
    </row>
    <row r="175" spans="2:18">
      <c r="B175" s="12"/>
      <c r="C175" s="31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6"/>
      <c r="C176" s="6"/>
      <c r="D176" s="51" t="s">
        <v>142</v>
      </c>
      <c r="E176" s="51"/>
      <c r="F176" s="51" t="s">
        <v>34</v>
      </c>
      <c r="G176" s="51" t="s">
        <v>119</v>
      </c>
      <c r="H176" s="51" t="s">
        <v>558</v>
      </c>
      <c r="I176" s="51" t="s">
        <v>582</v>
      </c>
      <c r="J176" s="51" t="s">
        <v>164</v>
      </c>
      <c r="K176" s="51" t="s">
        <v>131</v>
      </c>
      <c r="L176" s="51"/>
      <c r="M176" s="51" t="s">
        <v>573</v>
      </c>
      <c r="N176" s="51" t="s">
        <v>608</v>
      </c>
      <c r="O176" s="51" t="s">
        <v>122</v>
      </c>
      <c r="P176" s="51" t="s">
        <v>609</v>
      </c>
      <c r="Q176" s="51"/>
      <c r="R176" s="51" t="s">
        <v>610</v>
      </c>
    </row>
    <row r="177" spans="2:18" ht="58.5">
      <c r="B177" s="18">
        <f t="shared" ref="B177" si="18">B173+1</f>
        <v>44</v>
      </c>
      <c r="C177" s="6"/>
      <c r="D177" s="50" t="s">
        <v>425</v>
      </c>
      <c r="E177" s="50" t="s">
        <v>21</v>
      </c>
      <c r="F177" s="50" t="s">
        <v>361</v>
      </c>
      <c r="G177" s="50" t="s">
        <v>49</v>
      </c>
      <c r="H177" s="50" t="s">
        <v>114</v>
      </c>
      <c r="I177" s="50" t="s">
        <v>412</v>
      </c>
      <c r="J177" s="50" t="s">
        <v>89</v>
      </c>
      <c r="K177" s="50" t="s">
        <v>453</v>
      </c>
      <c r="L177" s="50" t="s">
        <v>25</v>
      </c>
      <c r="M177" s="50" t="s">
        <v>400</v>
      </c>
      <c r="N177" s="50" t="s">
        <v>454</v>
      </c>
      <c r="O177" s="50" t="s">
        <v>455</v>
      </c>
      <c r="P177" s="50" t="s">
        <v>456</v>
      </c>
      <c r="Q177" s="50" t="s">
        <v>21</v>
      </c>
      <c r="R177" s="50" t="s">
        <v>457</v>
      </c>
    </row>
    <row r="178" spans="2:18">
      <c r="B178" s="20"/>
      <c r="C178" s="6"/>
      <c r="D178" s="47" t="s">
        <v>700</v>
      </c>
      <c r="E178" s="47"/>
      <c r="F178" s="47" t="s">
        <v>707</v>
      </c>
      <c r="G178" s="47" t="s">
        <v>554</v>
      </c>
      <c r="H178" s="47" t="s">
        <v>713</v>
      </c>
      <c r="I178" s="47" t="s">
        <v>736</v>
      </c>
      <c r="J178" s="47" t="s">
        <v>686</v>
      </c>
      <c r="K178" s="47" t="s">
        <v>668</v>
      </c>
      <c r="L178" s="47"/>
      <c r="M178" s="47" t="s">
        <v>558</v>
      </c>
      <c r="N178" s="47" t="s">
        <v>767</v>
      </c>
      <c r="O178" s="47" t="s">
        <v>660</v>
      </c>
      <c r="P178" s="47" t="s">
        <v>768</v>
      </c>
      <c r="Q178" s="47"/>
      <c r="R178" s="47" t="s">
        <v>769</v>
      </c>
    </row>
    <row r="179" spans="2:18">
      <c r="B179" s="12"/>
      <c r="C179" s="31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6"/>
      <c r="C180" s="6"/>
      <c r="D180" s="51" t="s">
        <v>32</v>
      </c>
      <c r="E180" s="51" t="s">
        <v>549</v>
      </c>
      <c r="F180" s="51"/>
      <c r="G180" s="51" t="s">
        <v>40</v>
      </c>
      <c r="H180" s="51" t="s">
        <v>133</v>
      </c>
      <c r="I180" s="51" t="s">
        <v>554</v>
      </c>
      <c r="J180" s="51" t="s">
        <v>152</v>
      </c>
      <c r="K180" s="51" t="s">
        <v>165</v>
      </c>
      <c r="L180" s="51" t="s">
        <v>611</v>
      </c>
      <c r="M180" s="51" t="s">
        <v>164</v>
      </c>
      <c r="N180" s="51" t="s">
        <v>189</v>
      </c>
      <c r="O180" s="51" t="s">
        <v>538</v>
      </c>
      <c r="P180" s="51" t="s">
        <v>612</v>
      </c>
      <c r="Q180" s="51"/>
      <c r="R180" s="51" t="s">
        <v>613</v>
      </c>
    </row>
    <row r="181" spans="2:18" ht="58.5">
      <c r="B181" s="18">
        <f t="shared" ref="B181" si="19">B177+1</f>
        <v>45</v>
      </c>
      <c r="C181" s="6"/>
      <c r="D181" s="50" t="s">
        <v>341</v>
      </c>
      <c r="E181" s="50" t="s">
        <v>342</v>
      </c>
      <c r="F181" s="50" t="s">
        <v>21</v>
      </c>
      <c r="G181" s="50" t="s">
        <v>101</v>
      </c>
      <c r="H181" s="50" t="s">
        <v>61</v>
      </c>
      <c r="I181" s="50" t="s">
        <v>396</v>
      </c>
      <c r="J181" s="50" t="s">
        <v>77</v>
      </c>
      <c r="K181" s="50" t="s">
        <v>90</v>
      </c>
      <c r="L181" s="50" t="s">
        <v>458</v>
      </c>
      <c r="M181" s="50" t="s">
        <v>89</v>
      </c>
      <c r="N181" s="50" t="s">
        <v>115</v>
      </c>
      <c r="O181" s="50" t="s">
        <v>314</v>
      </c>
      <c r="P181" s="50" t="s">
        <v>459</v>
      </c>
      <c r="Q181" s="50" t="s">
        <v>25</v>
      </c>
      <c r="R181" s="50" t="s">
        <v>460</v>
      </c>
    </row>
    <row r="182" spans="2:18">
      <c r="B182" s="20"/>
      <c r="C182" s="6"/>
      <c r="D182" s="47" t="s">
        <v>671</v>
      </c>
      <c r="E182" s="47" t="s">
        <v>697</v>
      </c>
      <c r="F182" s="47"/>
      <c r="G182" s="47" t="s">
        <v>704</v>
      </c>
      <c r="H182" s="47" t="s">
        <v>133</v>
      </c>
      <c r="I182" s="47" t="s">
        <v>708</v>
      </c>
      <c r="J182" s="47" t="s">
        <v>657</v>
      </c>
      <c r="K182" s="47" t="s">
        <v>670</v>
      </c>
      <c r="L182" s="47" t="s">
        <v>770</v>
      </c>
      <c r="M182" s="47" t="s">
        <v>686</v>
      </c>
      <c r="N182" s="47" t="s">
        <v>771</v>
      </c>
      <c r="O182" s="47" t="s">
        <v>680</v>
      </c>
      <c r="P182" s="47" t="s">
        <v>772</v>
      </c>
      <c r="Q182" s="47"/>
      <c r="R182" s="47" t="s">
        <v>773</v>
      </c>
    </row>
    <row r="183" spans="2:18">
      <c r="B183" s="12"/>
      <c r="C183" s="31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6"/>
      <c r="C184" s="6"/>
      <c r="D184" s="51" t="s">
        <v>133</v>
      </c>
      <c r="E184" s="51" t="s">
        <v>532</v>
      </c>
      <c r="F184" s="51" t="s">
        <v>129</v>
      </c>
      <c r="G184" s="51" t="s">
        <v>37</v>
      </c>
      <c r="H184" s="51" t="s">
        <v>170</v>
      </c>
      <c r="I184" s="51" t="s">
        <v>117</v>
      </c>
      <c r="J184" s="51"/>
      <c r="K184" s="51" t="s">
        <v>541</v>
      </c>
      <c r="L184" s="51" t="s">
        <v>154</v>
      </c>
      <c r="M184" s="51" t="s">
        <v>38</v>
      </c>
      <c r="N184" s="51" t="s">
        <v>133</v>
      </c>
      <c r="O184" s="51" t="s">
        <v>529</v>
      </c>
      <c r="P184" s="51" t="s">
        <v>165</v>
      </c>
      <c r="Q184" s="51"/>
      <c r="R184" s="51" t="s">
        <v>175</v>
      </c>
    </row>
    <row r="185" spans="2:18" ht="58.5">
      <c r="B185" s="18">
        <f t="shared" ref="B185" si="20">B181+1</f>
        <v>46</v>
      </c>
      <c r="C185" s="6"/>
      <c r="D185" s="50" t="s">
        <v>61</v>
      </c>
      <c r="E185" s="50" t="s">
        <v>304</v>
      </c>
      <c r="F185" s="50" t="s">
        <v>57</v>
      </c>
      <c r="G185" s="50" t="s">
        <v>47</v>
      </c>
      <c r="H185" s="50" t="s">
        <v>461</v>
      </c>
      <c r="I185" s="50" t="s">
        <v>27</v>
      </c>
      <c r="J185" s="50" t="s">
        <v>281</v>
      </c>
      <c r="K185" s="50" t="s">
        <v>318</v>
      </c>
      <c r="L185" s="50" t="s">
        <v>81</v>
      </c>
      <c r="M185" s="50" t="s">
        <v>319</v>
      </c>
      <c r="N185" s="50" t="s">
        <v>61</v>
      </c>
      <c r="O185" s="50" t="s">
        <v>297</v>
      </c>
      <c r="P185" s="50" t="s">
        <v>90</v>
      </c>
      <c r="Q185" s="50" t="s">
        <v>21</v>
      </c>
      <c r="R185" s="50" t="s">
        <v>96</v>
      </c>
    </row>
    <row r="186" spans="2:18">
      <c r="B186" s="20"/>
      <c r="C186" s="6"/>
      <c r="D186" s="47" t="s">
        <v>133</v>
      </c>
      <c r="E186" s="47" t="s">
        <v>532</v>
      </c>
      <c r="F186" s="47" t="s">
        <v>647</v>
      </c>
      <c r="G186" s="47" t="s">
        <v>724</v>
      </c>
      <c r="H186" s="47" t="s">
        <v>774</v>
      </c>
      <c r="I186" s="47" t="s">
        <v>676</v>
      </c>
      <c r="J186" s="47"/>
      <c r="K186" s="47" t="s">
        <v>684</v>
      </c>
      <c r="L186" s="47" t="s">
        <v>664</v>
      </c>
      <c r="M186" s="47" t="s">
        <v>685</v>
      </c>
      <c r="N186" s="47" t="s">
        <v>133</v>
      </c>
      <c r="O186" s="47" t="s">
        <v>662</v>
      </c>
      <c r="P186" s="47" t="s">
        <v>670</v>
      </c>
      <c r="Q186" s="47"/>
      <c r="R186" s="47" t="s">
        <v>648</v>
      </c>
    </row>
    <row r="187" spans="2:18">
      <c r="B187" s="12"/>
      <c r="C187" s="31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6"/>
      <c r="C188" s="6"/>
      <c r="D188" s="51" t="s">
        <v>556</v>
      </c>
      <c r="E188" s="51" t="s">
        <v>189</v>
      </c>
      <c r="F188" s="51" t="s">
        <v>178</v>
      </c>
      <c r="G188" s="51"/>
      <c r="H188" s="51" t="s">
        <v>154</v>
      </c>
      <c r="I188" s="51" t="s">
        <v>561</v>
      </c>
      <c r="J188" s="51" t="s">
        <v>33</v>
      </c>
      <c r="K188" s="51" t="s">
        <v>34</v>
      </c>
      <c r="L188" s="51" t="s">
        <v>812</v>
      </c>
      <c r="M188" s="51" t="s">
        <v>614</v>
      </c>
      <c r="N188" s="51" t="s">
        <v>540</v>
      </c>
      <c r="O188" s="51" t="s">
        <v>244</v>
      </c>
      <c r="P188" s="51" t="s">
        <v>131</v>
      </c>
      <c r="Q188" s="51" t="s">
        <v>615</v>
      </c>
      <c r="R188" s="51" t="s">
        <v>555</v>
      </c>
    </row>
    <row r="189" spans="2:18" ht="58.5">
      <c r="B189" s="18">
        <f t="shared" ref="B189" si="21">B185+1</f>
        <v>47</v>
      </c>
      <c r="C189" s="6"/>
      <c r="D189" s="50" t="s">
        <v>377</v>
      </c>
      <c r="E189" s="50" t="s">
        <v>115</v>
      </c>
      <c r="F189" s="50" t="s">
        <v>100</v>
      </c>
      <c r="G189" s="50" t="s">
        <v>79</v>
      </c>
      <c r="H189" s="50" t="s">
        <v>81</v>
      </c>
      <c r="I189" s="50" t="s">
        <v>384</v>
      </c>
      <c r="J189" s="50" t="s">
        <v>54</v>
      </c>
      <c r="K189" s="50" t="s">
        <v>361</v>
      </c>
      <c r="L189" s="36" t="s">
        <v>462</v>
      </c>
      <c r="M189" s="50" t="s">
        <v>463</v>
      </c>
      <c r="N189" s="50" t="s">
        <v>316</v>
      </c>
      <c r="O189" s="36" t="s">
        <v>464</v>
      </c>
      <c r="P189" s="50" t="s">
        <v>59</v>
      </c>
      <c r="Q189" s="50" t="s">
        <v>465</v>
      </c>
      <c r="R189" s="50" t="s">
        <v>466</v>
      </c>
    </row>
    <row r="190" spans="2:18">
      <c r="B190" s="20"/>
      <c r="C190" s="6"/>
      <c r="D190" s="47" t="s">
        <v>556</v>
      </c>
      <c r="E190" s="47" t="s">
        <v>771</v>
      </c>
      <c r="F190" s="47" t="s">
        <v>178</v>
      </c>
      <c r="G190" s="47"/>
      <c r="H190" s="47" t="s">
        <v>664</v>
      </c>
      <c r="I190" s="47" t="s">
        <v>716</v>
      </c>
      <c r="J190" s="47" t="s">
        <v>699</v>
      </c>
      <c r="K190" s="47" t="s">
        <v>707</v>
      </c>
      <c r="L190" s="47" t="s">
        <v>814</v>
      </c>
      <c r="M190" s="47" t="s">
        <v>775</v>
      </c>
      <c r="N190" s="47" t="s">
        <v>683</v>
      </c>
      <c r="O190" s="47" t="s">
        <v>244</v>
      </c>
      <c r="P190" s="47" t="s">
        <v>668</v>
      </c>
      <c r="Q190" s="47" t="s">
        <v>776</v>
      </c>
      <c r="R190" s="47" t="s">
        <v>37</v>
      </c>
    </row>
    <row r="191" spans="2:18">
      <c r="B191" s="12"/>
      <c r="C191" s="31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6"/>
      <c r="C192" s="6"/>
      <c r="D192" s="51" t="s">
        <v>129</v>
      </c>
      <c r="E192" s="51" t="s">
        <v>616</v>
      </c>
      <c r="F192" s="51" t="s">
        <v>813</v>
      </c>
      <c r="G192" s="51" t="s">
        <v>552</v>
      </c>
      <c r="H192" s="51"/>
      <c r="I192" s="51" t="s">
        <v>617</v>
      </c>
      <c r="J192" s="51" t="s">
        <v>618</v>
      </c>
      <c r="K192" s="51" t="s">
        <v>619</v>
      </c>
      <c r="L192" s="51" t="s">
        <v>167</v>
      </c>
      <c r="M192" s="51" t="s">
        <v>545</v>
      </c>
      <c r="N192" s="51" t="s">
        <v>620</v>
      </c>
      <c r="O192" s="51" t="s">
        <v>131</v>
      </c>
      <c r="P192" s="51" t="s">
        <v>523</v>
      </c>
      <c r="Q192" s="51" t="s">
        <v>184</v>
      </c>
      <c r="R192" s="51" t="s">
        <v>144</v>
      </c>
    </row>
    <row r="193" spans="2:18" ht="58.5">
      <c r="B193" s="18">
        <f t="shared" ref="B193" si="22">B189+1</f>
        <v>48</v>
      </c>
      <c r="C193" s="6"/>
      <c r="D193" s="50" t="s">
        <v>57</v>
      </c>
      <c r="E193" s="50" t="s">
        <v>467</v>
      </c>
      <c r="F193" s="36" t="s">
        <v>468</v>
      </c>
      <c r="G193" s="50" t="s">
        <v>78</v>
      </c>
      <c r="H193" s="50" t="s">
        <v>79</v>
      </c>
      <c r="I193" s="50" t="s">
        <v>469</v>
      </c>
      <c r="J193" s="50" t="s">
        <v>470</v>
      </c>
      <c r="K193" s="50" t="s">
        <v>471</v>
      </c>
      <c r="L193" s="50" t="s">
        <v>434</v>
      </c>
      <c r="M193" s="50" t="s">
        <v>331</v>
      </c>
      <c r="N193" s="50" t="s">
        <v>472</v>
      </c>
      <c r="O193" s="50" t="s">
        <v>59</v>
      </c>
      <c r="P193" s="50" t="s">
        <v>473</v>
      </c>
      <c r="Q193" s="50" t="s">
        <v>105</v>
      </c>
      <c r="R193" s="50" t="s">
        <v>70</v>
      </c>
    </row>
    <row r="194" spans="2:18">
      <c r="B194" s="20"/>
      <c r="C194" s="6"/>
      <c r="D194" s="47" t="s">
        <v>647</v>
      </c>
      <c r="E194" s="47" t="s">
        <v>525</v>
      </c>
      <c r="F194" s="47" t="s">
        <v>815</v>
      </c>
      <c r="G194" s="47" t="s">
        <v>706</v>
      </c>
      <c r="H194" s="47"/>
      <c r="I194" s="47" t="s">
        <v>777</v>
      </c>
      <c r="J194" s="47" t="s">
        <v>618</v>
      </c>
      <c r="K194" s="47" t="s">
        <v>778</v>
      </c>
      <c r="L194" s="47" t="s">
        <v>756</v>
      </c>
      <c r="M194" s="47" t="s">
        <v>692</v>
      </c>
      <c r="N194" s="47" t="s">
        <v>779</v>
      </c>
      <c r="O194" s="47" t="s">
        <v>668</v>
      </c>
      <c r="P194" s="47" t="s">
        <v>651</v>
      </c>
      <c r="Q194" s="47" t="s">
        <v>752</v>
      </c>
      <c r="R194" s="47" t="s">
        <v>703</v>
      </c>
    </row>
    <row r="195" spans="2:18">
      <c r="B195" s="12"/>
      <c r="C195" s="31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6"/>
      <c r="C196" s="6"/>
      <c r="D196" s="51"/>
      <c r="E196" s="51" t="s">
        <v>546</v>
      </c>
      <c r="F196" s="51" t="s">
        <v>133</v>
      </c>
      <c r="G196" s="51" t="s">
        <v>621</v>
      </c>
      <c r="H196" s="51" t="s">
        <v>579</v>
      </c>
      <c r="I196" s="51" t="s">
        <v>609</v>
      </c>
      <c r="J196" s="51" t="s">
        <v>129</v>
      </c>
      <c r="K196" s="51" t="s">
        <v>177</v>
      </c>
      <c r="L196" s="51" t="s">
        <v>559</v>
      </c>
      <c r="M196" s="51"/>
      <c r="N196" s="51" t="s">
        <v>146</v>
      </c>
      <c r="O196" s="51" t="s">
        <v>555</v>
      </c>
      <c r="P196" s="51" t="s">
        <v>555</v>
      </c>
      <c r="Q196" s="51" t="s">
        <v>540</v>
      </c>
      <c r="R196" s="51" t="s">
        <v>561</v>
      </c>
    </row>
    <row r="197" spans="2:18" ht="58.5">
      <c r="B197" s="18">
        <f t="shared" ref="B197" si="23">B193+1</f>
        <v>49</v>
      </c>
      <c r="C197" s="6"/>
      <c r="D197" s="50" t="s">
        <v>79</v>
      </c>
      <c r="E197" s="50" t="s">
        <v>333</v>
      </c>
      <c r="F197" s="50" t="s">
        <v>61</v>
      </c>
      <c r="G197" s="50" t="s">
        <v>474</v>
      </c>
      <c r="H197" s="50" t="s">
        <v>408</v>
      </c>
      <c r="I197" s="50" t="s">
        <v>475</v>
      </c>
      <c r="J197" s="50" t="s">
        <v>57</v>
      </c>
      <c r="K197" s="50" t="s">
        <v>98</v>
      </c>
      <c r="L197" s="50" t="s">
        <v>382</v>
      </c>
      <c r="M197" s="50" t="s">
        <v>21</v>
      </c>
      <c r="N197" s="50" t="s">
        <v>72</v>
      </c>
      <c r="O197" s="50" t="s">
        <v>375</v>
      </c>
      <c r="P197" s="50" t="s">
        <v>429</v>
      </c>
      <c r="Q197" s="50" t="s">
        <v>430</v>
      </c>
      <c r="R197" s="50" t="s">
        <v>384</v>
      </c>
    </row>
    <row r="198" spans="2:18">
      <c r="B198" s="20"/>
      <c r="C198" s="6"/>
      <c r="D198" s="47"/>
      <c r="E198" s="47" t="s">
        <v>693</v>
      </c>
      <c r="F198" s="47" t="s">
        <v>133</v>
      </c>
      <c r="G198" s="47" t="s">
        <v>780</v>
      </c>
      <c r="H198" s="47" t="s">
        <v>579</v>
      </c>
      <c r="I198" s="47" t="s">
        <v>768</v>
      </c>
      <c r="J198" s="47" t="s">
        <v>647</v>
      </c>
      <c r="K198" s="47" t="s">
        <v>751</v>
      </c>
      <c r="L198" s="47" t="s">
        <v>714</v>
      </c>
      <c r="M198" s="47"/>
      <c r="N198" s="47" t="s">
        <v>748</v>
      </c>
      <c r="O198" s="47" t="s">
        <v>37</v>
      </c>
      <c r="P198" s="47" t="s">
        <v>37</v>
      </c>
      <c r="Q198" s="47" t="s">
        <v>683</v>
      </c>
      <c r="R198" s="47" t="s">
        <v>716</v>
      </c>
    </row>
    <row r="199" spans="2:18">
      <c r="B199" s="12"/>
      <c r="C199" s="31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6"/>
      <c r="C200" s="6"/>
      <c r="D200" s="51" t="s">
        <v>161</v>
      </c>
      <c r="E200" s="51" t="s">
        <v>142</v>
      </c>
      <c r="F200" s="51" t="s">
        <v>37</v>
      </c>
      <c r="G200" s="51" t="s">
        <v>46</v>
      </c>
      <c r="H200" s="51" t="s">
        <v>165</v>
      </c>
      <c r="I200" s="51"/>
      <c r="J200" s="51" t="s">
        <v>158</v>
      </c>
      <c r="K200" s="51" t="s">
        <v>131</v>
      </c>
      <c r="L200" s="51" t="s">
        <v>142</v>
      </c>
      <c r="M200" s="51" t="s">
        <v>133</v>
      </c>
      <c r="N200" s="51"/>
      <c r="O200" s="51" t="s">
        <v>555</v>
      </c>
      <c r="P200" s="51" t="s">
        <v>154</v>
      </c>
      <c r="Q200" s="51" t="s">
        <v>577</v>
      </c>
      <c r="R200" s="51" t="s">
        <v>578</v>
      </c>
    </row>
    <row r="201" spans="2:18" ht="58.5">
      <c r="B201" s="18">
        <f t="shared" ref="B201" si="24">B197+1</f>
        <v>50</v>
      </c>
      <c r="C201" s="6"/>
      <c r="D201" s="50" t="s">
        <v>87</v>
      </c>
      <c r="E201" s="50" t="s">
        <v>68</v>
      </c>
      <c r="F201" s="50" t="s">
        <v>47</v>
      </c>
      <c r="G201" s="50" t="s">
        <v>29</v>
      </c>
      <c r="H201" s="50" t="s">
        <v>90</v>
      </c>
      <c r="I201" s="50" t="s">
        <v>21</v>
      </c>
      <c r="J201" s="50" t="s">
        <v>19</v>
      </c>
      <c r="K201" s="50" t="s">
        <v>59</v>
      </c>
      <c r="L201" s="50" t="s">
        <v>102</v>
      </c>
      <c r="M201" s="50" t="s">
        <v>61</v>
      </c>
      <c r="N201" s="50" t="s">
        <v>21</v>
      </c>
      <c r="O201" s="50" t="s">
        <v>375</v>
      </c>
      <c r="P201" s="50" t="s">
        <v>81</v>
      </c>
      <c r="Q201" s="50" t="s">
        <v>405</v>
      </c>
      <c r="R201" s="50" t="s">
        <v>406</v>
      </c>
    </row>
    <row r="202" spans="2:18">
      <c r="B202" s="20"/>
      <c r="C202" s="6"/>
      <c r="D202" s="47" t="s">
        <v>781</v>
      </c>
      <c r="E202" s="47" t="s">
        <v>700</v>
      </c>
      <c r="F202" s="47" t="s">
        <v>724</v>
      </c>
      <c r="G202" s="47" t="s">
        <v>677</v>
      </c>
      <c r="H202" s="47" t="s">
        <v>670</v>
      </c>
      <c r="I202" s="47"/>
      <c r="J202" s="47" t="s">
        <v>674</v>
      </c>
      <c r="K202" s="47" t="s">
        <v>668</v>
      </c>
      <c r="L202" s="47" t="s">
        <v>700</v>
      </c>
      <c r="M202" s="47" t="s">
        <v>133</v>
      </c>
      <c r="N202" s="47"/>
      <c r="O202" s="47" t="s">
        <v>37</v>
      </c>
      <c r="P202" s="47" t="s">
        <v>664</v>
      </c>
      <c r="Q202" s="47" t="s">
        <v>731</v>
      </c>
      <c r="R202" s="47" t="s">
        <v>732</v>
      </c>
    </row>
    <row r="203" spans="2:18">
      <c r="B203" s="12"/>
      <c r="C203" s="31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6"/>
      <c r="C204" s="6"/>
      <c r="D204" s="51"/>
      <c r="E204" s="51" t="s">
        <v>546</v>
      </c>
      <c r="F204" s="51" t="s">
        <v>133</v>
      </c>
      <c r="G204" s="51" t="s">
        <v>565</v>
      </c>
      <c r="H204" s="51" t="s">
        <v>154</v>
      </c>
      <c r="I204" s="51" t="s">
        <v>35</v>
      </c>
      <c r="J204" s="51" t="s">
        <v>153</v>
      </c>
      <c r="K204" s="51" t="s">
        <v>39</v>
      </c>
      <c r="L204" s="51" t="s">
        <v>564</v>
      </c>
      <c r="M204" s="51" t="s">
        <v>144</v>
      </c>
      <c r="N204" s="51"/>
      <c r="O204" s="51" t="s">
        <v>622</v>
      </c>
      <c r="P204" s="51" t="s">
        <v>124</v>
      </c>
      <c r="Q204" s="51" t="s">
        <v>140</v>
      </c>
      <c r="R204" s="51" t="s">
        <v>157</v>
      </c>
    </row>
    <row r="205" spans="2:18" ht="58.5">
      <c r="B205" s="18">
        <f>B201+1</f>
        <v>51</v>
      </c>
      <c r="C205" s="6"/>
      <c r="D205" s="50" t="s">
        <v>21</v>
      </c>
      <c r="E205" s="50" t="s">
        <v>333</v>
      </c>
      <c r="F205" s="50" t="s">
        <v>61</v>
      </c>
      <c r="G205" s="50" t="s">
        <v>388</v>
      </c>
      <c r="H205" s="50" t="s">
        <v>81</v>
      </c>
      <c r="I205" s="50" t="s">
        <v>22</v>
      </c>
      <c r="J205" s="50" t="s">
        <v>80</v>
      </c>
      <c r="K205" s="50" t="s">
        <v>28</v>
      </c>
      <c r="L205" s="50" t="s">
        <v>387</v>
      </c>
      <c r="M205" s="50" t="s">
        <v>70</v>
      </c>
      <c r="N205" s="50" t="s">
        <v>25</v>
      </c>
      <c r="O205" s="50" t="s">
        <v>476</v>
      </c>
      <c r="P205" s="50" t="s">
        <v>53</v>
      </c>
      <c r="Q205" s="50" t="s">
        <v>66</v>
      </c>
      <c r="R205" s="50" t="s">
        <v>83</v>
      </c>
    </row>
    <row r="206" spans="2:18">
      <c r="B206" s="20"/>
      <c r="C206" s="6"/>
      <c r="D206" s="47"/>
      <c r="E206" s="47" t="s">
        <v>693</v>
      </c>
      <c r="F206" s="47" t="s">
        <v>133</v>
      </c>
      <c r="G206" s="47" t="s">
        <v>720</v>
      </c>
      <c r="H206" s="47" t="s">
        <v>664</v>
      </c>
      <c r="I206" s="47" t="s">
        <v>646</v>
      </c>
      <c r="J206" s="47" t="s">
        <v>782</v>
      </c>
      <c r="K206" s="47" t="s">
        <v>712</v>
      </c>
      <c r="L206" s="47" t="s">
        <v>719</v>
      </c>
      <c r="M206" s="47" t="s">
        <v>703</v>
      </c>
      <c r="N206" s="47"/>
      <c r="O206" s="47" t="s">
        <v>783</v>
      </c>
      <c r="P206" s="47" t="s">
        <v>698</v>
      </c>
      <c r="Q206" s="47" t="s">
        <v>689</v>
      </c>
      <c r="R206" s="47" t="s">
        <v>784</v>
      </c>
    </row>
    <row r="207" spans="2:18">
      <c r="B207" s="24"/>
      <c r="C207" s="25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6"/>
      <c r="C208" s="6"/>
      <c r="D208" s="51" t="s">
        <v>551</v>
      </c>
      <c r="E208" s="51" t="s">
        <v>129</v>
      </c>
      <c r="F208" s="51" t="s">
        <v>137</v>
      </c>
      <c r="G208" s="51" t="s">
        <v>176</v>
      </c>
      <c r="H208" s="51" t="s">
        <v>164</v>
      </c>
      <c r="I208" s="51" t="s">
        <v>162</v>
      </c>
      <c r="J208" s="51" t="s">
        <v>623</v>
      </c>
      <c r="K208" s="51" t="s">
        <v>133</v>
      </c>
      <c r="L208" s="51"/>
      <c r="M208" s="51" t="s">
        <v>154</v>
      </c>
      <c r="N208" s="51" t="s">
        <v>561</v>
      </c>
      <c r="O208" s="51" t="s">
        <v>33</v>
      </c>
      <c r="P208" s="51" t="s">
        <v>618</v>
      </c>
      <c r="Q208" s="51" t="s">
        <v>624</v>
      </c>
      <c r="R208" s="51" t="s">
        <v>46</v>
      </c>
    </row>
    <row r="209" spans="2:18" ht="58.5">
      <c r="B209" s="18">
        <f>B205+1</f>
        <v>52</v>
      </c>
      <c r="C209" s="6"/>
      <c r="D209" s="50" t="s">
        <v>477</v>
      </c>
      <c r="E209" s="50" t="s">
        <v>57</v>
      </c>
      <c r="F209" s="50" t="s">
        <v>64</v>
      </c>
      <c r="G209" s="50" t="s">
        <v>478</v>
      </c>
      <c r="H209" s="50" t="s">
        <v>89</v>
      </c>
      <c r="I209" s="50" t="s">
        <v>479</v>
      </c>
      <c r="J209" s="50" t="s">
        <v>480</v>
      </c>
      <c r="K209" s="50" t="s">
        <v>61</v>
      </c>
      <c r="L209" s="50" t="s">
        <v>21</v>
      </c>
      <c r="M209" s="50" t="s">
        <v>81</v>
      </c>
      <c r="N209" s="50" t="s">
        <v>384</v>
      </c>
      <c r="O209" s="50" t="s">
        <v>54</v>
      </c>
      <c r="P209" s="50" t="s">
        <v>470</v>
      </c>
      <c r="Q209" s="50" t="s">
        <v>481</v>
      </c>
      <c r="R209" s="50" t="s">
        <v>29</v>
      </c>
    </row>
    <row r="210" spans="2:18">
      <c r="B210" s="20"/>
      <c r="C210" s="6"/>
      <c r="D210" s="47" t="s">
        <v>702</v>
      </c>
      <c r="E210" s="47" t="s">
        <v>647</v>
      </c>
      <c r="F210" s="47" t="s">
        <v>137</v>
      </c>
      <c r="G210" s="47" t="s">
        <v>785</v>
      </c>
      <c r="H210" s="47" t="s">
        <v>686</v>
      </c>
      <c r="I210" s="47" t="s">
        <v>705</v>
      </c>
      <c r="J210" s="47" t="s">
        <v>786</v>
      </c>
      <c r="K210" s="47" t="s">
        <v>133</v>
      </c>
      <c r="L210" s="47"/>
      <c r="M210" s="47" t="s">
        <v>664</v>
      </c>
      <c r="N210" s="47" t="s">
        <v>716</v>
      </c>
      <c r="O210" s="47" t="s">
        <v>699</v>
      </c>
      <c r="P210" s="47" t="s">
        <v>618</v>
      </c>
      <c r="Q210" s="47" t="s">
        <v>787</v>
      </c>
      <c r="R210" s="47" t="s">
        <v>677</v>
      </c>
    </row>
    <row r="211" spans="2:18">
      <c r="B211" s="29"/>
      <c r="C211" s="30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48"/>
    </row>
    <row r="212" spans="2:18" ht="39.75">
      <c r="B212" s="16"/>
      <c r="C212" s="6"/>
      <c r="D212" s="51"/>
      <c r="E212" s="51" t="s">
        <v>559</v>
      </c>
      <c r="F212" s="51" t="s">
        <v>131</v>
      </c>
      <c r="G212" s="51" t="s">
        <v>555</v>
      </c>
      <c r="H212" s="51" t="s">
        <v>540</v>
      </c>
      <c r="I212" s="51" t="s">
        <v>38</v>
      </c>
      <c r="J212" s="51" t="s">
        <v>543</v>
      </c>
      <c r="K212" s="51"/>
      <c r="L212" s="51" t="s">
        <v>558</v>
      </c>
      <c r="M212" s="51" t="s">
        <v>154</v>
      </c>
      <c r="N212" s="51" t="s">
        <v>625</v>
      </c>
      <c r="O212" s="51" t="s">
        <v>144</v>
      </c>
      <c r="P212" s="51"/>
      <c r="Q212" s="51"/>
      <c r="R212" s="46"/>
    </row>
    <row r="213" spans="2:18" ht="58.5">
      <c r="B213" s="18">
        <f>B209+1</f>
        <v>53</v>
      </c>
      <c r="C213" s="6"/>
      <c r="D213" s="50" t="s">
        <v>21</v>
      </c>
      <c r="E213" s="50" t="s">
        <v>382</v>
      </c>
      <c r="F213" s="50" t="s">
        <v>59</v>
      </c>
      <c r="G213" s="50" t="s">
        <v>429</v>
      </c>
      <c r="H213" s="50" t="s">
        <v>430</v>
      </c>
      <c r="I213" s="50" t="s">
        <v>99</v>
      </c>
      <c r="J213" s="50" t="s">
        <v>392</v>
      </c>
      <c r="K213" s="50" t="s">
        <v>21</v>
      </c>
      <c r="L213" s="50" t="s">
        <v>114</v>
      </c>
      <c r="M213" s="50" t="s">
        <v>81</v>
      </c>
      <c r="N213" s="50" t="s">
        <v>482</v>
      </c>
      <c r="O213" s="50" t="s">
        <v>70</v>
      </c>
      <c r="P213" s="50" t="s">
        <v>25</v>
      </c>
      <c r="Q213" s="50" t="str">
        <f>CHAR(10)</f>
        <v xml:space="preserve">
</v>
      </c>
      <c r="R213" s="36"/>
    </row>
    <row r="214" spans="2:18">
      <c r="B214" s="20"/>
      <c r="C214" s="6"/>
      <c r="D214" s="47"/>
      <c r="E214" s="47" t="s">
        <v>714</v>
      </c>
      <c r="F214" s="47" t="s">
        <v>668</v>
      </c>
      <c r="G214" s="47" t="s">
        <v>37</v>
      </c>
      <c r="H214" s="47" t="s">
        <v>683</v>
      </c>
      <c r="I214" s="47" t="s">
        <v>685</v>
      </c>
      <c r="J214" s="47" t="s">
        <v>687</v>
      </c>
      <c r="K214" s="47"/>
      <c r="L214" s="47" t="s">
        <v>713</v>
      </c>
      <c r="M214" s="47" t="s">
        <v>664</v>
      </c>
      <c r="N214" s="47" t="s">
        <v>174</v>
      </c>
      <c r="O214" s="47" t="s">
        <v>703</v>
      </c>
      <c r="P214" s="47"/>
      <c r="Q214" s="47"/>
      <c r="R214" s="47"/>
    </row>
    <row r="215" spans="2:18">
      <c r="B215" s="12"/>
      <c r="C215" s="31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6"/>
      <c r="C216" s="6"/>
      <c r="D216" s="51" t="s">
        <v>626</v>
      </c>
      <c r="E216" s="51"/>
      <c r="F216" s="51" t="s">
        <v>547</v>
      </c>
      <c r="G216" s="51" t="s">
        <v>133</v>
      </c>
      <c r="H216" s="51" t="s">
        <v>42</v>
      </c>
      <c r="I216" s="51"/>
      <c r="J216" s="51" t="s">
        <v>45</v>
      </c>
      <c r="K216" s="51" t="s">
        <v>40</v>
      </c>
      <c r="L216" s="51" t="s">
        <v>557</v>
      </c>
      <c r="M216" s="51" t="s">
        <v>131</v>
      </c>
      <c r="N216" s="51"/>
      <c r="O216" s="51" t="s">
        <v>32</v>
      </c>
      <c r="P216" s="51" t="s">
        <v>549</v>
      </c>
      <c r="Q216" s="51" t="s">
        <v>627</v>
      </c>
      <c r="R216" s="51" t="s">
        <v>138</v>
      </c>
    </row>
    <row r="217" spans="2:18" ht="58.5">
      <c r="B217" s="18">
        <f>B213+1</f>
        <v>54</v>
      </c>
      <c r="C217" s="6"/>
      <c r="D217" s="50" t="s">
        <v>483</v>
      </c>
      <c r="E217" s="50" t="s">
        <v>281</v>
      </c>
      <c r="F217" s="50" t="s">
        <v>334</v>
      </c>
      <c r="G217" s="50" t="s">
        <v>61</v>
      </c>
      <c r="H217" s="50" t="s">
        <v>484</v>
      </c>
      <c r="I217" s="50" t="s">
        <v>21</v>
      </c>
      <c r="J217" s="50" t="s">
        <v>485</v>
      </c>
      <c r="K217" s="50" t="s">
        <v>101</v>
      </c>
      <c r="L217" s="50" t="s">
        <v>379</v>
      </c>
      <c r="M217" s="50" t="s">
        <v>71</v>
      </c>
      <c r="N217" s="50" t="s">
        <v>21</v>
      </c>
      <c r="O217" s="50" t="s">
        <v>341</v>
      </c>
      <c r="P217" s="50" t="s">
        <v>342</v>
      </c>
      <c r="Q217" s="50" t="s">
        <v>486</v>
      </c>
      <c r="R217" s="50" t="s">
        <v>23</v>
      </c>
    </row>
    <row r="218" spans="2:18">
      <c r="B218" s="20"/>
      <c r="C218" s="6"/>
      <c r="D218" s="47" t="s">
        <v>788</v>
      </c>
      <c r="E218" s="47"/>
      <c r="F218" s="47" t="s">
        <v>694</v>
      </c>
      <c r="G218" s="47" t="s">
        <v>133</v>
      </c>
      <c r="H218" s="47" t="s">
        <v>789</v>
      </c>
      <c r="I218" s="47"/>
      <c r="J218" s="47" t="s">
        <v>45</v>
      </c>
      <c r="K218" s="47" t="s">
        <v>704</v>
      </c>
      <c r="L218" s="47" t="s">
        <v>711</v>
      </c>
      <c r="M218" s="47" t="s">
        <v>668</v>
      </c>
      <c r="N218" s="47"/>
      <c r="O218" s="47" t="s">
        <v>671</v>
      </c>
      <c r="P218" s="47" t="s">
        <v>697</v>
      </c>
      <c r="Q218" s="47" t="s">
        <v>790</v>
      </c>
      <c r="R218" s="47" t="s">
        <v>679</v>
      </c>
    </row>
    <row r="219" spans="2:18">
      <c r="B219" s="12"/>
      <c r="C219" s="31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6"/>
      <c r="C220" s="6"/>
      <c r="D220" s="51" t="s">
        <v>179</v>
      </c>
      <c r="E220" s="51"/>
      <c r="F220" s="51" t="s">
        <v>164</v>
      </c>
      <c r="G220" s="51" t="s">
        <v>44</v>
      </c>
      <c r="H220" s="51" t="s">
        <v>520</v>
      </c>
      <c r="I220" s="51" t="s">
        <v>548</v>
      </c>
      <c r="J220" s="51" t="s">
        <v>248</v>
      </c>
      <c r="K220" s="51" t="s">
        <v>628</v>
      </c>
      <c r="L220" s="51" t="s">
        <v>539</v>
      </c>
      <c r="M220" s="51"/>
      <c r="N220" s="51" t="s">
        <v>629</v>
      </c>
      <c r="O220" s="51" t="s">
        <v>630</v>
      </c>
      <c r="P220" s="51" t="s">
        <v>141</v>
      </c>
      <c r="Q220" s="51" t="s">
        <v>609</v>
      </c>
      <c r="R220" s="51"/>
    </row>
    <row r="221" spans="2:18" ht="58.5">
      <c r="B221" s="18">
        <f>B217+1</f>
        <v>55</v>
      </c>
      <c r="C221" s="6"/>
      <c r="D221" s="50" t="s">
        <v>487</v>
      </c>
      <c r="E221" s="50" t="s">
        <v>21</v>
      </c>
      <c r="F221" s="50" t="s">
        <v>89</v>
      </c>
      <c r="G221" s="50" t="s">
        <v>413</v>
      </c>
      <c r="H221" s="50" t="s">
        <v>274</v>
      </c>
      <c r="I221" s="50" t="s">
        <v>338</v>
      </c>
      <c r="J221" s="36" t="s">
        <v>488</v>
      </c>
      <c r="K221" s="50" t="s">
        <v>489</v>
      </c>
      <c r="L221" s="50" t="s">
        <v>315</v>
      </c>
      <c r="M221" s="50" t="s">
        <v>21</v>
      </c>
      <c r="N221" s="50" t="s">
        <v>490</v>
      </c>
      <c r="O221" s="50" t="s">
        <v>491</v>
      </c>
      <c r="P221" s="50" t="s">
        <v>67</v>
      </c>
      <c r="Q221" s="50" t="s">
        <v>492</v>
      </c>
      <c r="R221" s="50" t="s">
        <v>21</v>
      </c>
    </row>
    <row r="222" spans="2:18">
      <c r="B222" s="20"/>
      <c r="C222" s="6"/>
      <c r="D222" s="47" t="s">
        <v>791</v>
      </c>
      <c r="E222" s="47"/>
      <c r="F222" s="47" t="s">
        <v>686</v>
      </c>
      <c r="G222" s="47" t="s">
        <v>738</v>
      </c>
      <c r="H222" s="47" t="s">
        <v>520</v>
      </c>
      <c r="I222" s="47" t="s">
        <v>695</v>
      </c>
      <c r="J222" s="47" t="s">
        <v>816</v>
      </c>
      <c r="K222" s="47" t="s">
        <v>792</v>
      </c>
      <c r="L222" s="47" t="s">
        <v>682</v>
      </c>
      <c r="M222" s="47"/>
      <c r="N222" s="47" t="s">
        <v>793</v>
      </c>
      <c r="O222" s="47" t="s">
        <v>794</v>
      </c>
      <c r="P222" s="47" t="s">
        <v>141</v>
      </c>
      <c r="Q222" s="47" t="s">
        <v>768</v>
      </c>
      <c r="R222" s="47"/>
    </row>
    <row r="223" spans="2:18">
      <c r="B223" s="12"/>
      <c r="C223" s="31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6"/>
      <c r="C224" s="6"/>
      <c r="D224" s="51" t="s">
        <v>148</v>
      </c>
      <c r="E224" s="51"/>
      <c r="F224" s="51" t="s">
        <v>631</v>
      </c>
      <c r="G224" s="51" t="s">
        <v>38</v>
      </c>
      <c r="H224" s="51" t="s">
        <v>123</v>
      </c>
      <c r="I224" s="51"/>
      <c r="J224" s="51" t="s">
        <v>163</v>
      </c>
      <c r="K224" s="51" t="s">
        <v>133</v>
      </c>
      <c r="L224" s="51" t="s">
        <v>127</v>
      </c>
      <c r="M224" s="51" t="s">
        <v>144</v>
      </c>
      <c r="N224" s="51"/>
      <c r="O224" s="51" t="s">
        <v>35</v>
      </c>
      <c r="P224" s="51" t="s">
        <v>31</v>
      </c>
      <c r="Q224" s="51"/>
      <c r="R224" s="51" t="s">
        <v>166</v>
      </c>
    </row>
    <row r="225" spans="2:18" ht="58.5">
      <c r="B225" s="18">
        <f>B221+1</f>
        <v>56</v>
      </c>
      <c r="C225" s="6"/>
      <c r="D225" s="50" t="s">
        <v>88</v>
      </c>
      <c r="E225" s="50" t="s">
        <v>281</v>
      </c>
      <c r="F225" s="50" t="s">
        <v>493</v>
      </c>
      <c r="G225" s="50" t="s">
        <v>99</v>
      </c>
      <c r="H225" s="50" t="s">
        <v>52</v>
      </c>
      <c r="I225" s="50" t="s">
        <v>21</v>
      </c>
      <c r="J225" s="50" t="s">
        <v>298</v>
      </c>
      <c r="K225" s="50" t="s">
        <v>61</v>
      </c>
      <c r="L225" s="50" t="s">
        <v>494</v>
      </c>
      <c r="M225" s="50" t="s">
        <v>70</v>
      </c>
      <c r="N225" s="50" t="s">
        <v>25</v>
      </c>
      <c r="O225" s="50" t="s">
        <v>22</v>
      </c>
      <c r="P225" s="50" t="s">
        <v>20</v>
      </c>
      <c r="Q225" s="50" t="s">
        <v>281</v>
      </c>
      <c r="R225" s="50" t="s">
        <v>91</v>
      </c>
    </row>
    <row r="226" spans="2:18">
      <c r="B226" s="20"/>
      <c r="C226" s="6"/>
      <c r="D226" s="47" t="s">
        <v>795</v>
      </c>
      <c r="E226" s="47"/>
      <c r="F226" s="47" t="s">
        <v>796</v>
      </c>
      <c r="G226" s="47" t="s">
        <v>685</v>
      </c>
      <c r="H226" s="47" t="s">
        <v>151</v>
      </c>
      <c r="I226" s="47"/>
      <c r="J226" s="47" t="s">
        <v>663</v>
      </c>
      <c r="K226" s="47" t="s">
        <v>133</v>
      </c>
      <c r="L226" s="47" t="s">
        <v>747</v>
      </c>
      <c r="M226" s="47" t="s">
        <v>703</v>
      </c>
      <c r="N226" s="47"/>
      <c r="O226" s="47" t="s">
        <v>646</v>
      </c>
      <c r="P226" s="47" t="s">
        <v>681</v>
      </c>
      <c r="Q226" s="47"/>
      <c r="R226" s="47" t="s">
        <v>797</v>
      </c>
    </row>
    <row r="227" spans="2:18">
      <c r="B227" s="12"/>
      <c r="C227" s="31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6"/>
      <c r="C228" s="6"/>
      <c r="D228" s="51"/>
      <c r="E228" s="51" t="s">
        <v>632</v>
      </c>
      <c r="F228" s="51" t="s">
        <v>133</v>
      </c>
      <c r="G228" s="51" t="s">
        <v>559</v>
      </c>
      <c r="H228" s="51"/>
      <c r="I228" s="51" t="s">
        <v>582</v>
      </c>
      <c r="J228" s="51" t="s">
        <v>633</v>
      </c>
      <c r="K228" s="51" t="s">
        <v>35</v>
      </c>
      <c r="L228" s="51" t="s">
        <v>634</v>
      </c>
      <c r="M228" s="51"/>
      <c r="N228" s="51" t="s">
        <v>146</v>
      </c>
      <c r="O228" s="51" t="s">
        <v>188</v>
      </c>
      <c r="P228" s="51" t="s">
        <v>536</v>
      </c>
      <c r="Q228" s="51" t="s">
        <v>221</v>
      </c>
      <c r="R228" s="51"/>
    </row>
    <row r="229" spans="2:18" ht="58.5">
      <c r="B229" s="18">
        <f>B225+1</f>
        <v>57</v>
      </c>
      <c r="C229" s="6"/>
      <c r="D229" s="50" t="s">
        <v>281</v>
      </c>
      <c r="E229" s="50" t="s">
        <v>495</v>
      </c>
      <c r="F229" s="50" t="s">
        <v>61</v>
      </c>
      <c r="G229" s="50" t="s">
        <v>382</v>
      </c>
      <c r="H229" s="50" t="s">
        <v>21</v>
      </c>
      <c r="I229" s="50" t="s">
        <v>412</v>
      </c>
      <c r="J229" s="50" t="s">
        <v>496</v>
      </c>
      <c r="K229" s="50" t="s">
        <v>22</v>
      </c>
      <c r="L229" s="50" t="s">
        <v>497</v>
      </c>
      <c r="M229" s="50" t="s">
        <v>21</v>
      </c>
      <c r="N229" s="50" t="s">
        <v>72</v>
      </c>
      <c r="O229" s="50" t="s">
        <v>498</v>
      </c>
      <c r="P229" s="50" t="s">
        <v>308</v>
      </c>
      <c r="Q229" s="36" t="s">
        <v>499</v>
      </c>
      <c r="R229" s="50" t="s">
        <v>281</v>
      </c>
    </row>
    <row r="230" spans="2:18">
      <c r="B230" s="20"/>
      <c r="C230" s="6"/>
      <c r="D230" s="47"/>
      <c r="E230" s="47" t="s">
        <v>798</v>
      </c>
      <c r="F230" s="47" t="s">
        <v>133</v>
      </c>
      <c r="G230" s="47" t="s">
        <v>714</v>
      </c>
      <c r="H230" s="47"/>
      <c r="I230" s="47" t="s">
        <v>736</v>
      </c>
      <c r="J230" s="47" t="s">
        <v>799</v>
      </c>
      <c r="K230" s="47" t="s">
        <v>646</v>
      </c>
      <c r="L230" s="47" t="s">
        <v>800</v>
      </c>
      <c r="M230" s="47"/>
      <c r="N230" s="47" t="s">
        <v>748</v>
      </c>
      <c r="O230" s="47" t="s">
        <v>801</v>
      </c>
      <c r="P230" s="47" t="s">
        <v>673</v>
      </c>
      <c r="Q230" s="47" t="s">
        <v>817</v>
      </c>
      <c r="R230" s="47"/>
    </row>
    <row r="231" spans="2:18">
      <c r="B231" s="12"/>
      <c r="C231" s="31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6"/>
      <c r="C232" s="6"/>
      <c r="D232" s="51" t="s">
        <v>160</v>
      </c>
      <c r="E232" s="51" t="s">
        <v>147</v>
      </c>
      <c r="F232" s="51"/>
      <c r="G232" s="51" t="s">
        <v>526</v>
      </c>
      <c r="H232" s="51" t="s">
        <v>536</v>
      </c>
      <c r="I232" s="51"/>
      <c r="J232" s="51" t="s">
        <v>537</v>
      </c>
      <c r="K232" s="51" t="s">
        <v>33</v>
      </c>
      <c r="L232" s="51"/>
      <c r="M232" s="51" t="s">
        <v>632</v>
      </c>
      <c r="N232" s="51" t="s">
        <v>556</v>
      </c>
      <c r="O232" s="51" t="s">
        <v>133</v>
      </c>
      <c r="P232" s="51" t="s">
        <v>527</v>
      </c>
      <c r="Q232" s="51"/>
      <c r="R232" s="51" t="s">
        <v>175</v>
      </c>
    </row>
    <row r="233" spans="2:18" ht="58.5">
      <c r="B233" s="18">
        <f>B229+1</f>
        <v>58</v>
      </c>
      <c r="C233" s="6"/>
      <c r="D233" s="50" t="s">
        <v>500</v>
      </c>
      <c r="E233" s="50" t="s">
        <v>73</v>
      </c>
      <c r="F233" s="50" t="s">
        <v>281</v>
      </c>
      <c r="G233" s="50" t="s">
        <v>501</v>
      </c>
      <c r="H233" s="50" t="s">
        <v>308</v>
      </c>
      <c r="I233" s="50" t="s">
        <v>281</v>
      </c>
      <c r="J233" s="50" t="s">
        <v>311</v>
      </c>
      <c r="K233" s="50" t="s">
        <v>54</v>
      </c>
      <c r="L233" s="50" t="s">
        <v>281</v>
      </c>
      <c r="M233" s="50" t="s">
        <v>495</v>
      </c>
      <c r="N233" s="50" t="s">
        <v>377</v>
      </c>
      <c r="O233" s="50" t="s">
        <v>61</v>
      </c>
      <c r="P233" s="50" t="s">
        <v>288</v>
      </c>
      <c r="Q233" s="50" t="s">
        <v>21</v>
      </c>
      <c r="R233" s="50" t="s">
        <v>96</v>
      </c>
    </row>
    <row r="234" spans="2:18">
      <c r="B234" s="20"/>
      <c r="C234" s="6"/>
      <c r="D234" s="47" t="s">
        <v>802</v>
      </c>
      <c r="E234" s="47" t="s">
        <v>150</v>
      </c>
      <c r="F234" s="47"/>
      <c r="G234" s="47" t="s">
        <v>655</v>
      </c>
      <c r="H234" s="47" t="s">
        <v>673</v>
      </c>
      <c r="I234" s="47"/>
      <c r="J234" s="47" t="s">
        <v>678</v>
      </c>
      <c r="K234" s="47" t="s">
        <v>699</v>
      </c>
      <c r="L234" s="47"/>
      <c r="M234" s="47" t="s">
        <v>798</v>
      </c>
      <c r="N234" s="47" t="s">
        <v>556</v>
      </c>
      <c r="O234" s="47" t="s">
        <v>133</v>
      </c>
      <c r="P234" s="47" t="s">
        <v>658</v>
      </c>
      <c r="Q234" s="47"/>
      <c r="R234" s="47" t="s">
        <v>648</v>
      </c>
    </row>
    <row r="235" spans="2:18">
      <c r="B235" s="12"/>
      <c r="C235" s="31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6"/>
      <c r="C236" s="6"/>
      <c r="D236" s="51" t="s">
        <v>521</v>
      </c>
      <c r="E236" s="51" t="s">
        <v>543</v>
      </c>
      <c r="F236" s="51" t="s">
        <v>530</v>
      </c>
      <c r="G236" s="51" t="s">
        <v>126</v>
      </c>
      <c r="H236" s="51"/>
      <c r="I236" s="51" t="s">
        <v>559</v>
      </c>
      <c r="J236" s="51" t="s">
        <v>117</v>
      </c>
      <c r="K236" s="51" t="s">
        <v>154</v>
      </c>
      <c r="L236" s="51" t="s">
        <v>635</v>
      </c>
      <c r="M236" s="51" t="s">
        <v>144</v>
      </c>
      <c r="N236" s="51"/>
      <c r="O236" s="51" t="s">
        <v>636</v>
      </c>
      <c r="P236" s="51" t="s">
        <v>116</v>
      </c>
      <c r="Q236" s="51" t="s">
        <v>546</v>
      </c>
      <c r="R236" s="51" t="s">
        <v>133</v>
      </c>
    </row>
    <row r="237" spans="2:18" ht="58.5">
      <c r="B237" s="18">
        <f>B233+1</f>
        <v>59</v>
      </c>
      <c r="C237" s="6"/>
      <c r="D237" s="50" t="s">
        <v>275</v>
      </c>
      <c r="E237" s="50" t="s">
        <v>322</v>
      </c>
      <c r="F237" s="50" t="s">
        <v>299</v>
      </c>
      <c r="G237" s="50" t="s">
        <v>74</v>
      </c>
      <c r="H237" s="50" t="s">
        <v>21</v>
      </c>
      <c r="I237" s="50" t="s">
        <v>382</v>
      </c>
      <c r="J237" s="50" t="s">
        <v>502</v>
      </c>
      <c r="K237" s="50" t="s">
        <v>81</v>
      </c>
      <c r="L237" s="50" t="s">
        <v>503</v>
      </c>
      <c r="M237" s="50" t="s">
        <v>70</v>
      </c>
      <c r="N237" s="50" t="s">
        <v>25</v>
      </c>
      <c r="O237" s="50" t="s">
        <v>504</v>
      </c>
      <c r="P237" s="50" t="s">
        <v>505</v>
      </c>
      <c r="Q237" s="50" t="s">
        <v>333</v>
      </c>
      <c r="R237" s="50" t="s">
        <v>61</v>
      </c>
    </row>
    <row r="238" spans="2:18">
      <c r="B238" s="20"/>
      <c r="C238" s="6"/>
      <c r="D238" s="47" t="s">
        <v>649</v>
      </c>
      <c r="E238" s="47" t="s">
        <v>687</v>
      </c>
      <c r="F238" s="47" t="s">
        <v>665</v>
      </c>
      <c r="G238" s="47" t="s">
        <v>653</v>
      </c>
      <c r="H238" s="47"/>
      <c r="I238" s="47" t="s">
        <v>714</v>
      </c>
      <c r="J238" s="47" t="s">
        <v>676</v>
      </c>
      <c r="K238" s="47" t="s">
        <v>664</v>
      </c>
      <c r="L238" s="47" t="s">
        <v>803</v>
      </c>
      <c r="M238" s="47" t="s">
        <v>703</v>
      </c>
      <c r="N238" s="47"/>
      <c r="O238" s="47" t="s">
        <v>132</v>
      </c>
      <c r="P238" s="47" t="s">
        <v>804</v>
      </c>
      <c r="Q238" s="47" t="s">
        <v>693</v>
      </c>
      <c r="R238" s="47" t="s">
        <v>133</v>
      </c>
    </row>
    <row r="239" spans="2:18">
      <c r="B239" s="12"/>
      <c r="C239" s="31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6"/>
      <c r="C240" s="6"/>
      <c r="D240" s="51" t="s">
        <v>42</v>
      </c>
      <c r="E240" s="51"/>
      <c r="F240" s="51" t="s">
        <v>131</v>
      </c>
      <c r="G240" s="51" t="s">
        <v>38</v>
      </c>
      <c r="H240" s="51" t="s">
        <v>637</v>
      </c>
      <c r="I240" s="51" t="s">
        <v>638</v>
      </c>
      <c r="J240" s="51" t="s">
        <v>154</v>
      </c>
      <c r="K240" s="51" t="s">
        <v>34</v>
      </c>
      <c r="L240" s="51" t="s">
        <v>557</v>
      </c>
      <c r="M240" s="51" t="s">
        <v>256</v>
      </c>
      <c r="N240" s="51" t="s">
        <v>169</v>
      </c>
      <c r="O240" s="51" t="s">
        <v>168</v>
      </c>
      <c r="P240" s="51" t="s">
        <v>523</v>
      </c>
      <c r="Q240" s="51"/>
      <c r="R240" s="51" t="s">
        <v>573</v>
      </c>
    </row>
    <row r="241" spans="2:18" ht="58.5">
      <c r="B241" s="18">
        <f>B237+1</f>
        <v>60</v>
      </c>
      <c r="C241" s="6"/>
      <c r="D241" s="50" t="s">
        <v>484</v>
      </c>
      <c r="E241" s="50" t="s">
        <v>21</v>
      </c>
      <c r="F241" s="50" t="s">
        <v>59</v>
      </c>
      <c r="G241" s="50" t="s">
        <v>99</v>
      </c>
      <c r="H241" s="50" t="s">
        <v>506</v>
      </c>
      <c r="I241" s="50" t="s">
        <v>507</v>
      </c>
      <c r="J241" s="50" t="s">
        <v>81</v>
      </c>
      <c r="K241" s="50" t="s">
        <v>361</v>
      </c>
      <c r="L241" s="50" t="s">
        <v>379</v>
      </c>
      <c r="M241" s="36" t="s">
        <v>508</v>
      </c>
      <c r="N241" s="50" t="s">
        <v>93</v>
      </c>
      <c r="O241" s="50" t="s">
        <v>92</v>
      </c>
      <c r="P241" s="50" t="s">
        <v>277</v>
      </c>
      <c r="Q241" s="50" t="s">
        <v>21</v>
      </c>
      <c r="R241" s="50" t="s">
        <v>400</v>
      </c>
    </row>
    <row r="242" spans="2:18">
      <c r="B242" s="20"/>
      <c r="C242" s="6"/>
      <c r="D242" s="47" t="s">
        <v>789</v>
      </c>
      <c r="E242" s="47"/>
      <c r="F242" s="47" t="s">
        <v>668</v>
      </c>
      <c r="G242" s="47" t="s">
        <v>685</v>
      </c>
      <c r="H242" s="47" t="s">
        <v>805</v>
      </c>
      <c r="I242" s="47" t="s">
        <v>638</v>
      </c>
      <c r="J242" s="47" t="s">
        <v>664</v>
      </c>
      <c r="K242" s="47" t="s">
        <v>707</v>
      </c>
      <c r="L242" s="47" t="s">
        <v>711</v>
      </c>
      <c r="M242" s="47" t="s">
        <v>818</v>
      </c>
      <c r="N242" s="47" t="s">
        <v>654</v>
      </c>
      <c r="O242" s="47" t="s">
        <v>659</v>
      </c>
      <c r="P242" s="47" t="s">
        <v>651</v>
      </c>
      <c r="Q242" s="47"/>
      <c r="R242" s="47" t="s">
        <v>558</v>
      </c>
    </row>
    <row r="243" spans="2:18">
      <c r="B243" s="12"/>
      <c r="C243" s="31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6"/>
      <c r="C244" s="6"/>
      <c r="D244" s="51" t="s">
        <v>601</v>
      </c>
      <c r="E244" s="51" t="s">
        <v>639</v>
      </c>
      <c r="F244" s="51" t="s">
        <v>133</v>
      </c>
      <c r="G244" s="51"/>
      <c r="H244" s="51" t="s">
        <v>555</v>
      </c>
      <c r="I244" s="51" t="s">
        <v>118</v>
      </c>
      <c r="J244" s="51" t="s">
        <v>172</v>
      </c>
      <c r="K244" s="51" t="s">
        <v>567</v>
      </c>
      <c r="L244" s="51" t="s">
        <v>129</v>
      </c>
      <c r="M244" s="51" t="s">
        <v>142</v>
      </c>
      <c r="N244" s="51" t="s">
        <v>144</v>
      </c>
      <c r="O244" s="51" t="s">
        <v>185</v>
      </c>
      <c r="P244" s="51"/>
      <c r="Q244" s="51" t="s">
        <v>153</v>
      </c>
      <c r="R244" s="51" t="s">
        <v>135</v>
      </c>
    </row>
    <row r="245" spans="2:18" ht="58.5">
      <c r="B245" s="18">
        <f>B241+1</f>
        <v>61</v>
      </c>
      <c r="C245" s="6"/>
      <c r="D245" s="50" t="s">
        <v>440</v>
      </c>
      <c r="E245" s="50" t="s">
        <v>509</v>
      </c>
      <c r="F245" s="50" t="s">
        <v>61</v>
      </c>
      <c r="G245" s="50" t="s">
        <v>21</v>
      </c>
      <c r="H245" s="50" t="s">
        <v>375</v>
      </c>
      <c r="I245" s="50" t="s">
        <v>76</v>
      </c>
      <c r="J245" s="50" t="s">
        <v>94</v>
      </c>
      <c r="K245" s="50" t="s">
        <v>390</v>
      </c>
      <c r="L245" s="50" t="s">
        <v>57</v>
      </c>
      <c r="M245" s="50" t="s">
        <v>68</v>
      </c>
      <c r="N245" s="50" t="s">
        <v>70</v>
      </c>
      <c r="O245" s="50" t="s">
        <v>106</v>
      </c>
      <c r="P245" s="50" t="s">
        <v>79</v>
      </c>
      <c r="Q245" s="50" t="s">
        <v>80</v>
      </c>
      <c r="R245" s="50" t="s">
        <v>62</v>
      </c>
    </row>
    <row r="246" spans="2:18">
      <c r="B246" s="20"/>
      <c r="C246" s="6"/>
      <c r="D246" s="47" t="s">
        <v>761</v>
      </c>
      <c r="E246" s="47" t="s">
        <v>134</v>
      </c>
      <c r="F246" s="47" t="s">
        <v>133</v>
      </c>
      <c r="G246" s="47"/>
      <c r="H246" s="47" t="s">
        <v>37</v>
      </c>
      <c r="I246" s="47" t="s">
        <v>806</v>
      </c>
      <c r="J246" s="47" t="s">
        <v>172</v>
      </c>
      <c r="K246" s="47" t="s">
        <v>721</v>
      </c>
      <c r="L246" s="47" t="s">
        <v>647</v>
      </c>
      <c r="M246" s="47" t="s">
        <v>700</v>
      </c>
      <c r="N246" s="47" t="s">
        <v>703</v>
      </c>
      <c r="O246" s="47" t="s">
        <v>807</v>
      </c>
      <c r="P246" s="47"/>
      <c r="Q246" s="47" t="s">
        <v>782</v>
      </c>
      <c r="R246" s="47" t="s">
        <v>135</v>
      </c>
    </row>
    <row r="247" spans="2:18">
      <c r="B247" s="12"/>
      <c r="C247" s="31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6"/>
      <c r="C248" s="6"/>
      <c r="D248" s="51" t="s">
        <v>187</v>
      </c>
      <c r="E248" s="51" t="s">
        <v>536</v>
      </c>
      <c r="F248" s="51" t="s">
        <v>133</v>
      </c>
      <c r="G248" s="51" t="s">
        <v>123</v>
      </c>
      <c r="H248" s="51" t="s">
        <v>143</v>
      </c>
      <c r="I248" s="51" t="s">
        <v>154</v>
      </c>
      <c r="J248" s="51" t="s">
        <v>146</v>
      </c>
      <c r="K248" s="51"/>
      <c r="L248" s="51" t="s">
        <v>121</v>
      </c>
      <c r="M248" s="51"/>
      <c r="N248" s="51"/>
      <c r="O248" s="51" t="s">
        <v>181</v>
      </c>
      <c r="P248" s="51" t="s">
        <v>117</v>
      </c>
      <c r="Q248" s="51" t="s">
        <v>583</v>
      </c>
      <c r="R248" s="51" t="s">
        <v>528</v>
      </c>
    </row>
    <row r="249" spans="2:18" ht="58.5">
      <c r="B249" s="18">
        <f>B245+1</f>
        <v>62</v>
      </c>
      <c r="C249" s="6"/>
      <c r="D249" s="50" t="s">
        <v>111</v>
      </c>
      <c r="E249" s="50" t="s">
        <v>308</v>
      </c>
      <c r="F249" s="50" t="s">
        <v>61</v>
      </c>
      <c r="G249" s="50" t="s">
        <v>52</v>
      </c>
      <c r="H249" s="50" t="s">
        <v>69</v>
      </c>
      <c r="I249" s="50" t="s">
        <v>81</v>
      </c>
      <c r="J249" s="50" t="s">
        <v>72</v>
      </c>
      <c r="K249" s="50" t="s">
        <v>21</v>
      </c>
      <c r="L249" s="50" t="s">
        <v>108</v>
      </c>
      <c r="M249" s="50" t="s">
        <v>109</v>
      </c>
      <c r="N249" s="50" t="s">
        <v>110</v>
      </c>
      <c r="O249" s="50" t="s">
        <v>103</v>
      </c>
      <c r="P249" s="50" t="s">
        <v>27</v>
      </c>
      <c r="Q249" s="50" t="s">
        <v>414</v>
      </c>
      <c r="R249" s="50" t="s">
        <v>380</v>
      </c>
    </row>
    <row r="250" spans="2:18">
      <c r="B250" s="20"/>
      <c r="C250" s="6"/>
      <c r="D250" s="47" t="s">
        <v>187</v>
      </c>
      <c r="E250" s="47" t="s">
        <v>673</v>
      </c>
      <c r="F250" s="47" t="s">
        <v>133</v>
      </c>
      <c r="G250" s="47" t="s">
        <v>151</v>
      </c>
      <c r="H250" s="47" t="s">
        <v>690</v>
      </c>
      <c r="I250" s="47" t="s">
        <v>664</v>
      </c>
      <c r="J250" s="47" t="s">
        <v>748</v>
      </c>
      <c r="K250" s="47"/>
      <c r="L250" s="47" t="s">
        <v>672</v>
      </c>
      <c r="M250" s="47"/>
      <c r="N250" s="47"/>
      <c r="O250" s="47" t="s">
        <v>675</v>
      </c>
      <c r="P250" s="47" t="s">
        <v>676</v>
      </c>
      <c r="Q250" s="47" t="s">
        <v>583</v>
      </c>
      <c r="R250" s="47" t="s">
        <v>661</v>
      </c>
    </row>
    <row r="251" spans="2:18">
      <c r="B251" s="12"/>
      <c r="C251" s="31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6"/>
      <c r="C252" s="6"/>
      <c r="D252" s="51" t="s">
        <v>143</v>
      </c>
      <c r="E252" s="51" t="s">
        <v>640</v>
      </c>
      <c r="F252" s="51" t="s">
        <v>46</v>
      </c>
      <c r="G252" s="51"/>
      <c r="H252" s="51" t="s">
        <v>601</v>
      </c>
      <c r="I252" s="51" t="s">
        <v>46</v>
      </c>
      <c r="J252" s="51" t="s">
        <v>583</v>
      </c>
      <c r="K252" s="51" t="s">
        <v>528</v>
      </c>
      <c r="L252" s="51" t="s">
        <v>143</v>
      </c>
      <c r="M252" s="51" t="s">
        <v>183</v>
      </c>
      <c r="N252" s="51" t="s">
        <v>555</v>
      </c>
      <c r="O252" s="51" t="s">
        <v>144</v>
      </c>
      <c r="P252" s="51"/>
      <c r="Q252" s="51"/>
      <c r="R252" s="51" t="s">
        <v>641</v>
      </c>
    </row>
    <row r="253" spans="2:18" ht="58.5">
      <c r="B253" s="18">
        <f>B249+1</f>
        <v>63</v>
      </c>
      <c r="C253" s="6"/>
      <c r="D253" s="50" t="s">
        <v>69</v>
      </c>
      <c r="E253" s="50" t="s">
        <v>510</v>
      </c>
      <c r="F253" s="50" t="s">
        <v>29</v>
      </c>
      <c r="G253" s="50" t="s">
        <v>21</v>
      </c>
      <c r="H253" s="50" t="s">
        <v>511</v>
      </c>
      <c r="I253" s="50" t="s">
        <v>29</v>
      </c>
      <c r="J253" s="50" t="s">
        <v>414</v>
      </c>
      <c r="K253" s="50" t="s">
        <v>380</v>
      </c>
      <c r="L253" s="50" t="s">
        <v>69</v>
      </c>
      <c r="M253" s="50" t="s">
        <v>512</v>
      </c>
      <c r="N253" s="50" t="s">
        <v>375</v>
      </c>
      <c r="O253" s="50" t="s">
        <v>70</v>
      </c>
      <c r="P253" s="50" t="s">
        <v>25</v>
      </c>
      <c r="Q253" s="50" t="s">
        <v>113</v>
      </c>
      <c r="R253" s="50" t="s">
        <v>513</v>
      </c>
    </row>
    <row r="254" spans="2:18">
      <c r="B254" s="20"/>
      <c r="C254" s="6"/>
      <c r="D254" s="47" t="s">
        <v>690</v>
      </c>
      <c r="E254" s="47" t="s">
        <v>808</v>
      </c>
      <c r="F254" s="47" t="s">
        <v>677</v>
      </c>
      <c r="G254" s="47"/>
      <c r="H254" s="47" t="s">
        <v>761</v>
      </c>
      <c r="I254" s="47" t="s">
        <v>677</v>
      </c>
      <c r="J254" s="47" t="s">
        <v>583</v>
      </c>
      <c r="K254" s="47" t="s">
        <v>661</v>
      </c>
      <c r="L254" s="47" t="s">
        <v>690</v>
      </c>
      <c r="M254" s="47" t="s">
        <v>691</v>
      </c>
      <c r="N254" s="47" t="s">
        <v>37</v>
      </c>
      <c r="O254" s="47" t="s">
        <v>703</v>
      </c>
      <c r="P254" s="47"/>
      <c r="Q254" s="47"/>
      <c r="R254" s="47" t="s">
        <v>641</v>
      </c>
    </row>
    <row r="255" spans="2:18">
      <c r="B255" s="12"/>
      <c r="C255" s="31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48"/>
    </row>
    <row r="256" spans="2:18" ht="39.75">
      <c r="B256" s="16"/>
      <c r="C256" s="6"/>
      <c r="D256" s="51" t="s">
        <v>642</v>
      </c>
      <c r="E256" s="51"/>
      <c r="F256" s="51" t="s">
        <v>142</v>
      </c>
      <c r="G256" s="51" t="s">
        <v>636</v>
      </c>
      <c r="H256" s="51" t="s">
        <v>546</v>
      </c>
      <c r="I256" s="51"/>
      <c r="J256" s="51" t="s">
        <v>547</v>
      </c>
      <c r="K256" s="51" t="s">
        <v>133</v>
      </c>
      <c r="L256" s="51" t="s">
        <v>553</v>
      </c>
      <c r="M256" s="51" t="s">
        <v>643</v>
      </c>
      <c r="N256" s="51" t="s">
        <v>144</v>
      </c>
      <c r="O256" s="51" t="s">
        <v>178</v>
      </c>
      <c r="P256" s="51"/>
      <c r="Q256" s="51"/>
      <c r="R256" s="46"/>
    </row>
    <row r="257" spans="2:18" ht="58.5">
      <c r="B257" s="18">
        <f>B253+1</f>
        <v>64</v>
      </c>
      <c r="C257" s="6"/>
      <c r="D257" s="50" t="s">
        <v>514</v>
      </c>
      <c r="E257" s="50" t="s">
        <v>21</v>
      </c>
      <c r="F257" s="50" t="s">
        <v>68</v>
      </c>
      <c r="G257" s="50" t="s">
        <v>504</v>
      </c>
      <c r="H257" s="50" t="s">
        <v>333</v>
      </c>
      <c r="I257" s="50" t="s">
        <v>281</v>
      </c>
      <c r="J257" s="50" t="s">
        <v>334</v>
      </c>
      <c r="K257" s="50" t="s">
        <v>61</v>
      </c>
      <c r="L257" s="50" t="s">
        <v>360</v>
      </c>
      <c r="M257" s="50" t="s">
        <v>515</v>
      </c>
      <c r="N257" s="50" t="s">
        <v>70</v>
      </c>
      <c r="O257" s="50" t="s">
        <v>100</v>
      </c>
      <c r="P257" s="50" t="s">
        <v>97</v>
      </c>
      <c r="Q257" s="50" t="str">
        <f>CHAR(10)</f>
        <v xml:space="preserve">
</v>
      </c>
      <c r="R257" s="36"/>
    </row>
    <row r="258" spans="2:18">
      <c r="B258" s="20"/>
      <c r="C258" s="6"/>
      <c r="D258" s="47" t="s">
        <v>642</v>
      </c>
      <c r="E258" s="47"/>
      <c r="F258" s="47" t="s">
        <v>700</v>
      </c>
      <c r="G258" s="47" t="s">
        <v>132</v>
      </c>
      <c r="H258" s="47" t="s">
        <v>693</v>
      </c>
      <c r="I258" s="47"/>
      <c r="J258" s="47" t="s">
        <v>694</v>
      </c>
      <c r="K258" s="47" t="s">
        <v>133</v>
      </c>
      <c r="L258" s="47" t="s">
        <v>535</v>
      </c>
      <c r="M258" s="47" t="s">
        <v>809</v>
      </c>
      <c r="N258" s="47" t="s">
        <v>703</v>
      </c>
      <c r="O258" s="47" t="s">
        <v>178</v>
      </c>
      <c r="P258" s="47"/>
      <c r="Q258" s="47"/>
      <c r="R258" s="47"/>
    </row>
    <row r="259" spans="2:18">
      <c r="B259" s="12"/>
      <c r="C259" s="31"/>
      <c r="D259" s="52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51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50" t="s">
        <v>30</v>
      </c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">
    <cfRule type="expression" dxfId="47" priority="99">
      <formula>顯示注音輸入</formula>
    </cfRule>
    <cfRule type="expression" dxfId="46" priority="100">
      <formula>"'= TRUE(顯示注音輸入)"</formula>
    </cfRule>
  </conditionalFormatting>
  <conditionalFormatting sqref="D7:R7">
    <cfRule type="expression" dxfId="45" priority="60">
      <formula>"'= TRUE(顯示注音輸入)"</formula>
    </cfRule>
    <cfRule type="expression" dxfId="44" priority="59">
      <formula>顯示注音輸入</formula>
    </cfRule>
  </conditionalFormatting>
  <conditionalFormatting sqref="D11:R11">
    <cfRule type="expression" dxfId="43" priority="58">
      <formula>"'= TRUE(顯示注音輸入)"</formula>
    </cfRule>
    <cfRule type="expression" dxfId="42" priority="57">
      <formula>顯示注音輸入</formula>
    </cfRule>
  </conditionalFormatting>
  <conditionalFormatting sqref="D15:R15">
    <cfRule type="expression" dxfId="41" priority="56">
      <formula>"'= TRUE(顯示注音輸入)"</formula>
    </cfRule>
    <cfRule type="expression" dxfId="40" priority="55">
      <formula>顯示注音輸入</formula>
    </cfRule>
  </conditionalFormatting>
  <conditionalFormatting sqref="D19:R19">
    <cfRule type="expression" dxfId="39" priority="54">
      <formula>"'= TRUE(顯示注音輸入)"</formula>
    </cfRule>
    <cfRule type="expression" dxfId="38" priority="53">
      <formula>顯示注音輸入</formula>
    </cfRule>
  </conditionalFormatting>
  <conditionalFormatting sqref="D23:R23">
    <cfRule type="expression" dxfId="37" priority="52">
      <formula>"'= TRUE(顯示注音輸入)"</formula>
    </cfRule>
    <cfRule type="expression" dxfId="36" priority="51">
      <formula>顯示注音輸入</formula>
    </cfRule>
  </conditionalFormatting>
  <conditionalFormatting sqref="D27:R27">
    <cfRule type="expression" dxfId="35" priority="50">
      <formula>"'= TRUE(顯示注音輸入)"</formula>
    </cfRule>
    <cfRule type="expression" dxfId="34" priority="49">
      <formula>顯示注音輸入</formula>
    </cfRule>
  </conditionalFormatting>
  <conditionalFormatting sqref="D31:R31">
    <cfRule type="expression" dxfId="33" priority="48">
      <formula>"'= TRUE(顯示注音輸入)"</formula>
    </cfRule>
    <cfRule type="expression" dxfId="32" priority="47">
      <formula>顯示注音輸入</formula>
    </cfRule>
  </conditionalFormatting>
  <conditionalFormatting sqref="D35:R35">
    <cfRule type="expression" dxfId="31" priority="45">
      <formula>顯示注音輸入</formula>
    </cfRule>
    <cfRule type="expression" dxfId="30" priority="46">
      <formula>"'= TRUE(顯示注音輸入)"</formula>
    </cfRule>
  </conditionalFormatting>
  <conditionalFormatting sqref="D39:R39">
    <cfRule type="expression" dxfId="29" priority="44">
      <formula>"'= TRUE(顯示注音輸入)"</formula>
    </cfRule>
    <cfRule type="expression" dxfId="28" priority="43">
      <formula>顯示注音輸入</formula>
    </cfRule>
  </conditionalFormatting>
  <conditionalFormatting sqref="D43:R43">
    <cfRule type="expression" dxfId="27" priority="42">
      <formula>"'= TRUE(顯示注音輸入)"</formula>
    </cfRule>
    <cfRule type="expression" dxfId="26" priority="41">
      <formula>顯示注音輸入</formula>
    </cfRule>
  </conditionalFormatting>
  <conditionalFormatting sqref="D47:R47">
    <cfRule type="expression" dxfId="25" priority="39">
      <formula>顯示注音輸入</formula>
    </cfRule>
    <cfRule type="expression" dxfId="24" priority="40">
      <formula>"'= TRUE(顯示注音輸入)"</formula>
    </cfRule>
  </conditionalFormatting>
  <conditionalFormatting sqref="D51:R51">
    <cfRule type="expression" dxfId="23" priority="38">
      <formula>"'= TRUE(顯示注音輸入)"</formula>
    </cfRule>
    <cfRule type="expression" dxfId="22" priority="37">
      <formula>顯示注音輸入</formula>
    </cfRule>
  </conditionalFormatting>
  <conditionalFormatting sqref="D55:R55">
    <cfRule type="expression" dxfId="21" priority="36">
      <formula>"'= TRUE(顯示注音輸入)"</formula>
    </cfRule>
    <cfRule type="expression" dxfId="20" priority="35">
      <formula>顯示注音輸入</formula>
    </cfRule>
  </conditionalFormatting>
  <conditionalFormatting sqref="D59:R59">
    <cfRule type="expression" dxfId="19" priority="33">
      <formula>顯示注音輸入</formula>
    </cfRule>
    <cfRule type="expression" dxfId="18" priority="34">
      <formula>"'= TRUE(顯示注音輸入)"</formula>
    </cfRule>
  </conditionalFormatting>
  <conditionalFormatting sqref="D63:R63">
    <cfRule type="expression" dxfId="17" priority="32">
      <formula>"'= TRUE(顯示注音輸入)"</formula>
    </cfRule>
    <cfRule type="expression" dxfId="16" priority="31">
      <formula>顯示注音輸入</formula>
    </cfRule>
  </conditionalFormatting>
  <conditionalFormatting sqref="D67:R67">
    <cfRule type="expression" dxfId="15" priority="30">
      <formula>"'= TRUE(顯示注音輸入)"</formula>
    </cfRule>
    <cfRule type="expression" dxfId="14" priority="29">
      <formula>顯示注音輸入</formula>
    </cfRule>
  </conditionalFormatting>
  <conditionalFormatting sqref="D71:R71">
    <cfRule type="expression" dxfId="13" priority="27">
      <formula>顯示注音輸入</formula>
    </cfRule>
    <cfRule type="expression" dxfId="12" priority="28">
      <formula>"'= TRUE(顯示注音輸入)"</formula>
    </cfRule>
  </conditionalFormatting>
  <conditionalFormatting sqref="D75:R75">
    <cfRule type="expression" dxfId="11" priority="26">
      <formula>"'= TRUE(顯示注音輸入)"</formula>
    </cfRule>
    <cfRule type="expression" dxfId="10" priority="25">
      <formula>顯示注音輸入</formula>
    </cfRule>
  </conditionalFormatting>
  <conditionalFormatting sqref="D79:R79">
    <cfRule type="expression" dxfId="9" priority="24">
      <formula>"'= TRUE(顯示注音輸入)"</formula>
    </cfRule>
    <cfRule type="expression" dxfId="8" priority="23">
      <formula>顯示注音輸入</formula>
    </cfRule>
  </conditionalFormatting>
  <conditionalFormatting sqref="D83:R83">
    <cfRule type="expression" dxfId="7" priority="21">
      <formula>顯示注音輸入</formula>
    </cfRule>
    <cfRule type="expression" dxfId="6" priority="22">
      <formula>"'= TRUE(顯示注音輸入)"</formula>
    </cfRule>
  </conditionalFormatting>
  <conditionalFormatting sqref="D87:R87">
    <cfRule type="expression" dxfId="5" priority="20">
      <formula>"'= TRUE(顯示注音輸入)"</formula>
    </cfRule>
    <cfRule type="expression" dxfId="4" priority="19">
      <formula>顯示注音輸入</formula>
    </cfRule>
  </conditionalFormatting>
  <conditionalFormatting sqref="D91:R91">
    <cfRule type="expression" dxfId="3" priority="18">
      <formula>"'= TRUE(顯示注音輸入)"</formula>
    </cfRule>
    <cfRule type="expression" dxfId="2" priority="17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2">
      <formula>"'= TRUE(顯示注音輸入)"</formula>
    </cfRule>
    <cfRule type="expression" dxfId="0" priority="1">
      <formula>顯示注音輸入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20</vt:i4>
      </vt:variant>
    </vt:vector>
  </HeadingPairs>
  <TitlesOfParts>
    <vt:vector size="22" baseType="lpstr">
      <vt:lpstr>env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2026-03-14T10:46:09Z</dcterms:modified>
</cp:coreProperties>
</file>