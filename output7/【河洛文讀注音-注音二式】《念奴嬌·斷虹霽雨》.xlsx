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A6EC179E-2BC6-40C9-82AA-5D8BE2C2366F}" xr6:coauthVersionLast="47" xr6:coauthVersionMax="47" xr10:uidLastSave="{00000000-0000-0000-0000-000000000000}"/>
  <bookViews>
    <workbookView xWindow="-38520" yWindow="-120" windowWidth="38640" windowHeight="15720" activeTab="6" xr2:uid="{25A76161-EFED-4AC8-8EAA-A42737AE1909}"/>
  </bookViews>
  <sheets>
    <sheet name="env" sheetId="8" r:id="rId1"/>
    <sheet name="操作表" sheetId="190" r:id="rId2"/>
    <sheet name="缺字表" sheetId="228" r:id="rId3"/>
    <sheet name="標音字庫" sheetId="227" r:id="rId4"/>
    <sheet name="人工標音字庫" sheetId="226" r:id="rId5"/>
    <sheet name="漢字注音" sheetId="9" r:id="rId6"/>
    <sheet name="SRT漢字注音" sheetId="189" r:id="rId7"/>
    <sheet name="SRT漢字注音 (2)" sheetId="210" r:id="rId8"/>
    <sheet name="SRT漢字注音（台羅拼音）" sheetId="191" r:id="rId9"/>
    <sheet name="SRT漢字注音（台語注音二式）" sheetId="193" r:id="rId10"/>
    <sheet name="漢字注音（台語注音二式）" sheetId="192" r:id="rId11"/>
    <sheet name="漢字注音（台羅拼音）" sheetId="200" r:id="rId1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10">'漢字注音（台語注音二式）'!$A$5</definedName>
    <definedName name="覩9" localSheetId="11">'漢字注音（台羅拼音）'!$A$5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" i="9" l="1"/>
  <c r="E61" i="9"/>
  <c r="E53" i="9"/>
  <c r="G45" i="9"/>
  <c r="P37" i="9"/>
  <c r="E33" i="9"/>
  <c r="E25" i="9"/>
  <c r="E17" i="9"/>
  <c r="F9" i="9"/>
  <c r="T8" i="189"/>
  <c r="T11" i="210"/>
  <c r="T12" i="210"/>
  <c r="T13" i="210"/>
  <c r="T14" i="210"/>
  <c r="T15" i="210"/>
  <c r="T16" i="210"/>
  <c r="T17" i="210"/>
  <c r="T18" i="210"/>
  <c r="T19" i="210"/>
  <c r="T10" i="210"/>
  <c r="T9" i="210"/>
  <c r="T8" i="210"/>
  <c r="T7" i="210"/>
  <c r="T6" i="210"/>
  <c r="T5" i="210"/>
  <c r="T4" i="210"/>
  <c r="T9" i="189"/>
  <c r="T10" i="189"/>
  <c r="T8" i="191"/>
  <c r="T7" i="191"/>
  <c r="T6" i="191"/>
  <c r="T5" i="191"/>
  <c r="T4" i="191"/>
  <c r="T8" i="193"/>
  <c r="T7" i="193"/>
  <c r="T6" i="193"/>
  <c r="T5" i="193"/>
  <c r="T4" i="193"/>
  <c r="T5" i="189" l="1"/>
  <c r="T6" i="189"/>
  <c r="T7" i="189"/>
  <c r="T4" i="189"/>
  <c r="U32" i="200"/>
  <c r="U31" i="200"/>
  <c r="U30" i="200"/>
  <c r="U29" i="200"/>
  <c r="Q29" i="200"/>
  <c r="U28" i="200"/>
  <c r="U27" i="200"/>
  <c r="R25" i="200"/>
  <c r="E21" i="200"/>
  <c r="F13" i="200"/>
  <c r="B9" i="200"/>
  <c r="B13" i="200" s="1"/>
  <c r="B17" i="200" s="1"/>
  <c r="B21" i="200" s="1"/>
  <c r="B25" i="200" s="1"/>
  <c r="B29" i="200" s="1"/>
  <c r="B33" i="200" s="1"/>
  <c r="B37" i="200" s="1"/>
  <c r="B41" i="200" s="1"/>
  <c r="B45" i="200" s="1"/>
  <c r="B49" i="200" s="1"/>
  <c r="B53" i="200" s="1"/>
  <c r="B57" i="200" s="1"/>
  <c r="B61" i="200" s="1"/>
  <c r="B65" i="200" s="1"/>
  <c r="B69" i="200" s="1"/>
  <c r="B73" i="200" s="1"/>
  <c r="B77" i="200" s="1"/>
  <c r="B81" i="200" s="1"/>
  <c r="B85" i="200" s="1"/>
  <c r="B89" i="200" s="1"/>
  <c r="B93" i="200" s="1"/>
  <c r="B97" i="200" s="1"/>
  <c r="B101" i="200" s="1"/>
  <c r="B105" i="200" s="1"/>
  <c r="B109" i="200" s="1"/>
  <c r="B113" i="200" s="1"/>
  <c r="B117" i="200" s="1"/>
  <c r="B121" i="200" s="1"/>
  <c r="B125" i="200" s="1"/>
  <c r="B129" i="200" s="1"/>
  <c r="B133" i="200" s="1"/>
  <c r="B137" i="200" s="1"/>
  <c r="B141" i="200" s="1"/>
  <c r="B145" i="200" s="1"/>
  <c r="B149" i="200" s="1"/>
  <c r="B153" i="200" s="1"/>
  <c r="B157" i="200" s="1"/>
  <c r="B161" i="200" s="1"/>
  <c r="B165" i="200" s="1"/>
  <c r="B169" i="200" s="1"/>
  <c r="B173" i="200" s="1"/>
  <c r="B177" i="200" s="1"/>
  <c r="B181" i="200" s="1"/>
  <c r="B185" i="200" s="1"/>
  <c r="B189" i="200" s="1"/>
  <c r="B193" i="200" s="1"/>
  <c r="B197" i="200" s="1"/>
  <c r="B201" i="200" s="1"/>
  <c r="B205" i="200" s="1"/>
  <c r="B209" i="200" s="1"/>
  <c r="B213" i="200" s="1"/>
  <c r="B217" i="200" s="1"/>
  <c r="B221" i="200" s="1"/>
  <c r="B225" i="200" s="1"/>
  <c r="B229" i="200" s="1"/>
  <c r="B233" i="200" s="1"/>
  <c r="B237" i="200" s="1"/>
  <c r="B241" i="200" s="1"/>
  <c r="B245" i="200" s="1"/>
  <c r="B249" i="200" s="1"/>
  <c r="B253" i="200" s="1"/>
  <c r="B257" i="200" s="1"/>
  <c r="B261" i="200" s="1"/>
  <c r="B265" i="200" s="1"/>
  <c r="B269" i="200" s="1"/>
  <c r="B273" i="200" s="1"/>
  <c r="B277" i="200" s="1"/>
  <c r="B281" i="200" s="1"/>
  <c r="B285" i="200" s="1"/>
  <c r="B289" i="200" s="1"/>
  <c r="B293" i="200" s="1"/>
  <c r="B297" i="200" s="1"/>
  <c r="B301" i="200" s="1"/>
  <c r="B305" i="200" s="1"/>
  <c r="B309" i="200" s="1"/>
  <c r="B313" i="200" s="1"/>
  <c r="B317" i="200" s="1"/>
  <c r="B321" i="200" s="1"/>
  <c r="B325" i="200" s="1"/>
  <c r="B329" i="200" s="1"/>
  <c r="B333" i="200" s="1"/>
  <c r="B337" i="200" s="1"/>
  <c r="B341" i="200" s="1"/>
  <c r="B345" i="200" s="1"/>
  <c r="B349" i="200" s="1"/>
  <c r="B353" i="200" s="1"/>
  <c r="B357" i="200" s="1"/>
  <c r="B361" i="200" s="1"/>
  <c r="B365" i="200" s="1"/>
  <c r="B369" i="200" s="1"/>
  <c r="B373" i="200" s="1"/>
  <c r="B377" i="200" s="1"/>
  <c r="B381" i="200" s="1"/>
  <c r="B385" i="200" s="1"/>
  <c r="B389" i="200" s="1"/>
  <c r="B393" i="200" s="1"/>
  <c r="B397" i="200" s="1"/>
  <c r="B401" i="200" s="1"/>
  <c r="B405" i="200" s="1"/>
  <c r="B409" i="200" s="1"/>
  <c r="B413" i="200" s="1"/>
  <c r="B417" i="200" s="1"/>
  <c r="B421" i="200" s="1"/>
  <c r="B425" i="200" s="1"/>
  <c r="B429" i="200" s="1"/>
  <c r="B433" i="200" s="1"/>
  <c r="B437" i="200" s="1"/>
  <c r="B441" i="200" s="1"/>
  <c r="B445" i="200" s="1"/>
  <c r="B449" i="200" s="1"/>
  <c r="B453" i="200" s="1"/>
  <c r="B457" i="200" s="1"/>
  <c r="B461" i="200" s="1"/>
  <c r="B465" i="200" s="1"/>
  <c r="B469" i="200" s="1"/>
  <c r="B473" i="200" s="1"/>
  <c r="B477" i="200" s="1"/>
  <c r="B481" i="200" s="1"/>
  <c r="B485" i="200" s="1"/>
  <c r="B489" i="200" s="1"/>
  <c r="B493" i="200" s="1"/>
  <c r="B497" i="200" s="1"/>
  <c r="B501" i="200" s="1"/>
  <c r="B505" i="200" s="1"/>
  <c r="B509" i="200" s="1"/>
  <c r="B513" i="200" s="1"/>
  <c r="B517" i="200" s="1"/>
  <c r="B521" i="200" s="1"/>
  <c r="B525" i="200" s="1"/>
  <c r="B529" i="200" s="1"/>
  <c r="B533" i="200" s="1"/>
  <c r="B537" i="200" s="1"/>
  <c r="B541" i="200" s="1"/>
  <c r="B545" i="200" s="1"/>
  <c r="B549" i="200" s="1"/>
  <c r="B553" i="200" s="1"/>
  <c r="B557" i="200" s="1"/>
  <c r="B561" i="200" s="1"/>
  <c r="B565" i="200" s="1"/>
  <c r="B569" i="200" s="1"/>
  <c r="B573" i="200" s="1"/>
  <c r="B577" i="200" s="1"/>
  <c r="B581" i="200" s="1"/>
  <c r="B585" i="200" s="1"/>
  <c r="B589" i="200" s="1"/>
  <c r="B593" i="200" s="1"/>
  <c r="B597" i="200" s="1"/>
  <c r="B601" i="200" s="1"/>
  <c r="B605" i="200" s="1"/>
  <c r="B609" i="200" s="1"/>
  <c r="B613" i="200" s="1"/>
  <c r="B617" i="200" s="1"/>
  <c r="B621" i="200" s="1"/>
  <c r="B625" i="200" s="1"/>
  <c r="B629" i="200" s="1"/>
  <c r="B633" i="200" s="1"/>
  <c r="B637" i="200" s="1"/>
  <c r="B641" i="200" s="1"/>
  <c r="B645" i="200" s="1"/>
  <c r="B649" i="200" s="1"/>
  <c r="B653" i="200" s="1"/>
  <c r="B657" i="200" s="1"/>
  <c r="B661" i="200" s="1"/>
  <c r="B665" i="200" s="1"/>
  <c r="B669" i="200" s="1"/>
  <c r="B673" i="200" s="1"/>
  <c r="B677" i="200" s="1"/>
  <c r="B681" i="200" s="1"/>
  <c r="B685" i="200" s="1"/>
  <c r="B689" i="200" s="1"/>
  <c r="B693" i="200" s="1"/>
  <c r="B697" i="200" s="1"/>
  <c r="B701" i="200" s="1"/>
  <c r="B705" i="200" s="1"/>
  <c r="B709" i="200" s="1"/>
  <c r="B713" i="200" s="1"/>
  <c r="B717" i="200" s="1"/>
  <c r="B721" i="200" s="1"/>
  <c r="B725" i="200" s="1"/>
  <c r="B729" i="200" s="1"/>
  <c r="B733" i="200" s="1"/>
  <c r="B737" i="200" s="1"/>
  <c r="B741" i="200" s="1"/>
  <c r="B745" i="200" s="1"/>
  <c r="B749" i="200" s="1"/>
  <c r="B753" i="200" s="1"/>
  <c r="B757" i="200" s="1"/>
  <c r="B761" i="200" s="1"/>
  <c r="B765" i="200" s="1"/>
  <c r="B769" i="200" s="1"/>
  <c r="B773" i="200" s="1"/>
  <c r="B777" i="200" s="1"/>
  <c r="B781" i="200" s="1"/>
  <c r="B785" i="200" s="1"/>
  <c r="B789" i="200" s="1"/>
  <c r="B793" i="200" s="1"/>
  <c r="B797" i="200" s="1"/>
  <c r="B801" i="200" s="1"/>
  <c r="B805" i="200" s="1"/>
  <c r="B809" i="200" s="1"/>
  <c r="B813" i="200" s="1"/>
  <c r="B817" i="200" s="1"/>
  <c r="B821" i="200" s="1"/>
  <c r="B825" i="200" s="1"/>
  <c r="B829" i="200" s="1"/>
  <c r="B833" i="200" s="1"/>
  <c r="B837" i="200" s="1"/>
  <c r="B841" i="200" s="1"/>
  <c r="B845" i="200" s="1"/>
  <c r="B849" i="200" s="1"/>
  <c r="B853" i="200" s="1"/>
  <c r="B857" i="200" s="1"/>
  <c r="B861" i="200" s="1"/>
  <c r="B865" i="200" s="1"/>
  <c r="B869" i="200" s="1"/>
  <c r="B873" i="200" s="1"/>
  <c r="B877" i="200" s="1"/>
  <c r="B881" i="200" s="1"/>
  <c r="B885" i="200" s="1"/>
  <c r="B889" i="200" s="1"/>
  <c r="B893" i="200" s="1"/>
  <c r="B897" i="200" s="1"/>
  <c r="B901" i="200" s="1"/>
  <c r="B905" i="200" s="1"/>
  <c r="B909" i="200" s="1"/>
  <c r="B913" i="200" s="1"/>
  <c r="B917" i="200" s="1"/>
  <c r="B921" i="200" s="1"/>
  <c r="B925" i="200" s="1"/>
  <c r="B929" i="200" s="1"/>
  <c r="B933" i="200" s="1"/>
  <c r="B937" i="200" s="1"/>
  <c r="B941" i="200" s="1"/>
  <c r="B945" i="200" s="1"/>
  <c r="B949" i="200" s="1"/>
  <c r="B953" i="200" s="1"/>
  <c r="B957" i="200" s="1"/>
  <c r="B961" i="200" s="1"/>
  <c r="B965" i="200" s="1"/>
  <c r="B969" i="200" s="1"/>
  <c r="B973" i="200" s="1"/>
  <c r="B977" i="200" s="1"/>
  <c r="B981" i="200" s="1"/>
  <c r="B985" i="200" s="1"/>
  <c r="B989" i="200" s="1"/>
  <c r="B993" i="200" s="1"/>
  <c r="B997" i="200" s="1"/>
  <c r="B1001" i="200" s="1"/>
  <c r="B1005" i="200" s="1"/>
  <c r="B1009" i="200" s="1"/>
  <c r="B1013" i="200" s="1"/>
  <c r="B1017" i="200" s="1"/>
  <c r="B1021" i="200" s="1"/>
  <c r="B1025" i="200" s="1"/>
  <c r="B1029" i="200" s="1"/>
  <c r="B1033" i="200" s="1"/>
  <c r="B1037" i="200" s="1"/>
  <c r="B1041" i="200" s="1"/>
  <c r="B1045" i="200" s="1"/>
  <c r="B1049" i="200" s="1"/>
  <c r="B1053" i="200" s="1"/>
  <c r="B1057" i="200" s="1"/>
  <c r="B1061" i="200" s="1"/>
  <c r="B1065" i="200" s="1"/>
  <c r="B1069" i="200" s="1"/>
  <c r="B1073" i="200" s="1"/>
  <c r="B1077" i="200" s="1"/>
  <c r="B1081" i="200" s="1"/>
  <c r="B1085" i="200" s="1"/>
  <c r="B1089" i="200" s="1"/>
  <c r="B1093" i="200" s="1"/>
  <c r="B1097" i="200" s="1"/>
  <c r="B1101" i="200" s="1"/>
  <c r="B1105" i="200" s="1"/>
  <c r="B1109" i="200" s="1"/>
  <c r="B1113" i="200" s="1"/>
  <c r="B1117" i="200" s="1"/>
  <c r="B1121" i="200" s="1"/>
  <c r="B1125" i="200" s="1"/>
  <c r="B1129" i="200" s="1"/>
  <c r="B1133" i="200" s="1"/>
  <c r="B1137" i="200" s="1"/>
  <c r="B1141" i="200" s="1"/>
  <c r="B1145" i="200" s="1"/>
  <c r="B1149" i="200" s="1"/>
  <c r="B1153" i="200" s="1"/>
  <c r="B1157" i="200" s="1"/>
  <c r="B1161" i="200" s="1"/>
  <c r="B1165" i="200" s="1"/>
  <c r="B1169" i="200" s="1"/>
  <c r="B1173" i="200" s="1"/>
  <c r="B1177" i="200" s="1"/>
  <c r="B1181" i="200" s="1"/>
  <c r="B1185" i="200" s="1"/>
  <c r="B1189" i="200" s="1"/>
  <c r="B1193" i="200" s="1"/>
  <c r="B1197" i="200" s="1"/>
  <c r="B1201" i="200" s="1"/>
  <c r="B1205" i="200" s="1"/>
  <c r="B1209" i="200" s="1"/>
  <c r="B1213" i="200" s="1"/>
  <c r="B1217" i="200" s="1"/>
  <c r="B1221" i="200" s="1"/>
  <c r="B1225" i="200" s="1"/>
  <c r="B1229" i="200" s="1"/>
  <c r="B1233" i="200" s="1"/>
  <c r="B1237" i="200" s="1"/>
  <c r="B1241" i="200" s="1"/>
  <c r="B1245" i="200" s="1"/>
  <c r="B1249" i="200" s="1"/>
  <c r="B1253" i="200" s="1"/>
  <c r="B1257" i="200" s="1"/>
  <c r="B1261" i="200" s="1"/>
  <c r="B1265" i="200" s="1"/>
  <c r="B1269" i="200" s="1"/>
  <c r="B1273" i="200" s="1"/>
  <c r="B1277" i="200" s="1"/>
  <c r="B1281" i="200" s="1"/>
  <c r="B1285" i="200" s="1"/>
  <c r="B1289" i="200" s="1"/>
  <c r="B1293" i="200" s="1"/>
  <c r="B1297" i="200" s="1"/>
  <c r="B1301" i="200" s="1"/>
  <c r="B1305" i="200" s="1"/>
  <c r="B1309" i="200" s="1"/>
  <c r="B1313" i="200" s="1"/>
  <c r="B1317" i="200" s="1"/>
  <c r="B1321" i="200" s="1"/>
  <c r="B1325" i="200" s="1"/>
  <c r="B1329" i="200" s="1"/>
  <c r="B1333" i="200" s="1"/>
  <c r="B1337" i="200" s="1"/>
  <c r="B1341" i="200" s="1"/>
  <c r="B1345" i="200" s="1"/>
  <c r="B1349" i="200" s="1"/>
  <c r="B1353" i="200" s="1"/>
  <c r="B1357" i="200" s="1"/>
  <c r="B1361" i="200" s="1"/>
  <c r="B1365" i="200" s="1"/>
  <c r="B1369" i="200" s="1"/>
  <c r="B1373" i="200" s="1"/>
  <c r="B1377" i="200" s="1"/>
  <c r="B1381" i="200" s="1"/>
  <c r="B1385" i="200" s="1"/>
  <c r="B1389" i="200" s="1"/>
  <c r="B1393" i="200" s="1"/>
  <c r="B1397" i="200" s="1"/>
  <c r="B1401" i="200" s="1"/>
  <c r="B1405" i="200" s="1"/>
  <c r="B1409" i="200" s="1"/>
  <c r="B1413" i="200" s="1"/>
  <c r="B1417" i="200" s="1"/>
  <c r="B1421" i="200" s="1"/>
  <c r="B1425" i="200" s="1"/>
  <c r="B1429" i="200" s="1"/>
  <c r="B1433" i="200" s="1"/>
  <c r="B1437" i="200" s="1"/>
  <c r="B1441" i="200" s="1"/>
  <c r="B1445" i="200" s="1"/>
  <c r="B1449" i="200" s="1"/>
  <c r="B1453" i="200" s="1"/>
  <c r="B1457" i="200" s="1"/>
  <c r="B1461" i="200" s="1"/>
  <c r="B1465" i="200" s="1"/>
  <c r="B1469" i="200" s="1"/>
  <c r="B1473" i="200" s="1"/>
  <c r="B1477" i="200" s="1"/>
  <c r="B1481" i="200" s="1"/>
  <c r="B1485" i="200" s="1"/>
  <c r="B1489" i="200" s="1"/>
  <c r="B1493" i="200" s="1"/>
  <c r="B1497" i="200" s="1"/>
  <c r="B1501" i="200" s="1"/>
  <c r="B1505" i="200" s="1"/>
  <c r="B1509" i="200" s="1"/>
  <c r="B1513" i="200" s="1"/>
  <c r="B1517" i="200" s="1"/>
  <c r="B1521" i="200" s="1"/>
  <c r="B1525" i="200" s="1"/>
  <c r="B1529" i="200" s="1"/>
  <c r="B1533" i="200" s="1"/>
  <c r="B1537" i="200" s="1"/>
  <c r="B1541" i="200" s="1"/>
  <c r="B1545" i="200" s="1"/>
  <c r="B1549" i="200" s="1"/>
  <c r="B1553" i="200" s="1"/>
  <c r="B1557" i="200" s="1"/>
  <c r="B1561" i="200" s="1"/>
  <c r="B1565" i="200" s="1"/>
  <c r="B1569" i="200" s="1"/>
  <c r="B1573" i="200" s="1"/>
  <c r="B1577" i="200" s="1"/>
  <c r="B1581" i="200" s="1"/>
  <c r="B1585" i="200" s="1"/>
  <c r="B1589" i="200" s="1"/>
  <c r="B1593" i="200" s="1"/>
  <c r="B1597" i="200" s="1"/>
  <c r="B1601" i="200" s="1"/>
  <c r="B1605" i="200" s="1"/>
  <c r="B1609" i="200" s="1"/>
  <c r="B1613" i="200" s="1"/>
  <c r="B1617" i="200" s="1"/>
  <c r="B1621" i="200" s="1"/>
  <c r="B1625" i="200" s="1"/>
  <c r="B1629" i="200" s="1"/>
  <c r="B1633" i="200" s="1"/>
  <c r="B1637" i="200" s="1"/>
  <c r="B1641" i="200" s="1"/>
  <c r="B1645" i="200" s="1"/>
  <c r="B1649" i="200" s="1"/>
  <c r="B1653" i="200" s="1"/>
  <c r="B1657" i="200" s="1"/>
  <c r="B1661" i="200" s="1"/>
  <c r="B1665" i="200" s="1"/>
  <c r="B1669" i="200" s="1"/>
  <c r="B1673" i="200" s="1"/>
  <c r="B1677" i="200" s="1"/>
  <c r="B1681" i="200" s="1"/>
  <c r="B1685" i="200" s="1"/>
  <c r="B1689" i="200" s="1"/>
  <c r="B1693" i="200" s="1"/>
  <c r="B1697" i="200" s="1"/>
  <c r="B1701" i="200" s="1"/>
  <c r="B1705" i="200" s="1"/>
  <c r="B1709" i="200" s="1"/>
  <c r="B1713" i="200" s="1"/>
  <c r="B1717" i="200" s="1"/>
  <c r="B1721" i="200" s="1"/>
  <c r="B1725" i="200" s="1"/>
  <c r="B1729" i="200" s="1"/>
  <c r="B1733" i="200" s="1"/>
  <c r="B1737" i="200" s="1"/>
  <c r="B1741" i="200" s="1"/>
  <c r="B1745" i="200" s="1"/>
  <c r="B1749" i="200" s="1"/>
  <c r="B1753" i="200" s="1"/>
  <c r="B1757" i="200" s="1"/>
  <c r="B1761" i="200" s="1"/>
  <c r="B1765" i="200" s="1"/>
  <c r="B1769" i="200" s="1"/>
  <c r="B1773" i="200" s="1"/>
  <c r="B1777" i="200" s="1"/>
  <c r="B1781" i="200" s="1"/>
  <c r="B1785" i="200" s="1"/>
  <c r="B1789" i="200" s="1"/>
  <c r="B1793" i="200" s="1"/>
  <c r="B1797" i="200" s="1"/>
  <c r="B1801" i="200" s="1"/>
  <c r="B1805" i="200" s="1"/>
  <c r="B1809" i="200" s="1"/>
  <c r="B1813" i="200" s="1"/>
  <c r="B1817" i="200" s="1"/>
  <c r="B1821" i="200" s="1"/>
  <c r="B1825" i="200" s="1"/>
  <c r="B1829" i="200" s="1"/>
  <c r="B1833" i="200" s="1"/>
  <c r="B1837" i="200" s="1"/>
  <c r="B1841" i="200" s="1"/>
  <c r="B1845" i="200" s="1"/>
  <c r="B1849" i="200" s="1"/>
  <c r="B1853" i="200" s="1"/>
  <c r="B1857" i="200" s="1"/>
  <c r="B1861" i="200" s="1"/>
  <c r="B1865" i="200" s="1"/>
  <c r="B1869" i="200" s="1"/>
  <c r="B1873" i="200" s="1"/>
  <c r="B1877" i="200" s="1"/>
  <c r="B1881" i="200" s="1"/>
  <c r="B1885" i="200" s="1"/>
  <c r="B1889" i="200" s="1"/>
  <c r="B1893" i="200" s="1"/>
  <c r="B1897" i="200" s="1"/>
  <c r="B1901" i="200" s="1"/>
  <c r="B1905" i="200" s="1"/>
  <c r="B1909" i="200" s="1"/>
  <c r="B1913" i="200" s="1"/>
  <c r="B1917" i="200" s="1"/>
  <c r="B1921" i="200" s="1"/>
  <c r="B1925" i="200" s="1"/>
  <c r="B1929" i="200" s="1"/>
  <c r="B1933" i="200" s="1"/>
  <c r="B1937" i="200" s="1"/>
  <c r="B1941" i="200" s="1"/>
  <c r="B1945" i="200" s="1"/>
  <c r="B1949" i="200" s="1"/>
  <c r="B1953" i="200" s="1"/>
  <c r="B1957" i="200" s="1"/>
  <c r="B1961" i="200" s="1"/>
  <c r="B1965" i="200" s="1"/>
  <c r="B1969" i="200" s="1"/>
  <c r="B1973" i="200" s="1"/>
  <c r="B1977" i="200" s="1"/>
  <c r="B1981" i="200" s="1"/>
  <c r="B1985" i="200" s="1"/>
  <c r="B1989" i="200" s="1"/>
  <c r="B1993" i="200" s="1"/>
  <c r="B1997" i="200" s="1"/>
  <c r="B2001" i="200" s="1"/>
  <c r="N5" i="200"/>
  <c r="V2" i="200"/>
  <c r="R1" i="200"/>
  <c r="Q1" i="200"/>
  <c r="P1" i="200"/>
  <c r="O1" i="200"/>
  <c r="N1" i="200"/>
  <c r="M1" i="200"/>
  <c r="L1" i="200"/>
  <c r="K1" i="200"/>
  <c r="J1" i="200"/>
  <c r="I1" i="200"/>
  <c r="H1" i="200"/>
  <c r="G1" i="200"/>
  <c r="F1" i="200"/>
  <c r="E1" i="200"/>
  <c r="D1" i="200"/>
  <c r="C1" i="200"/>
  <c r="B1" i="200"/>
  <c r="A1" i="200"/>
  <c r="U32" i="192"/>
  <c r="U31" i="192"/>
  <c r="U30" i="192"/>
  <c r="U29" i="192"/>
  <c r="Q29" i="192"/>
  <c r="U28" i="192"/>
  <c r="U27" i="192"/>
  <c r="R25" i="192"/>
  <c r="E21" i="192"/>
  <c r="F13" i="192"/>
  <c r="B9" i="192"/>
  <c r="B13" i="192" s="1"/>
  <c r="B17" i="192" s="1"/>
  <c r="B21" i="192" s="1"/>
  <c r="B25" i="192" s="1"/>
  <c r="B29" i="192" s="1"/>
  <c r="B33" i="192" s="1"/>
  <c r="B37" i="192" s="1"/>
  <c r="B41" i="192" s="1"/>
  <c r="B45" i="192" s="1"/>
  <c r="B49" i="192" s="1"/>
  <c r="B53" i="192" s="1"/>
  <c r="B57" i="192" s="1"/>
  <c r="B61" i="192" s="1"/>
  <c r="B65" i="192" s="1"/>
  <c r="B69" i="192" s="1"/>
  <c r="B73" i="192" s="1"/>
  <c r="B77" i="192" s="1"/>
  <c r="B81" i="192" s="1"/>
  <c r="B85" i="192" s="1"/>
  <c r="B89" i="192" s="1"/>
  <c r="B93" i="192" s="1"/>
  <c r="B97" i="192" s="1"/>
  <c r="B101" i="192" s="1"/>
  <c r="B105" i="192" s="1"/>
  <c r="B109" i="192" s="1"/>
  <c r="B113" i="192" s="1"/>
  <c r="B117" i="192" s="1"/>
  <c r="B121" i="192" s="1"/>
  <c r="B125" i="192" s="1"/>
  <c r="B129" i="192" s="1"/>
  <c r="B133" i="192" s="1"/>
  <c r="B137" i="192" s="1"/>
  <c r="B141" i="192" s="1"/>
  <c r="B145" i="192" s="1"/>
  <c r="B149" i="192" s="1"/>
  <c r="B153" i="192" s="1"/>
  <c r="B157" i="192" s="1"/>
  <c r="B161" i="192" s="1"/>
  <c r="B165" i="192" s="1"/>
  <c r="B169" i="192" s="1"/>
  <c r="B173" i="192" s="1"/>
  <c r="B177" i="192" s="1"/>
  <c r="B181" i="192" s="1"/>
  <c r="B185" i="192" s="1"/>
  <c r="B189" i="192" s="1"/>
  <c r="B193" i="192" s="1"/>
  <c r="B197" i="192" s="1"/>
  <c r="B201" i="192" s="1"/>
  <c r="B205" i="192" s="1"/>
  <c r="B209" i="192" s="1"/>
  <c r="B213" i="192" s="1"/>
  <c r="B217" i="192" s="1"/>
  <c r="B221" i="192" s="1"/>
  <c r="B225" i="192" s="1"/>
  <c r="B229" i="192" s="1"/>
  <c r="B233" i="192" s="1"/>
  <c r="B237" i="192" s="1"/>
  <c r="B241" i="192" s="1"/>
  <c r="B245" i="192" s="1"/>
  <c r="B249" i="192" s="1"/>
  <c r="B253" i="192" s="1"/>
  <c r="B257" i="192" s="1"/>
  <c r="B261" i="192" s="1"/>
  <c r="B265" i="192" s="1"/>
  <c r="B269" i="192" s="1"/>
  <c r="B273" i="192" s="1"/>
  <c r="B277" i="192" s="1"/>
  <c r="B281" i="192" s="1"/>
  <c r="B285" i="192" s="1"/>
  <c r="B289" i="192" s="1"/>
  <c r="B293" i="192" s="1"/>
  <c r="B297" i="192" s="1"/>
  <c r="B301" i="192" s="1"/>
  <c r="B305" i="192" s="1"/>
  <c r="B309" i="192" s="1"/>
  <c r="B313" i="192" s="1"/>
  <c r="B317" i="192" s="1"/>
  <c r="B321" i="192" s="1"/>
  <c r="B325" i="192" s="1"/>
  <c r="B329" i="192" s="1"/>
  <c r="B333" i="192" s="1"/>
  <c r="B337" i="192" s="1"/>
  <c r="B341" i="192" s="1"/>
  <c r="B345" i="192" s="1"/>
  <c r="B349" i="192" s="1"/>
  <c r="B353" i="192" s="1"/>
  <c r="B357" i="192" s="1"/>
  <c r="B361" i="192" s="1"/>
  <c r="B365" i="192" s="1"/>
  <c r="B369" i="192" s="1"/>
  <c r="B373" i="192" s="1"/>
  <c r="B377" i="192" s="1"/>
  <c r="B381" i="192" s="1"/>
  <c r="B385" i="192" s="1"/>
  <c r="B389" i="192" s="1"/>
  <c r="B393" i="192" s="1"/>
  <c r="B397" i="192" s="1"/>
  <c r="B401" i="192" s="1"/>
  <c r="B405" i="192" s="1"/>
  <c r="B409" i="192" s="1"/>
  <c r="B413" i="192" s="1"/>
  <c r="B417" i="192" s="1"/>
  <c r="B421" i="192" s="1"/>
  <c r="B425" i="192" s="1"/>
  <c r="B429" i="192" s="1"/>
  <c r="B433" i="192" s="1"/>
  <c r="B437" i="192" s="1"/>
  <c r="B441" i="192" s="1"/>
  <c r="B445" i="192" s="1"/>
  <c r="B449" i="192" s="1"/>
  <c r="B453" i="192" s="1"/>
  <c r="B457" i="192" s="1"/>
  <c r="B461" i="192" s="1"/>
  <c r="B465" i="192" s="1"/>
  <c r="B469" i="192" s="1"/>
  <c r="B473" i="192" s="1"/>
  <c r="B477" i="192" s="1"/>
  <c r="B481" i="192" s="1"/>
  <c r="B485" i="192" s="1"/>
  <c r="B489" i="192" s="1"/>
  <c r="B493" i="192" s="1"/>
  <c r="B497" i="192" s="1"/>
  <c r="B501" i="192" s="1"/>
  <c r="B505" i="192" s="1"/>
  <c r="B509" i="192" s="1"/>
  <c r="B513" i="192" s="1"/>
  <c r="B517" i="192" s="1"/>
  <c r="B521" i="192" s="1"/>
  <c r="B525" i="192" s="1"/>
  <c r="B529" i="192" s="1"/>
  <c r="B533" i="192" s="1"/>
  <c r="B537" i="192" s="1"/>
  <c r="B541" i="192" s="1"/>
  <c r="B545" i="192" s="1"/>
  <c r="B549" i="192" s="1"/>
  <c r="B553" i="192" s="1"/>
  <c r="B557" i="192" s="1"/>
  <c r="B561" i="192" s="1"/>
  <c r="B565" i="192" s="1"/>
  <c r="B569" i="192" s="1"/>
  <c r="B573" i="192" s="1"/>
  <c r="B577" i="192" s="1"/>
  <c r="B581" i="192" s="1"/>
  <c r="B585" i="192" s="1"/>
  <c r="B589" i="192" s="1"/>
  <c r="B593" i="192" s="1"/>
  <c r="B597" i="192" s="1"/>
  <c r="B601" i="192" s="1"/>
  <c r="B605" i="192" s="1"/>
  <c r="B609" i="192" s="1"/>
  <c r="B613" i="192" s="1"/>
  <c r="B617" i="192" s="1"/>
  <c r="B621" i="192" s="1"/>
  <c r="B625" i="192" s="1"/>
  <c r="B629" i="192" s="1"/>
  <c r="B633" i="192" s="1"/>
  <c r="B637" i="192" s="1"/>
  <c r="B641" i="192" s="1"/>
  <c r="B645" i="192" s="1"/>
  <c r="B649" i="192" s="1"/>
  <c r="B653" i="192" s="1"/>
  <c r="B657" i="192" s="1"/>
  <c r="B661" i="192" s="1"/>
  <c r="B665" i="192" s="1"/>
  <c r="B669" i="192" s="1"/>
  <c r="B673" i="192" s="1"/>
  <c r="B677" i="192" s="1"/>
  <c r="B681" i="192" s="1"/>
  <c r="B685" i="192" s="1"/>
  <c r="B689" i="192" s="1"/>
  <c r="B693" i="192" s="1"/>
  <c r="B697" i="192" s="1"/>
  <c r="B701" i="192" s="1"/>
  <c r="B705" i="192" s="1"/>
  <c r="B709" i="192" s="1"/>
  <c r="B713" i="192" s="1"/>
  <c r="B717" i="192" s="1"/>
  <c r="B721" i="192" s="1"/>
  <c r="B725" i="192" s="1"/>
  <c r="B729" i="192" s="1"/>
  <c r="B733" i="192" s="1"/>
  <c r="B737" i="192" s="1"/>
  <c r="B741" i="192" s="1"/>
  <c r="B745" i="192" s="1"/>
  <c r="B749" i="192" s="1"/>
  <c r="B753" i="192" s="1"/>
  <c r="B757" i="192" s="1"/>
  <c r="B761" i="192" s="1"/>
  <c r="B765" i="192" s="1"/>
  <c r="B769" i="192" s="1"/>
  <c r="B773" i="192" s="1"/>
  <c r="B777" i="192" s="1"/>
  <c r="B781" i="192" s="1"/>
  <c r="B785" i="192" s="1"/>
  <c r="B789" i="192" s="1"/>
  <c r="B793" i="192" s="1"/>
  <c r="B797" i="192" s="1"/>
  <c r="B801" i="192" s="1"/>
  <c r="B805" i="192" s="1"/>
  <c r="B809" i="192" s="1"/>
  <c r="B813" i="192" s="1"/>
  <c r="B817" i="192" s="1"/>
  <c r="B821" i="192" s="1"/>
  <c r="B825" i="192" s="1"/>
  <c r="B829" i="192" s="1"/>
  <c r="B833" i="192" s="1"/>
  <c r="B837" i="192" s="1"/>
  <c r="B841" i="192" s="1"/>
  <c r="B845" i="192" s="1"/>
  <c r="B849" i="192" s="1"/>
  <c r="B853" i="192" s="1"/>
  <c r="B857" i="192" s="1"/>
  <c r="B861" i="192" s="1"/>
  <c r="B865" i="192" s="1"/>
  <c r="B869" i="192" s="1"/>
  <c r="B873" i="192" s="1"/>
  <c r="B877" i="192" s="1"/>
  <c r="B881" i="192" s="1"/>
  <c r="B885" i="192" s="1"/>
  <c r="B889" i="192" s="1"/>
  <c r="B893" i="192" s="1"/>
  <c r="B897" i="192" s="1"/>
  <c r="B901" i="192" s="1"/>
  <c r="B905" i="192" s="1"/>
  <c r="B909" i="192" s="1"/>
  <c r="B913" i="192" s="1"/>
  <c r="B917" i="192" s="1"/>
  <c r="B921" i="192" s="1"/>
  <c r="B925" i="192" s="1"/>
  <c r="B929" i="192" s="1"/>
  <c r="B933" i="192" s="1"/>
  <c r="B937" i="192" s="1"/>
  <c r="B941" i="192" s="1"/>
  <c r="B945" i="192" s="1"/>
  <c r="B949" i="192" s="1"/>
  <c r="B953" i="192" s="1"/>
  <c r="B957" i="192" s="1"/>
  <c r="B961" i="192" s="1"/>
  <c r="B965" i="192" s="1"/>
  <c r="B969" i="192" s="1"/>
  <c r="B973" i="192" s="1"/>
  <c r="B977" i="192" s="1"/>
  <c r="B981" i="192" s="1"/>
  <c r="B985" i="192" s="1"/>
  <c r="B989" i="192" s="1"/>
  <c r="B993" i="192" s="1"/>
  <c r="B997" i="192" s="1"/>
  <c r="B1001" i="192" s="1"/>
  <c r="B1005" i="192" s="1"/>
  <c r="B1009" i="192" s="1"/>
  <c r="B1013" i="192" s="1"/>
  <c r="B1017" i="192" s="1"/>
  <c r="B1021" i="192" s="1"/>
  <c r="B1025" i="192" s="1"/>
  <c r="B1029" i="192" s="1"/>
  <c r="B1033" i="192" s="1"/>
  <c r="B1037" i="192" s="1"/>
  <c r="B1041" i="192" s="1"/>
  <c r="B1045" i="192" s="1"/>
  <c r="B1049" i="192" s="1"/>
  <c r="B1053" i="192" s="1"/>
  <c r="B1057" i="192" s="1"/>
  <c r="B1061" i="192" s="1"/>
  <c r="B1065" i="192" s="1"/>
  <c r="B1069" i="192" s="1"/>
  <c r="B1073" i="192" s="1"/>
  <c r="B1077" i="192" s="1"/>
  <c r="B1081" i="192" s="1"/>
  <c r="B1085" i="192" s="1"/>
  <c r="B1089" i="192" s="1"/>
  <c r="B1093" i="192" s="1"/>
  <c r="B1097" i="192" s="1"/>
  <c r="B1101" i="192" s="1"/>
  <c r="B1105" i="192" s="1"/>
  <c r="B1109" i="192" s="1"/>
  <c r="B1113" i="192" s="1"/>
  <c r="B1117" i="192" s="1"/>
  <c r="B1121" i="192" s="1"/>
  <c r="B1125" i="192" s="1"/>
  <c r="B1129" i="192" s="1"/>
  <c r="B1133" i="192" s="1"/>
  <c r="B1137" i="192" s="1"/>
  <c r="B1141" i="192" s="1"/>
  <c r="B1145" i="192" s="1"/>
  <c r="B1149" i="192" s="1"/>
  <c r="B1153" i="192" s="1"/>
  <c r="B1157" i="192" s="1"/>
  <c r="B1161" i="192" s="1"/>
  <c r="B1165" i="192" s="1"/>
  <c r="B1169" i="192" s="1"/>
  <c r="B1173" i="192" s="1"/>
  <c r="B1177" i="192" s="1"/>
  <c r="B1181" i="192" s="1"/>
  <c r="B1185" i="192" s="1"/>
  <c r="B1189" i="192" s="1"/>
  <c r="B1193" i="192" s="1"/>
  <c r="B1197" i="192" s="1"/>
  <c r="B1201" i="192" s="1"/>
  <c r="B1205" i="192" s="1"/>
  <c r="B1209" i="192" s="1"/>
  <c r="B1213" i="192" s="1"/>
  <c r="B1217" i="192" s="1"/>
  <c r="B1221" i="192" s="1"/>
  <c r="B1225" i="192" s="1"/>
  <c r="B1229" i="192" s="1"/>
  <c r="B1233" i="192" s="1"/>
  <c r="B1237" i="192" s="1"/>
  <c r="B1241" i="192" s="1"/>
  <c r="B1245" i="192" s="1"/>
  <c r="B1249" i="192" s="1"/>
  <c r="B1253" i="192" s="1"/>
  <c r="B1257" i="192" s="1"/>
  <c r="B1261" i="192" s="1"/>
  <c r="B1265" i="192" s="1"/>
  <c r="B1269" i="192" s="1"/>
  <c r="B1273" i="192" s="1"/>
  <c r="B1277" i="192" s="1"/>
  <c r="B1281" i="192" s="1"/>
  <c r="B1285" i="192" s="1"/>
  <c r="B1289" i="192" s="1"/>
  <c r="B1293" i="192" s="1"/>
  <c r="B1297" i="192" s="1"/>
  <c r="B1301" i="192" s="1"/>
  <c r="B1305" i="192" s="1"/>
  <c r="B1309" i="192" s="1"/>
  <c r="B1313" i="192" s="1"/>
  <c r="B1317" i="192" s="1"/>
  <c r="B1321" i="192" s="1"/>
  <c r="B1325" i="192" s="1"/>
  <c r="B1329" i="192" s="1"/>
  <c r="B1333" i="192" s="1"/>
  <c r="B1337" i="192" s="1"/>
  <c r="B1341" i="192" s="1"/>
  <c r="B1345" i="192" s="1"/>
  <c r="B1349" i="192" s="1"/>
  <c r="B1353" i="192" s="1"/>
  <c r="B1357" i="192" s="1"/>
  <c r="B1361" i="192" s="1"/>
  <c r="B1365" i="192" s="1"/>
  <c r="B1369" i="192" s="1"/>
  <c r="B1373" i="192" s="1"/>
  <c r="B1377" i="192" s="1"/>
  <c r="B1381" i="192" s="1"/>
  <c r="B1385" i="192" s="1"/>
  <c r="B1389" i="192" s="1"/>
  <c r="B1393" i="192" s="1"/>
  <c r="B1397" i="192" s="1"/>
  <c r="B1401" i="192" s="1"/>
  <c r="B1405" i="192" s="1"/>
  <c r="B1409" i="192" s="1"/>
  <c r="B1413" i="192" s="1"/>
  <c r="B1417" i="192" s="1"/>
  <c r="B1421" i="192" s="1"/>
  <c r="B1425" i="192" s="1"/>
  <c r="B1429" i="192" s="1"/>
  <c r="B1433" i="192" s="1"/>
  <c r="B1437" i="192" s="1"/>
  <c r="B1441" i="192" s="1"/>
  <c r="B1445" i="192" s="1"/>
  <c r="B1449" i="192" s="1"/>
  <c r="B1453" i="192" s="1"/>
  <c r="B1457" i="192" s="1"/>
  <c r="B1461" i="192" s="1"/>
  <c r="B1465" i="192" s="1"/>
  <c r="B1469" i="192" s="1"/>
  <c r="B1473" i="192" s="1"/>
  <c r="B1477" i="192" s="1"/>
  <c r="B1481" i="192" s="1"/>
  <c r="B1485" i="192" s="1"/>
  <c r="B1489" i="192" s="1"/>
  <c r="B1493" i="192" s="1"/>
  <c r="B1497" i="192" s="1"/>
  <c r="B1501" i="192" s="1"/>
  <c r="B1505" i="192" s="1"/>
  <c r="B1509" i="192" s="1"/>
  <c r="B1513" i="192" s="1"/>
  <c r="B1517" i="192" s="1"/>
  <c r="B1521" i="192" s="1"/>
  <c r="B1525" i="192" s="1"/>
  <c r="B1529" i="192" s="1"/>
  <c r="B1533" i="192" s="1"/>
  <c r="B1537" i="192" s="1"/>
  <c r="B1541" i="192" s="1"/>
  <c r="B1545" i="192" s="1"/>
  <c r="B1549" i="192" s="1"/>
  <c r="B1553" i="192" s="1"/>
  <c r="B1557" i="192" s="1"/>
  <c r="B1561" i="192" s="1"/>
  <c r="B1565" i="192" s="1"/>
  <c r="B1569" i="192" s="1"/>
  <c r="B1573" i="192" s="1"/>
  <c r="B1577" i="192" s="1"/>
  <c r="B1581" i="192" s="1"/>
  <c r="B1585" i="192" s="1"/>
  <c r="B1589" i="192" s="1"/>
  <c r="B1593" i="192" s="1"/>
  <c r="B1597" i="192" s="1"/>
  <c r="B1601" i="192" s="1"/>
  <c r="B1605" i="192" s="1"/>
  <c r="B1609" i="192" s="1"/>
  <c r="B1613" i="192" s="1"/>
  <c r="B1617" i="192" s="1"/>
  <c r="B1621" i="192" s="1"/>
  <c r="B1625" i="192" s="1"/>
  <c r="B1629" i="192" s="1"/>
  <c r="B1633" i="192" s="1"/>
  <c r="B1637" i="192" s="1"/>
  <c r="B1641" i="192" s="1"/>
  <c r="B1645" i="192" s="1"/>
  <c r="B1649" i="192" s="1"/>
  <c r="B1653" i="192" s="1"/>
  <c r="B1657" i="192" s="1"/>
  <c r="B1661" i="192" s="1"/>
  <c r="B1665" i="192" s="1"/>
  <c r="B1669" i="192" s="1"/>
  <c r="B1673" i="192" s="1"/>
  <c r="B1677" i="192" s="1"/>
  <c r="B1681" i="192" s="1"/>
  <c r="B1685" i="192" s="1"/>
  <c r="B1689" i="192" s="1"/>
  <c r="B1693" i="192" s="1"/>
  <c r="B1697" i="192" s="1"/>
  <c r="B1701" i="192" s="1"/>
  <c r="B1705" i="192" s="1"/>
  <c r="B1709" i="192" s="1"/>
  <c r="B1713" i="192" s="1"/>
  <c r="B1717" i="192" s="1"/>
  <c r="B1721" i="192" s="1"/>
  <c r="B1725" i="192" s="1"/>
  <c r="B1729" i="192" s="1"/>
  <c r="B1733" i="192" s="1"/>
  <c r="B1737" i="192" s="1"/>
  <c r="B1741" i="192" s="1"/>
  <c r="B1745" i="192" s="1"/>
  <c r="B1749" i="192" s="1"/>
  <c r="B1753" i="192" s="1"/>
  <c r="B1757" i="192" s="1"/>
  <c r="B1761" i="192" s="1"/>
  <c r="B1765" i="192" s="1"/>
  <c r="B1769" i="192" s="1"/>
  <c r="B1773" i="192" s="1"/>
  <c r="B1777" i="192" s="1"/>
  <c r="B1781" i="192" s="1"/>
  <c r="B1785" i="192" s="1"/>
  <c r="B1789" i="192" s="1"/>
  <c r="B1793" i="192" s="1"/>
  <c r="B1797" i="192" s="1"/>
  <c r="B1801" i="192" s="1"/>
  <c r="B1805" i="192" s="1"/>
  <c r="B1809" i="192" s="1"/>
  <c r="B1813" i="192" s="1"/>
  <c r="B1817" i="192" s="1"/>
  <c r="B1821" i="192" s="1"/>
  <c r="B1825" i="192" s="1"/>
  <c r="B1829" i="192" s="1"/>
  <c r="B1833" i="192" s="1"/>
  <c r="B1837" i="192" s="1"/>
  <c r="B1841" i="192" s="1"/>
  <c r="B1845" i="192" s="1"/>
  <c r="B1849" i="192" s="1"/>
  <c r="B1853" i="192" s="1"/>
  <c r="B1857" i="192" s="1"/>
  <c r="B1861" i="192" s="1"/>
  <c r="B1865" i="192" s="1"/>
  <c r="B1869" i="192" s="1"/>
  <c r="B1873" i="192" s="1"/>
  <c r="B1877" i="192" s="1"/>
  <c r="B1881" i="192" s="1"/>
  <c r="B1885" i="192" s="1"/>
  <c r="B1889" i="192" s="1"/>
  <c r="B1893" i="192" s="1"/>
  <c r="B1897" i="192" s="1"/>
  <c r="B1901" i="192" s="1"/>
  <c r="B1905" i="192" s="1"/>
  <c r="B1909" i="192" s="1"/>
  <c r="B1913" i="192" s="1"/>
  <c r="B1917" i="192" s="1"/>
  <c r="B1921" i="192" s="1"/>
  <c r="B1925" i="192" s="1"/>
  <c r="B1929" i="192" s="1"/>
  <c r="B1933" i="192" s="1"/>
  <c r="B1937" i="192" s="1"/>
  <c r="B1941" i="192" s="1"/>
  <c r="B1945" i="192" s="1"/>
  <c r="B1949" i="192" s="1"/>
  <c r="B1953" i="192" s="1"/>
  <c r="B1957" i="192" s="1"/>
  <c r="B1961" i="192" s="1"/>
  <c r="B1965" i="192" s="1"/>
  <c r="B1969" i="192" s="1"/>
  <c r="B1973" i="192" s="1"/>
  <c r="B1977" i="192" s="1"/>
  <c r="B1981" i="192" s="1"/>
  <c r="B1985" i="192" s="1"/>
  <c r="B1989" i="192" s="1"/>
  <c r="B1993" i="192" s="1"/>
  <c r="B1997" i="192" s="1"/>
  <c r="B2001" i="192" s="1"/>
  <c r="N5" i="192"/>
  <c r="V2" i="192"/>
  <c r="R1" i="192"/>
  <c r="Q1" i="192"/>
  <c r="P1" i="192"/>
  <c r="O1" i="192"/>
  <c r="N1" i="192"/>
  <c r="M1" i="192"/>
  <c r="L1" i="192"/>
  <c r="K1" i="192"/>
  <c r="J1" i="192"/>
  <c r="I1" i="192"/>
  <c r="H1" i="192"/>
  <c r="G1" i="192"/>
  <c r="F1" i="192"/>
  <c r="E1" i="192"/>
  <c r="D1" i="192"/>
  <c r="C1" i="192"/>
  <c r="B1" i="192"/>
  <c r="A1" i="192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2005" i="9" s="1"/>
  <c r="B2009" i="9" s="1"/>
  <c r="B2013" i="9" s="1"/>
  <c r="B2017" i="9" s="1"/>
  <c r="B2021" i="9" s="1"/>
  <c r="B2025" i="9" s="1"/>
  <c r="B2029" i="9" s="1"/>
  <c r="B2033" i="9" s="1"/>
  <c r="B2037" i="9" s="1"/>
  <c r="B2041" i="9" s="1"/>
  <c r="B2045" i="9" s="1"/>
  <c r="B2049" i="9" s="1"/>
  <c r="B2053" i="9" s="1"/>
  <c r="B2057" i="9" s="1"/>
  <c r="B2061" i="9" s="1"/>
  <c r="B2065" i="9" s="1"/>
  <c r="B2069" i="9" s="1"/>
  <c r="B2073" i="9" s="1"/>
  <c r="B2077" i="9" s="1"/>
  <c r="B2081" i="9" s="1"/>
  <c r="B2085" i="9" s="1"/>
  <c r="B2089" i="9" s="1"/>
  <c r="B2093" i="9" s="1"/>
  <c r="B2097" i="9" s="1"/>
  <c r="B2101" i="9" s="1"/>
  <c r="B2105" i="9" s="1"/>
  <c r="B2109" i="9" s="1"/>
  <c r="B2113" i="9" s="1"/>
  <c r="B2117" i="9" s="1"/>
  <c r="B2121" i="9" s="1"/>
  <c r="B2125" i="9" s="1"/>
  <c r="B2129" i="9" s="1"/>
  <c r="B2133" i="9" s="1"/>
  <c r="B2137" i="9" s="1"/>
  <c r="B2141" i="9" s="1"/>
  <c r="B2145" i="9" s="1"/>
  <c r="B2149" i="9" s="1"/>
  <c r="B2153" i="9" s="1"/>
  <c r="B2157" i="9" s="1"/>
  <c r="B2161" i="9" s="1"/>
  <c r="B2165" i="9" s="1"/>
  <c r="B2169" i="9" s="1"/>
  <c r="B2173" i="9" s="1"/>
  <c r="B2177" i="9" s="1"/>
  <c r="B2181" i="9" s="1"/>
  <c r="B2185" i="9" s="1"/>
  <c r="B2189" i="9" s="1"/>
  <c r="B2193" i="9" s="1"/>
  <c r="B2197" i="9" s="1"/>
  <c r="B2201" i="9" s="1"/>
  <c r="B2205" i="9" s="1"/>
  <c r="B2209" i="9" s="1"/>
  <c r="B2213" i="9" s="1"/>
  <c r="B2217" i="9" s="1"/>
  <c r="B2221" i="9" s="1"/>
  <c r="B2225" i="9" s="1"/>
  <c r="B2229" i="9" s="1"/>
  <c r="B2233" i="9" s="1"/>
  <c r="B2237" i="9" s="1"/>
  <c r="B2241" i="9" s="1"/>
  <c r="B2245" i="9" s="1"/>
  <c r="B2249" i="9" s="1"/>
  <c r="B2253" i="9" s="1"/>
  <c r="B2257" i="9" s="1"/>
  <c r="B2261" i="9" s="1"/>
  <c r="B2265" i="9" s="1"/>
</calcChain>
</file>

<file path=xl/sharedStrings.xml><?xml version="1.0" encoding="utf-8"?>
<sst xmlns="http://schemas.openxmlformats.org/spreadsheetml/2006/main" count="1603" uniqueCount="650">
  <si>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</si>
  <si>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</si>
  <si>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</si>
  <si>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</si>
  <si>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</si>
  <si>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</si>
  <si>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</si>
  <si>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</si>
  <si>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</si>
  <si>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</si>
  <si>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</si>
  <si>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</si>
  <si>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</si>
  <si>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</si>
  <si>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</si>
  <si>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</si>
  <si>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</si>
  <si>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</si>
  <si>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</si>
  <si>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</si>
  <si>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</si>
  <si>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</si>
  <si>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</si>
  <si>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</si>
  <si>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</si>
  <si>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</si>
  <si>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</si>
  <si>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</si>
  <si>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</si>
  <si>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</si>
  <si>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其</t>
  </si>
  <si>
    <t>無</t>
  </si>
  <si>
    <t>之</t>
  </si>
  <si>
    <t>有</t>
  </si>
  <si>
    <t>三</t>
  </si>
  <si>
    <t>以</t>
  </si>
  <si>
    <t>為</t>
  </si>
  <si>
    <t>ziong1</t>
  </si>
  <si>
    <t>zi1</t>
  </si>
  <si>
    <t>tong1</t>
  </si>
  <si>
    <t>i2</t>
  </si>
  <si>
    <t>ui5</t>
  </si>
  <si>
    <t>sip8</t>
  </si>
  <si>
    <t>ki3</t>
  </si>
  <si>
    <t>gi5</t>
  </si>
  <si>
    <t>king1</t>
  </si>
  <si>
    <t>khi3</t>
  </si>
  <si>
    <t>ki5</t>
  </si>
  <si>
    <t>河洛話</t>
    <phoneticPr fontId="1" type="noConversion"/>
  </si>
  <si>
    <t>ging1</t>
  </si>
  <si>
    <t>室</t>
  </si>
  <si>
    <t>時</t>
  </si>
  <si>
    <t>車</t>
  </si>
  <si>
    <t>經</t>
  </si>
  <si>
    <t>漢字</t>
  </si>
  <si>
    <t>《</t>
  </si>
  <si>
    <t>道</t>
  </si>
  <si>
    <t>德</t>
  </si>
  <si>
    <t>第</t>
  </si>
  <si>
    <t>十</t>
  </si>
  <si>
    <t>一</t>
  </si>
  <si>
    <t>章</t>
  </si>
  <si>
    <t>》</t>
  </si>
  <si>
    <t>輻</t>
  </si>
  <si>
    <t>同</t>
  </si>
  <si>
    <t>轂</t>
  </si>
  <si>
    <t>當</t>
  </si>
  <si>
    <t>用</t>
  </si>
  <si>
    <t>也</t>
  </si>
  <si>
    <t>埏</t>
  </si>
  <si>
    <t>埴</t>
  </si>
  <si>
    <t>器</t>
  </si>
  <si>
    <t>鑿</t>
  </si>
  <si>
    <t>戶</t>
  </si>
  <si>
    <t>牖</t>
  </si>
  <si>
    <t>故</t>
  </si>
  <si>
    <t>利</t>
  </si>
  <si>
    <t>to7</t>
  </si>
  <si>
    <t>dor7</t>
  </si>
  <si>
    <t>tik4</t>
  </si>
  <si>
    <t>diek4</t>
  </si>
  <si>
    <t>te7</t>
  </si>
  <si>
    <t>de7</t>
  </si>
  <si>
    <t>ship8</t>
  </si>
  <si>
    <t>it4</t>
  </si>
  <si>
    <t>jiong1</t>
  </si>
  <si>
    <t>hok4</t>
  </si>
  <si>
    <t>kok4</t>
  </si>
  <si>
    <t>gok4</t>
  </si>
  <si>
    <t>dong1</t>
  </si>
  <si>
    <t>iu2</t>
  </si>
  <si>
    <t>ku1</t>
  </si>
  <si>
    <t>gu1</t>
  </si>
  <si>
    <t>ji1</t>
  </si>
  <si>
    <t>iong7</t>
  </si>
  <si>
    <t>ia2</t>
  </si>
  <si>
    <t>ian5</t>
  </si>
  <si>
    <t>sit8</t>
  </si>
  <si>
    <t>shit8</t>
  </si>
  <si>
    <t>cak8</t>
  </si>
  <si>
    <t>hoo7</t>
  </si>
  <si>
    <t>sik4</t>
  </si>
  <si>
    <t>shiek4</t>
  </si>
  <si>
    <t>koo3</t>
  </si>
  <si>
    <t>goo3</t>
  </si>
  <si>
    <t>li7</t>
  </si>
  <si>
    <t xml:space="preserve">《道德經。第十一章》
三十輻同一轂，當其無，有車之用也。
埏埴為器，當其無，有埴器之用也。
鑿戶牖，當其無，有室之用也。
故有之以為利，無之以為用。
</t>
  </si>
  <si>
    <t>sam1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</si>
  <si>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</si>
  <si>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</si>
  <si>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</si>
  <si>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</si>
  <si>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</si>
  <si>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</si>
  <si>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</si>
  <si>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</si>
  <si>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</si>
  <si>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</si>
  <si>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</si>
  <si>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</si>
  <si>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</si>
  <si>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</si>
  <si>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</si>
  <si>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</si>
  <si>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</si>
  <si>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</si>
  <si>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</si>
  <si>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</si>
  <si>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《道德經。第十一章》</t>
  </si>
  <si>
    <t>Tō tik king. Tē si̍p it tsiong</t>
  </si>
  <si>
    <t>00:00:25,000</t>
  </si>
  <si>
    <t>00:00:27,000</t>
  </si>
  <si>
    <t>30</t>
  </si>
  <si>
    <t>27</t>
  </si>
  <si>
    <t>Sip hok tâng it kok, tong kî bô, íu ku tsi īong ía.</t>
  </si>
  <si>
    <t>00:00:30,000</t>
  </si>
  <si>
    <t>00:00:32,000</t>
  </si>
  <si>
    <t>35</t>
  </si>
  <si>
    <t>32</t>
  </si>
  <si>
    <t>埏埴為器，當其無，有埴器之用也。</t>
  </si>
  <si>
    <t>Îan si̍t ûi khì, tong kî bô, íu si̍t khì tsi īong ía.</t>
  </si>
  <si>
    <t>00:00:35,000</t>
  </si>
  <si>
    <t>00:00:37,000</t>
  </si>
  <si>
    <t>40</t>
  </si>
  <si>
    <t>37</t>
  </si>
  <si>
    <t>鑿戶牖，當其無，有室之用也。</t>
  </si>
  <si>
    <t>00:00:40,000</t>
  </si>
  <si>
    <t>00:00:42,000</t>
  </si>
  <si>
    <t>45</t>
  </si>
  <si>
    <t>42</t>
  </si>
  <si>
    <t>故有之以為利，無之以為用。</t>
  </si>
  <si>
    <t>Kòo íu tsi í ûi lī, bô tsi í ûi īong.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</si>
  <si>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</si>
  <si>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</si>
  <si>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</si>
  <si>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</si>
  <si>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</si>
  <si>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</si>
  <si>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</si>
  <si>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</si>
  <si>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</si>
  <si>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t>tong5</t>
    <phoneticPr fontId="1" type="noConversion"/>
  </si>
  <si>
    <t>dong5</t>
    <phoneticPr fontId="1" type="noConversion"/>
  </si>
  <si>
    <t>bu5</t>
    <phoneticPr fontId="1" type="noConversion"/>
  </si>
  <si>
    <t>bbu5</t>
    <phoneticPr fontId="1" type="noConversion"/>
  </si>
  <si>
    <t>。</t>
    <phoneticPr fontId="1" type="noConversion"/>
  </si>
  <si>
    <t>三十輻同一轂，當其無，有車之用也。</t>
  </si>
  <si>
    <t>Tsha̍k hōo iú, tong kî bô, íu sik tsi īong ía.</t>
    <phoneticPr fontId="1" type="noConversion"/>
  </si>
  <si>
    <t>Dor7 diek4 ging1. De7 ship8 it4 jiong1</t>
  </si>
  <si>
    <t>Sam1 ship8 hok4 dong5 it4 gok4, dong1 gi5 bbu5, iu2 gu1 ji1 iong7 ia2.</t>
  </si>
  <si>
    <t>Ian5 shit8 ui5 ki3, dong1 gi5 bbu5, iu2 shit8 ki3 ji1 iong7 ia2.</t>
  </si>
  <si>
    <t>Cak8 hoo7 iu2, dong1 gi5 bbu5, iu2 shiek4 ji1 iong7 ia2.</t>
  </si>
  <si>
    <t>Goo3 iu2 ji1 i2 ui5 li7, bbu5 ji1 i2 ui5 iong7.</t>
  </si>
  <si>
    <t>to7</t>
    <phoneticPr fontId="1" type="noConversion"/>
  </si>
  <si>
    <t>tō</t>
    <phoneticPr fontId="1" type="noConversion"/>
  </si>
  <si>
    <t>tik4</t>
    <phoneticPr fontId="1" type="noConversion"/>
  </si>
  <si>
    <t>tik</t>
    <phoneticPr fontId="1" type="noConversion"/>
  </si>
  <si>
    <t>king1</t>
    <phoneticPr fontId="1" type="noConversion"/>
  </si>
  <si>
    <t>king</t>
    <phoneticPr fontId="1" type="noConversion"/>
  </si>
  <si>
    <t>te7</t>
    <phoneticPr fontId="1" type="noConversion"/>
  </si>
  <si>
    <t>tē</t>
    <phoneticPr fontId="1" type="noConversion"/>
  </si>
  <si>
    <t>sip8</t>
    <phoneticPr fontId="1" type="noConversion"/>
  </si>
  <si>
    <t>si̍p</t>
    <phoneticPr fontId="1" type="noConversion"/>
  </si>
  <si>
    <t>it4</t>
    <phoneticPr fontId="1" type="noConversion"/>
  </si>
  <si>
    <t>it</t>
    <phoneticPr fontId="1" type="noConversion"/>
  </si>
  <si>
    <t>ziong1</t>
    <phoneticPr fontId="1" type="noConversion"/>
  </si>
  <si>
    <t>tsiong</t>
    <phoneticPr fontId="1" type="noConversion"/>
  </si>
  <si>
    <t>sam1</t>
    <phoneticPr fontId="1" type="noConversion"/>
  </si>
  <si>
    <t>sam</t>
    <phoneticPr fontId="1" type="noConversion"/>
  </si>
  <si>
    <t>hok4</t>
    <phoneticPr fontId="1" type="noConversion"/>
  </si>
  <si>
    <t>hok</t>
    <phoneticPr fontId="1" type="noConversion"/>
  </si>
  <si>
    <t>tông</t>
    <phoneticPr fontId="1" type="noConversion"/>
  </si>
  <si>
    <t>kok4</t>
    <phoneticPr fontId="1" type="noConversion"/>
  </si>
  <si>
    <t>kok</t>
    <phoneticPr fontId="1" type="noConversion"/>
  </si>
  <si>
    <t>tong1</t>
    <phoneticPr fontId="1" type="noConversion"/>
  </si>
  <si>
    <t>tong</t>
    <phoneticPr fontId="1" type="noConversion"/>
  </si>
  <si>
    <t>ki5</t>
    <phoneticPr fontId="1" type="noConversion"/>
  </si>
  <si>
    <t>kî</t>
    <phoneticPr fontId="1" type="noConversion"/>
  </si>
  <si>
    <t>bû</t>
    <phoneticPr fontId="1" type="noConversion"/>
  </si>
  <si>
    <t>iu2</t>
    <phoneticPr fontId="1" type="noConversion"/>
  </si>
  <si>
    <t>íu</t>
    <phoneticPr fontId="1" type="noConversion"/>
  </si>
  <si>
    <t>ku1</t>
    <phoneticPr fontId="1" type="noConversion"/>
  </si>
  <si>
    <t>ku</t>
    <phoneticPr fontId="1" type="noConversion"/>
  </si>
  <si>
    <t>zi1</t>
    <phoneticPr fontId="1" type="noConversion"/>
  </si>
  <si>
    <t>tsi</t>
    <phoneticPr fontId="1" type="noConversion"/>
  </si>
  <si>
    <t>iong7</t>
    <phoneticPr fontId="1" type="noConversion"/>
  </si>
  <si>
    <t>īong</t>
    <phoneticPr fontId="1" type="noConversion"/>
  </si>
  <si>
    <t>ia2</t>
    <phoneticPr fontId="1" type="noConversion"/>
  </si>
  <si>
    <t>ía</t>
    <phoneticPr fontId="1" type="noConversion"/>
  </si>
  <si>
    <t>ian5</t>
    <phoneticPr fontId="1" type="noConversion"/>
  </si>
  <si>
    <t>îan</t>
    <phoneticPr fontId="1" type="noConversion"/>
  </si>
  <si>
    <t>sit8</t>
    <phoneticPr fontId="1" type="noConversion"/>
  </si>
  <si>
    <t>si̍t</t>
    <phoneticPr fontId="1" type="noConversion"/>
  </si>
  <si>
    <t>ui5</t>
    <phoneticPr fontId="1" type="noConversion"/>
  </si>
  <si>
    <t>ûi</t>
    <phoneticPr fontId="1" type="noConversion"/>
  </si>
  <si>
    <t>khi3</t>
    <phoneticPr fontId="1" type="noConversion"/>
  </si>
  <si>
    <t>khì</t>
    <phoneticPr fontId="1" type="noConversion"/>
  </si>
  <si>
    <t>cak8</t>
    <phoneticPr fontId="1" type="noConversion"/>
  </si>
  <si>
    <t>tsha̍k</t>
    <phoneticPr fontId="1" type="noConversion"/>
  </si>
  <si>
    <t>hoo7</t>
    <phoneticPr fontId="1" type="noConversion"/>
  </si>
  <si>
    <t>hōo</t>
    <phoneticPr fontId="1" type="noConversion"/>
  </si>
  <si>
    <t>sik4</t>
    <phoneticPr fontId="1" type="noConversion"/>
  </si>
  <si>
    <t>sik</t>
    <phoneticPr fontId="1" type="noConversion"/>
  </si>
  <si>
    <t>koo3</t>
    <phoneticPr fontId="1" type="noConversion"/>
  </si>
  <si>
    <t>kòo</t>
    <phoneticPr fontId="1" type="noConversion"/>
  </si>
  <si>
    <t>i2</t>
    <phoneticPr fontId="1" type="noConversion"/>
  </si>
  <si>
    <t>í</t>
    <phoneticPr fontId="1" type="noConversion"/>
  </si>
  <si>
    <t>li7</t>
    <phoneticPr fontId="1" type="noConversion"/>
  </si>
  <si>
    <t>lī</t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</si>
  <si>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</si>
  <si>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</si>
  <si>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</si>
  <si>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</si>
  <si>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</si>
  <si>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</si>
  <si>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</si>
  <si>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此</t>
  </si>
  <si>
    <t>cu2</t>
  </si>
  <si>
    <t>第一章論德</t>
  </si>
  <si>
    <t>Dê yīt ziōng lûn dīk</t>
  </si>
  <si>
    <t>前識者道之華也而愚之首也</t>
  </si>
  <si>
    <t>Zián bbāt ziǎ dô zī huá yǎ zzí ggú zī sǐu yǎ</t>
  </si>
  <si>
    <t>《道德經。第一章》</t>
  </si>
  <si>
    <t>Dô dīk gīng. Dê yīt ziōng</t>
  </si>
  <si>
    <t>上德不德是以有德</t>
  </si>
  <si>
    <t>Siông dīk būt dīk sî yǐ yǔ dīk</t>
  </si>
  <si>
    <t>下德不失德是以無德</t>
  </si>
  <si>
    <t>Hà dīk būt sīt dīk sî yǐ bbú dīk</t>
  </si>
  <si>
    <t>上德無為而無以為也</t>
  </si>
  <si>
    <t>Siông dīk bbú wí zzí bbú yǐ wí yǎ</t>
  </si>
  <si>
    <t>上仁為之而無以為也</t>
  </si>
  <si>
    <t>Siông zzín wí zī zzí bbú yǐ wí yǎ</t>
  </si>
  <si>
    <t>上義為之而有以為也</t>
  </si>
  <si>
    <t>Siông ggî wí zī zzí yǔ yǐ wí yǎ</t>
  </si>
  <si>
    <t>上禮為之而莫之應也</t>
  </si>
  <si>
    <t>Siông lě wí zī zzí bbók zī yīng yǎ</t>
  </si>
  <si>
    <t>則攘臂而扔之</t>
  </si>
  <si>
    <t>Zīk zzióng bì zzí zzíng zī</t>
  </si>
  <si>
    <t>故失道而後德失德而後仁</t>
  </si>
  <si>
    <t>Gòo sīt dô zzí hôo dīk sīt dīk zzí hôo zzín</t>
  </si>
  <si>
    <t>失仁而後義失義而後禮</t>
  </si>
  <si>
    <t>Sīt zzín zzí hôo ggî sīt ggî zzí hôo lě</t>
  </si>
  <si>
    <t>夫禮者忠信之泊也而亂之首也</t>
  </si>
  <si>
    <t>Hú lě ziǎ diōng sìn zī bók yǎ zzí luân zī sǐu yǎ</t>
  </si>
  <si>
    <t>是以大丈夫居亓厚而不居亓泊</t>
  </si>
  <si>
    <t>Sî yǐ dâi diông hú gū gí hôo zzí būt gū gí bók</t>
  </si>
  <si>
    <t>居亓實而不居亓華</t>
  </si>
  <si>
    <t>Gū gí sít zzí būt gū gí huá</t>
  </si>
  <si>
    <t>故去彼取此有之以為利，無之以為用。</t>
  </si>
  <si>
    <t>Gòo kù hīt cǔ cǔ yǔ zī yǐ wí lî, bbú zī yǐ wí yông.</t>
  </si>
  <si>
    <t>天</t>
  </si>
  <si>
    <t>萬</t>
  </si>
  <si>
    <t>hui1</t>
  </si>
  <si>
    <t>hing5</t>
  </si>
  <si>
    <t>thian1</t>
  </si>
  <si>
    <t>ban7</t>
  </si>
  <si>
    <t>注音二式</t>
  </si>
  <si>
    <t>雅俗通</t>
  </si>
  <si>
    <t>方音符號</t>
  </si>
  <si>
    <t>tian1</t>
  </si>
  <si>
    <t>bban7</t>
  </si>
  <si>
    <t>（</t>
  </si>
  <si>
    <t>）</t>
  </si>
  <si>
    <t>不</t>
  </si>
  <si>
    <t>相</t>
  </si>
  <si>
    <t>生</t>
  </si>
  <si>
    <t>聲</t>
  </si>
  <si>
    <t>前</t>
  </si>
  <si>
    <t>處</t>
  </si>
  <si>
    <t>得</t>
  </si>
  <si>
    <t>誰</t>
  </si>
  <si>
    <t>？</t>
  </si>
  <si>
    <t>愛</t>
  </si>
  <si>
    <t>何</t>
  </si>
  <si>
    <t>今</t>
  </si>
  <si>
    <t>：</t>
  </si>
  <si>
    <t>清</t>
  </si>
  <si>
    <t>新</t>
  </si>
  <si>
    <t>我</t>
  </si>
  <si>
    <t>家</t>
  </si>
  <si>
    <t>屬</t>
  </si>
  <si>
    <t>年</t>
  </si>
  <si>
    <t>老</t>
  </si>
  <si>
    <t>平</t>
  </si>
  <si>
    <t>疏</t>
  </si>
  <si>
    <t>來</t>
  </si>
  <si>
    <t>put4</t>
  </si>
  <si>
    <t>but4</t>
  </si>
  <si>
    <t>siong3</t>
  </si>
  <si>
    <t>shiong3</t>
  </si>
  <si>
    <t>sing1</t>
  </si>
  <si>
    <t>shing1</t>
  </si>
  <si>
    <t>zian5</t>
  </si>
  <si>
    <t>jian5</t>
  </si>
  <si>
    <t>sui5</t>
  </si>
  <si>
    <t>kong1</t>
  </si>
  <si>
    <t>hu5</t>
  </si>
  <si>
    <t>sim1</t>
  </si>
  <si>
    <t>shim1</t>
  </si>
  <si>
    <t>ngoo2</t>
  </si>
  <si>
    <t>liok8</t>
  </si>
  <si>
    <t>liook8</t>
  </si>
  <si>
    <t>bian5</t>
  </si>
  <si>
    <t>ling5</t>
  </si>
  <si>
    <t>kim1</t>
  </si>
  <si>
    <t>gim1</t>
  </si>
  <si>
    <t>giok8</t>
  </si>
  <si>
    <t>ggiook8</t>
  </si>
  <si>
    <t>buan2</t>
  </si>
  <si>
    <t>bbuan2</t>
  </si>
  <si>
    <t>ai3</t>
  </si>
  <si>
    <t>long5</t>
  </si>
  <si>
    <t>ho5</t>
  </si>
  <si>
    <t>hor5</t>
  </si>
  <si>
    <t>zing7</t>
  </si>
  <si>
    <t>jing7</t>
  </si>
  <si>
    <t>cing1</t>
  </si>
  <si>
    <t>ching1</t>
  </si>
  <si>
    <t>cin1</t>
  </si>
  <si>
    <t>chin1</t>
  </si>
  <si>
    <t>ziok4</t>
  </si>
  <si>
    <t>jiook4</t>
  </si>
  <si>
    <t>iu1</t>
  </si>
  <si>
    <t>ka1</t>
  </si>
  <si>
    <t>ga1</t>
  </si>
  <si>
    <t>siau3</t>
  </si>
  <si>
    <t>shiau3</t>
  </si>
  <si>
    <t>uan5</t>
  </si>
  <si>
    <t>zing5</t>
  </si>
  <si>
    <t>jing5</t>
  </si>
  <si>
    <t>lian5</t>
  </si>
  <si>
    <t>lo2</t>
  </si>
  <si>
    <t>lor2</t>
  </si>
  <si>
    <t>phing5</t>
  </si>
  <si>
    <t>ping5</t>
  </si>
  <si>
    <t>tiong1</t>
  </si>
  <si>
    <t>sik8</t>
  </si>
  <si>
    <t>shiek8</t>
  </si>
  <si>
    <t>kian1</t>
  </si>
  <si>
    <t>gian1</t>
  </si>
  <si>
    <t>king3</t>
  </si>
  <si>
    <t>ging3</t>
  </si>
  <si>
    <t>soo1</t>
  </si>
  <si>
    <t>lai5</t>
  </si>
  <si>
    <t>Ng-Suann-Guan-Hun.png</t>
    <phoneticPr fontId="1" type="noConversion"/>
  </si>
  <si>
    <t>續校</t>
    <phoneticPr fontId="1" type="noConversion"/>
  </si>
  <si>
    <t>校對注音</t>
    <phoneticPr fontId="1" type="noConversion"/>
  </si>
  <si>
    <t>在【缺字表】補漢字庫尚缺之漢字標音</t>
    <phoneticPr fontId="1" type="noConversion"/>
  </si>
  <si>
    <r>
      <t>py .\a500_</t>
    </r>
    <r>
      <rPr>
        <sz val="16"/>
        <color rgb="FFFF0000"/>
        <rFont val="細明體"/>
        <family val="3"/>
        <charset val="136"/>
      </rPr>
      <t>漢字庫工具</t>
    </r>
    <r>
      <rPr>
        <sz val="16"/>
        <color rgb="FFFF0000"/>
        <rFont val="Charis SIL"/>
      </rPr>
      <t>.py 2</t>
    </r>
    <phoneticPr fontId="1" type="noConversion"/>
  </si>
  <si>
    <t>更新漢字庫之漢字標音</t>
    <phoneticPr fontId="1" type="noConversion"/>
  </si>
  <si>
    <t>將【漢字注音】工作表內容製成漢字標音網頁</t>
    <phoneticPr fontId="1" type="noConversion"/>
  </si>
  <si>
    <t>製作上下兩行式【簡式】漢字標音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</si>
  <si>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 --start d133</t>
    </r>
    <phoneticPr fontId="1" type="noConversion"/>
  </si>
  <si>
    <t>台語音標</t>
  </si>
  <si>
    <t>校正音標</t>
  </si>
  <si>
    <t>座標</t>
  </si>
  <si>
    <t>念</t>
  </si>
  <si>
    <t>青</t>
  </si>
  <si>
    <t>夕</t>
  </si>
  <si>
    <t>影</t>
  </si>
  <si>
    <t>空</t>
  </si>
  <si>
    <t>便</t>
  </si>
  <si>
    <t>lim5</t>
  </si>
  <si>
    <t>(5, 6)</t>
  </si>
  <si>
    <t>ing2</t>
  </si>
  <si>
    <t>(13, 15)</t>
  </si>
  <si>
    <t>(21, 11)</t>
  </si>
  <si>
    <t>(21, 14)</t>
  </si>
  <si>
    <t>(21, 15)</t>
  </si>
  <si>
    <t>liam7</t>
  </si>
  <si>
    <t>(41, 18)</t>
  </si>
  <si>
    <t>(49, 14)</t>
  </si>
  <si>
    <t>(49, 16)</t>
  </si>
  <si>
    <t>(49, 17)</t>
  </si>
  <si>
    <t>(57, 4)</t>
  </si>
  <si>
    <t>(57, 5)</t>
  </si>
  <si>
    <t>(57, 6)</t>
  </si>
  <si>
    <t>(57, 7)</t>
  </si>
  <si>
    <t>(57, 12)</t>
  </si>
  <si>
    <t>(57, 14)</t>
  </si>
  <si>
    <t>khong1</t>
  </si>
  <si>
    <t>pian5</t>
  </si>
  <si>
    <t>lam5</t>
  </si>
  <si>
    <t>奴</t>
  </si>
  <si>
    <t>嬌</t>
  </si>
  <si>
    <t>·</t>
  </si>
  <si>
    <t>斷</t>
  </si>
  <si>
    <t>虹</t>
  </si>
  <si>
    <t>霽</t>
  </si>
  <si>
    <t>雨</t>
  </si>
  <si>
    <t>宋</t>
  </si>
  <si>
    <t>黃</t>
  </si>
  <si>
    <t>庭</t>
  </si>
  <si>
    <t>堅</t>
  </si>
  <si>
    <t>淨</t>
  </si>
  <si>
    <t>秋</t>
  </si>
  <si>
    <t>山</t>
  </si>
  <si>
    <t>染</t>
  </si>
  <si>
    <t>修</t>
  </si>
  <si>
    <t>眉</t>
  </si>
  <si>
    <t>綠</t>
  </si>
  <si>
    <t>桂</t>
  </si>
  <si>
    <t>扶</t>
  </si>
  <si>
    <t>輝</t>
  </si>
  <si>
    <t>足</t>
  </si>
  <si>
    <t>里</t>
  </si>
  <si>
    <t>姮</t>
  </si>
  <si>
    <t>娥</t>
  </si>
  <si>
    <t>駕</t>
  </si>
  <si>
    <t>輪</t>
  </si>
  <si>
    <t>玉</t>
  </si>
  <si>
    <t>寒</t>
  </si>
  <si>
    <t>光</t>
  </si>
  <si>
    <t>零</t>
  </si>
  <si>
    <t>亂</t>
  </si>
  <si>
    <t>偏</t>
  </si>
  <si>
    <t>照</t>
  </si>
  <si>
    <t>醽</t>
  </si>
  <si>
    <t>醁</t>
  </si>
  <si>
    <t>少</t>
  </si>
  <si>
    <t>從</t>
  </si>
  <si>
    <t>追</t>
  </si>
  <si>
    <t>遊</t>
  </si>
  <si>
    <t>晚</t>
  </si>
  <si>
    <t>涼</t>
  </si>
  <si>
    <t>幽</t>
  </si>
  <si>
    <t>徑</t>
  </si>
  <si>
    <t>繞</t>
  </si>
  <si>
    <t>張</t>
  </si>
  <si>
    <t>園</t>
  </si>
  <si>
    <t>森</t>
  </si>
  <si>
    <t>木</t>
  </si>
  <si>
    <t>共</t>
  </si>
  <si>
    <t>倒</t>
  </si>
  <si>
    <t>金</t>
  </si>
  <si>
    <t>荷</t>
  </si>
  <si>
    <t>難</t>
  </si>
  <si>
    <t>尊</t>
  </si>
  <si>
    <t>子</t>
  </si>
  <si>
    <t>江</t>
  </si>
  <si>
    <t>南</t>
  </si>
  <si>
    <t>北</t>
  </si>
  <si>
    <t>最</t>
  </si>
  <si>
    <t>臨</t>
  </si>
  <si>
    <t>風</t>
  </si>
  <si>
    <t>笛</t>
  </si>
  <si>
    <t>孫</t>
  </si>
  <si>
    <t>郎</t>
  </si>
  <si>
    <t>微</t>
  </si>
  <si>
    <t>笑</t>
  </si>
  <si>
    <t>坐</t>
  </si>
  <si>
    <t>噴</t>
  </si>
  <si>
    <t>霜</t>
  </si>
  <si>
    <t>竹</t>
  </si>
  <si>
    <t xml:space="preserve">《念奴嬌·斷虹霽雨》（宋：黃庭堅）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</si>
  <si>
    <t>念奴嬌·斷虹霽雨</t>
    <phoneticPr fontId="1" type="noConversion"/>
  </si>
  <si>
    <t>loo5</t>
  </si>
  <si>
    <t>kiau1</t>
  </si>
  <si>
    <t>giau1</t>
  </si>
  <si>
    <t>tuan3</t>
  </si>
  <si>
    <t>duan3</t>
  </si>
  <si>
    <t>hong5</t>
  </si>
  <si>
    <t>ze3</t>
  </si>
  <si>
    <t>u2</t>
  </si>
  <si>
    <t>song3</t>
  </si>
  <si>
    <t>ting5</t>
  </si>
  <si>
    <t>ding5</t>
  </si>
  <si>
    <t>(5, 5)</t>
  </si>
  <si>
    <t>(5, 7)</t>
  </si>
  <si>
    <t>(5, 15)</t>
  </si>
  <si>
    <t>(5, 17)</t>
  </si>
  <si>
    <t>(5, 18)</t>
  </si>
  <si>
    <t>(9, 4)</t>
  </si>
  <si>
    <t>ciu1</t>
  </si>
  <si>
    <t>chiu1</t>
  </si>
  <si>
    <t>san1</t>
  </si>
  <si>
    <t>bak4</t>
  </si>
  <si>
    <t>bbak4</t>
  </si>
  <si>
    <t>siu1</t>
  </si>
  <si>
    <t>shiu1</t>
  </si>
  <si>
    <t>bi5</t>
  </si>
  <si>
    <t>bbi5</t>
  </si>
  <si>
    <t>(5, 9); (13, 4)</t>
  </si>
  <si>
    <t>(5, 10); (13, 5)</t>
  </si>
  <si>
    <t>(5, 11); (13, 6)</t>
  </si>
  <si>
    <t>(5, 12); (13, 7)</t>
  </si>
  <si>
    <t>(13, 9)</t>
  </si>
  <si>
    <t>(13, 10)</t>
  </si>
  <si>
    <t>(13, 11)</t>
  </si>
  <si>
    <t>(13, 13)</t>
  </si>
  <si>
    <t>(13, 14)</t>
  </si>
  <si>
    <t>(13, 16)</t>
  </si>
  <si>
    <t>(13, 17)</t>
  </si>
  <si>
    <t>(13, 18)</t>
  </si>
  <si>
    <t>kue3</t>
  </si>
  <si>
    <t>gue3</t>
  </si>
  <si>
    <t>(21, 4)</t>
  </si>
  <si>
    <t>(21, 5)</t>
  </si>
  <si>
    <t>(21, 6)</t>
  </si>
  <si>
    <t>(21, 7)</t>
  </si>
  <si>
    <t>(21, 10)</t>
  </si>
  <si>
    <t>(21, 13)</t>
  </si>
  <si>
    <t>(21, 16)</t>
  </si>
  <si>
    <t>(21, 17)</t>
  </si>
  <si>
    <t>(21, 18)</t>
  </si>
  <si>
    <t>li2</t>
  </si>
  <si>
    <t>go5</t>
  </si>
  <si>
    <t>ggor5</t>
  </si>
  <si>
    <t>ka3</t>
  </si>
  <si>
    <t>ga3</t>
  </si>
  <si>
    <t>lun5</t>
  </si>
  <si>
    <t>(29, 6)</t>
  </si>
  <si>
    <t>(29, 7)</t>
  </si>
  <si>
    <t>(29, 9)</t>
  </si>
  <si>
    <t>(29, 10)</t>
  </si>
  <si>
    <t>(29, 11)</t>
  </si>
  <si>
    <t>(29, 12)</t>
  </si>
  <si>
    <t>(29, 14)</t>
  </si>
  <si>
    <t>(29, 15)</t>
  </si>
  <si>
    <t>(29, 16)</t>
  </si>
  <si>
    <t>(29, 17)</t>
  </si>
  <si>
    <t>(29, 18)</t>
  </si>
  <si>
    <t>han5</t>
  </si>
  <si>
    <t>gong1</t>
  </si>
  <si>
    <t>luan7</t>
  </si>
  <si>
    <t>ziau3</t>
  </si>
  <si>
    <t>jiau3</t>
  </si>
  <si>
    <t>(21, 9); (37, 10)</t>
  </si>
  <si>
    <t>(37, 4)</t>
  </si>
  <si>
    <t>(37, 5)</t>
  </si>
  <si>
    <t>(37, 6)</t>
  </si>
  <si>
    <t>(37, 7)</t>
  </si>
  <si>
    <t>(37, 9)</t>
  </si>
  <si>
    <t>(37, 11)</t>
  </si>
  <si>
    <t>(37, 12)</t>
  </si>
  <si>
    <t>(37, 13)</t>
  </si>
  <si>
    <t>(37, 14)</t>
  </si>
  <si>
    <t>tui1</t>
  </si>
  <si>
    <t>dui1</t>
  </si>
  <si>
    <t>iu5</t>
  </si>
  <si>
    <t>liong5</t>
  </si>
  <si>
    <t>jiau2</t>
  </si>
  <si>
    <t>jjiau2</t>
  </si>
  <si>
    <t>diong1</t>
  </si>
  <si>
    <t>(41, 4)</t>
  </si>
  <si>
    <t>(41, 5)</t>
  </si>
  <si>
    <t>(41, 6)</t>
  </si>
  <si>
    <t>(41, 7)</t>
  </si>
  <si>
    <t>(41, 8)</t>
  </si>
  <si>
    <t>(41, 9)</t>
  </si>
  <si>
    <t>(41, 11)</t>
  </si>
  <si>
    <t>(41, 12)</t>
  </si>
  <si>
    <t>(41, 13)</t>
  </si>
  <si>
    <t>(41, 14)</t>
  </si>
  <si>
    <t>(41, 16)</t>
  </si>
  <si>
    <t>(41, 17)</t>
  </si>
  <si>
    <t>bok8</t>
  </si>
  <si>
    <t>bbok8</t>
  </si>
  <si>
    <t>(45, 4)</t>
  </si>
  <si>
    <t>(45, 5)</t>
  </si>
  <si>
    <t>kiong7</t>
  </si>
  <si>
    <t>giong7</t>
  </si>
  <si>
    <t>tau2</t>
  </si>
  <si>
    <t>dau2</t>
  </si>
  <si>
    <t>hau1</t>
  </si>
  <si>
    <t>lan5</t>
  </si>
  <si>
    <t>zun1</t>
  </si>
  <si>
    <t>(29, 4); (49, 10)</t>
  </si>
  <si>
    <t>(29, 5); (49, 11)</t>
  </si>
  <si>
    <t>(49, 4)</t>
  </si>
  <si>
    <t>(49, 5)</t>
  </si>
  <si>
    <t>(49, 6)</t>
  </si>
  <si>
    <t>(49, 7)</t>
  </si>
  <si>
    <t>(49, 9)</t>
  </si>
  <si>
    <t>(49, 13)</t>
  </si>
  <si>
    <t>(49, 15)</t>
  </si>
  <si>
    <t>(49, 18)</t>
  </si>
  <si>
    <t>zu2</t>
  </si>
  <si>
    <t>kang1</t>
  </si>
  <si>
    <t>gang1</t>
  </si>
  <si>
    <t>pok4</t>
  </si>
  <si>
    <t>bok4</t>
  </si>
  <si>
    <t>zue3</t>
  </si>
  <si>
    <t>hong1</t>
  </si>
  <si>
    <t>tik8</t>
  </si>
  <si>
    <t>diek8</t>
  </si>
  <si>
    <t>(57, 9); (57, 11)</t>
  </si>
  <si>
    <t>(57, 10)</t>
  </si>
  <si>
    <t>(57, 15)</t>
  </si>
  <si>
    <t>(57, 16)</t>
  </si>
  <si>
    <t>(57, 17)</t>
  </si>
  <si>
    <t>(57, 18)</t>
  </si>
  <si>
    <t>sun1</t>
  </si>
  <si>
    <t>cio3</t>
  </si>
  <si>
    <t>chior3</t>
  </si>
  <si>
    <t>ze7</t>
  </si>
  <si>
    <t>bu7</t>
  </si>
  <si>
    <t>bbu7</t>
  </si>
  <si>
    <t>song1</t>
  </si>
  <si>
    <t>tiok4</t>
  </si>
  <si>
    <t>diook4</t>
  </si>
  <si>
    <t>(65, 4)</t>
  </si>
  <si>
    <t>(65, 5)</t>
  </si>
  <si>
    <t>(65, 6)</t>
  </si>
  <si>
    <t>(65, 7)</t>
  </si>
  <si>
    <t>(65, 9)</t>
  </si>
  <si>
    <t>(65, 10)</t>
  </si>
  <si>
    <t>(65, 11)</t>
  </si>
  <si>
    <t>(65, 12)</t>
  </si>
  <si>
    <t>(65, 13)</t>
  </si>
  <si>
    <t>(65, 14)</t>
  </si>
  <si>
    <t>【河洛文讀注音-注音二式】《念奴嬌·斷虹霽雨》.xlsx</t>
    <phoneticPr fontId="1" type="noConversion"/>
  </si>
  <si>
    <t>《念奴嬌·斷虹霽雨》（宋：黃庭堅）</t>
  </si>
  <si>
    <t>Liam7 loo5 giau1· duan3 hong5 ze3 u2 song3: hong5 ding5 gian1</t>
  </si>
  <si>
    <t>斷虹霽雨，淨秋空，山染修眉新綠。</t>
  </si>
  <si>
    <t>Duan3 hong5 ze3 u2, jing7 chiu1 kong1, san1 bbak4 shiu1 bbi5 chin1 liook8.</t>
  </si>
  <si>
    <t>桂影扶疏，誰便道，今夕清輝不足？</t>
  </si>
  <si>
    <t>Gue3 ing2 hu5 soo1, sui5 bian5 dor7, gim1 shiek8 ching1 hui1 but4 jiook4?</t>
  </si>
  <si>
    <t>萬里青天，姮娥何處，駕此一輪玉。</t>
  </si>
  <si>
    <t>Bban7 li2 ching1 tian1, hing5 ggor5 hor5 cu2, ga3 cu2 it4 lun5 ggiook8.</t>
  </si>
  <si>
    <t>寒光零亂，為誰偏照醽醁？</t>
  </si>
  <si>
    <t>Han5 gong1 ling5 luan7, ui5 sui5 tian1 jiau3?</t>
  </si>
  <si>
    <t>年少從我追遊，晚涼幽徑，繞張園森木。</t>
  </si>
  <si>
    <t>Lian5 shiau3 jing5 ngoo2 dui1 iu5, bbuan2 liong5 iu1 ging3, jjiau2 diong1 uan5 shim1 bbok8.</t>
  </si>
  <si>
    <t>共倒金荷，家萬里，難得尊前相屬。</t>
  </si>
  <si>
    <t>Giong7 dau2 gim1 hau1, ga1 bban7 li2, lan5 diek4 zun1 jian5 shiong3 jiook4.</t>
  </si>
  <si>
    <t>老子平生，江南江北，最愛臨風笛。</t>
  </si>
  <si>
    <t>Lor2 zu2 ping5 shing1, gang1 lam5 gang1 bok4, zue3 ai3 lim5 hong1 diek8.</t>
  </si>
  <si>
    <t>孫郎微笑，坐來聲噴霜竹。</t>
  </si>
  <si>
    <t>Sun1 long5 bbi5 chior3, ze7 lai5 shing1 bbu7 song1 diook4.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</si>
</sst>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6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color rgb="FFFF0000"/>
      <name val="Microsoft JhengHei"/>
      <family val="2"/>
      <charset val="136"/>
    </font>
    <font>
      <b/>
      <sz val="11"/>
      <color rgb="FFFF0000"/>
      <name val="Microsoft JhengHei"/>
      <family val="2"/>
      <charset val="136"/>
    </font>
    <font>
      <sz val="11"/>
      <color rgb="FFFF0000"/>
      <name val="Microsoft JhengHei"/>
      <family val="2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b/>
      <sz val="18"/>
      <color rgb="FFFF0000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  <font>
      <sz val="16"/>
      <color theme="3" tint="0.499984740745262"/>
      <name val="Charis SIL"/>
    </font>
    <font>
      <sz val="16"/>
      <color theme="3" tint="0.499984740745262"/>
      <name val="Microsoft JhengHei UI"/>
      <family val="2"/>
      <charset val="136"/>
    </font>
    <font>
      <sz val="16"/>
      <color theme="3" tint="0.499984740745262"/>
      <name val="細明體"/>
      <family val="3"/>
      <charset val="136"/>
    </font>
    <font>
      <sz val="16"/>
      <color rgb="FFFF0000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38" fillId="4" borderId="0">
      <alignment horizontal="center" vertical="center"/>
    </xf>
    <xf numFmtId="0" fontId="44" fillId="0" borderId="0"/>
    <xf numFmtId="43" fontId="4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40" fillId="0" borderId="0" xfId="1" applyFont="1">
      <alignment vertical="center"/>
    </xf>
    <xf numFmtId="0" fontId="54" fillId="0" borderId="0" xfId="0" applyFont="1">
      <alignment vertical="center"/>
    </xf>
    <xf numFmtId="49" fontId="52" fillId="4" borderId="6" xfId="0" applyNumberFormat="1" applyFont="1" applyFill="1" applyBorder="1" applyAlignment="1">
      <alignment horizontal="left" vertical="center" wrapText="1"/>
    </xf>
    <xf numFmtId="49" fontId="53" fillId="2" borderId="6" xfId="0" applyNumberFormat="1" applyFont="1" applyFill="1" applyBorder="1" applyAlignment="1">
      <alignment horizontal="left" vertical="center" wrapText="1"/>
    </xf>
    <xf numFmtId="49" fontId="51" fillId="2" borderId="6" xfId="0" applyNumberFormat="1" applyFont="1" applyFill="1" applyBorder="1" applyAlignment="1">
      <alignment horizontal="left" vertical="center" wrapText="1"/>
    </xf>
    <xf numFmtId="0" fontId="42" fillId="5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0" fillId="0" borderId="0" xfId="0" applyAlignment="1"/>
    <xf numFmtId="0" fontId="48" fillId="7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8" fillId="7" borderId="6" xfId="0" applyFont="1" applyFill="1" applyBorder="1" applyAlignment="1">
      <alignment horizontal="center" vertical="center" wrapText="1"/>
    </xf>
    <xf numFmtId="38" fontId="43" fillId="2" borderId="6" xfId="7" applyNumberFormat="1" applyFont="1" applyFill="1" applyBorder="1" applyAlignment="1" applyProtection="1">
      <alignment horizontal="right" vertical="center"/>
    </xf>
    <xf numFmtId="38" fontId="43" fillId="6" borderId="6" xfId="7" applyNumberFormat="1" applyFont="1" applyFill="1" applyBorder="1" applyAlignment="1" applyProtection="1">
      <alignment horizontal="right" vertical="center"/>
    </xf>
    <xf numFmtId="0" fontId="49" fillId="8" borderId="6" xfId="0" applyFont="1" applyFill="1" applyBorder="1" applyAlignment="1">
      <alignment horizontal="centerContinuous" vertical="center"/>
    </xf>
    <xf numFmtId="0" fontId="45" fillId="0" borderId="6" xfId="0" applyFont="1" applyBorder="1" applyAlignment="1">
      <alignment horizontal="center" vertical="center"/>
    </xf>
    <xf numFmtId="0" fontId="46" fillId="9" borderId="6" xfId="0" applyFont="1" applyFill="1" applyBorder="1" applyAlignment="1" applyProtection="1">
      <alignment horizontal="center" vertical="center"/>
      <protection locked="0"/>
    </xf>
    <xf numFmtId="0" fontId="43" fillId="9" borderId="6" xfId="0" applyFont="1" applyFill="1" applyBorder="1" applyAlignment="1">
      <alignment horizontal="center" vertical="center"/>
    </xf>
    <xf numFmtId="177" fontId="43" fillId="9" borderId="6" xfId="7" applyNumberFormat="1" applyFont="1" applyFill="1" applyBorder="1" applyAlignment="1" applyProtection="1">
      <alignment horizontal="right" vertical="center"/>
    </xf>
    <xf numFmtId="38" fontId="43" fillId="2" borderId="6" xfId="7" applyNumberFormat="1" applyFont="1" applyFill="1" applyBorder="1" applyAlignment="1" applyProtection="1">
      <alignment horizontal="right" vertical="center" wrapText="1"/>
    </xf>
    <xf numFmtId="38" fontId="43" fillId="10" borderId="6" xfId="7" applyNumberFormat="1" applyFont="1" applyFill="1" applyBorder="1" applyAlignment="1" applyProtection="1">
      <alignment horizontal="right" vertical="center"/>
    </xf>
    <xf numFmtId="176" fontId="43" fillId="10" borderId="6" xfId="7" applyNumberFormat="1" applyFont="1" applyFill="1" applyBorder="1" applyAlignment="1" applyProtection="1">
      <alignment horizontal="right" vertical="center"/>
    </xf>
    <xf numFmtId="0" fontId="43" fillId="10" borderId="6" xfId="0" applyFont="1" applyFill="1" applyBorder="1" applyAlignment="1">
      <alignment horizontal="center" vertical="center"/>
    </xf>
    <xf numFmtId="38" fontId="47" fillId="10" borderId="6" xfId="7" applyNumberFormat="1" applyFont="1" applyFill="1" applyBorder="1" applyAlignment="1" applyProtection="1">
      <alignment horizontal="right" vertical="center"/>
    </xf>
    <xf numFmtId="0" fontId="47" fillId="10" borderId="6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177" fontId="47" fillId="2" borderId="6" xfId="0" applyNumberFormat="1" applyFont="1" applyFill="1" applyBorder="1" applyAlignment="1">
      <alignment horizontal="center" vertical="center"/>
    </xf>
    <xf numFmtId="0" fontId="57" fillId="0" borderId="0" xfId="0" applyFont="1">
      <alignment vertical="center"/>
    </xf>
    <xf numFmtId="0" fontId="56" fillId="0" borderId="0" xfId="3" applyFont="1" applyAlignment="1">
      <alignment horizontal="center" vertical="center"/>
    </xf>
    <xf numFmtId="49" fontId="53" fillId="10" borderId="6" xfId="0" applyNumberFormat="1" applyFont="1" applyFill="1" applyBorder="1" applyAlignment="1">
      <alignment horizontal="left" vertical="center" wrapText="1"/>
    </xf>
    <xf numFmtId="0" fontId="58" fillId="0" borderId="0" xfId="0" applyFont="1">
      <alignment vertical="center"/>
    </xf>
    <xf numFmtId="0" fontId="53" fillId="2" borderId="6" xfId="0" applyFont="1" applyFill="1" applyBorder="1" applyAlignment="1">
      <alignment horizontal="left" vertical="center" wrapText="1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56" fillId="0" borderId="0" xfId="3" applyFont="1" applyFill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1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L18" sqref="L1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3" t="s">
        <v>631</v>
      </c>
    </row>
    <row r="6" spans="2:4">
      <c r="B6" s="4" t="s">
        <v>4</v>
      </c>
      <c r="C6" s="3" t="s">
        <v>475</v>
      </c>
    </row>
    <row r="7" spans="2:4">
      <c r="B7" s="4" t="s">
        <v>5</v>
      </c>
      <c r="C7" s="52" t="s">
        <v>364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17</v>
      </c>
      <c r="D11" s="1">
        <f>每頁總列數*4+5</f>
        <v>73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48</v>
      </c>
    </row>
    <row r="15" spans="2:4" ht="30">
      <c r="B15" s="37" t="s">
        <v>13</v>
      </c>
      <c r="C15" s="39" t="s">
        <v>276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277</v>
      </c>
    </row>
    <row r="19" spans="2:3" ht="30">
      <c r="B19" s="37" t="s">
        <v>17</v>
      </c>
      <c r="C19" s="39" t="s">
        <v>278</v>
      </c>
    </row>
    <row r="20" spans="2:3" ht="30">
      <c r="B20" s="37" t="s">
        <v>22</v>
      </c>
      <c r="C20" s="43">
        <v>0</v>
      </c>
    </row>
    <row r="28" spans="2:3">
      <c r="C28" s="50"/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4B8A1C7E-4BB3-4C1C-9065-B81F5BED0DF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dimension ref="B2:E15"/>
  <sheetViews>
    <sheetView workbookViewId="0">
      <selection activeCell="B10" sqref="B10"/>
    </sheetView>
  </sheetViews>
  <sheetFormatPr defaultRowHeight="29.25"/>
  <cols>
    <col min="1" max="1" width="9" style="54"/>
    <col min="2" max="2" width="62.75" style="54" customWidth="1"/>
    <col min="3" max="3" width="33.625" style="85" customWidth="1"/>
    <col min="4" max="4" width="16.625" style="54" customWidth="1"/>
    <col min="5" max="5" width="29.75" style="54" customWidth="1"/>
    <col min="6" max="16384" width="9" style="54"/>
  </cols>
  <sheetData>
    <row r="2" spans="2:5">
      <c r="B2" s="54" t="s">
        <v>156</v>
      </c>
    </row>
    <row r="3" spans="2:5">
      <c r="B3" s="54" t="s">
        <v>157</v>
      </c>
    </row>
    <row r="4" spans="2:5">
      <c r="B4" s="54" t="s">
        <v>159</v>
      </c>
      <c r="C4" s="87" t="s">
        <v>367</v>
      </c>
    </row>
    <row r="5" spans="2:5">
      <c r="B5" s="80" t="s">
        <v>234</v>
      </c>
      <c r="C5" s="86" t="s">
        <v>366</v>
      </c>
      <c r="D5" s="83" t="s">
        <v>230</v>
      </c>
      <c r="E5" s="83" t="s">
        <v>231</v>
      </c>
    </row>
    <row r="6" spans="2:5">
      <c r="B6" s="80"/>
      <c r="D6" s="83" t="s">
        <v>232</v>
      </c>
      <c r="E6" s="83" t="s">
        <v>233</v>
      </c>
    </row>
    <row r="7" spans="2:5">
      <c r="B7" s="80"/>
    </row>
    <row r="8" spans="2:5">
      <c r="B8" s="80" t="s">
        <v>234</v>
      </c>
      <c r="C8" s="86" t="s">
        <v>365</v>
      </c>
      <c r="E8" s="83"/>
    </row>
    <row r="9" spans="2:5">
      <c r="B9" s="80" t="s">
        <v>372</v>
      </c>
      <c r="C9" s="86"/>
      <c r="E9" s="83"/>
    </row>
    <row r="10" spans="2:5">
      <c r="B10" s="54" t="s">
        <v>158</v>
      </c>
    </row>
    <row r="11" spans="2:5">
      <c r="B11" s="80"/>
      <c r="C11" s="86"/>
      <c r="E11" s="83"/>
    </row>
    <row r="12" spans="2:5">
      <c r="B12" s="54" t="s">
        <v>160</v>
      </c>
      <c r="C12" s="87" t="s">
        <v>370</v>
      </c>
    </row>
    <row r="13" spans="2:5">
      <c r="B13" s="80" t="s">
        <v>368</v>
      </c>
      <c r="C13" s="87" t="s">
        <v>369</v>
      </c>
    </row>
    <row r="15" spans="2:5">
      <c r="B15" s="54" t="s">
        <v>229</v>
      </c>
      <c r="C15" s="87" t="s">
        <v>371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04E9-98BB-4122-93E3-87C8229CE020}">
  <dimension ref="A1:D3"/>
  <sheetViews>
    <sheetView workbookViewId="0"/>
  </sheetViews>
  <sheetFormatPr defaultRowHeight="16.5"/>
  <sheetData>
    <row r="1" spans="1:4">
      <c r="A1" t="s">
        <v>54</v>
      </c>
      <c r="B1" t="s">
        <v>373</v>
      </c>
      <c r="C1" t="s">
        <v>374</v>
      </c>
      <c r="D1" t="s">
        <v>375</v>
      </c>
    </row>
    <row r="2" spans="1:4">
      <c r="A2" t="s">
        <v>437</v>
      </c>
      <c r="B2" t="s">
        <v>21</v>
      </c>
      <c r="C2" t="s">
        <v>21</v>
      </c>
      <c r="D2" t="s">
        <v>555</v>
      </c>
    </row>
    <row r="3" spans="1:4">
      <c r="A3" t="s">
        <v>438</v>
      </c>
      <c r="B3" t="s">
        <v>21</v>
      </c>
      <c r="C3" t="s">
        <v>21</v>
      </c>
      <c r="D3" t="s">
        <v>556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B5E2-BFF8-4EF0-B482-73A826925D49}">
  <dimension ref="A1:D102"/>
  <sheetViews>
    <sheetView workbookViewId="0"/>
  </sheetViews>
  <sheetFormatPr defaultRowHeight="16.5"/>
  <sheetData>
    <row r="1" spans="1:4">
      <c r="A1" t="s">
        <v>54</v>
      </c>
      <c r="B1" t="s">
        <v>373</v>
      </c>
      <c r="C1" t="s">
        <v>374</v>
      </c>
      <c r="D1" t="s">
        <v>375</v>
      </c>
    </row>
    <row r="2" spans="1:4">
      <c r="A2" t="s">
        <v>376</v>
      </c>
      <c r="B2" t="s">
        <v>389</v>
      </c>
      <c r="C2" t="s">
        <v>21</v>
      </c>
      <c r="D2" t="s">
        <v>487</v>
      </c>
    </row>
    <row r="3" spans="1:4">
      <c r="A3" t="s">
        <v>403</v>
      </c>
      <c r="B3" t="s">
        <v>476</v>
      </c>
      <c r="C3" t="s">
        <v>21</v>
      </c>
      <c r="D3" t="s">
        <v>383</v>
      </c>
    </row>
    <row r="4" spans="1:4">
      <c r="A4" t="s">
        <v>404</v>
      </c>
      <c r="B4" t="s">
        <v>477</v>
      </c>
      <c r="C4" t="s">
        <v>21</v>
      </c>
      <c r="D4" t="s">
        <v>488</v>
      </c>
    </row>
    <row r="5" spans="1:4">
      <c r="A5" t="s">
        <v>406</v>
      </c>
      <c r="B5" t="s">
        <v>479</v>
      </c>
      <c r="C5" t="s">
        <v>21</v>
      </c>
      <c r="D5" t="s">
        <v>502</v>
      </c>
    </row>
    <row r="6" spans="1:4">
      <c r="A6" t="s">
        <v>407</v>
      </c>
      <c r="B6" t="s">
        <v>481</v>
      </c>
      <c r="C6" t="s">
        <v>21</v>
      </c>
      <c r="D6" t="s">
        <v>503</v>
      </c>
    </row>
    <row r="7" spans="1:4">
      <c r="A7" t="s">
        <v>408</v>
      </c>
      <c r="B7" t="s">
        <v>482</v>
      </c>
      <c r="C7" t="s">
        <v>21</v>
      </c>
      <c r="D7" t="s">
        <v>504</v>
      </c>
    </row>
    <row r="8" spans="1:4">
      <c r="A8" t="s">
        <v>409</v>
      </c>
      <c r="B8" t="s">
        <v>483</v>
      </c>
      <c r="C8" t="s">
        <v>21</v>
      </c>
      <c r="D8" t="s">
        <v>505</v>
      </c>
    </row>
    <row r="9" spans="1:4">
      <c r="A9" t="s">
        <v>410</v>
      </c>
      <c r="B9" t="s">
        <v>484</v>
      </c>
      <c r="C9" t="s">
        <v>21</v>
      </c>
      <c r="D9" t="s">
        <v>489</v>
      </c>
    </row>
    <row r="10" spans="1:4">
      <c r="A10" t="s">
        <v>411</v>
      </c>
      <c r="B10" t="s">
        <v>481</v>
      </c>
      <c r="C10" t="s">
        <v>21</v>
      </c>
      <c r="D10" t="s">
        <v>490</v>
      </c>
    </row>
    <row r="11" spans="1:4">
      <c r="A11" t="s">
        <v>412</v>
      </c>
      <c r="B11" t="s">
        <v>485</v>
      </c>
      <c r="C11" t="s">
        <v>21</v>
      </c>
      <c r="D11" t="s">
        <v>491</v>
      </c>
    </row>
    <row r="12" spans="1:4">
      <c r="A12" t="s">
        <v>413</v>
      </c>
      <c r="B12" t="s">
        <v>358</v>
      </c>
      <c r="C12" t="s">
        <v>21</v>
      </c>
      <c r="D12" t="s">
        <v>492</v>
      </c>
    </row>
    <row r="13" spans="1:4">
      <c r="A13" t="s">
        <v>414</v>
      </c>
      <c r="B13" t="s">
        <v>334</v>
      </c>
      <c r="C13" t="s">
        <v>21</v>
      </c>
      <c r="D13" t="s">
        <v>506</v>
      </c>
    </row>
    <row r="14" spans="1:4">
      <c r="A14" t="s">
        <v>415</v>
      </c>
      <c r="B14" t="s">
        <v>493</v>
      </c>
      <c r="C14" t="s">
        <v>21</v>
      </c>
      <c r="D14" t="s">
        <v>507</v>
      </c>
    </row>
    <row r="15" spans="1:4">
      <c r="A15" t="s">
        <v>380</v>
      </c>
      <c r="B15" t="s">
        <v>400</v>
      </c>
      <c r="C15" t="s">
        <v>21</v>
      </c>
      <c r="D15" t="s">
        <v>508</v>
      </c>
    </row>
    <row r="16" spans="1:4">
      <c r="A16" t="s">
        <v>416</v>
      </c>
      <c r="B16" t="s">
        <v>495</v>
      </c>
      <c r="C16" t="s">
        <v>21</v>
      </c>
      <c r="D16" t="s">
        <v>509</v>
      </c>
    </row>
    <row r="17" spans="1:4">
      <c r="A17" t="s">
        <v>417</v>
      </c>
      <c r="B17" t="s">
        <v>496</v>
      </c>
      <c r="C17" t="s">
        <v>21</v>
      </c>
      <c r="D17" t="s">
        <v>510</v>
      </c>
    </row>
    <row r="18" spans="1:4">
      <c r="A18" t="s">
        <v>418</v>
      </c>
      <c r="B18" t="s">
        <v>498</v>
      </c>
      <c r="C18" t="s">
        <v>21</v>
      </c>
      <c r="D18" t="s">
        <v>385</v>
      </c>
    </row>
    <row r="19" spans="1:4">
      <c r="A19" t="s">
        <v>419</v>
      </c>
      <c r="B19" t="s">
        <v>500</v>
      </c>
      <c r="C19" t="s">
        <v>21</v>
      </c>
      <c r="D19" t="s">
        <v>511</v>
      </c>
    </row>
    <row r="20" spans="1:4">
      <c r="A20" t="s">
        <v>297</v>
      </c>
      <c r="B20" t="s">
        <v>338</v>
      </c>
      <c r="C20" t="s">
        <v>21</v>
      </c>
      <c r="D20" t="s">
        <v>512</v>
      </c>
    </row>
    <row r="21" spans="1:4">
      <c r="A21" t="s">
        <v>420</v>
      </c>
      <c r="B21" t="s">
        <v>320</v>
      </c>
      <c r="C21" t="s">
        <v>21</v>
      </c>
      <c r="D21" t="s">
        <v>513</v>
      </c>
    </row>
    <row r="22" spans="1:4">
      <c r="A22" t="s">
        <v>421</v>
      </c>
      <c r="B22" t="s">
        <v>514</v>
      </c>
      <c r="C22" t="s">
        <v>21</v>
      </c>
      <c r="D22" t="s">
        <v>516</v>
      </c>
    </row>
    <row r="23" spans="1:4">
      <c r="A23" t="s">
        <v>379</v>
      </c>
      <c r="B23" t="s">
        <v>384</v>
      </c>
      <c r="C23" t="s">
        <v>21</v>
      </c>
      <c r="D23" t="s">
        <v>517</v>
      </c>
    </row>
    <row r="24" spans="1:4">
      <c r="A24" t="s">
        <v>422</v>
      </c>
      <c r="B24" t="s">
        <v>316</v>
      </c>
      <c r="C24" t="s">
        <v>21</v>
      </c>
      <c r="D24" t="s">
        <v>518</v>
      </c>
    </row>
    <row r="25" spans="1:4">
      <c r="A25" t="s">
        <v>304</v>
      </c>
      <c r="B25" t="s">
        <v>362</v>
      </c>
      <c r="C25" t="s">
        <v>21</v>
      </c>
      <c r="D25" t="s">
        <v>519</v>
      </c>
    </row>
    <row r="26" spans="1:4">
      <c r="A26" t="s">
        <v>290</v>
      </c>
      <c r="B26" t="s">
        <v>314</v>
      </c>
      <c r="C26" t="s">
        <v>21</v>
      </c>
      <c r="D26" t="s">
        <v>547</v>
      </c>
    </row>
    <row r="27" spans="1:4">
      <c r="A27" t="s">
        <v>381</v>
      </c>
      <c r="B27" t="s">
        <v>401</v>
      </c>
      <c r="C27" t="s">
        <v>21</v>
      </c>
      <c r="D27" t="s">
        <v>520</v>
      </c>
    </row>
    <row r="28" spans="1:4">
      <c r="A28" t="s">
        <v>56</v>
      </c>
      <c r="B28" t="s">
        <v>77</v>
      </c>
      <c r="C28" t="s">
        <v>21</v>
      </c>
      <c r="D28" t="s">
        <v>386</v>
      </c>
    </row>
    <row r="29" spans="1:4">
      <c r="A29" t="s">
        <v>294</v>
      </c>
      <c r="B29" t="s">
        <v>324</v>
      </c>
      <c r="C29" t="s">
        <v>21</v>
      </c>
      <c r="D29" t="s">
        <v>521</v>
      </c>
    </row>
    <row r="30" spans="1:4">
      <c r="A30" t="s">
        <v>378</v>
      </c>
      <c r="B30" t="s">
        <v>356</v>
      </c>
      <c r="C30" t="s">
        <v>21</v>
      </c>
      <c r="D30" t="s">
        <v>387</v>
      </c>
    </row>
    <row r="31" spans="1:4">
      <c r="A31" t="s">
        <v>296</v>
      </c>
      <c r="B31" t="s">
        <v>336</v>
      </c>
      <c r="C31" t="s">
        <v>21</v>
      </c>
      <c r="D31" t="s">
        <v>388</v>
      </c>
    </row>
    <row r="32" spans="1:4">
      <c r="A32" t="s">
        <v>423</v>
      </c>
      <c r="B32" t="s">
        <v>272</v>
      </c>
      <c r="C32" t="s">
        <v>21</v>
      </c>
      <c r="D32" t="s">
        <v>522</v>
      </c>
    </row>
    <row r="33" spans="1:4">
      <c r="A33" t="s">
        <v>283</v>
      </c>
      <c r="B33" t="s">
        <v>306</v>
      </c>
      <c r="C33" t="s">
        <v>21</v>
      </c>
      <c r="D33" t="s">
        <v>523</v>
      </c>
    </row>
    <row r="34" spans="1:4">
      <c r="A34" t="s">
        <v>424</v>
      </c>
      <c r="B34" t="s">
        <v>340</v>
      </c>
      <c r="C34" t="s">
        <v>21</v>
      </c>
      <c r="D34" t="s">
        <v>524</v>
      </c>
    </row>
    <row r="35" spans="1:4">
      <c r="A35" t="s">
        <v>271</v>
      </c>
      <c r="B35" t="s">
        <v>275</v>
      </c>
      <c r="C35" t="s">
        <v>21</v>
      </c>
      <c r="D35" t="s">
        <v>587</v>
      </c>
    </row>
    <row r="36" spans="1:4">
      <c r="A36" t="s">
        <v>425</v>
      </c>
      <c r="B36" t="s">
        <v>525</v>
      </c>
      <c r="C36" t="s">
        <v>21</v>
      </c>
      <c r="D36" t="s">
        <v>588</v>
      </c>
    </row>
    <row r="37" spans="1:4">
      <c r="A37" t="s">
        <v>377</v>
      </c>
      <c r="B37" t="s">
        <v>336</v>
      </c>
      <c r="C37" t="s">
        <v>21</v>
      </c>
      <c r="D37" t="s">
        <v>531</v>
      </c>
    </row>
    <row r="38" spans="1:4">
      <c r="A38" t="s">
        <v>270</v>
      </c>
      <c r="B38" t="s">
        <v>274</v>
      </c>
      <c r="C38" t="s">
        <v>21</v>
      </c>
      <c r="D38" t="s">
        <v>532</v>
      </c>
    </row>
    <row r="39" spans="1:4">
      <c r="A39" t="s">
        <v>426</v>
      </c>
      <c r="B39" t="s">
        <v>273</v>
      </c>
      <c r="C39" t="s">
        <v>21</v>
      </c>
      <c r="D39" t="s">
        <v>533</v>
      </c>
    </row>
    <row r="40" spans="1:4">
      <c r="A40" t="s">
        <v>427</v>
      </c>
      <c r="B40" t="s">
        <v>526</v>
      </c>
      <c r="C40" t="s">
        <v>21</v>
      </c>
      <c r="D40" t="s">
        <v>534</v>
      </c>
    </row>
    <row r="41" spans="1:4">
      <c r="A41" t="s">
        <v>293</v>
      </c>
      <c r="B41" t="s">
        <v>332</v>
      </c>
      <c r="C41" t="s">
        <v>21</v>
      </c>
      <c r="D41" t="s">
        <v>535</v>
      </c>
    </row>
    <row r="42" spans="1:4">
      <c r="A42" t="s">
        <v>288</v>
      </c>
      <c r="B42" t="s">
        <v>237</v>
      </c>
      <c r="C42" t="s">
        <v>21</v>
      </c>
      <c r="D42" t="s">
        <v>536</v>
      </c>
    </row>
    <row r="43" spans="1:4">
      <c r="A43" t="s">
        <v>428</v>
      </c>
      <c r="B43" t="s">
        <v>528</v>
      </c>
      <c r="C43" t="s">
        <v>21</v>
      </c>
      <c r="D43" t="s">
        <v>537</v>
      </c>
    </row>
    <row r="44" spans="1:4">
      <c r="A44" t="s">
        <v>236</v>
      </c>
      <c r="B44" t="s">
        <v>237</v>
      </c>
      <c r="C44" t="s">
        <v>21</v>
      </c>
      <c r="D44" t="s">
        <v>538</v>
      </c>
    </row>
    <row r="45" spans="1:4">
      <c r="A45" t="s">
        <v>60</v>
      </c>
      <c r="B45" t="s">
        <v>84</v>
      </c>
      <c r="C45" t="s">
        <v>21</v>
      </c>
      <c r="D45" t="s">
        <v>539</v>
      </c>
    </row>
    <row r="46" spans="1:4">
      <c r="A46" t="s">
        <v>429</v>
      </c>
      <c r="B46" t="s">
        <v>530</v>
      </c>
      <c r="C46" t="s">
        <v>21</v>
      </c>
      <c r="D46" t="s">
        <v>540</v>
      </c>
    </row>
    <row r="47" spans="1:4">
      <c r="A47" t="s">
        <v>430</v>
      </c>
      <c r="B47" t="s">
        <v>326</v>
      </c>
      <c r="C47" t="s">
        <v>21</v>
      </c>
      <c r="D47" t="s">
        <v>541</v>
      </c>
    </row>
    <row r="48" spans="1:4">
      <c r="A48" t="s">
        <v>431</v>
      </c>
      <c r="B48" t="s">
        <v>542</v>
      </c>
      <c r="C48" t="s">
        <v>21</v>
      </c>
      <c r="D48" t="s">
        <v>548</v>
      </c>
    </row>
    <row r="49" spans="1:4">
      <c r="A49" t="s">
        <v>432</v>
      </c>
      <c r="B49" t="s">
        <v>315</v>
      </c>
      <c r="C49" t="s">
        <v>21</v>
      </c>
      <c r="D49" t="s">
        <v>549</v>
      </c>
    </row>
    <row r="50" spans="1:4">
      <c r="A50" t="s">
        <v>433</v>
      </c>
      <c r="B50" t="s">
        <v>323</v>
      </c>
      <c r="C50" t="s">
        <v>21</v>
      </c>
      <c r="D50" t="s">
        <v>550</v>
      </c>
    </row>
    <row r="51" spans="1:4">
      <c r="A51" t="s">
        <v>434</v>
      </c>
      <c r="B51" t="s">
        <v>544</v>
      </c>
      <c r="C51" t="s">
        <v>21</v>
      </c>
      <c r="D51" t="s">
        <v>551</v>
      </c>
    </row>
    <row r="52" spans="1:4">
      <c r="A52" t="s">
        <v>36</v>
      </c>
      <c r="B52" t="s">
        <v>41</v>
      </c>
      <c r="C52" t="s">
        <v>21</v>
      </c>
      <c r="D52" t="s">
        <v>552</v>
      </c>
    </row>
    <row r="53" spans="1:4">
      <c r="A53" t="s">
        <v>435</v>
      </c>
      <c r="B53" t="s">
        <v>274</v>
      </c>
      <c r="C53" t="s">
        <v>21</v>
      </c>
      <c r="D53" t="s">
        <v>553</v>
      </c>
    </row>
    <row r="54" spans="1:4">
      <c r="A54" t="s">
        <v>436</v>
      </c>
      <c r="B54" t="s">
        <v>545</v>
      </c>
      <c r="C54" t="s">
        <v>21</v>
      </c>
      <c r="D54" t="s">
        <v>554</v>
      </c>
    </row>
    <row r="55" spans="1:4">
      <c r="A55" t="s">
        <v>301</v>
      </c>
      <c r="B55" t="s">
        <v>350</v>
      </c>
      <c r="C55" t="s">
        <v>21</v>
      </c>
      <c r="D55" t="s">
        <v>564</v>
      </c>
    </row>
    <row r="56" spans="1:4">
      <c r="A56" t="s">
        <v>439</v>
      </c>
      <c r="B56" t="s">
        <v>345</v>
      </c>
      <c r="C56" t="s">
        <v>21</v>
      </c>
      <c r="D56" t="s">
        <v>565</v>
      </c>
    </row>
    <row r="57" spans="1:4">
      <c r="A57" t="s">
        <v>440</v>
      </c>
      <c r="B57" t="s">
        <v>348</v>
      </c>
      <c r="C57" t="s">
        <v>21</v>
      </c>
      <c r="D57" t="s">
        <v>566</v>
      </c>
    </row>
    <row r="58" spans="1:4">
      <c r="A58" t="s">
        <v>298</v>
      </c>
      <c r="B58" t="s">
        <v>319</v>
      </c>
      <c r="C58" t="s">
        <v>21</v>
      </c>
      <c r="D58" t="s">
        <v>567</v>
      </c>
    </row>
    <row r="59" spans="1:4">
      <c r="A59" t="s">
        <v>441</v>
      </c>
      <c r="B59" t="s">
        <v>557</v>
      </c>
      <c r="C59" t="s">
        <v>21</v>
      </c>
      <c r="D59" t="s">
        <v>568</v>
      </c>
    </row>
    <row r="60" spans="1:4">
      <c r="A60" t="s">
        <v>442</v>
      </c>
      <c r="B60" t="s">
        <v>559</v>
      </c>
      <c r="C60" t="s">
        <v>21</v>
      </c>
      <c r="D60" t="s">
        <v>569</v>
      </c>
    </row>
    <row r="61" spans="1:4">
      <c r="A61" t="s">
        <v>443</v>
      </c>
      <c r="B61" t="s">
        <v>328</v>
      </c>
      <c r="C61" t="s">
        <v>21</v>
      </c>
      <c r="D61" t="s">
        <v>570</v>
      </c>
    </row>
    <row r="62" spans="1:4">
      <c r="A62" t="s">
        <v>444</v>
      </c>
      <c r="B62" t="s">
        <v>560</v>
      </c>
      <c r="C62" t="s">
        <v>21</v>
      </c>
      <c r="D62" t="s">
        <v>571</v>
      </c>
    </row>
    <row r="63" spans="1:4">
      <c r="A63" t="s">
        <v>445</v>
      </c>
      <c r="B63" t="s">
        <v>342</v>
      </c>
      <c r="C63" t="s">
        <v>21</v>
      </c>
      <c r="D63" t="s">
        <v>572</v>
      </c>
    </row>
    <row r="64" spans="1:4">
      <c r="A64" t="s">
        <v>446</v>
      </c>
      <c r="B64" t="s">
        <v>360</v>
      </c>
      <c r="C64" t="s">
        <v>21</v>
      </c>
      <c r="D64" t="s">
        <v>573</v>
      </c>
    </row>
    <row r="65" spans="1:4">
      <c r="A65" t="s">
        <v>447</v>
      </c>
      <c r="B65" t="s">
        <v>561</v>
      </c>
      <c r="C65" t="s">
        <v>21</v>
      </c>
      <c r="D65" t="s">
        <v>574</v>
      </c>
    </row>
    <row r="66" spans="1:4">
      <c r="A66" t="s">
        <v>448</v>
      </c>
      <c r="B66" t="s">
        <v>355</v>
      </c>
      <c r="C66" t="s">
        <v>21</v>
      </c>
      <c r="D66" t="s">
        <v>575</v>
      </c>
    </row>
    <row r="67" spans="1:4">
      <c r="A67" t="s">
        <v>449</v>
      </c>
      <c r="B67" t="s">
        <v>347</v>
      </c>
      <c r="C67" t="s">
        <v>21</v>
      </c>
      <c r="D67" t="s">
        <v>390</v>
      </c>
    </row>
    <row r="68" spans="1:4">
      <c r="A68" t="s">
        <v>450</v>
      </c>
      <c r="B68" t="s">
        <v>317</v>
      </c>
      <c r="C68" t="s">
        <v>21</v>
      </c>
      <c r="D68" t="s">
        <v>578</v>
      </c>
    </row>
    <row r="69" spans="1:4">
      <c r="A69" t="s">
        <v>451</v>
      </c>
      <c r="B69" t="s">
        <v>576</v>
      </c>
      <c r="C69" t="s">
        <v>21</v>
      </c>
      <c r="D69" t="s">
        <v>579</v>
      </c>
    </row>
    <row r="70" spans="1:4">
      <c r="A70" t="s">
        <v>452</v>
      </c>
      <c r="B70" t="s">
        <v>580</v>
      </c>
      <c r="C70" t="s">
        <v>21</v>
      </c>
      <c r="D70" t="s">
        <v>589</v>
      </c>
    </row>
    <row r="71" spans="1:4">
      <c r="A71" t="s">
        <v>453</v>
      </c>
      <c r="B71" t="s">
        <v>582</v>
      </c>
      <c r="C71" t="s">
        <v>21</v>
      </c>
      <c r="D71" t="s">
        <v>590</v>
      </c>
    </row>
    <row r="72" spans="1:4">
      <c r="A72" t="s">
        <v>454</v>
      </c>
      <c r="B72" t="s">
        <v>324</v>
      </c>
      <c r="C72" t="s">
        <v>21</v>
      </c>
      <c r="D72" t="s">
        <v>591</v>
      </c>
    </row>
    <row r="73" spans="1:4">
      <c r="A73" t="s">
        <v>455</v>
      </c>
      <c r="B73" t="s">
        <v>584</v>
      </c>
      <c r="C73" t="s">
        <v>21</v>
      </c>
      <c r="D73" t="s">
        <v>592</v>
      </c>
    </row>
    <row r="74" spans="1:4">
      <c r="A74" t="s">
        <v>299</v>
      </c>
      <c r="B74" t="s">
        <v>343</v>
      </c>
      <c r="C74" t="s">
        <v>21</v>
      </c>
      <c r="D74" t="s">
        <v>593</v>
      </c>
    </row>
    <row r="75" spans="1:4">
      <c r="A75" t="s">
        <v>456</v>
      </c>
      <c r="B75" t="s">
        <v>585</v>
      </c>
      <c r="C75" t="s">
        <v>21</v>
      </c>
      <c r="D75" t="s">
        <v>594</v>
      </c>
    </row>
    <row r="76" spans="1:4">
      <c r="A76" t="s">
        <v>289</v>
      </c>
      <c r="B76" t="s">
        <v>79</v>
      </c>
      <c r="C76" t="s">
        <v>21</v>
      </c>
      <c r="D76" t="s">
        <v>391</v>
      </c>
    </row>
    <row r="77" spans="1:4">
      <c r="A77" t="s">
        <v>457</v>
      </c>
      <c r="B77" t="s">
        <v>586</v>
      </c>
      <c r="C77" t="s">
        <v>21</v>
      </c>
      <c r="D77" t="s">
        <v>595</v>
      </c>
    </row>
    <row r="78" spans="1:4">
      <c r="A78" t="s">
        <v>287</v>
      </c>
      <c r="B78" t="s">
        <v>312</v>
      </c>
      <c r="C78" t="s">
        <v>21</v>
      </c>
      <c r="D78" t="s">
        <v>392</v>
      </c>
    </row>
    <row r="79" spans="1:4">
      <c r="A79" t="s">
        <v>284</v>
      </c>
      <c r="B79" t="s">
        <v>308</v>
      </c>
      <c r="C79" t="s">
        <v>21</v>
      </c>
      <c r="D79" t="s">
        <v>393</v>
      </c>
    </row>
    <row r="80" spans="1:4">
      <c r="A80" t="s">
        <v>300</v>
      </c>
      <c r="B80" t="s">
        <v>340</v>
      </c>
      <c r="C80" t="s">
        <v>21</v>
      </c>
      <c r="D80" t="s">
        <v>596</v>
      </c>
    </row>
    <row r="81" spans="1:4">
      <c r="A81" t="s">
        <v>302</v>
      </c>
      <c r="B81" t="s">
        <v>351</v>
      </c>
      <c r="C81" t="s">
        <v>21</v>
      </c>
      <c r="D81" t="s">
        <v>394</v>
      </c>
    </row>
    <row r="82" spans="1:4">
      <c r="A82" t="s">
        <v>458</v>
      </c>
      <c r="B82" t="s">
        <v>597</v>
      </c>
      <c r="C82" t="s">
        <v>21</v>
      </c>
      <c r="D82" t="s">
        <v>395</v>
      </c>
    </row>
    <row r="83" spans="1:4">
      <c r="A83" t="s">
        <v>303</v>
      </c>
      <c r="B83" t="s">
        <v>353</v>
      </c>
      <c r="C83" t="s">
        <v>21</v>
      </c>
      <c r="D83" t="s">
        <v>396</v>
      </c>
    </row>
    <row r="84" spans="1:4">
      <c r="A84" t="s">
        <v>285</v>
      </c>
      <c r="B84" t="s">
        <v>310</v>
      </c>
      <c r="C84" t="s">
        <v>21</v>
      </c>
      <c r="D84" t="s">
        <v>397</v>
      </c>
    </row>
    <row r="85" spans="1:4">
      <c r="A85" t="s">
        <v>459</v>
      </c>
      <c r="B85" t="s">
        <v>598</v>
      </c>
      <c r="C85" t="s">
        <v>21</v>
      </c>
      <c r="D85" t="s">
        <v>606</v>
      </c>
    </row>
    <row r="86" spans="1:4">
      <c r="A86" t="s">
        <v>460</v>
      </c>
      <c r="B86" t="s">
        <v>402</v>
      </c>
      <c r="C86" t="s">
        <v>21</v>
      </c>
      <c r="D86" t="s">
        <v>607</v>
      </c>
    </row>
    <row r="87" spans="1:4">
      <c r="A87" t="s">
        <v>461</v>
      </c>
      <c r="B87" t="s">
        <v>600</v>
      </c>
      <c r="C87" t="s">
        <v>21</v>
      </c>
      <c r="D87" t="s">
        <v>398</v>
      </c>
    </row>
    <row r="88" spans="1:4">
      <c r="A88" t="s">
        <v>462</v>
      </c>
      <c r="B88" t="s">
        <v>602</v>
      </c>
      <c r="C88" t="s">
        <v>21</v>
      </c>
      <c r="D88" t="s">
        <v>399</v>
      </c>
    </row>
    <row r="89" spans="1:4">
      <c r="A89" t="s">
        <v>292</v>
      </c>
      <c r="B89" t="s">
        <v>330</v>
      </c>
      <c r="C89" t="s">
        <v>21</v>
      </c>
      <c r="D89" t="s">
        <v>608</v>
      </c>
    </row>
    <row r="90" spans="1:4">
      <c r="A90" t="s">
        <v>463</v>
      </c>
      <c r="B90" t="s">
        <v>382</v>
      </c>
      <c r="C90" t="s">
        <v>21</v>
      </c>
      <c r="D90" t="s">
        <v>609</v>
      </c>
    </row>
    <row r="91" spans="1:4">
      <c r="A91" t="s">
        <v>464</v>
      </c>
      <c r="B91" t="s">
        <v>603</v>
      </c>
      <c r="C91" t="s">
        <v>21</v>
      </c>
      <c r="D91" t="s">
        <v>610</v>
      </c>
    </row>
    <row r="92" spans="1:4">
      <c r="A92" t="s">
        <v>465</v>
      </c>
      <c r="B92" t="s">
        <v>604</v>
      </c>
      <c r="C92" t="s">
        <v>21</v>
      </c>
      <c r="D92" t="s">
        <v>611</v>
      </c>
    </row>
    <row r="93" spans="1:4">
      <c r="A93" t="s">
        <v>466</v>
      </c>
      <c r="B93" t="s">
        <v>612</v>
      </c>
      <c r="C93" t="s">
        <v>21</v>
      </c>
      <c r="D93" t="s">
        <v>621</v>
      </c>
    </row>
    <row r="94" spans="1:4">
      <c r="A94" t="s">
        <v>467</v>
      </c>
      <c r="B94" t="s">
        <v>331</v>
      </c>
      <c r="C94" t="s">
        <v>21</v>
      </c>
      <c r="D94" t="s">
        <v>622</v>
      </c>
    </row>
    <row r="95" spans="1:4">
      <c r="A95" t="s">
        <v>468</v>
      </c>
      <c r="B95" t="s">
        <v>500</v>
      </c>
      <c r="C95" t="s">
        <v>21</v>
      </c>
      <c r="D95" t="s">
        <v>623</v>
      </c>
    </row>
    <row r="96" spans="1:4">
      <c r="A96" t="s">
        <v>469</v>
      </c>
      <c r="B96" t="s">
        <v>613</v>
      </c>
      <c r="C96" t="s">
        <v>21</v>
      </c>
      <c r="D96" t="s">
        <v>624</v>
      </c>
    </row>
    <row r="97" spans="1:4">
      <c r="A97" t="s">
        <v>470</v>
      </c>
      <c r="B97" t="s">
        <v>615</v>
      </c>
      <c r="C97" t="s">
        <v>21</v>
      </c>
      <c r="D97" t="s">
        <v>625</v>
      </c>
    </row>
    <row r="98" spans="1:4">
      <c r="A98" t="s">
        <v>305</v>
      </c>
      <c r="B98" t="s">
        <v>363</v>
      </c>
      <c r="C98" t="s">
        <v>21</v>
      </c>
      <c r="D98" t="s">
        <v>626</v>
      </c>
    </row>
    <row r="99" spans="1:4">
      <c r="A99" t="s">
        <v>286</v>
      </c>
      <c r="B99" t="s">
        <v>310</v>
      </c>
      <c r="C99" t="s">
        <v>21</v>
      </c>
      <c r="D99" t="s">
        <v>627</v>
      </c>
    </row>
    <row r="100" spans="1:4">
      <c r="A100" t="s">
        <v>471</v>
      </c>
      <c r="B100" t="s">
        <v>616</v>
      </c>
      <c r="C100" t="s">
        <v>21</v>
      </c>
      <c r="D100" t="s">
        <v>628</v>
      </c>
    </row>
    <row r="101" spans="1:4">
      <c r="A101" t="s">
        <v>472</v>
      </c>
      <c r="B101" t="s">
        <v>618</v>
      </c>
      <c r="C101" t="s">
        <v>21</v>
      </c>
      <c r="D101" t="s">
        <v>629</v>
      </c>
    </row>
    <row r="102" spans="1:4">
      <c r="A102" t="s">
        <v>473</v>
      </c>
      <c r="B102" t="s">
        <v>619</v>
      </c>
      <c r="C102" t="s">
        <v>21</v>
      </c>
      <c r="D102" t="s">
        <v>630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E003-9763-4B36-868F-D1CB7F1C2E9F}">
  <dimension ref="A1:D1"/>
  <sheetViews>
    <sheetView workbookViewId="0"/>
  </sheetViews>
  <sheetFormatPr defaultRowHeight="16.5"/>
  <sheetData>
    <row r="1" spans="1:4">
      <c r="A1" t="s">
        <v>54</v>
      </c>
      <c r="B1" t="s">
        <v>373</v>
      </c>
      <c r="C1" t="s">
        <v>374</v>
      </c>
      <c r="D1" t="s">
        <v>375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270"/>
  <sheetViews>
    <sheetView showGridLines="0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69" sqref="D6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148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8" t="s">
        <v>474</v>
      </c>
    </row>
    <row r="4" spans="1:22" s="6" customFormat="1" ht="36" customHeight="1">
      <c r="B4" s="16"/>
      <c r="D4" s="92"/>
      <c r="E4" s="92" t="s">
        <v>389</v>
      </c>
      <c r="F4" s="92" t="s">
        <v>476</v>
      </c>
      <c r="G4" s="92" t="s">
        <v>477</v>
      </c>
      <c r="H4" s="92"/>
      <c r="I4" s="92" t="s">
        <v>479</v>
      </c>
      <c r="J4" s="92" t="s">
        <v>481</v>
      </c>
      <c r="K4" s="92" t="s">
        <v>482</v>
      </c>
      <c r="L4" s="92" t="s">
        <v>483</v>
      </c>
      <c r="M4" s="92"/>
      <c r="N4" s="92"/>
      <c r="O4" s="92" t="s">
        <v>484</v>
      </c>
      <c r="P4" s="92"/>
      <c r="Q4" s="92" t="s">
        <v>481</v>
      </c>
      <c r="R4" s="92" t="s">
        <v>485</v>
      </c>
      <c r="S4" s="17"/>
      <c r="V4" s="89"/>
    </row>
    <row r="5" spans="1:22" s="6" customFormat="1" ht="80.099999999999994" customHeight="1">
      <c r="B5" s="18">
        <v>1</v>
      </c>
      <c r="D5" s="91" t="s">
        <v>55</v>
      </c>
      <c r="E5" s="91" t="s">
        <v>376</v>
      </c>
      <c r="F5" s="91" t="s">
        <v>403</v>
      </c>
      <c r="G5" s="91" t="s">
        <v>404</v>
      </c>
      <c r="H5" s="91" t="s">
        <v>405</v>
      </c>
      <c r="I5" s="91" t="s">
        <v>406</v>
      </c>
      <c r="J5" s="91" t="s">
        <v>407</v>
      </c>
      <c r="K5" s="91" t="s">
        <v>408</v>
      </c>
      <c r="L5" s="91" t="s">
        <v>409</v>
      </c>
      <c r="M5" s="91" t="s">
        <v>62</v>
      </c>
      <c r="N5" s="91" t="s">
        <v>281</v>
      </c>
      <c r="O5" s="91" t="s">
        <v>410</v>
      </c>
      <c r="P5" s="91" t="s">
        <v>295</v>
      </c>
      <c r="Q5" s="91" t="s">
        <v>411</v>
      </c>
      <c r="R5" s="91" t="s">
        <v>412</v>
      </c>
      <c r="S5" s="19"/>
      <c r="V5" s="89"/>
    </row>
    <row r="6" spans="1:22" s="23" customFormat="1" ht="36" customHeight="1">
      <c r="B6" s="20"/>
      <c r="C6" s="21"/>
      <c r="D6" s="93"/>
      <c r="E6" s="93" t="s">
        <v>389</v>
      </c>
      <c r="F6" s="93" t="s">
        <v>476</v>
      </c>
      <c r="G6" s="93" t="s">
        <v>478</v>
      </c>
      <c r="H6" s="93"/>
      <c r="I6" s="93" t="s">
        <v>480</v>
      </c>
      <c r="J6" s="93" t="s">
        <v>481</v>
      </c>
      <c r="K6" s="93" t="s">
        <v>482</v>
      </c>
      <c r="L6" s="93" t="s">
        <v>483</v>
      </c>
      <c r="M6" s="93"/>
      <c r="N6" s="93"/>
      <c r="O6" s="93" t="s">
        <v>484</v>
      </c>
      <c r="P6" s="93"/>
      <c r="Q6" s="93" t="s">
        <v>481</v>
      </c>
      <c r="R6" s="93" t="s">
        <v>486</v>
      </c>
      <c r="S6" s="22"/>
      <c r="V6" s="89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9"/>
    </row>
    <row r="8" spans="1:22" s="6" customFormat="1" ht="36" customHeight="1">
      <c r="B8" s="16"/>
      <c r="D8" s="92" t="s">
        <v>358</v>
      </c>
      <c r="E8" s="92"/>
      <c r="F8" s="92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89"/>
    </row>
    <row r="9" spans="1:22" s="6" customFormat="1" ht="80.099999999999994" customHeight="1">
      <c r="B9" s="18">
        <f>B5+1</f>
        <v>2</v>
      </c>
      <c r="D9" s="91" t="s">
        <v>413</v>
      </c>
      <c r="E9" s="91" t="s">
        <v>282</v>
      </c>
      <c r="F9" s="91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89"/>
    </row>
    <row r="10" spans="1:22" s="6" customFormat="1" ht="36" customHeight="1">
      <c r="B10" s="20"/>
      <c r="D10" s="93" t="s">
        <v>359</v>
      </c>
      <c r="E10" s="93"/>
      <c r="F10" s="93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28"/>
      <c r="V10" s="89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9"/>
    </row>
    <row r="12" spans="1:22" s="6" customFormat="1" ht="36" customHeight="1">
      <c r="B12" s="16"/>
      <c r="D12" s="92" t="s">
        <v>479</v>
      </c>
      <c r="E12" s="92" t="s">
        <v>481</v>
      </c>
      <c r="F12" s="92" t="s">
        <v>482</v>
      </c>
      <c r="G12" s="92" t="s">
        <v>483</v>
      </c>
      <c r="H12" s="92"/>
      <c r="I12" s="92" t="s">
        <v>334</v>
      </c>
      <c r="J12" s="92" t="s">
        <v>493</v>
      </c>
      <c r="K12" s="92" t="s">
        <v>400</v>
      </c>
      <c r="L12" s="92"/>
      <c r="M12" s="92" t="s">
        <v>495</v>
      </c>
      <c r="N12" s="92" t="s">
        <v>496</v>
      </c>
      <c r="O12" s="92" t="s">
        <v>498</v>
      </c>
      <c r="P12" s="92" t="s">
        <v>500</v>
      </c>
      <c r="Q12" s="92" t="s">
        <v>338</v>
      </c>
      <c r="R12" s="92" t="s">
        <v>320</v>
      </c>
      <c r="S12" s="17"/>
      <c r="V12" s="89"/>
    </row>
    <row r="13" spans="1:22" s="6" customFormat="1" ht="80.099999999999994" customHeight="1">
      <c r="B13" s="18">
        <f>B9+1</f>
        <v>3</v>
      </c>
      <c r="D13" s="91" t="s">
        <v>406</v>
      </c>
      <c r="E13" s="91" t="s">
        <v>407</v>
      </c>
      <c r="F13" s="91" t="s">
        <v>408</v>
      </c>
      <c r="G13" s="91" t="s">
        <v>409</v>
      </c>
      <c r="H13" s="91" t="s">
        <v>18</v>
      </c>
      <c r="I13" s="91" t="s">
        <v>414</v>
      </c>
      <c r="J13" s="91" t="s">
        <v>415</v>
      </c>
      <c r="K13" s="91" t="s">
        <v>380</v>
      </c>
      <c r="L13" s="91" t="s">
        <v>18</v>
      </c>
      <c r="M13" s="91" t="s">
        <v>416</v>
      </c>
      <c r="N13" s="91" t="s">
        <v>417</v>
      </c>
      <c r="O13" s="91" t="s">
        <v>418</v>
      </c>
      <c r="P13" s="91" t="s">
        <v>419</v>
      </c>
      <c r="Q13" s="91" t="s">
        <v>297</v>
      </c>
      <c r="R13" s="91" t="s">
        <v>420</v>
      </c>
      <c r="S13" s="19"/>
      <c r="V13" s="89"/>
    </row>
    <row r="14" spans="1:22" s="6" customFormat="1" ht="36" customHeight="1">
      <c r="B14" s="20"/>
      <c r="D14" s="93" t="s">
        <v>480</v>
      </c>
      <c r="E14" s="93" t="s">
        <v>481</v>
      </c>
      <c r="F14" s="93" t="s">
        <v>482</v>
      </c>
      <c r="G14" s="93" t="s">
        <v>483</v>
      </c>
      <c r="H14" s="93"/>
      <c r="I14" s="93" t="s">
        <v>335</v>
      </c>
      <c r="J14" s="93" t="s">
        <v>494</v>
      </c>
      <c r="K14" s="93" t="s">
        <v>315</v>
      </c>
      <c r="L14" s="93"/>
      <c r="M14" s="93" t="s">
        <v>495</v>
      </c>
      <c r="N14" s="93" t="s">
        <v>497</v>
      </c>
      <c r="O14" s="93" t="s">
        <v>499</v>
      </c>
      <c r="P14" s="93" t="s">
        <v>501</v>
      </c>
      <c r="Q14" s="93" t="s">
        <v>339</v>
      </c>
      <c r="R14" s="93" t="s">
        <v>321</v>
      </c>
      <c r="S14" s="28"/>
      <c r="V14" s="89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9"/>
    </row>
    <row r="16" spans="1:22" s="6" customFormat="1" ht="36" customHeight="1">
      <c r="B16" s="16"/>
      <c r="D16" s="92"/>
      <c r="E16" s="92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89"/>
    </row>
    <row r="17" spans="2:22" s="6" customFormat="1" ht="80.099999999999994" customHeight="1">
      <c r="B17" s="18">
        <f>B13+1</f>
        <v>4</v>
      </c>
      <c r="D17" s="91" t="s">
        <v>19</v>
      </c>
      <c r="E17" s="91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89"/>
    </row>
    <row r="18" spans="2:22" s="6" customFormat="1" ht="36" customHeight="1">
      <c r="B18" s="20"/>
      <c r="D18" s="93"/>
      <c r="E18" s="93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28"/>
      <c r="V18" s="89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9"/>
    </row>
    <row r="20" spans="2:22" s="6" customFormat="1" ht="36" customHeight="1">
      <c r="B20" s="16"/>
      <c r="D20" s="92" t="s">
        <v>514</v>
      </c>
      <c r="E20" s="92" t="s">
        <v>384</v>
      </c>
      <c r="F20" s="92" t="s">
        <v>316</v>
      </c>
      <c r="G20" s="92" t="s">
        <v>362</v>
      </c>
      <c r="H20" s="92"/>
      <c r="I20" s="92" t="s">
        <v>314</v>
      </c>
      <c r="J20" s="92" t="s">
        <v>401</v>
      </c>
      <c r="K20" s="92" t="s">
        <v>77</v>
      </c>
      <c r="L20" s="92"/>
      <c r="M20" s="92" t="s">
        <v>324</v>
      </c>
      <c r="N20" s="92" t="s">
        <v>356</v>
      </c>
      <c r="O20" s="92" t="s">
        <v>336</v>
      </c>
      <c r="P20" s="92" t="s">
        <v>272</v>
      </c>
      <c r="Q20" s="92" t="s">
        <v>306</v>
      </c>
      <c r="R20" s="92" t="s">
        <v>340</v>
      </c>
      <c r="S20" s="17"/>
      <c r="V20" s="89"/>
    </row>
    <row r="21" spans="2:22" s="6" customFormat="1" ht="80.099999999999994" customHeight="1">
      <c r="B21" s="18">
        <f>B17+1</f>
        <v>5</v>
      </c>
      <c r="D21" s="91" t="s">
        <v>421</v>
      </c>
      <c r="E21" s="91" t="s">
        <v>379</v>
      </c>
      <c r="F21" s="91" t="s">
        <v>422</v>
      </c>
      <c r="G21" s="91" t="s">
        <v>304</v>
      </c>
      <c r="H21" s="91" t="s">
        <v>18</v>
      </c>
      <c r="I21" s="91" t="s">
        <v>290</v>
      </c>
      <c r="J21" s="91" t="s">
        <v>381</v>
      </c>
      <c r="K21" s="91" t="s">
        <v>56</v>
      </c>
      <c r="L21" s="91" t="s">
        <v>18</v>
      </c>
      <c r="M21" s="91" t="s">
        <v>294</v>
      </c>
      <c r="N21" s="91" t="s">
        <v>378</v>
      </c>
      <c r="O21" s="91" t="s">
        <v>296</v>
      </c>
      <c r="P21" s="91" t="s">
        <v>423</v>
      </c>
      <c r="Q21" s="91" t="s">
        <v>283</v>
      </c>
      <c r="R21" s="91" t="s">
        <v>424</v>
      </c>
      <c r="S21" s="19"/>
      <c r="V21" s="89"/>
    </row>
    <row r="22" spans="2:22" s="6" customFormat="1" ht="36" customHeight="1">
      <c r="B22" s="20"/>
      <c r="D22" s="93" t="s">
        <v>515</v>
      </c>
      <c r="E22" s="93" t="s">
        <v>384</v>
      </c>
      <c r="F22" s="93" t="s">
        <v>316</v>
      </c>
      <c r="G22" s="93" t="s">
        <v>362</v>
      </c>
      <c r="H22" s="93"/>
      <c r="I22" s="93" t="s">
        <v>314</v>
      </c>
      <c r="J22" s="93" t="s">
        <v>322</v>
      </c>
      <c r="K22" s="93" t="s">
        <v>78</v>
      </c>
      <c r="L22" s="93"/>
      <c r="M22" s="93" t="s">
        <v>325</v>
      </c>
      <c r="N22" s="93" t="s">
        <v>357</v>
      </c>
      <c r="O22" s="93" t="s">
        <v>337</v>
      </c>
      <c r="P22" s="93" t="s">
        <v>272</v>
      </c>
      <c r="Q22" s="93" t="s">
        <v>307</v>
      </c>
      <c r="R22" s="93" t="s">
        <v>341</v>
      </c>
      <c r="S22" s="28"/>
      <c r="V22" s="89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9"/>
    </row>
    <row r="24" spans="2:22" s="6" customFormat="1" ht="36" customHeight="1">
      <c r="B24" s="16"/>
      <c r="D24" s="92"/>
      <c r="E24" s="92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89"/>
    </row>
    <row r="25" spans="2:22" s="6" customFormat="1" ht="80.099999999999994" customHeight="1">
      <c r="B25" s="18">
        <f>B21+1</f>
        <v>6</v>
      </c>
      <c r="D25" s="91" t="s">
        <v>291</v>
      </c>
      <c r="E25" s="91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89"/>
    </row>
    <row r="26" spans="2:22" s="6" customFormat="1" ht="36" customHeight="1">
      <c r="B26" s="20"/>
      <c r="D26" s="93"/>
      <c r="E26" s="93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28"/>
      <c r="V26" s="89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9"/>
    </row>
    <row r="28" spans="2:22" s="6" customFormat="1" ht="36" customHeight="1">
      <c r="B28" s="16"/>
      <c r="D28" s="92" t="s">
        <v>275</v>
      </c>
      <c r="E28" s="92" t="s">
        <v>525</v>
      </c>
      <c r="F28" s="92" t="s">
        <v>336</v>
      </c>
      <c r="G28" s="92" t="s">
        <v>274</v>
      </c>
      <c r="H28" s="92"/>
      <c r="I28" s="92" t="s">
        <v>273</v>
      </c>
      <c r="J28" s="92" t="s">
        <v>526</v>
      </c>
      <c r="K28" s="92" t="s">
        <v>332</v>
      </c>
      <c r="L28" s="92" t="s">
        <v>237</v>
      </c>
      <c r="M28" s="92"/>
      <c r="N28" s="92" t="s">
        <v>528</v>
      </c>
      <c r="O28" s="92" t="s">
        <v>237</v>
      </c>
      <c r="P28" s="92" t="s">
        <v>84</v>
      </c>
      <c r="Q28" s="92" t="s">
        <v>530</v>
      </c>
      <c r="R28" s="92" t="s">
        <v>326</v>
      </c>
      <c r="S28" s="17"/>
      <c r="U28" s="32" t="str">
        <f t="shared" si="1"/>
        <v/>
      </c>
      <c r="V28" s="89"/>
    </row>
    <row r="29" spans="2:22" s="6" customFormat="1" ht="80.099999999999994" customHeight="1">
      <c r="B29" s="18">
        <f>B25+1</f>
        <v>7</v>
      </c>
      <c r="D29" s="91" t="s">
        <v>271</v>
      </c>
      <c r="E29" s="91" t="s">
        <v>425</v>
      </c>
      <c r="F29" s="91" t="s">
        <v>377</v>
      </c>
      <c r="G29" s="91" t="s">
        <v>270</v>
      </c>
      <c r="H29" s="91" t="s">
        <v>18</v>
      </c>
      <c r="I29" s="91" t="s">
        <v>426</v>
      </c>
      <c r="J29" s="91" t="s">
        <v>427</v>
      </c>
      <c r="K29" s="91" t="s">
        <v>293</v>
      </c>
      <c r="L29" s="91" t="s">
        <v>288</v>
      </c>
      <c r="M29" s="91" t="s">
        <v>18</v>
      </c>
      <c r="N29" s="91" t="s">
        <v>428</v>
      </c>
      <c r="O29" s="91" t="s">
        <v>236</v>
      </c>
      <c r="P29" s="91" t="s">
        <v>60</v>
      </c>
      <c r="Q29" s="91" t="s">
        <v>429</v>
      </c>
      <c r="R29" s="91" t="s">
        <v>430</v>
      </c>
      <c r="S29" s="19"/>
      <c r="U29" s="32" t="str">
        <f t="shared" si="1"/>
        <v/>
      </c>
      <c r="V29" s="89"/>
    </row>
    <row r="30" spans="2:22" s="6" customFormat="1" ht="36" customHeight="1">
      <c r="B30" s="20"/>
      <c r="D30" s="93" t="s">
        <v>280</v>
      </c>
      <c r="E30" s="93" t="s">
        <v>525</v>
      </c>
      <c r="F30" s="93" t="s">
        <v>337</v>
      </c>
      <c r="G30" s="93" t="s">
        <v>279</v>
      </c>
      <c r="H30" s="93"/>
      <c r="I30" s="93" t="s">
        <v>273</v>
      </c>
      <c r="J30" s="93" t="s">
        <v>527</v>
      </c>
      <c r="K30" s="93" t="s">
        <v>333</v>
      </c>
      <c r="L30" s="93" t="s">
        <v>237</v>
      </c>
      <c r="M30" s="93"/>
      <c r="N30" s="93" t="s">
        <v>529</v>
      </c>
      <c r="O30" s="93" t="s">
        <v>237</v>
      </c>
      <c r="P30" s="93" t="s">
        <v>84</v>
      </c>
      <c r="Q30" s="93" t="s">
        <v>530</v>
      </c>
      <c r="R30" s="93" t="s">
        <v>327</v>
      </c>
      <c r="S30" s="28"/>
      <c r="U30" s="32" t="str">
        <f t="shared" si="1"/>
        <v/>
      </c>
      <c r="V30" s="89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9"/>
    </row>
    <row r="32" spans="2:22" s="6" customFormat="1" ht="36" customHeight="1">
      <c r="B32" s="16"/>
      <c r="D32" s="92"/>
      <c r="E32" s="92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9"/>
    </row>
    <row r="33" spans="2:22" s="6" customFormat="1" ht="80.099999999999994" customHeight="1">
      <c r="B33" s="18">
        <f>B29+1</f>
        <v>8</v>
      </c>
      <c r="D33" s="91" t="s">
        <v>19</v>
      </c>
      <c r="E33" s="91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9"/>
    </row>
    <row r="34" spans="2:22" s="6" customFormat="1" ht="36" customHeight="1">
      <c r="B34" s="20"/>
      <c r="D34" s="93"/>
      <c r="E34" s="93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28"/>
      <c r="V34" s="89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9"/>
    </row>
    <row r="36" spans="2:22" s="6" customFormat="1" ht="36" customHeight="1">
      <c r="B36" s="16"/>
      <c r="D36" s="92" t="s">
        <v>542</v>
      </c>
      <c r="E36" s="92" t="s">
        <v>315</v>
      </c>
      <c r="F36" s="92" t="s">
        <v>323</v>
      </c>
      <c r="G36" s="92" t="s">
        <v>544</v>
      </c>
      <c r="H36" s="92"/>
      <c r="I36" s="92" t="s">
        <v>41</v>
      </c>
      <c r="J36" s="92" t="s">
        <v>314</v>
      </c>
      <c r="K36" s="92" t="s">
        <v>274</v>
      </c>
      <c r="L36" s="92" t="s">
        <v>545</v>
      </c>
      <c r="M36" s="92"/>
      <c r="N36" s="92"/>
      <c r="O36" s="92"/>
      <c r="P36" s="92"/>
      <c r="Q36" s="46"/>
      <c r="R36" s="46"/>
      <c r="S36" s="17"/>
      <c r="V36" s="89"/>
    </row>
    <row r="37" spans="2:22" s="6" customFormat="1" ht="80.099999999999994" customHeight="1">
      <c r="B37" s="18">
        <f>B33+1</f>
        <v>9</v>
      </c>
      <c r="D37" s="91" t="s">
        <v>431</v>
      </c>
      <c r="E37" s="91" t="s">
        <v>432</v>
      </c>
      <c r="F37" s="91" t="s">
        <v>433</v>
      </c>
      <c r="G37" s="91" t="s">
        <v>434</v>
      </c>
      <c r="H37" s="91" t="s">
        <v>18</v>
      </c>
      <c r="I37" s="91" t="s">
        <v>36</v>
      </c>
      <c r="J37" s="91" t="s">
        <v>290</v>
      </c>
      <c r="K37" s="91" t="s">
        <v>435</v>
      </c>
      <c r="L37" s="91" t="s">
        <v>436</v>
      </c>
      <c r="M37" s="91" t="s">
        <v>437</v>
      </c>
      <c r="N37" s="91" t="s">
        <v>438</v>
      </c>
      <c r="O37" s="91" t="s">
        <v>291</v>
      </c>
      <c r="P37" s="91" t="str">
        <f>CHAR(10)</f>
        <v xml:space="preserve">
</v>
      </c>
      <c r="Q37" s="36"/>
      <c r="R37" s="36"/>
      <c r="S37" s="19"/>
      <c r="V37" s="89"/>
    </row>
    <row r="38" spans="2:22" s="6" customFormat="1" ht="36" customHeight="1">
      <c r="B38" s="20"/>
      <c r="D38" s="93" t="s">
        <v>542</v>
      </c>
      <c r="E38" s="93" t="s">
        <v>543</v>
      </c>
      <c r="F38" s="93" t="s">
        <v>323</v>
      </c>
      <c r="G38" s="93" t="s">
        <v>544</v>
      </c>
      <c r="H38" s="93"/>
      <c r="I38" s="93" t="s">
        <v>41</v>
      </c>
      <c r="J38" s="93" t="s">
        <v>314</v>
      </c>
      <c r="K38" s="93" t="s">
        <v>279</v>
      </c>
      <c r="L38" s="93" t="s">
        <v>546</v>
      </c>
      <c r="M38" s="93"/>
      <c r="N38" s="93"/>
      <c r="O38" s="93"/>
      <c r="P38" s="93"/>
      <c r="Q38" s="81"/>
      <c r="R38" s="81"/>
      <c r="S38" s="28"/>
      <c r="V38" s="89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9"/>
    </row>
    <row r="40" spans="2:22" s="6" customFormat="1" ht="36" customHeight="1">
      <c r="B40" s="16"/>
      <c r="D40" s="92" t="s">
        <v>350</v>
      </c>
      <c r="E40" s="92" t="s">
        <v>345</v>
      </c>
      <c r="F40" s="92" t="s">
        <v>348</v>
      </c>
      <c r="G40" s="92" t="s">
        <v>319</v>
      </c>
      <c r="H40" s="92" t="s">
        <v>557</v>
      </c>
      <c r="I40" s="92" t="s">
        <v>559</v>
      </c>
      <c r="J40" s="92"/>
      <c r="K40" s="92" t="s">
        <v>328</v>
      </c>
      <c r="L40" s="92" t="s">
        <v>560</v>
      </c>
      <c r="M40" s="92" t="s">
        <v>342</v>
      </c>
      <c r="N40" s="92" t="s">
        <v>360</v>
      </c>
      <c r="O40" s="92"/>
      <c r="P40" s="92" t="s">
        <v>561</v>
      </c>
      <c r="Q40" s="92" t="s">
        <v>355</v>
      </c>
      <c r="R40" s="92" t="s">
        <v>347</v>
      </c>
      <c r="S40" s="17"/>
      <c r="V40" s="89"/>
    </row>
    <row r="41" spans="2:22" s="6" customFormat="1" ht="80.099999999999994" customHeight="1">
      <c r="B41" s="18">
        <f>B37+1</f>
        <v>10</v>
      </c>
      <c r="D41" s="91" t="s">
        <v>301</v>
      </c>
      <c r="E41" s="91" t="s">
        <v>439</v>
      </c>
      <c r="F41" s="91" t="s">
        <v>440</v>
      </c>
      <c r="G41" s="91" t="s">
        <v>298</v>
      </c>
      <c r="H41" s="91" t="s">
        <v>441</v>
      </c>
      <c r="I41" s="91" t="s">
        <v>442</v>
      </c>
      <c r="J41" s="91" t="s">
        <v>18</v>
      </c>
      <c r="K41" s="91" t="s">
        <v>443</v>
      </c>
      <c r="L41" s="91" t="s">
        <v>444</v>
      </c>
      <c r="M41" s="91" t="s">
        <v>445</v>
      </c>
      <c r="N41" s="91" t="s">
        <v>446</v>
      </c>
      <c r="O41" s="91" t="s">
        <v>18</v>
      </c>
      <c r="P41" s="91" t="s">
        <v>447</v>
      </c>
      <c r="Q41" s="91" t="s">
        <v>448</v>
      </c>
      <c r="R41" s="91" t="s">
        <v>449</v>
      </c>
      <c r="S41" s="19"/>
      <c r="V41" s="89"/>
    </row>
    <row r="42" spans="2:22" s="6" customFormat="1" ht="36" customHeight="1">
      <c r="B42" s="20"/>
      <c r="D42" s="93" t="s">
        <v>350</v>
      </c>
      <c r="E42" s="93" t="s">
        <v>346</v>
      </c>
      <c r="F42" s="93" t="s">
        <v>349</v>
      </c>
      <c r="G42" s="93" t="s">
        <v>319</v>
      </c>
      <c r="H42" s="93" t="s">
        <v>558</v>
      </c>
      <c r="I42" s="93" t="s">
        <v>559</v>
      </c>
      <c r="J42" s="93"/>
      <c r="K42" s="93" t="s">
        <v>329</v>
      </c>
      <c r="L42" s="93" t="s">
        <v>560</v>
      </c>
      <c r="M42" s="93" t="s">
        <v>342</v>
      </c>
      <c r="N42" s="93" t="s">
        <v>361</v>
      </c>
      <c r="O42" s="93"/>
      <c r="P42" s="93" t="s">
        <v>562</v>
      </c>
      <c r="Q42" s="93" t="s">
        <v>563</v>
      </c>
      <c r="R42" s="93" t="s">
        <v>347</v>
      </c>
      <c r="S42" s="28"/>
      <c r="V42" s="89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9"/>
    </row>
    <row r="44" spans="2:22" s="6" customFormat="1" ht="36" customHeight="1">
      <c r="B44" s="16"/>
      <c r="D44" s="92" t="s">
        <v>317</v>
      </c>
      <c r="E44" s="92" t="s">
        <v>576</v>
      </c>
      <c r="F44" s="92"/>
      <c r="G44" s="92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9"/>
    </row>
    <row r="45" spans="2:22" s="6" customFormat="1" ht="80.099999999999994" customHeight="1">
      <c r="B45" s="18">
        <f>B41+1</f>
        <v>11</v>
      </c>
      <c r="D45" s="91" t="s">
        <v>450</v>
      </c>
      <c r="E45" s="91" t="s">
        <v>451</v>
      </c>
      <c r="F45" s="91" t="s">
        <v>19</v>
      </c>
      <c r="G45" s="91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9"/>
    </row>
    <row r="46" spans="2:22" s="6" customFormat="1" ht="36" customHeight="1">
      <c r="B46" s="20"/>
      <c r="D46" s="93" t="s">
        <v>318</v>
      </c>
      <c r="E46" s="93" t="s">
        <v>577</v>
      </c>
      <c r="F46" s="93"/>
      <c r="G46" s="93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28"/>
      <c r="V46" s="89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9"/>
    </row>
    <row r="48" spans="2:22" s="6" customFormat="1" ht="36" customHeight="1">
      <c r="B48" s="16"/>
      <c r="D48" s="92" t="s">
        <v>580</v>
      </c>
      <c r="E48" s="92" t="s">
        <v>582</v>
      </c>
      <c r="F48" s="92" t="s">
        <v>324</v>
      </c>
      <c r="G48" s="92" t="s">
        <v>584</v>
      </c>
      <c r="H48" s="92"/>
      <c r="I48" s="92" t="s">
        <v>343</v>
      </c>
      <c r="J48" s="92" t="s">
        <v>275</v>
      </c>
      <c r="K48" s="92" t="s">
        <v>525</v>
      </c>
      <c r="L48" s="92"/>
      <c r="M48" s="92" t="s">
        <v>585</v>
      </c>
      <c r="N48" s="92" t="s">
        <v>79</v>
      </c>
      <c r="O48" s="92" t="s">
        <v>586</v>
      </c>
      <c r="P48" s="92" t="s">
        <v>312</v>
      </c>
      <c r="Q48" s="92" t="s">
        <v>308</v>
      </c>
      <c r="R48" s="92" t="s">
        <v>340</v>
      </c>
      <c r="S48" s="17"/>
      <c r="V48" s="89"/>
    </row>
    <row r="49" spans="2:22" s="6" customFormat="1" ht="80.099999999999994" customHeight="1">
      <c r="B49" s="18">
        <f>B45+1</f>
        <v>12</v>
      </c>
      <c r="D49" s="91" t="s">
        <v>452</v>
      </c>
      <c r="E49" s="91" t="s">
        <v>453</v>
      </c>
      <c r="F49" s="91" t="s">
        <v>454</v>
      </c>
      <c r="G49" s="91" t="s">
        <v>455</v>
      </c>
      <c r="H49" s="91" t="s">
        <v>18</v>
      </c>
      <c r="I49" s="91" t="s">
        <v>299</v>
      </c>
      <c r="J49" s="91" t="s">
        <v>271</v>
      </c>
      <c r="K49" s="91" t="s">
        <v>425</v>
      </c>
      <c r="L49" s="91" t="s">
        <v>18</v>
      </c>
      <c r="M49" s="91" t="s">
        <v>456</v>
      </c>
      <c r="N49" s="91" t="s">
        <v>289</v>
      </c>
      <c r="O49" s="91" t="s">
        <v>457</v>
      </c>
      <c r="P49" s="91" t="s">
        <v>287</v>
      </c>
      <c r="Q49" s="91" t="s">
        <v>284</v>
      </c>
      <c r="R49" s="91" t="s">
        <v>300</v>
      </c>
      <c r="S49" s="19"/>
      <c r="V49" s="89"/>
    </row>
    <row r="50" spans="2:22" s="6" customFormat="1" ht="36" customHeight="1">
      <c r="B50" s="20"/>
      <c r="D50" s="93" t="s">
        <v>581</v>
      </c>
      <c r="E50" s="93" t="s">
        <v>583</v>
      </c>
      <c r="F50" s="93" t="s">
        <v>325</v>
      </c>
      <c r="G50" s="93" t="s">
        <v>584</v>
      </c>
      <c r="H50" s="93"/>
      <c r="I50" s="93" t="s">
        <v>344</v>
      </c>
      <c r="J50" s="93" t="s">
        <v>280</v>
      </c>
      <c r="K50" s="93" t="s">
        <v>525</v>
      </c>
      <c r="L50" s="93"/>
      <c r="M50" s="93" t="s">
        <v>585</v>
      </c>
      <c r="N50" s="93" t="s">
        <v>80</v>
      </c>
      <c r="O50" s="93" t="s">
        <v>586</v>
      </c>
      <c r="P50" s="93" t="s">
        <v>313</v>
      </c>
      <c r="Q50" s="93" t="s">
        <v>309</v>
      </c>
      <c r="R50" s="93" t="s">
        <v>341</v>
      </c>
      <c r="S50" s="28"/>
      <c r="V50" s="89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9"/>
    </row>
    <row r="52" spans="2:22" s="6" customFormat="1" ht="36" customHeight="1">
      <c r="B52" s="16"/>
      <c r="D52" s="92"/>
      <c r="E52" s="92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9"/>
    </row>
    <row r="53" spans="2:22" s="6" customFormat="1" ht="80.099999999999994" customHeight="1">
      <c r="B53" s="18">
        <f>B49+1</f>
        <v>13</v>
      </c>
      <c r="D53" s="91" t="s">
        <v>19</v>
      </c>
      <c r="E53" s="91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9"/>
    </row>
    <row r="54" spans="2:22" s="6" customFormat="1" ht="36" customHeight="1">
      <c r="B54" s="20"/>
      <c r="D54" s="93"/>
      <c r="E54" s="93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28"/>
      <c r="V54" s="89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9"/>
    </row>
    <row r="56" spans="2:22" s="6" customFormat="1" ht="36" customHeight="1">
      <c r="B56" s="16"/>
      <c r="D56" s="92" t="s">
        <v>351</v>
      </c>
      <c r="E56" s="92" t="s">
        <v>597</v>
      </c>
      <c r="F56" s="92" t="s">
        <v>353</v>
      </c>
      <c r="G56" s="92" t="s">
        <v>310</v>
      </c>
      <c r="H56" s="92"/>
      <c r="I56" s="92" t="s">
        <v>598</v>
      </c>
      <c r="J56" s="92" t="s">
        <v>402</v>
      </c>
      <c r="K56" s="92" t="s">
        <v>598</v>
      </c>
      <c r="L56" s="92" t="s">
        <v>600</v>
      </c>
      <c r="M56" s="92"/>
      <c r="N56" s="92" t="s">
        <v>602</v>
      </c>
      <c r="O56" s="92" t="s">
        <v>330</v>
      </c>
      <c r="P56" s="92" t="s">
        <v>382</v>
      </c>
      <c r="Q56" s="92" t="s">
        <v>603</v>
      </c>
      <c r="R56" s="92" t="s">
        <v>604</v>
      </c>
      <c r="S56" s="17"/>
      <c r="V56" s="89"/>
    </row>
    <row r="57" spans="2:22" s="6" customFormat="1" ht="80.099999999999994" customHeight="1">
      <c r="B57" s="18">
        <f>B53+1</f>
        <v>14</v>
      </c>
      <c r="D57" s="91" t="s">
        <v>302</v>
      </c>
      <c r="E57" s="91" t="s">
        <v>458</v>
      </c>
      <c r="F57" s="91" t="s">
        <v>303</v>
      </c>
      <c r="G57" s="91" t="s">
        <v>285</v>
      </c>
      <c r="H57" s="91" t="s">
        <v>18</v>
      </c>
      <c r="I57" s="91" t="s">
        <v>459</v>
      </c>
      <c r="J57" s="91" t="s">
        <v>460</v>
      </c>
      <c r="K57" s="91" t="s">
        <v>459</v>
      </c>
      <c r="L57" s="91" t="s">
        <v>461</v>
      </c>
      <c r="M57" s="91" t="s">
        <v>18</v>
      </c>
      <c r="N57" s="91" t="s">
        <v>462</v>
      </c>
      <c r="O57" s="91" t="s">
        <v>292</v>
      </c>
      <c r="P57" s="91" t="s">
        <v>463</v>
      </c>
      <c r="Q57" s="91" t="s">
        <v>464</v>
      </c>
      <c r="R57" s="91" t="s">
        <v>465</v>
      </c>
      <c r="S57" s="19"/>
      <c r="V57" s="89"/>
    </row>
    <row r="58" spans="2:22" s="6" customFormat="1" ht="36" customHeight="1">
      <c r="B58" s="20"/>
      <c r="D58" s="93" t="s">
        <v>352</v>
      </c>
      <c r="E58" s="93" t="s">
        <v>597</v>
      </c>
      <c r="F58" s="93" t="s">
        <v>354</v>
      </c>
      <c r="G58" s="93" t="s">
        <v>311</v>
      </c>
      <c r="H58" s="93"/>
      <c r="I58" s="93" t="s">
        <v>599</v>
      </c>
      <c r="J58" s="93" t="s">
        <v>402</v>
      </c>
      <c r="K58" s="93" t="s">
        <v>599</v>
      </c>
      <c r="L58" s="93" t="s">
        <v>601</v>
      </c>
      <c r="M58" s="93"/>
      <c r="N58" s="93" t="s">
        <v>602</v>
      </c>
      <c r="O58" s="93" t="s">
        <v>330</v>
      </c>
      <c r="P58" s="93" t="s">
        <v>382</v>
      </c>
      <c r="Q58" s="93" t="s">
        <v>603</v>
      </c>
      <c r="R58" s="93" t="s">
        <v>605</v>
      </c>
      <c r="S58" s="28"/>
      <c r="V58" s="89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9"/>
    </row>
    <row r="60" spans="2:22" s="6" customFormat="1" ht="36" customHeight="1">
      <c r="B60" s="16"/>
      <c r="D60" s="92"/>
      <c r="E60" s="92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9"/>
    </row>
    <row r="61" spans="2:22" s="6" customFormat="1" ht="80.099999999999994" customHeight="1">
      <c r="B61" s="18">
        <f>B57+1</f>
        <v>15</v>
      </c>
      <c r="D61" s="91" t="s">
        <v>19</v>
      </c>
      <c r="E61" s="91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9"/>
    </row>
    <row r="62" spans="2:22" s="6" customFormat="1" ht="36" customHeight="1">
      <c r="B62" s="20"/>
      <c r="D62" s="93"/>
      <c r="E62" s="93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28"/>
      <c r="V62" s="89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9"/>
    </row>
    <row r="64" spans="2:22" s="6" customFormat="1" ht="36" customHeight="1">
      <c r="B64" s="16"/>
      <c r="D64" s="92" t="s">
        <v>612</v>
      </c>
      <c r="E64" s="92" t="s">
        <v>331</v>
      </c>
      <c r="F64" s="92" t="s">
        <v>500</v>
      </c>
      <c r="G64" s="92" t="s">
        <v>613</v>
      </c>
      <c r="H64" s="92"/>
      <c r="I64" s="92" t="s">
        <v>615</v>
      </c>
      <c r="J64" s="92" t="s">
        <v>363</v>
      </c>
      <c r="K64" s="92" t="s">
        <v>310</v>
      </c>
      <c r="L64" s="92" t="s">
        <v>616</v>
      </c>
      <c r="M64" s="92" t="s">
        <v>618</v>
      </c>
      <c r="N64" s="92" t="s">
        <v>619</v>
      </c>
      <c r="O64" s="92"/>
      <c r="P64" s="92"/>
      <c r="Q64" s="46"/>
      <c r="R64" s="46"/>
      <c r="S64" s="17"/>
      <c r="V64" s="89"/>
    </row>
    <row r="65" spans="2:22" s="6" customFormat="1" ht="80.099999999999994" customHeight="1">
      <c r="B65" s="18">
        <f>B61+1</f>
        <v>16</v>
      </c>
      <c r="D65" s="91" t="s">
        <v>466</v>
      </c>
      <c r="E65" s="91" t="s">
        <v>467</v>
      </c>
      <c r="F65" s="91" t="s">
        <v>468</v>
      </c>
      <c r="G65" s="91" t="s">
        <v>469</v>
      </c>
      <c r="H65" s="91" t="s">
        <v>18</v>
      </c>
      <c r="I65" s="91" t="s">
        <v>470</v>
      </c>
      <c r="J65" s="91" t="s">
        <v>305</v>
      </c>
      <c r="K65" s="91" t="s">
        <v>286</v>
      </c>
      <c r="L65" s="91" t="s">
        <v>471</v>
      </c>
      <c r="M65" s="91" t="s">
        <v>472</v>
      </c>
      <c r="N65" s="91" t="s">
        <v>473</v>
      </c>
      <c r="O65" s="91" t="s">
        <v>19</v>
      </c>
      <c r="P65" s="91" t="str">
        <f>CHAR(10)</f>
        <v xml:space="preserve">
</v>
      </c>
      <c r="Q65" s="36"/>
      <c r="R65" s="36"/>
      <c r="S65" s="19"/>
      <c r="V65" s="89"/>
    </row>
    <row r="66" spans="2:22" s="6" customFormat="1" ht="36" customHeight="1">
      <c r="B66" s="20"/>
      <c r="D66" s="93" t="s">
        <v>612</v>
      </c>
      <c r="E66" s="93" t="s">
        <v>331</v>
      </c>
      <c r="F66" s="93" t="s">
        <v>501</v>
      </c>
      <c r="G66" s="93" t="s">
        <v>614</v>
      </c>
      <c r="H66" s="93"/>
      <c r="I66" s="93" t="s">
        <v>615</v>
      </c>
      <c r="J66" s="93" t="s">
        <v>363</v>
      </c>
      <c r="K66" s="93" t="s">
        <v>311</v>
      </c>
      <c r="L66" s="93" t="s">
        <v>617</v>
      </c>
      <c r="M66" s="93" t="s">
        <v>618</v>
      </c>
      <c r="N66" s="93" t="s">
        <v>620</v>
      </c>
      <c r="O66" s="93"/>
      <c r="P66" s="93"/>
      <c r="Q66" s="81"/>
      <c r="R66" s="81"/>
      <c r="S66" s="28"/>
      <c r="V66" s="89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9"/>
    </row>
    <row r="68" spans="2:22" s="6" customFormat="1" ht="36" customHeight="1">
      <c r="B68" s="16"/>
      <c r="D68" s="92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9"/>
    </row>
    <row r="69" spans="2:22" s="6" customFormat="1" ht="80.099999999999994" customHeight="1">
      <c r="B69" s="18">
        <f>B65+1</f>
        <v>17</v>
      </c>
      <c r="D69" s="91" t="s">
        <v>20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9"/>
    </row>
    <row r="70" spans="2:22" s="6" customFormat="1" ht="36" customHeight="1">
      <c r="B70" s="20"/>
      <c r="D70" s="93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28"/>
      <c r="V70" s="89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9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9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9"/>
    </row>
    <row r="74" spans="2:22" s="6" customFormat="1" ht="36" customHeight="1">
      <c r="B74" s="20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28"/>
      <c r="V74" s="89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9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9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9"/>
    </row>
    <row r="78" spans="2:22" s="6" customFormat="1" ht="36" customHeight="1">
      <c r="B78" s="2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28"/>
      <c r="V78" s="89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9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9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9"/>
    </row>
    <row r="82" spans="2:22" s="6" customFormat="1" ht="36" customHeight="1">
      <c r="B82" s="20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28"/>
      <c r="V82" s="90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81"/>
      <c r="E1430" s="81"/>
      <c r="F1430" s="81"/>
      <c r="G1430" s="81"/>
      <c r="H1430" s="81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81"/>
      <c r="E1434" s="81"/>
      <c r="F1434" s="81"/>
      <c r="G1434" s="81"/>
      <c r="H1434" s="81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81"/>
      <c r="E1438" s="81"/>
      <c r="F1438" s="81"/>
      <c r="G1438" s="81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1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81"/>
      <c r="E1442" s="81"/>
      <c r="F1442" s="81"/>
      <c r="G1442" s="81"/>
      <c r="H1442" s="81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81"/>
      <c r="E1450" s="81"/>
      <c r="F1450" s="81"/>
      <c r="G1450" s="81"/>
      <c r="H1450" s="81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81"/>
      <c r="E1478" s="81"/>
      <c r="F1478" s="81"/>
      <c r="G1478" s="81"/>
      <c r="H1478" s="81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81"/>
      <c r="E1482" s="81"/>
      <c r="F1482" s="81"/>
      <c r="G1482" s="81"/>
      <c r="H1482" s="81"/>
      <c r="I1482" s="81"/>
      <c r="J1482" s="81"/>
      <c r="K1482" s="81"/>
      <c r="L1482" s="81"/>
      <c r="M1482" s="81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81"/>
      <c r="E1486" s="81"/>
      <c r="F1486" s="81"/>
      <c r="G1486" s="81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81"/>
      <c r="E1490" s="81"/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81"/>
      <c r="E1494" s="81"/>
      <c r="F1494" s="81"/>
      <c r="G1494" s="81"/>
      <c r="H1494" s="81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81"/>
      <c r="E1522" s="81"/>
      <c r="F1522" s="81"/>
      <c r="G1522" s="81"/>
      <c r="H1522" s="81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81"/>
      <c r="E1526" s="81"/>
      <c r="F1526" s="81"/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81"/>
      <c r="E1530" s="81"/>
      <c r="F1530" s="81"/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81"/>
      <c r="E1534" s="81"/>
      <c r="F1534" s="81"/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81"/>
      <c r="E1538" s="81"/>
      <c r="F1538" s="81"/>
      <c r="G1538" s="81"/>
      <c r="H1538" s="81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81"/>
      <c r="E1542" s="81"/>
      <c r="F1542" s="81"/>
      <c r="G1542" s="81"/>
      <c r="H1542" s="81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81"/>
      <c r="E1570" s="81"/>
      <c r="F1570" s="81"/>
      <c r="G1570" s="81"/>
      <c r="H1570" s="81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81"/>
      <c r="E1574" s="81"/>
      <c r="F1574" s="81"/>
      <c r="G1574" s="81"/>
      <c r="H1574" s="81"/>
      <c r="I1574" s="81"/>
      <c r="J1574" s="81"/>
      <c r="K1574" s="81"/>
      <c r="L1574" s="81"/>
      <c r="M1574" s="81"/>
      <c r="N1574" s="81"/>
      <c r="O1574" s="81"/>
      <c r="P1574" s="81"/>
      <c r="Q1574" s="81"/>
      <c r="R1574" s="81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81"/>
      <c r="E1578" s="81"/>
      <c r="F1578" s="81"/>
      <c r="G1578" s="81"/>
      <c r="H1578" s="81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81"/>
      <c r="E1582" s="81"/>
      <c r="F1582" s="81"/>
      <c r="G1582" s="81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81"/>
      <c r="E1586" s="81"/>
      <c r="F1586" s="81"/>
      <c r="G1586" s="81"/>
      <c r="H1586" s="81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81"/>
      <c r="E1614" s="81"/>
      <c r="F1614" s="81"/>
      <c r="G1614" s="81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81"/>
      <c r="E1618" s="81"/>
      <c r="F1618" s="81"/>
      <c r="G1618" s="81"/>
      <c r="H1618" s="81"/>
      <c r="I1618" s="81"/>
      <c r="J1618" s="81"/>
      <c r="K1618" s="81"/>
      <c r="L1618" s="81"/>
      <c r="M1618" s="81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81"/>
      <c r="E1622" s="81"/>
      <c r="F1622" s="81"/>
      <c r="G1622" s="81"/>
      <c r="H1622" s="81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81"/>
      <c r="E1626" s="81"/>
      <c r="F1626" s="81"/>
      <c r="G1626" s="81"/>
      <c r="H1626" s="81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81"/>
      <c r="E1634" s="81"/>
      <c r="F1634" s="81"/>
      <c r="G1634" s="81"/>
      <c r="H1634" s="81"/>
      <c r="I1634" s="81"/>
      <c r="J1634" s="81"/>
      <c r="K1634" s="81"/>
      <c r="L1634" s="81"/>
      <c r="M1634" s="81"/>
      <c r="N1634" s="81"/>
      <c r="O1634" s="81"/>
      <c r="P1634" s="81"/>
      <c r="Q1634" s="81"/>
      <c r="R1634" s="81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81"/>
      <c r="E1662" s="81"/>
      <c r="F1662" s="81"/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81"/>
      <c r="E1666" s="81"/>
      <c r="F1666" s="81"/>
      <c r="G1666" s="81"/>
      <c r="H1666" s="81"/>
      <c r="I1666" s="81"/>
      <c r="J1666" s="81"/>
      <c r="K1666" s="81"/>
      <c r="L1666" s="81"/>
      <c r="M1666" s="81"/>
      <c r="N1666" s="81"/>
      <c r="O1666" s="81"/>
      <c r="P1666" s="81"/>
      <c r="Q1666" s="81"/>
      <c r="R1666" s="81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81"/>
      <c r="E1670" s="81"/>
      <c r="F1670" s="81"/>
      <c r="G1670" s="81"/>
      <c r="H1670" s="81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81"/>
      <c r="E1674" s="81"/>
      <c r="F1674" s="81"/>
      <c r="G1674" s="81"/>
      <c r="H1674" s="81"/>
      <c r="I1674" s="81"/>
      <c r="J1674" s="81"/>
      <c r="K1674" s="81"/>
      <c r="L1674" s="81"/>
      <c r="M1674" s="81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81"/>
      <c r="E1678" s="81"/>
      <c r="F1678" s="81"/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81"/>
      <c r="E1706" s="81"/>
      <c r="F1706" s="81"/>
      <c r="G1706" s="81"/>
      <c r="H1706" s="81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81"/>
      <c r="E1710" s="81"/>
      <c r="F1710" s="81"/>
      <c r="G1710" s="81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81"/>
      <c r="E1714" s="81"/>
      <c r="F1714" s="81"/>
      <c r="G1714" s="81"/>
      <c r="H1714" s="81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81"/>
      <c r="E1718" s="81"/>
      <c r="F1718" s="81"/>
      <c r="G1718" s="81"/>
      <c r="H1718" s="81"/>
      <c r="I1718" s="81"/>
      <c r="J1718" s="81"/>
      <c r="K1718" s="81"/>
      <c r="L1718" s="81"/>
      <c r="M1718" s="81"/>
      <c r="N1718" s="81"/>
      <c r="O1718" s="81"/>
      <c r="P1718" s="81"/>
      <c r="Q1718" s="81"/>
      <c r="R1718" s="81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81"/>
      <c r="E1722" s="81"/>
      <c r="F1722" s="81"/>
      <c r="G1722" s="81"/>
      <c r="H1722" s="81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81"/>
      <c r="E1726" s="81"/>
      <c r="F1726" s="81"/>
      <c r="G1726" s="81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81"/>
      <c r="E1754" s="81"/>
      <c r="F1754" s="81"/>
      <c r="G1754" s="81"/>
      <c r="H1754" s="81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81"/>
      <c r="E1758" s="81"/>
      <c r="F1758" s="81"/>
      <c r="G1758" s="81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81"/>
      <c r="E1762" s="81"/>
      <c r="F1762" s="81"/>
      <c r="G1762" s="81"/>
      <c r="H1762" s="81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81"/>
      <c r="E1766" s="81"/>
      <c r="F1766" s="81"/>
      <c r="G1766" s="81"/>
      <c r="H1766" s="81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81"/>
      <c r="E1770" s="81"/>
      <c r="F1770" s="81"/>
      <c r="G1770" s="81"/>
      <c r="H1770" s="81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81"/>
      <c r="E1798" s="81"/>
      <c r="F1798" s="81"/>
      <c r="G1798" s="81"/>
      <c r="H1798" s="81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81"/>
      <c r="E1802" s="81"/>
      <c r="F1802" s="81"/>
      <c r="G1802" s="81"/>
      <c r="H1802" s="81"/>
      <c r="I1802" s="81"/>
      <c r="J1802" s="81"/>
      <c r="K1802" s="81"/>
      <c r="L1802" s="81"/>
      <c r="M1802" s="81"/>
      <c r="N1802" s="81"/>
      <c r="O1802" s="81"/>
      <c r="P1802" s="81"/>
      <c r="Q1802" s="81"/>
      <c r="R1802" s="81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81"/>
      <c r="E1810" s="81"/>
      <c r="F1810" s="81"/>
      <c r="G1810" s="81"/>
      <c r="H1810" s="81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81"/>
      <c r="E1814" s="81"/>
      <c r="F1814" s="81"/>
      <c r="G1814" s="81"/>
      <c r="H1814" s="81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81"/>
      <c r="E1818" s="81"/>
      <c r="F1818" s="81"/>
      <c r="G1818" s="81"/>
      <c r="H1818" s="81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81"/>
      <c r="E1846" s="81"/>
      <c r="F1846" s="81"/>
      <c r="G1846" s="81"/>
      <c r="H1846" s="81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81"/>
      <c r="E1850" s="81"/>
      <c r="F1850" s="81"/>
      <c r="G1850" s="81"/>
      <c r="H1850" s="81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81"/>
      <c r="E1854" s="81"/>
      <c r="F1854" s="81"/>
      <c r="G1854" s="81"/>
      <c r="H1854" s="81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81"/>
      <c r="E1858" s="81"/>
      <c r="F1858" s="81"/>
      <c r="G1858" s="81"/>
      <c r="H1858" s="81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81"/>
      <c r="E1862" s="81"/>
      <c r="F1862" s="81"/>
      <c r="G1862" s="81"/>
      <c r="H1862" s="81"/>
      <c r="I1862" s="81"/>
      <c r="J1862" s="81"/>
      <c r="K1862" s="81"/>
      <c r="L1862" s="81"/>
      <c r="M1862" s="81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</row>
    <row r="2003" spans="2:18">
      <c r="B2003" s="12"/>
      <c r="D2003" s="48"/>
      <c r="E2003" s="48"/>
      <c r="F2003" s="48"/>
      <c r="G2003" s="48"/>
      <c r="H2003" s="48"/>
      <c r="I2003" s="48"/>
      <c r="J2003" s="48"/>
      <c r="K2003" s="48"/>
      <c r="L2003" s="48"/>
      <c r="M2003" s="48"/>
      <c r="N2003" s="48"/>
      <c r="O2003" s="48"/>
      <c r="P2003" s="48"/>
      <c r="Q2003" s="48"/>
      <c r="R2003" s="48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81"/>
      <c r="E2006" s="81"/>
      <c r="F2006" s="81"/>
      <c r="G2006" s="81"/>
      <c r="H2006" s="81"/>
      <c r="I2006" s="81"/>
      <c r="J2006" s="81"/>
      <c r="K2006" s="81"/>
      <c r="L2006" s="81"/>
      <c r="M2006" s="81"/>
      <c r="N2006" s="81"/>
      <c r="O2006" s="81"/>
      <c r="P2006" s="81"/>
      <c r="Q2006" s="81"/>
      <c r="R2006" s="81"/>
    </row>
    <row r="2007" spans="2:18">
      <c r="B2007" s="12"/>
      <c r="D2007" s="48"/>
      <c r="E2007" s="48"/>
      <c r="F2007" s="48"/>
      <c r="G2007" s="48"/>
      <c r="H2007" s="48"/>
      <c r="I2007" s="48"/>
      <c r="J2007" s="48"/>
      <c r="K2007" s="48"/>
      <c r="L2007" s="48"/>
      <c r="M2007" s="48"/>
      <c r="N2007" s="48"/>
      <c r="O2007" s="48"/>
      <c r="P2007" s="48"/>
      <c r="Q2007" s="48"/>
      <c r="R2007" s="48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81"/>
      <c r="E2010" s="81"/>
      <c r="F2010" s="81"/>
      <c r="G2010" s="81"/>
      <c r="H2010" s="81"/>
      <c r="I2010" s="81"/>
      <c r="J2010" s="81"/>
      <c r="K2010" s="81"/>
      <c r="L2010" s="81"/>
      <c r="M2010" s="81"/>
      <c r="N2010" s="81"/>
      <c r="O2010" s="81"/>
      <c r="P2010" s="81"/>
      <c r="Q2010" s="81"/>
      <c r="R2010" s="81"/>
    </row>
    <row r="2011" spans="2:18">
      <c r="B2011" s="12"/>
      <c r="D2011" s="48"/>
      <c r="E2011" s="48"/>
      <c r="F2011" s="48"/>
      <c r="G2011" s="48"/>
      <c r="H2011" s="48"/>
      <c r="I2011" s="48"/>
      <c r="J2011" s="48"/>
      <c r="K2011" s="48"/>
      <c r="L2011" s="48"/>
      <c r="M2011" s="48"/>
      <c r="N2011" s="48"/>
      <c r="O2011" s="48"/>
      <c r="P2011" s="48"/>
      <c r="Q2011" s="48"/>
      <c r="R2011" s="48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81"/>
      <c r="E2014" s="81"/>
      <c r="F2014" s="81"/>
      <c r="G2014" s="81"/>
      <c r="H2014" s="81"/>
      <c r="I2014" s="81"/>
      <c r="J2014" s="81"/>
      <c r="K2014" s="81"/>
      <c r="L2014" s="81"/>
      <c r="M2014" s="81"/>
      <c r="N2014" s="81"/>
      <c r="O2014" s="81"/>
      <c r="P2014" s="81"/>
      <c r="Q2014" s="81"/>
      <c r="R2014" s="81"/>
    </row>
    <row r="2015" spans="2:18">
      <c r="B2015" s="12"/>
      <c r="D2015" s="48"/>
      <c r="E2015" s="48"/>
      <c r="F2015" s="48"/>
      <c r="G2015" s="48"/>
      <c r="H2015" s="48"/>
      <c r="I2015" s="48"/>
      <c r="J2015" s="48"/>
      <c r="K2015" s="48"/>
      <c r="L2015" s="48"/>
      <c r="M2015" s="48"/>
      <c r="N2015" s="48"/>
      <c r="O2015" s="48"/>
      <c r="P2015" s="48"/>
      <c r="Q2015" s="48"/>
      <c r="R2015" s="48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81"/>
      <c r="E2018" s="81"/>
      <c r="F2018" s="81"/>
      <c r="G2018" s="81"/>
      <c r="H2018" s="81"/>
      <c r="I2018" s="81"/>
      <c r="J2018" s="81"/>
      <c r="K2018" s="81"/>
      <c r="L2018" s="81"/>
      <c r="M2018" s="81"/>
      <c r="N2018" s="81"/>
      <c r="O2018" s="81"/>
      <c r="P2018" s="81"/>
      <c r="Q2018" s="81"/>
      <c r="R2018" s="81"/>
    </row>
    <row r="2019" spans="2:18">
      <c r="B2019" s="12"/>
      <c r="D2019" s="48"/>
      <c r="E2019" s="48"/>
      <c r="F2019" s="48"/>
      <c r="G2019" s="48"/>
      <c r="H2019" s="48"/>
      <c r="I2019" s="48"/>
      <c r="J2019" s="48"/>
      <c r="K2019" s="48"/>
      <c r="L2019" s="48"/>
      <c r="M2019" s="48"/>
      <c r="N2019" s="48"/>
      <c r="O2019" s="48"/>
      <c r="P2019" s="48"/>
      <c r="Q2019" s="48"/>
      <c r="R2019" s="48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81"/>
      <c r="E2022" s="81"/>
      <c r="F2022" s="81"/>
      <c r="G2022" s="81"/>
      <c r="H2022" s="81"/>
      <c r="I2022" s="81"/>
      <c r="J2022" s="81"/>
      <c r="K2022" s="81"/>
      <c r="L2022" s="81"/>
      <c r="M2022" s="81"/>
      <c r="N2022" s="81"/>
      <c r="O2022" s="81"/>
      <c r="P2022" s="81"/>
      <c r="Q2022" s="81"/>
      <c r="R2022" s="81"/>
    </row>
    <row r="2023" spans="2:18">
      <c r="B2023" s="12"/>
      <c r="D2023" s="48"/>
      <c r="E2023" s="48"/>
      <c r="F2023" s="48"/>
      <c r="G2023" s="48"/>
      <c r="H2023" s="48"/>
      <c r="I2023" s="48"/>
      <c r="J2023" s="48"/>
      <c r="K2023" s="48"/>
      <c r="L2023" s="48"/>
      <c r="M2023" s="48"/>
      <c r="N2023" s="48"/>
      <c r="O2023" s="48"/>
      <c r="P2023" s="48"/>
      <c r="Q2023" s="48"/>
      <c r="R2023" s="48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81"/>
      <c r="E2026" s="81"/>
      <c r="F2026" s="81"/>
      <c r="G2026" s="81"/>
      <c r="H2026" s="81"/>
      <c r="I2026" s="81"/>
      <c r="J2026" s="81"/>
      <c r="K2026" s="81"/>
      <c r="L2026" s="81"/>
      <c r="M2026" s="81"/>
      <c r="N2026" s="81"/>
      <c r="O2026" s="81"/>
      <c r="P2026" s="81"/>
      <c r="Q2026" s="81"/>
      <c r="R2026" s="81"/>
    </row>
    <row r="2027" spans="2:18">
      <c r="B2027" s="12"/>
      <c r="D2027" s="48"/>
      <c r="E2027" s="48"/>
      <c r="F2027" s="48"/>
      <c r="G2027" s="48"/>
      <c r="H2027" s="48"/>
      <c r="I2027" s="48"/>
      <c r="J2027" s="48"/>
      <c r="K2027" s="48"/>
      <c r="L2027" s="48"/>
      <c r="M2027" s="48"/>
      <c r="N2027" s="48"/>
      <c r="O2027" s="48"/>
      <c r="P2027" s="48"/>
      <c r="Q2027" s="48"/>
      <c r="R2027" s="48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81"/>
      <c r="E2030" s="81"/>
      <c r="F2030" s="81"/>
      <c r="G2030" s="81"/>
      <c r="H2030" s="81"/>
      <c r="I2030" s="81"/>
      <c r="J2030" s="81"/>
      <c r="K2030" s="81"/>
      <c r="L2030" s="81"/>
      <c r="M2030" s="81"/>
      <c r="N2030" s="81"/>
      <c r="O2030" s="81"/>
      <c r="P2030" s="81"/>
      <c r="Q2030" s="81"/>
      <c r="R2030" s="81"/>
    </row>
    <row r="2031" spans="2:18">
      <c r="B2031" s="12"/>
      <c r="D2031" s="48"/>
      <c r="E2031" s="48"/>
      <c r="F2031" s="48"/>
      <c r="G2031" s="48"/>
      <c r="H2031" s="48"/>
      <c r="I2031" s="48"/>
      <c r="J2031" s="48"/>
      <c r="K2031" s="48"/>
      <c r="L2031" s="48"/>
      <c r="M2031" s="48"/>
      <c r="N2031" s="48"/>
      <c r="O2031" s="48"/>
      <c r="P2031" s="48"/>
      <c r="Q2031" s="48"/>
      <c r="R2031" s="48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81"/>
      <c r="E2034" s="81"/>
      <c r="F2034" s="81"/>
      <c r="G2034" s="81"/>
      <c r="H2034" s="81"/>
      <c r="I2034" s="81"/>
      <c r="J2034" s="81"/>
      <c r="K2034" s="81"/>
      <c r="L2034" s="81"/>
      <c r="M2034" s="81"/>
      <c r="N2034" s="81"/>
      <c r="O2034" s="81"/>
      <c r="P2034" s="81"/>
      <c r="Q2034" s="81"/>
      <c r="R2034" s="81"/>
    </row>
    <row r="2035" spans="2:18">
      <c r="B2035" s="12"/>
      <c r="D2035" s="48"/>
      <c r="E2035" s="48"/>
      <c r="F2035" s="48"/>
      <c r="G2035" s="48"/>
      <c r="H2035" s="48"/>
      <c r="I2035" s="48"/>
      <c r="J2035" s="48"/>
      <c r="K2035" s="48"/>
      <c r="L2035" s="48"/>
      <c r="M2035" s="48"/>
      <c r="N2035" s="48"/>
      <c r="O2035" s="48"/>
      <c r="P2035" s="48"/>
      <c r="Q2035" s="48"/>
      <c r="R2035" s="48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81"/>
      <c r="E2038" s="81"/>
      <c r="F2038" s="81"/>
      <c r="G2038" s="81"/>
      <c r="H2038" s="81"/>
      <c r="I2038" s="81"/>
      <c r="J2038" s="81"/>
      <c r="K2038" s="81"/>
      <c r="L2038" s="81"/>
      <c r="M2038" s="81"/>
      <c r="N2038" s="81"/>
      <c r="O2038" s="81"/>
      <c r="P2038" s="81"/>
      <c r="Q2038" s="81"/>
      <c r="R2038" s="81"/>
    </row>
    <row r="2039" spans="2:18">
      <c r="B2039" s="12"/>
      <c r="D2039" s="48"/>
      <c r="E2039" s="48"/>
      <c r="F2039" s="48"/>
      <c r="G2039" s="48"/>
      <c r="H2039" s="48"/>
      <c r="I2039" s="48"/>
      <c r="J2039" s="48"/>
      <c r="K2039" s="48"/>
      <c r="L2039" s="48"/>
      <c r="M2039" s="48"/>
      <c r="N2039" s="48"/>
      <c r="O2039" s="48"/>
      <c r="P2039" s="48"/>
      <c r="Q2039" s="48"/>
      <c r="R2039" s="48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81"/>
      <c r="E2042" s="81"/>
      <c r="F2042" s="81"/>
      <c r="G2042" s="81"/>
      <c r="H2042" s="81"/>
      <c r="I2042" s="81"/>
      <c r="J2042" s="81"/>
      <c r="K2042" s="81"/>
      <c r="L2042" s="81"/>
      <c r="M2042" s="81"/>
      <c r="N2042" s="81"/>
      <c r="O2042" s="81"/>
      <c r="P2042" s="81"/>
      <c r="Q2042" s="81"/>
      <c r="R2042" s="81"/>
    </row>
    <row r="2043" spans="2:18">
      <c r="B2043" s="12"/>
      <c r="D2043" s="48"/>
      <c r="E2043" s="48"/>
      <c r="F2043" s="48"/>
      <c r="G2043" s="48"/>
      <c r="H2043" s="48"/>
      <c r="I2043" s="48"/>
      <c r="J2043" s="48"/>
      <c r="K2043" s="48"/>
      <c r="L2043" s="48"/>
      <c r="M2043" s="48"/>
      <c r="N2043" s="48"/>
      <c r="O2043" s="48"/>
      <c r="P2043" s="48"/>
      <c r="Q2043" s="48"/>
      <c r="R2043" s="48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81"/>
      <c r="E2046" s="81"/>
      <c r="F2046" s="81"/>
      <c r="G2046" s="81"/>
      <c r="H2046" s="81"/>
      <c r="I2046" s="81"/>
      <c r="J2046" s="81"/>
      <c r="K2046" s="81"/>
      <c r="L2046" s="81"/>
      <c r="M2046" s="81"/>
      <c r="N2046" s="81"/>
      <c r="O2046" s="81"/>
      <c r="P2046" s="81"/>
      <c r="Q2046" s="81"/>
      <c r="R2046" s="81"/>
    </row>
    <row r="2047" spans="2:18">
      <c r="B2047" s="12"/>
      <c r="D2047" s="48"/>
      <c r="E2047" s="48"/>
      <c r="F2047" s="48"/>
      <c r="G2047" s="48"/>
      <c r="H2047" s="48"/>
      <c r="I2047" s="48"/>
      <c r="J2047" s="48"/>
      <c r="K2047" s="48"/>
      <c r="L2047" s="48"/>
      <c r="M2047" s="48"/>
      <c r="N2047" s="48"/>
      <c r="O2047" s="48"/>
      <c r="P2047" s="48"/>
      <c r="Q2047" s="48"/>
      <c r="R2047" s="48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81"/>
      <c r="E2050" s="81"/>
      <c r="F2050" s="81"/>
      <c r="G2050" s="81"/>
      <c r="H2050" s="81"/>
      <c r="I2050" s="81"/>
      <c r="J2050" s="81"/>
      <c r="K2050" s="81"/>
      <c r="L2050" s="81"/>
      <c r="M2050" s="81"/>
      <c r="N2050" s="81"/>
      <c r="O2050" s="81"/>
      <c r="P2050" s="81"/>
      <c r="Q2050" s="81"/>
      <c r="R2050" s="81"/>
    </row>
    <row r="2051" spans="2:18">
      <c r="B2051" s="12"/>
      <c r="D2051" s="48"/>
      <c r="E2051" s="48"/>
      <c r="F2051" s="48"/>
      <c r="G2051" s="48"/>
      <c r="H2051" s="48"/>
      <c r="I2051" s="48"/>
      <c r="J2051" s="48"/>
      <c r="K2051" s="48"/>
      <c r="L2051" s="48"/>
      <c r="M2051" s="48"/>
      <c r="N2051" s="48"/>
      <c r="O2051" s="48"/>
      <c r="P2051" s="48"/>
      <c r="Q2051" s="48"/>
      <c r="R2051" s="48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81"/>
      <c r="E2054" s="81"/>
      <c r="F2054" s="81"/>
      <c r="G2054" s="81"/>
      <c r="H2054" s="81"/>
      <c r="I2054" s="81"/>
      <c r="J2054" s="81"/>
      <c r="K2054" s="81"/>
      <c r="L2054" s="81"/>
      <c r="M2054" s="81"/>
      <c r="N2054" s="81"/>
      <c r="O2054" s="81"/>
      <c r="P2054" s="81"/>
      <c r="Q2054" s="81"/>
      <c r="R2054" s="81"/>
    </row>
    <row r="2055" spans="2:18">
      <c r="B2055" s="12"/>
      <c r="D2055" s="48"/>
      <c r="E2055" s="48"/>
      <c r="F2055" s="48"/>
      <c r="G2055" s="48"/>
      <c r="H2055" s="48"/>
      <c r="I2055" s="48"/>
      <c r="J2055" s="48"/>
      <c r="K2055" s="48"/>
      <c r="L2055" s="48"/>
      <c r="M2055" s="48"/>
      <c r="N2055" s="48"/>
      <c r="O2055" s="48"/>
      <c r="P2055" s="48"/>
      <c r="Q2055" s="48"/>
      <c r="R2055" s="48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81"/>
      <c r="E2058" s="81"/>
      <c r="F2058" s="81"/>
      <c r="G2058" s="81"/>
      <c r="H2058" s="81"/>
      <c r="I2058" s="81"/>
      <c r="J2058" s="81"/>
      <c r="K2058" s="81"/>
      <c r="L2058" s="81"/>
      <c r="M2058" s="81"/>
      <c r="N2058" s="81"/>
      <c r="O2058" s="81"/>
      <c r="P2058" s="81"/>
      <c r="Q2058" s="81"/>
      <c r="R2058" s="81"/>
    </row>
    <row r="2059" spans="2:18">
      <c r="B2059" s="12"/>
      <c r="D2059" s="48"/>
      <c r="E2059" s="48"/>
      <c r="F2059" s="48"/>
      <c r="G2059" s="48"/>
      <c r="H2059" s="48"/>
      <c r="I2059" s="48"/>
      <c r="J2059" s="48"/>
      <c r="K2059" s="48"/>
      <c r="L2059" s="48"/>
      <c r="M2059" s="48"/>
      <c r="N2059" s="48"/>
      <c r="O2059" s="48"/>
      <c r="P2059" s="48"/>
      <c r="Q2059" s="48"/>
      <c r="R2059" s="48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81"/>
      <c r="E2062" s="81"/>
      <c r="F2062" s="81"/>
      <c r="G2062" s="81"/>
      <c r="H2062" s="81"/>
      <c r="I2062" s="81"/>
      <c r="J2062" s="81"/>
      <c r="K2062" s="81"/>
      <c r="L2062" s="81"/>
      <c r="M2062" s="81"/>
      <c r="N2062" s="81"/>
      <c r="O2062" s="81"/>
      <c r="P2062" s="81"/>
      <c r="Q2062" s="81"/>
      <c r="R2062" s="81"/>
    </row>
    <row r="2063" spans="2:18">
      <c r="B2063" s="12"/>
      <c r="D2063" s="48"/>
      <c r="E2063" s="48"/>
      <c r="F2063" s="48"/>
      <c r="G2063" s="48"/>
      <c r="H2063" s="48"/>
      <c r="I2063" s="48"/>
      <c r="J2063" s="48"/>
      <c r="K2063" s="48"/>
      <c r="L2063" s="48"/>
      <c r="M2063" s="48"/>
      <c r="N2063" s="48"/>
      <c r="O2063" s="48"/>
      <c r="P2063" s="48"/>
      <c r="Q2063" s="48"/>
      <c r="R2063" s="48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81"/>
      <c r="E2066" s="81"/>
      <c r="F2066" s="81"/>
      <c r="G2066" s="81"/>
      <c r="H2066" s="81"/>
      <c r="I2066" s="81"/>
      <c r="J2066" s="81"/>
      <c r="K2066" s="81"/>
      <c r="L2066" s="81"/>
      <c r="M2066" s="81"/>
      <c r="N2066" s="81"/>
      <c r="O2066" s="81"/>
      <c r="P2066" s="81"/>
      <c r="Q2066" s="81"/>
      <c r="R2066" s="81"/>
    </row>
    <row r="2067" spans="2:18">
      <c r="B2067" s="12"/>
      <c r="D2067" s="48"/>
      <c r="E2067" s="48"/>
      <c r="F2067" s="48"/>
      <c r="G2067" s="48"/>
      <c r="H2067" s="48"/>
      <c r="I2067" s="48"/>
      <c r="J2067" s="48"/>
      <c r="K2067" s="48"/>
      <c r="L2067" s="48"/>
      <c r="M2067" s="48"/>
      <c r="N2067" s="48"/>
      <c r="O2067" s="48"/>
      <c r="P2067" s="48"/>
      <c r="Q2067" s="48"/>
      <c r="R2067" s="48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81"/>
      <c r="E2070" s="81"/>
      <c r="F2070" s="81"/>
      <c r="G2070" s="81"/>
      <c r="H2070" s="81"/>
      <c r="I2070" s="81"/>
      <c r="J2070" s="81"/>
      <c r="K2070" s="81"/>
      <c r="L2070" s="81"/>
      <c r="M2070" s="81"/>
      <c r="N2070" s="81"/>
      <c r="O2070" s="81"/>
      <c r="P2070" s="81"/>
      <c r="Q2070" s="81"/>
      <c r="R2070" s="81"/>
    </row>
    <row r="2071" spans="2:18">
      <c r="B2071" s="12"/>
      <c r="D2071" s="48"/>
      <c r="E2071" s="48"/>
      <c r="F2071" s="48"/>
      <c r="G2071" s="48"/>
      <c r="H2071" s="48"/>
      <c r="I2071" s="48"/>
      <c r="J2071" s="48"/>
      <c r="K2071" s="48"/>
      <c r="L2071" s="48"/>
      <c r="M2071" s="48"/>
      <c r="N2071" s="48"/>
      <c r="O2071" s="48"/>
      <c r="P2071" s="48"/>
      <c r="Q2071" s="48"/>
      <c r="R2071" s="48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81"/>
      <c r="E2074" s="81"/>
      <c r="F2074" s="81"/>
      <c r="G2074" s="81"/>
      <c r="H2074" s="81"/>
      <c r="I2074" s="81"/>
      <c r="J2074" s="81"/>
      <c r="K2074" s="81"/>
      <c r="L2074" s="81"/>
      <c r="M2074" s="81"/>
      <c r="N2074" s="81"/>
      <c r="O2074" s="81"/>
      <c r="P2074" s="81"/>
      <c r="Q2074" s="81"/>
      <c r="R2074" s="81"/>
    </row>
    <row r="2075" spans="2:18">
      <c r="B2075" s="12"/>
      <c r="D2075" s="48"/>
      <c r="E2075" s="48"/>
      <c r="F2075" s="48"/>
      <c r="G2075" s="48"/>
      <c r="H2075" s="48"/>
      <c r="I2075" s="48"/>
      <c r="J2075" s="48"/>
      <c r="K2075" s="48"/>
      <c r="L2075" s="48"/>
      <c r="M2075" s="48"/>
      <c r="N2075" s="48"/>
      <c r="O2075" s="48"/>
      <c r="P2075" s="48"/>
      <c r="Q2075" s="48"/>
      <c r="R2075" s="48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81"/>
      <c r="E2078" s="81"/>
      <c r="F2078" s="81"/>
      <c r="G2078" s="81"/>
      <c r="H2078" s="81"/>
      <c r="I2078" s="81"/>
      <c r="J2078" s="81"/>
      <c r="K2078" s="81"/>
      <c r="L2078" s="81"/>
      <c r="M2078" s="81"/>
      <c r="N2078" s="81"/>
      <c r="O2078" s="81"/>
      <c r="P2078" s="81"/>
      <c r="Q2078" s="81"/>
      <c r="R2078" s="81"/>
    </row>
    <row r="2079" spans="2:18">
      <c r="B2079" s="12"/>
      <c r="D2079" s="48"/>
      <c r="E2079" s="48"/>
      <c r="F2079" s="48"/>
      <c r="G2079" s="48"/>
      <c r="H2079" s="48"/>
      <c r="I2079" s="48"/>
      <c r="J2079" s="48"/>
      <c r="K2079" s="48"/>
      <c r="L2079" s="48"/>
      <c r="M2079" s="48"/>
      <c r="N2079" s="48"/>
      <c r="O2079" s="48"/>
      <c r="P2079" s="48"/>
      <c r="Q2079" s="48"/>
      <c r="R2079" s="48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81"/>
      <c r="E2082" s="81"/>
      <c r="F2082" s="81"/>
      <c r="G2082" s="81"/>
      <c r="H2082" s="81"/>
      <c r="I2082" s="81"/>
      <c r="J2082" s="81"/>
      <c r="K2082" s="81"/>
      <c r="L2082" s="81"/>
      <c r="M2082" s="81"/>
      <c r="N2082" s="81"/>
      <c r="O2082" s="81"/>
      <c r="P2082" s="81"/>
      <c r="Q2082" s="81"/>
      <c r="R2082" s="81"/>
    </row>
    <row r="2083" spans="2:18">
      <c r="B2083" s="12"/>
      <c r="D2083" s="48"/>
      <c r="E2083" s="48"/>
      <c r="F2083" s="48"/>
      <c r="G2083" s="48"/>
      <c r="H2083" s="48"/>
      <c r="I2083" s="48"/>
      <c r="J2083" s="48"/>
      <c r="K2083" s="48"/>
      <c r="L2083" s="48"/>
      <c r="M2083" s="48"/>
      <c r="N2083" s="48"/>
      <c r="O2083" s="48"/>
      <c r="P2083" s="48"/>
      <c r="Q2083" s="48"/>
      <c r="R2083" s="48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81"/>
      <c r="E2086" s="81"/>
      <c r="F2086" s="81"/>
      <c r="G2086" s="81"/>
      <c r="H2086" s="81"/>
      <c r="I2086" s="81"/>
      <c r="J2086" s="81"/>
      <c r="K2086" s="81"/>
      <c r="L2086" s="81"/>
      <c r="M2086" s="81"/>
      <c r="N2086" s="81"/>
      <c r="O2086" s="81"/>
      <c r="P2086" s="81"/>
      <c r="Q2086" s="81"/>
      <c r="R2086" s="81"/>
    </row>
    <row r="2087" spans="2:18">
      <c r="B2087" s="12"/>
      <c r="D2087" s="48"/>
      <c r="E2087" s="48"/>
      <c r="F2087" s="48"/>
      <c r="G2087" s="48"/>
      <c r="H2087" s="48"/>
      <c r="I2087" s="48"/>
      <c r="J2087" s="48"/>
      <c r="K2087" s="48"/>
      <c r="L2087" s="48"/>
      <c r="M2087" s="48"/>
      <c r="N2087" s="48"/>
      <c r="O2087" s="48"/>
      <c r="P2087" s="48"/>
      <c r="Q2087" s="48"/>
      <c r="R2087" s="48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81"/>
      <c r="E2090" s="81"/>
      <c r="F2090" s="81"/>
      <c r="G2090" s="81"/>
      <c r="H2090" s="81"/>
      <c r="I2090" s="81"/>
      <c r="J2090" s="81"/>
      <c r="K2090" s="81"/>
      <c r="L2090" s="81"/>
      <c r="M2090" s="81"/>
      <c r="N2090" s="81"/>
      <c r="O2090" s="81"/>
      <c r="P2090" s="81"/>
      <c r="Q2090" s="81"/>
      <c r="R2090" s="81"/>
    </row>
    <row r="2091" spans="2:18">
      <c r="B2091" s="12"/>
      <c r="D2091" s="48"/>
      <c r="E2091" s="48"/>
      <c r="F2091" s="48"/>
      <c r="G2091" s="48"/>
      <c r="H2091" s="48"/>
      <c r="I2091" s="48"/>
      <c r="J2091" s="48"/>
      <c r="K2091" s="48"/>
      <c r="L2091" s="48"/>
      <c r="M2091" s="48"/>
      <c r="N2091" s="48"/>
      <c r="O2091" s="48"/>
      <c r="P2091" s="48"/>
      <c r="Q2091" s="48"/>
      <c r="R2091" s="48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81"/>
      <c r="E2094" s="81"/>
      <c r="F2094" s="81"/>
      <c r="G2094" s="81"/>
      <c r="H2094" s="81"/>
      <c r="I2094" s="81"/>
      <c r="J2094" s="81"/>
      <c r="K2094" s="81"/>
      <c r="L2094" s="81"/>
      <c r="M2094" s="81"/>
      <c r="N2094" s="81"/>
      <c r="O2094" s="81"/>
      <c r="P2094" s="81"/>
      <c r="Q2094" s="81"/>
      <c r="R2094" s="81"/>
    </row>
    <row r="2095" spans="2:18">
      <c r="B2095" s="12"/>
      <c r="D2095" s="48"/>
      <c r="E2095" s="48"/>
      <c r="F2095" s="48"/>
      <c r="G2095" s="48"/>
      <c r="H2095" s="48"/>
      <c r="I2095" s="48"/>
      <c r="J2095" s="48"/>
      <c r="K2095" s="48"/>
      <c r="L2095" s="48"/>
      <c r="M2095" s="48"/>
      <c r="N2095" s="48"/>
      <c r="O2095" s="48"/>
      <c r="P2095" s="48"/>
      <c r="Q2095" s="48"/>
      <c r="R2095" s="48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81"/>
      <c r="E2098" s="81"/>
      <c r="F2098" s="81"/>
      <c r="G2098" s="81"/>
      <c r="H2098" s="81"/>
      <c r="I2098" s="81"/>
      <c r="J2098" s="81"/>
      <c r="K2098" s="81"/>
      <c r="L2098" s="81"/>
      <c r="M2098" s="81"/>
      <c r="N2098" s="81"/>
      <c r="O2098" s="81"/>
      <c r="P2098" s="81"/>
      <c r="Q2098" s="81"/>
      <c r="R2098" s="81"/>
    </row>
    <row r="2099" spans="2:18">
      <c r="B2099" s="12"/>
      <c r="D2099" s="48"/>
      <c r="E2099" s="48"/>
      <c r="F2099" s="48"/>
      <c r="G2099" s="48"/>
      <c r="H2099" s="48"/>
      <c r="I2099" s="48"/>
      <c r="J2099" s="48"/>
      <c r="K2099" s="48"/>
      <c r="L2099" s="48"/>
      <c r="M2099" s="48"/>
      <c r="N2099" s="48"/>
      <c r="O2099" s="48"/>
      <c r="P2099" s="48"/>
      <c r="Q2099" s="48"/>
      <c r="R2099" s="48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81"/>
      <c r="E2102" s="81"/>
      <c r="F2102" s="81"/>
      <c r="G2102" s="81"/>
      <c r="H2102" s="81"/>
      <c r="I2102" s="81"/>
      <c r="J2102" s="81"/>
      <c r="K2102" s="81"/>
      <c r="L2102" s="81"/>
      <c r="M2102" s="81"/>
      <c r="N2102" s="81"/>
      <c r="O2102" s="81"/>
      <c r="P2102" s="81"/>
      <c r="Q2102" s="81"/>
      <c r="R2102" s="81"/>
    </row>
    <row r="2103" spans="2:18">
      <c r="B2103" s="12"/>
      <c r="D2103" s="48"/>
      <c r="E2103" s="48"/>
      <c r="F2103" s="48"/>
      <c r="G2103" s="48"/>
      <c r="H2103" s="48"/>
      <c r="I2103" s="48"/>
      <c r="J2103" s="48"/>
      <c r="K2103" s="48"/>
      <c r="L2103" s="48"/>
      <c r="M2103" s="48"/>
      <c r="N2103" s="48"/>
      <c r="O2103" s="48"/>
      <c r="P2103" s="48"/>
      <c r="Q2103" s="48"/>
      <c r="R2103" s="48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81"/>
      <c r="E2106" s="81"/>
      <c r="F2106" s="81"/>
      <c r="G2106" s="81"/>
      <c r="H2106" s="81"/>
      <c r="I2106" s="81"/>
      <c r="J2106" s="81"/>
      <c r="K2106" s="81"/>
      <c r="L2106" s="81"/>
      <c r="M2106" s="81"/>
      <c r="N2106" s="81"/>
      <c r="O2106" s="81"/>
      <c r="P2106" s="81"/>
      <c r="Q2106" s="81"/>
      <c r="R2106" s="81"/>
    </row>
    <row r="2107" spans="2:18">
      <c r="B2107" s="12"/>
      <c r="D2107" s="48"/>
      <c r="E2107" s="48"/>
      <c r="F2107" s="48"/>
      <c r="G2107" s="48"/>
      <c r="H2107" s="48"/>
      <c r="I2107" s="48"/>
      <c r="J2107" s="48"/>
      <c r="K2107" s="48"/>
      <c r="L2107" s="48"/>
      <c r="M2107" s="48"/>
      <c r="N2107" s="48"/>
      <c r="O2107" s="48"/>
      <c r="P2107" s="48"/>
      <c r="Q2107" s="48"/>
      <c r="R2107" s="48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81"/>
      <c r="E2110" s="81"/>
      <c r="F2110" s="81"/>
      <c r="G2110" s="81"/>
      <c r="H2110" s="81"/>
      <c r="I2110" s="81"/>
      <c r="J2110" s="81"/>
      <c r="K2110" s="81"/>
      <c r="L2110" s="81"/>
      <c r="M2110" s="81"/>
      <c r="N2110" s="81"/>
      <c r="O2110" s="81"/>
      <c r="P2110" s="81"/>
      <c r="Q2110" s="81"/>
      <c r="R2110" s="81"/>
    </row>
    <row r="2111" spans="2:18">
      <c r="B2111" s="12"/>
      <c r="D2111" s="48"/>
      <c r="E2111" s="48"/>
      <c r="F2111" s="48"/>
      <c r="G2111" s="48"/>
      <c r="H2111" s="48"/>
      <c r="I2111" s="48"/>
      <c r="J2111" s="48"/>
      <c r="K2111" s="48"/>
      <c r="L2111" s="48"/>
      <c r="M2111" s="48"/>
      <c r="N2111" s="48"/>
      <c r="O2111" s="48"/>
      <c r="P2111" s="48"/>
      <c r="Q2111" s="48"/>
      <c r="R2111" s="48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81"/>
      <c r="E2114" s="81"/>
      <c r="F2114" s="81"/>
      <c r="G2114" s="81"/>
      <c r="H2114" s="81"/>
      <c r="I2114" s="81"/>
      <c r="J2114" s="81"/>
      <c r="K2114" s="81"/>
      <c r="L2114" s="81"/>
      <c r="M2114" s="81"/>
      <c r="N2114" s="81"/>
      <c r="O2114" s="81"/>
      <c r="P2114" s="81"/>
      <c r="Q2114" s="81"/>
      <c r="R2114" s="81"/>
    </row>
    <row r="2115" spans="2:18">
      <c r="B2115" s="12"/>
      <c r="D2115" s="48"/>
      <c r="E2115" s="48"/>
      <c r="F2115" s="48"/>
      <c r="G2115" s="48"/>
      <c r="H2115" s="48"/>
      <c r="I2115" s="48"/>
      <c r="J2115" s="48"/>
      <c r="K2115" s="48"/>
      <c r="L2115" s="48"/>
      <c r="M2115" s="48"/>
      <c r="N2115" s="48"/>
      <c r="O2115" s="48"/>
      <c r="P2115" s="48"/>
      <c r="Q2115" s="48"/>
      <c r="R2115" s="48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81"/>
      <c r="E2118" s="81"/>
      <c r="F2118" s="81"/>
      <c r="G2118" s="81"/>
      <c r="H2118" s="81"/>
      <c r="I2118" s="81"/>
      <c r="J2118" s="81"/>
      <c r="K2118" s="81"/>
      <c r="L2118" s="81"/>
      <c r="M2118" s="81"/>
      <c r="N2118" s="81"/>
      <c r="O2118" s="81"/>
      <c r="P2118" s="81"/>
      <c r="Q2118" s="81"/>
      <c r="R2118" s="81"/>
    </row>
    <row r="2119" spans="2:18">
      <c r="B2119" s="12"/>
      <c r="D2119" s="48"/>
      <c r="E2119" s="48"/>
      <c r="F2119" s="48"/>
      <c r="G2119" s="48"/>
      <c r="H2119" s="48"/>
      <c r="I2119" s="48"/>
      <c r="J2119" s="48"/>
      <c r="K2119" s="48"/>
      <c r="L2119" s="48"/>
      <c r="M2119" s="48"/>
      <c r="N2119" s="48"/>
      <c r="O2119" s="48"/>
      <c r="P2119" s="48"/>
      <c r="Q2119" s="48"/>
      <c r="R2119" s="48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81"/>
      <c r="E2122" s="81"/>
      <c r="F2122" s="81"/>
      <c r="G2122" s="81"/>
      <c r="H2122" s="81"/>
      <c r="I2122" s="81"/>
      <c r="J2122" s="81"/>
      <c r="K2122" s="81"/>
      <c r="L2122" s="81"/>
      <c r="M2122" s="81"/>
      <c r="N2122" s="81"/>
      <c r="O2122" s="81"/>
      <c r="P2122" s="81"/>
      <c r="Q2122" s="81"/>
      <c r="R2122" s="81"/>
    </row>
    <row r="2123" spans="2:18">
      <c r="B2123" s="12"/>
      <c r="D2123" s="48"/>
      <c r="E2123" s="48"/>
      <c r="F2123" s="48"/>
      <c r="G2123" s="48"/>
      <c r="H2123" s="48"/>
      <c r="I2123" s="48"/>
      <c r="J2123" s="48"/>
      <c r="K2123" s="48"/>
      <c r="L2123" s="48"/>
      <c r="M2123" s="48"/>
      <c r="N2123" s="48"/>
      <c r="O2123" s="48"/>
      <c r="P2123" s="48"/>
      <c r="Q2123" s="48"/>
      <c r="R2123" s="48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81"/>
      <c r="E2126" s="81"/>
      <c r="F2126" s="81"/>
      <c r="G2126" s="81"/>
      <c r="H2126" s="81"/>
      <c r="I2126" s="81"/>
      <c r="J2126" s="81"/>
      <c r="K2126" s="81"/>
      <c r="L2126" s="81"/>
      <c r="M2126" s="81"/>
      <c r="N2126" s="81"/>
      <c r="O2126" s="81"/>
      <c r="P2126" s="81"/>
      <c r="Q2126" s="81"/>
      <c r="R2126" s="81"/>
    </row>
    <row r="2127" spans="2:18">
      <c r="B2127" s="12"/>
      <c r="D2127" s="48"/>
      <c r="E2127" s="48"/>
      <c r="F2127" s="48"/>
      <c r="G2127" s="48"/>
      <c r="H2127" s="48"/>
      <c r="I2127" s="48"/>
      <c r="J2127" s="48"/>
      <c r="K2127" s="48"/>
      <c r="L2127" s="48"/>
      <c r="M2127" s="48"/>
      <c r="N2127" s="48"/>
      <c r="O2127" s="48"/>
      <c r="P2127" s="48"/>
      <c r="Q2127" s="48"/>
      <c r="R2127" s="48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81"/>
      <c r="E2130" s="81"/>
      <c r="F2130" s="81"/>
      <c r="G2130" s="81"/>
      <c r="H2130" s="81"/>
      <c r="I2130" s="81"/>
      <c r="J2130" s="81"/>
      <c r="K2130" s="81"/>
      <c r="L2130" s="81"/>
      <c r="M2130" s="81"/>
      <c r="N2130" s="81"/>
      <c r="O2130" s="81"/>
      <c r="P2130" s="81"/>
      <c r="Q2130" s="81"/>
      <c r="R2130" s="81"/>
    </row>
    <row r="2131" spans="2:18">
      <c r="B2131" s="12"/>
      <c r="D2131" s="48"/>
      <c r="E2131" s="48"/>
      <c r="F2131" s="48"/>
      <c r="G2131" s="48"/>
      <c r="H2131" s="48"/>
      <c r="I2131" s="48"/>
      <c r="J2131" s="48"/>
      <c r="K2131" s="48"/>
      <c r="L2131" s="48"/>
      <c r="M2131" s="48"/>
      <c r="N2131" s="48"/>
      <c r="O2131" s="48"/>
      <c r="P2131" s="48"/>
      <c r="Q2131" s="48"/>
      <c r="R2131" s="48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81"/>
      <c r="E2134" s="81"/>
      <c r="F2134" s="81"/>
      <c r="G2134" s="81"/>
      <c r="H2134" s="81"/>
      <c r="I2134" s="81"/>
      <c r="J2134" s="81"/>
      <c r="K2134" s="81"/>
      <c r="L2134" s="81"/>
      <c r="M2134" s="81"/>
      <c r="N2134" s="81"/>
      <c r="O2134" s="81"/>
      <c r="P2134" s="81"/>
      <c r="Q2134" s="81"/>
      <c r="R2134" s="81"/>
    </row>
    <row r="2135" spans="2:18">
      <c r="B2135" s="12"/>
      <c r="D2135" s="48"/>
      <c r="E2135" s="48"/>
      <c r="F2135" s="48"/>
      <c r="G2135" s="48"/>
      <c r="H2135" s="48"/>
      <c r="I2135" s="48"/>
      <c r="J2135" s="48"/>
      <c r="K2135" s="48"/>
      <c r="L2135" s="48"/>
      <c r="M2135" s="48"/>
      <c r="N2135" s="48"/>
      <c r="O2135" s="48"/>
      <c r="P2135" s="48"/>
      <c r="Q2135" s="48"/>
      <c r="R2135" s="48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81"/>
      <c r="E2138" s="81"/>
      <c r="F2138" s="81"/>
      <c r="G2138" s="81"/>
      <c r="H2138" s="81"/>
      <c r="I2138" s="81"/>
      <c r="J2138" s="81"/>
      <c r="K2138" s="81"/>
      <c r="L2138" s="81"/>
      <c r="M2138" s="81"/>
      <c r="N2138" s="81"/>
      <c r="O2138" s="81"/>
      <c r="P2138" s="81"/>
      <c r="Q2138" s="81"/>
      <c r="R2138" s="81"/>
    </row>
    <row r="2139" spans="2:18">
      <c r="B2139" s="12"/>
      <c r="D2139" s="48"/>
      <c r="E2139" s="48"/>
      <c r="F2139" s="48"/>
      <c r="G2139" s="48"/>
      <c r="H2139" s="48"/>
      <c r="I2139" s="48"/>
      <c r="J2139" s="48"/>
      <c r="K2139" s="48"/>
      <c r="L2139" s="48"/>
      <c r="M2139" s="48"/>
      <c r="N2139" s="48"/>
      <c r="O2139" s="48"/>
      <c r="P2139" s="48"/>
      <c r="Q2139" s="48"/>
      <c r="R2139" s="48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81"/>
      <c r="E2142" s="81"/>
      <c r="F2142" s="81"/>
      <c r="G2142" s="81"/>
      <c r="H2142" s="81"/>
      <c r="I2142" s="81"/>
      <c r="J2142" s="81"/>
      <c r="K2142" s="81"/>
      <c r="L2142" s="81"/>
      <c r="M2142" s="81"/>
      <c r="N2142" s="81"/>
      <c r="O2142" s="81"/>
      <c r="P2142" s="81"/>
      <c r="Q2142" s="81"/>
      <c r="R2142" s="81"/>
    </row>
    <row r="2143" spans="2:18">
      <c r="B2143" s="12"/>
      <c r="D2143" s="48"/>
      <c r="E2143" s="48"/>
      <c r="F2143" s="48"/>
      <c r="G2143" s="48"/>
      <c r="H2143" s="48"/>
      <c r="I2143" s="48"/>
      <c r="J2143" s="48"/>
      <c r="K2143" s="48"/>
      <c r="L2143" s="48"/>
      <c r="M2143" s="48"/>
      <c r="N2143" s="48"/>
      <c r="O2143" s="48"/>
      <c r="P2143" s="48"/>
      <c r="Q2143" s="48"/>
      <c r="R2143" s="48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81"/>
      <c r="E2146" s="81"/>
      <c r="F2146" s="81"/>
      <c r="G2146" s="81"/>
      <c r="H2146" s="81"/>
      <c r="I2146" s="81"/>
      <c r="J2146" s="81"/>
      <c r="K2146" s="81"/>
      <c r="L2146" s="81"/>
      <c r="M2146" s="81"/>
      <c r="N2146" s="81"/>
      <c r="O2146" s="81"/>
      <c r="P2146" s="81"/>
      <c r="Q2146" s="81"/>
      <c r="R2146" s="81"/>
    </row>
    <row r="2147" spans="2:18">
      <c r="B2147" s="12"/>
      <c r="D2147" s="48"/>
      <c r="E2147" s="48"/>
      <c r="F2147" s="48"/>
      <c r="G2147" s="48"/>
      <c r="H2147" s="48"/>
      <c r="I2147" s="48"/>
      <c r="J2147" s="48"/>
      <c r="K2147" s="48"/>
      <c r="L2147" s="48"/>
      <c r="M2147" s="48"/>
      <c r="N2147" s="48"/>
      <c r="O2147" s="48"/>
      <c r="P2147" s="48"/>
      <c r="Q2147" s="48"/>
      <c r="R2147" s="48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81"/>
      <c r="E2150" s="81"/>
      <c r="F2150" s="81"/>
      <c r="G2150" s="81"/>
      <c r="H2150" s="81"/>
      <c r="I2150" s="81"/>
      <c r="J2150" s="81"/>
      <c r="K2150" s="81"/>
      <c r="L2150" s="81"/>
      <c r="M2150" s="81"/>
      <c r="N2150" s="81"/>
      <c r="O2150" s="81"/>
      <c r="P2150" s="81"/>
      <c r="Q2150" s="81"/>
      <c r="R2150" s="81"/>
    </row>
    <row r="2151" spans="2:18">
      <c r="B2151" s="12"/>
      <c r="D2151" s="48"/>
      <c r="E2151" s="48"/>
      <c r="F2151" s="48"/>
      <c r="G2151" s="48"/>
      <c r="H2151" s="48"/>
      <c r="I2151" s="48"/>
      <c r="J2151" s="48"/>
      <c r="K2151" s="48"/>
      <c r="L2151" s="48"/>
      <c r="M2151" s="48"/>
      <c r="N2151" s="48"/>
      <c r="O2151" s="48"/>
      <c r="P2151" s="48"/>
      <c r="Q2151" s="48"/>
      <c r="R2151" s="48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81"/>
      <c r="E2154" s="81"/>
      <c r="F2154" s="81"/>
      <c r="G2154" s="81"/>
      <c r="H2154" s="81"/>
      <c r="I2154" s="81"/>
      <c r="J2154" s="81"/>
      <c r="K2154" s="81"/>
      <c r="L2154" s="81"/>
      <c r="M2154" s="81"/>
      <c r="N2154" s="81"/>
      <c r="O2154" s="81"/>
      <c r="P2154" s="81"/>
      <c r="Q2154" s="81"/>
      <c r="R2154" s="81"/>
    </row>
    <row r="2155" spans="2:18">
      <c r="B2155" s="12"/>
      <c r="D2155" s="48"/>
      <c r="E2155" s="48"/>
      <c r="F2155" s="48"/>
      <c r="G2155" s="48"/>
      <c r="H2155" s="48"/>
      <c r="I2155" s="48"/>
      <c r="J2155" s="48"/>
      <c r="K2155" s="48"/>
      <c r="L2155" s="48"/>
      <c r="M2155" s="48"/>
      <c r="N2155" s="48"/>
      <c r="O2155" s="48"/>
      <c r="P2155" s="48"/>
      <c r="Q2155" s="48"/>
      <c r="R2155" s="48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81"/>
      <c r="E2158" s="81"/>
      <c r="F2158" s="81"/>
      <c r="G2158" s="81"/>
      <c r="H2158" s="81"/>
      <c r="I2158" s="81"/>
      <c r="J2158" s="81"/>
      <c r="K2158" s="81"/>
      <c r="L2158" s="81"/>
      <c r="M2158" s="81"/>
      <c r="N2158" s="81"/>
      <c r="O2158" s="81"/>
      <c r="P2158" s="81"/>
      <c r="Q2158" s="81"/>
      <c r="R2158" s="81"/>
    </row>
    <row r="2159" spans="2:18">
      <c r="B2159" s="12"/>
      <c r="D2159" s="48"/>
      <c r="E2159" s="48"/>
      <c r="F2159" s="48"/>
      <c r="G2159" s="48"/>
      <c r="H2159" s="48"/>
      <c r="I2159" s="48"/>
      <c r="J2159" s="48"/>
      <c r="K2159" s="48"/>
      <c r="L2159" s="48"/>
      <c r="M2159" s="48"/>
      <c r="N2159" s="48"/>
      <c r="O2159" s="48"/>
      <c r="P2159" s="48"/>
      <c r="Q2159" s="48"/>
      <c r="R2159" s="48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81"/>
      <c r="E2162" s="81"/>
      <c r="F2162" s="81"/>
      <c r="G2162" s="81"/>
      <c r="H2162" s="81"/>
      <c r="I2162" s="81"/>
      <c r="J2162" s="81"/>
      <c r="K2162" s="81"/>
      <c r="L2162" s="81"/>
      <c r="M2162" s="81"/>
      <c r="N2162" s="81"/>
      <c r="O2162" s="81"/>
      <c r="P2162" s="81"/>
      <c r="Q2162" s="81"/>
      <c r="R2162" s="81"/>
    </row>
    <row r="2163" spans="2:18">
      <c r="B2163" s="12"/>
      <c r="D2163" s="48"/>
      <c r="E2163" s="48"/>
      <c r="F2163" s="48"/>
      <c r="G2163" s="48"/>
      <c r="H2163" s="48"/>
      <c r="I2163" s="48"/>
      <c r="J2163" s="48"/>
      <c r="K2163" s="48"/>
      <c r="L2163" s="48"/>
      <c r="M2163" s="48"/>
      <c r="N2163" s="48"/>
      <c r="O2163" s="48"/>
      <c r="P2163" s="48"/>
      <c r="Q2163" s="48"/>
      <c r="R2163" s="48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81"/>
      <c r="E2166" s="81"/>
      <c r="F2166" s="81"/>
      <c r="G2166" s="81"/>
      <c r="H2166" s="81"/>
      <c r="I2166" s="81"/>
      <c r="J2166" s="81"/>
      <c r="K2166" s="81"/>
      <c r="L2166" s="81"/>
      <c r="M2166" s="81"/>
      <c r="N2166" s="81"/>
      <c r="O2166" s="81"/>
      <c r="P2166" s="81"/>
      <c r="Q2166" s="81"/>
      <c r="R2166" s="81"/>
    </row>
    <row r="2167" spans="2:18">
      <c r="B2167" s="12"/>
      <c r="D2167" s="48"/>
      <c r="E2167" s="48"/>
      <c r="F2167" s="48"/>
      <c r="G2167" s="48"/>
      <c r="H2167" s="48"/>
      <c r="I2167" s="48"/>
      <c r="J2167" s="48"/>
      <c r="K2167" s="48"/>
      <c r="L2167" s="48"/>
      <c r="M2167" s="48"/>
      <c r="N2167" s="48"/>
      <c r="O2167" s="48"/>
      <c r="P2167" s="48"/>
      <c r="Q2167" s="48"/>
      <c r="R2167" s="48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81"/>
      <c r="E2170" s="81"/>
      <c r="F2170" s="81"/>
      <c r="G2170" s="81"/>
      <c r="H2170" s="81"/>
      <c r="I2170" s="81"/>
      <c r="J2170" s="81"/>
      <c r="K2170" s="81"/>
      <c r="L2170" s="81"/>
      <c r="M2170" s="81"/>
      <c r="N2170" s="81"/>
      <c r="O2170" s="81"/>
      <c r="P2170" s="81"/>
      <c r="Q2170" s="81"/>
      <c r="R2170" s="81"/>
    </row>
    <row r="2171" spans="2:18">
      <c r="B2171" s="12"/>
      <c r="D2171" s="48"/>
      <c r="E2171" s="48"/>
      <c r="F2171" s="48"/>
      <c r="G2171" s="48"/>
      <c r="H2171" s="48"/>
      <c r="I2171" s="48"/>
      <c r="J2171" s="48"/>
      <c r="K2171" s="48"/>
      <c r="L2171" s="48"/>
      <c r="M2171" s="48"/>
      <c r="N2171" s="48"/>
      <c r="O2171" s="48"/>
      <c r="P2171" s="48"/>
      <c r="Q2171" s="48"/>
      <c r="R2171" s="48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81"/>
      <c r="E2174" s="81"/>
      <c r="F2174" s="81"/>
      <c r="G2174" s="81"/>
      <c r="H2174" s="81"/>
      <c r="I2174" s="81"/>
      <c r="J2174" s="81"/>
      <c r="K2174" s="81"/>
      <c r="L2174" s="81"/>
      <c r="M2174" s="81"/>
      <c r="N2174" s="81"/>
      <c r="O2174" s="81"/>
      <c r="P2174" s="81"/>
      <c r="Q2174" s="81"/>
      <c r="R2174" s="81"/>
    </row>
    <row r="2175" spans="2:18">
      <c r="B2175" s="12"/>
      <c r="D2175" s="48"/>
      <c r="E2175" s="48"/>
      <c r="F2175" s="48"/>
      <c r="G2175" s="48"/>
      <c r="H2175" s="48"/>
      <c r="I2175" s="48"/>
      <c r="J2175" s="48"/>
      <c r="K2175" s="48"/>
      <c r="L2175" s="48"/>
      <c r="M2175" s="48"/>
      <c r="N2175" s="48"/>
      <c r="O2175" s="48"/>
      <c r="P2175" s="48"/>
      <c r="Q2175" s="48"/>
      <c r="R2175" s="48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81"/>
      <c r="E2178" s="81"/>
      <c r="F2178" s="81"/>
      <c r="G2178" s="81"/>
      <c r="H2178" s="81"/>
      <c r="I2178" s="81"/>
      <c r="J2178" s="81"/>
      <c r="K2178" s="81"/>
      <c r="L2178" s="81"/>
      <c r="M2178" s="81"/>
      <c r="N2178" s="81"/>
      <c r="O2178" s="81"/>
      <c r="P2178" s="81"/>
      <c r="Q2178" s="81"/>
      <c r="R2178" s="81"/>
    </row>
    <row r="2179" spans="2:18">
      <c r="B2179" s="12"/>
      <c r="D2179" s="48"/>
      <c r="E2179" s="48"/>
      <c r="F2179" s="48"/>
      <c r="G2179" s="48"/>
      <c r="H2179" s="48"/>
      <c r="I2179" s="48"/>
      <c r="J2179" s="48"/>
      <c r="K2179" s="48"/>
      <c r="L2179" s="48"/>
      <c r="M2179" s="48"/>
      <c r="N2179" s="48"/>
      <c r="O2179" s="48"/>
      <c r="P2179" s="48"/>
      <c r="Q2179" s="48"/>
      <c r="R2179" s="48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81"/>
      <c r="E2182" s="81"/>
      <c r="F2182" s="81"/>
      <c r="G2182" s="81"/>
      <c r="H2182" s="81"/>
      <c r="I2182" s="81"/>
      <c r="J2182" s="81"/>
      <c r="K2182" s="81"/>
      <c r="L2182" s="81"/>
      <c r="M2182" s="81"/>
      <c r="N2182" s="81"/>
      <c r="O2182" s="81"/>
      <c r="P2182" s="81"/>
      <c r="Q2182" s="81"/>
      <c r="R2182" s="81"/>
    </row>
    <row r="2183" spans="2:18">
      <c r="B2183" s="12"/>
      <c r="D2183" s="48"/>
      <c r="E2183" s="48"/>
      <c r="F2183" s="48"/>
      <c r="G2183" s="48"/>
      <c r="H2183" s="48"/>
      <c r="I2183" s="48"/>
      <c r="J2183" s="48"/>
      <c r="K2183" s="48"/>
      <c r="L2183" s="48"/>
      <c r="M2183" s="48"/>
      <c r="N2183" s="48"/>
      <c r="O2183" s="48"/>
      <c r="P2183" s="48"/>
      <c r="Q2183" s="48"/>
      <c r="R2183" s="48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81"/>
      <c r="E2186" s="81"/>
      <c r="F2186" s="81"/>
      <c r="G2186" s="81"/>
      <c r="H2186" s="81"/>
      <c r="I2186" s="81"/>
      <c r="J2186" s="81"/>
      <c r="K2186" s="81"/>
      <c r="L2186" s="81"/>
      <c r="M2186" s="81"/>
      <c r="N2186" s="81"/>
      <c r="O2186" s="81"/>
      <c r="P2186" s="81"/>
      <c r="Q2186" s="81"/>
      <c r="R2186" s="81"/>
    </row>
    <row r="2187" spans="2:18">
      <c r="B2187" s="12"/>
      <c r="D2187" s="48"/>
      <c r="E2187" s="48"/>
      <c r="F2187" s="48"/>
      <c r="G2187" s="48"/>
      <c r="H2187" s="48"/>
      <c r="I2187" s="48"/>
      <c r="J2187" s="48"/>
      <c r="K2187" s="48"/>
      <c r="L2187" s="48"/>
      <c r="M2187" s="48"/>
      <c r="N2187" s="48"/>
      <c r="O2187" s="48"/>
      <c r="P2187" s="48"/>
      <c r="Q2187" s="48"/>
      <c r="R2187" s="48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81"/>
      <c r="E2190" s="81"/>
      <c r="F2190" s="81"/>
      <c r="G2190" s="81"/>
      <c r="H2190" s="81"/>
      <c r="I2190" s="81"/>
      <c r="J2190" s="81"/>
      <c r="K2190" s="81"/>
      <c r="L2190" s="81"/>
      <c r="M2190" s="81"/>
      <c r="N2190" s="81"/>
      <c r="O2190" s="81"/>
      <c r="P2190" s="81"/>
      <c r="Q2190" s="81"/>
      <c r="R2190" s="81"/>
    </row>
    <row r="2191" spans="2:18">
      <c r="B2191" s="12"/>
      <c r="D2191" s="48"/>
      <c r="E2191" s="48"/>
      <c r="F2191" s="48"/>
      <c r="G2191" s="48"/>
      <c r="H2191" s="48"/>
      <c r="I2191" s="48"/>
      <c r="J2191" s="48"/>
      <c r="K2191" s="48"/>
      <c r="L2191" s="48"/>
      <c r="M2191" s="48"/>
      <c r="N2191" s="48"/>
      <c r="O2191" s="48"/>
      <c r="P2191" s="48"/>
      <c r="Q2191" s="48"/>
      <c r="R2191" s="48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81"/>
      <c r="E2194" s="81"/>
      <c r="F2194" s="81"/>
      <c r="G2194" s="81"/>
      <c r="H2194" s="81"/>
      <c r="I2194" s="81"/>
      <c r="J2194" s="81"/>
      <c r="K2194" s="81"/>
      <c r="L2194" s="81"/>
      <c r="M2194" s="81"/>
      <c r="N2194" s="81"/>
      <c r="O2194" s="81"/>
      <c r="P2194" s="81"/>
      <c r="Q2194" s="81"/>
      <c r="R2194" s="81"/>
    </row>
    <row r="2195" spans="2:18">
      <c r="B2195" s="12"/>
      <c r="D2195" s="48"/>
      <c r="E2195" s="48"/>
      <c r="F2195" s="48"/>
      <c r="G2195" s="48"/>
      <c r="H2195" s="48"/>
      <c r="I2195" s="48"/>
      <c r="J2195" s="48"/>
      <c r="K2195" s="48"/>
      <c r="L2195" s="48"/>
      <c r="M2195" s="48"/>
      <c r="N2195" s="48"/>
      <c r="O2195" s="48"/>
      <c r="P2195" s="48"/>
      <c r="Q2195" s="48"/>
      <c r="R2195" s="48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81"/>
      <c r="E2198" s="81"/>
      <c r="F2198" s="81"/>
      <c r="G2198" s="81"/>
      <c r="H2198" s="81"/>
      <c r="I2198" s="81"/>
      <c r="J2198" s="81"/>
      <c r="K2198" s="81"/>
      <c r="L2198" s="81"/>
      <c r="M2198" s="81"/>
      <c r="N2198" s="81"/>
      <c r="O2198" s="81"/>
      <c r="P2198" s="81"/>
      <c r="Q2198" s="81"/>
      <c r="R2198" s="81"/>
    </row>
    <row r="2199" spans="2:18">
      <c r="B2199" s="12"/>
      <c r="D2199" s="48"/>
      <c r="E2199" s="48"/>
      <c r="F2199" s="48"/>
      <c r="G2199" s="48"/>
      <c r="H2199" s="48"/>
      <c r="I2199" s="48"/>
      <c r="J2199" s="48"/>
      <c r="K2199" s="48"/>
      <c r="L2199" s="48"/>
      <c r="M2199" s="48"/>
      <c r="N2199" s="48"/>
      <c r="O2199" s="48"/>
      <c r="P2199" s="48"/>
      <c r="Q2199" s="48"/>
      <c r="R2199" s="48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81"/>
      <c r="E2202" s="81"/>
      <c r="F2202" s="81"/>
      <c r="G2202" s="81"/>
      <c r="H2202" s="81"/>
      <c r="I2202" s="81"/>
      <c r="J2202" s="81"/>
      <c r="K2202" s="81"/>
      <c r="L2202" s="81"/>
      <c r="M2202" s="81"/>
      <c r="N2202" s="81"/>
      <c r="O2202" s="81"/>
      <c r="P2202" s="81"/>
      <c r="Q2202" s="81"/>
      <c r="R2202" s="81"/>
    </row>
    <row r="2203" spans="2:18">
      <c r="B2203" s="12"/>
      <c r="D2203" s="48"/>
      <c r="E2203" s="48"/>
      <c r="F2203" s="48"/>
      <c r="G2203" s="48"/>
      <c r="H2203" s="48"/>
      <c r="I2203" s="48"/>
      <c r="J2203" s="48"/>
      <c r="K2203" s="48"/>
      <c r="L2203" s="48"/>
      <c r="M2203" s="48"/>
      <c r="N2203" s="48"/>
      <c r="O2203" s="48"/>
      <c r="P2203" s="48"/>
      <c r="Q2203" s="48"/>
      <c r="R2203" s="48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81"/>
      <c r="E2206" s="81"/>
      <c r="F2206" s="81"/>
      <c r="G2206" s="81"/>
      <c r="H2206" s="81"/>
      <c r="I2206" s="81"/>
      <c r="J2206" s="81"/>
      <c r="K2206" s="81"/>
      <c r="L2206" s="81"/>
      <c r="M2206" s="81"/>
      <c r="N2206" s="81"/>
      <c r="O2206" s="81"/>
      <c r="P2206" s="81"/>
      <c r="Q2206" s="81"/>
      <c r="R2206" s="81"/>
    </row>
    <row r="2207" spans="2:18">
      <c r="B2207" s="12"/>
      <c r="D2207" s="48"/>
      <c r="E2207" s="48"/>
      <c r="F2207" s="48"/>
      <c r="G2207" s="48"/>
      <c r="H2207" s="48"/>
      <c r="I2207" s="48"/>
      <c r="J2207" s="48"/>
      <c r="K2207" s="48"/>
      <c r="L2207" s="48"/>
      <c r="M2207" s="48"/>
      <c r="N2207" s="48"/>
      <c r="O2207" s="48"/>
      <c r="P2207" s="48"/>
      <c r="Q2207" s="48"/>
      <c r="R2207" s="48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81"/>
      <c r="E2210" s="81"/>
      <c r="F2210" s="81"/>
      <c r="G2210" s="81"/>
      <c r="H2210" s="81"/>
      <c r="I2210" s="81"/>
      <c r="J2210" s="81"/>
      <c r="K2210" s="81"/>
      <c r="L2210" s="81"/>
      <c r="M2210" s="81"/>
      <c r="N2210" s="81"/>
      <c r="O2210" s="81"/>
      <c r="P2210" s="81"/>
      <c r="Q2210" s="81"/>
      <c r="R2210" s="81"/>
    </row>
    <row r="2211" spans="2:18">
      <c r="B2211" s="12"/>
      <c r="D2211" s="48"/>
      <c r="E2211" s="48"/>
      <c r="F2211" s="48"/>
      <c r="G2211" s="48"/>
      <c r="H2211" s="48"/>
      <c r="I2211" s="48"/>
      <c r="J2211" s="48"/>
      <c r="K2211" s="48"/>
      <c r="L2211" s="48"/>
      <c r="M2211" s="48"/>
      <c r="N2211" s="48"/>
      <c r="O2211" s="48"/>
      <c r="P2211" s="48"/>
      <c r="Q2211" s="48"/>
      <c r="R2211" s="48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81"/>
      <c r="E2214" s="81"/>
      <c r="F2214" s="81"/>
      <c r="G2214" s="81"/>
      <c r="H2214" s="81"/>
      <c r="I2214" s="81"/>
      <c r="J2214" s="81"/>
      <c r="K2214" s="81"/>
      <c r="L2214" s="81"/>
      <c r="M2214" s="81"/>
      <c r="N2214" s="81"/>
      <c r="O2214" s="81"/>
      <c r="P2214" s="81"/>
      <c r="Q2214" s="81"/>
      <c r="R2214" s="81"/>
    </row>
    <row r="2215" spans="2:18">
      <c r="B2215" s="12"/>
      <c r="D2215" s="48"/>
      <c r="E2215" s="48"/>
      <c r="F2215" s="48"/>
      <c r="G2215" s="48"/>
      <c r="H2215" s="48"/>
      <c r="I2215" s="48"/>
      <c r="J2215" s="48"/>
      <c r="K2215" s="48"/>
      <c r="L2215" s="48"/>
      <c r="M2215" s="48"/>
      <c r="N2215" s="48"/>
      <c r="O2215" s="48"/>
      <c r="P2215" s="48"/>
      <c r="Q2215" s="48"/>
      <c r="R2215" s="48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81"/>
      <c r="E2218" s="81"/>
      <c r="F2218" s="81"/>
      <c r="G2218" s="81"/>
      <c r="H2218" s="81"/>
      <c r="I2218" s="81"/>
      <c r="J2218" s="81"/>
      <c r="K2218" s="81"/>
      <c r="L2218" s="81"/>
      <c r="M2218" s="81"/>
      <c r="N2218" s="81"/>
      <c r="O2218" s="81"/>
      <c r="P2218" s="81"/>
      <c r="Q2218" s="81"/>
      <c r="R2218" s="81"/>
    </row>
    <row r="2219" spans="2:18">
      <c r="B2219" s="12"/>
      <c r="D2219" s="48"/>
      <c r="E2219" s="48"/>
      <c r="F2219" s="48"/>
      <c r="G2219" s="48"/>
      <c r="H2219" s="48"/>
      <c r="I2219" s="48"/>
      <c r="J2219" s="48"/>
      <c r="K2219" s="48"/>
      <c r="L2219" s="48"/>
      <c r="M2219" s="48"/>
      <c r="N2219" s="48"/>
      <c r="O2219" s="48"/>
      <c r="P2219" s="48"/>
      <c r="Q2219" s="48"/>
      <c r="R2219" s="48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81"/>
      <c r="E2222" s="81"/>
      <c r="F2222" s="81"/>
      <c r="G2222" s="81"/>
      <c r="H2222" s="81"/>
      <c r="I2222" s="81"/>
      <c r="J2222" s="81"/>
      <c r="K2222" s="81"/>
      <c r="L2222" s="81"/>
      <c r="M2222" s="81"/>
      <c r="N2222" s="81"/>
      <c r="O2222" s="81"/>
      <c r="P2222" s="81"/>
      <c r="Q2222" s="81"/>
      <c r="R2222" s="81"/>
    </row>
    <row r="2223" spans="2:18">
      <c r="B2223" s="12"/>
      <c r="D2223" s="48"/>
      <c r="E2223" s="48"/>
      <c r="F2223" s="48"/>
      <c r="G2223" s="48"/>
      <c r="H2223" s="48"/>
      <c r="I2223" s="48"/>
      <c r="J2223" s="48"/>
      <c r="K2223" s="48"/>
      <c r="L2223" s="48"/>
      <c r="M2223" s="48"/>
      <c r="N2223" s="48"/>
      <c r="O2223" s="48"/>
      <c r="P2223" s="48"/>
      <c r="Q2223" s="48"/>
      <c r="R2223" s="48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81"/>
      <c r="E2226" s="81"/>
      <c r="F2226" s="81"/>
      <c r="G2226" s="81"/>
      <c r="H2226" s="81"/>
      <c r="I2226" s="81"/>
      <c r="J2226" s="81"/>
      <c r="K2226" s="81"/>
      <c r="L2226" s="81"/>
      <c r="M2226" s="81"/>
      <c r="N2226" s="81"/>
      <c r="O2226" s="81"/>
      <c r="P2226" s="81"/>
      <c r="Q2226" s="81"/>
      <c r="R2226" s="81"/>
    </row>
    <row r="2227" spans="2:18">
      <c r="B2227" s="12"/>
      <c r="D2227" s="48"/>
      <c r="E2227" s="48"/>
      <c r="F2227" s="48"/>
      <c r="G2227" s="48"/>
      <c r="H2227" s="48"/>
      <c r="I2227" s="48"/>
      <c r="J2227" s="48"/>
      <c r="K2227" s="48"/>
      <c r="L2227" s="48"/>
      <c r="M2227" s="48"/>
      <c r="N2227" s="48"/>
      <c r="O2227" s="48"/>
      <c r="P2227" s="48"/>
      <c r="Q2227" s="48"/>
      <c r="R2227" s="48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81"/>
      <c r="E2230" s="81"/>
      <c r="F2230" s="81"/>
      <c r="G2230" s="81"/>
      <c r="H2230" s="81"/>
      <c r="I2230" s="81"/>
      <c r="J2230" s="81"/>
      <c r="K2230" s="81"/>
      <c r="L2230" s="81"/>
      <c r="M2230" s="81"/>
      <c r="N2230" s="81"/>
      <c r="O2230" s="81"/>
      <c r="P2230" s="81"/>
      <c r="Q2230" s="81"/>
      <c r="R2230" s="81"/>
    </row>
    <row r="2231" spans="2:18">
      <c r="B2231" s="12"/>
      <c r="D2231" s="48"/>
      <c r="E2231" s="48"/>
      <c r="F2231" s="48"/>
      <c r="G2231" s="48"/>
      <c r="H2231" s="48"/>
      <c r="I2231" s="48"/>
      <c r="J2231" s="48"/>
      <c r="K2231" s="48"/>
      <c r="L2231" s="48"/>
      <c r="M2231" s="48"/>
      <c r="N2231" s="48"/>
      <c r="O2231" s="48"/>
      <c r="P2231" s="48"/>
      <c r="Q2231" s="48"/>
      <c r="R2231" s="48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81"/>
      <c r="E2234" s="81"/>
      <c r="F2234" s="81"/>
      <c r="G2234" s="81"/>
      <c r="H2234" s="81"/>
      <c r="I2234" s="81"/>
      <c r="J2234" s="81"/>
      <c r="K2234" s="81"/>
      <c r="L2234" s="81"/>
      <c r="M2234" s="81"/>
      <c r="N2234" s="81"/>
      <c r="O2234" s="81"/>
      <c r="P2234" s="81"/>
      <c r="Q2234" s="81"/>
      <c r="R2234" s="81"/>
    </row>
    <row r="2235" spans="2:18">
      <c r="B2235" s="12"/>
      <c r="D2235" s="48"/>
      <c r="E2235" s="48"/>
      <c r="F2235" s="48"/>
      <c r="G2235" s="48"/>
      <c r="H2235" s="48"/>
      <c r="I2235" s="48"/>
      <c r="J2235" s="48"/>
      <c r="K2235" s="48"/>
      <c r="L2235" s="48"/>
      <c r="M2235" s="48"/>
      <c r="N2235" s="48"/>
      <c r="O2235" s="48"/>
      <c r="P2235" s="48"/>
      <c r="Q2235" s="48"/>
      <c r="R2235" s="48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81"/>
      <c r="E2238" s="81"/>
      <c r="F2238" s="81"/>
      <c r="G2238" s="81"/>
      <c r="H2238" s="81"/>
      <c r="I2238" s="81"/>
      <c r="J2238" s="81"/>
      <c r="K2238" s="81"/>
      <c r="L2238" s="81"/>
      <c r="M2238" s="81"/>
      <c r="N2238" s="81"/>
      <c r="O2238" s="81"/>
      <c r="P2238" s="81"/>
      <c r="Q2238" s="81"/>
      <c r="R2238" s="81"/>
    </row>
    <row r="2239" spans="2:18">
      <c r="B2239" s="12"/>
      <c r="D2239" s="48"/>
      <c r="E2239" s="48"/>
      <c r="F2239" s="48"/>
      <c r="G2239" s="48"/>
      <c r="H2239" s="48"/>
      <c r="I2239" s="48"/>
      <c r="J2239" s="48"/>
      <c r="K2239" s="48"/>
      <c r="L2239" s="48"/>
      <c r="M2239" s="48"/>
      <c r="N2239" s="48"/>
      <c r="O2239" s="48"/>
      <c r="P2239" s="48"/>
      <c r="Q2239" s="48"/>
      <c r="R2239" s="48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81"/>
      <c r="E2242" s="81"/>
      <c r="F2242" s="81"/>
      <c r="G2242" s="81"/>
      <c r="H2242" s="81"/>
      <c r="I2242" s="81"/>
      <c r="J2242" s="81"/>
      <c r="K2242" s="81"/>
      <c r="L2242" s="81"/>
      <c r="M2242" s="81"/>
      <c r="N2242" s="81"/>
      <c r="O2242" s="81"/>
      <c r="P2242" s="81"/>
      <c r="Q2242" s="81"/>
      <c r="R2242" s="81"/>
    </row>
    <row r="2243" spans="2:18">
      <c r="B2243" s="12"/>
      <c r="D2243" s="48"/>
      <c r="E2243" s="48"/>
      <c r="F2243" s="48"/>
      <c r="G2243" s="48"/>
      <c r="H2243" s="48"/>
      <c r="I2243" s="48"/>
      <c r="J2243" s="48"/>
      <c r="K2243" s="48"/>
      <c r="L2243" s="48"/>
      <c r="M2243" s="48"/>
      <c r="N2243" s="48"/>
      <c r="O2243" s="48"/>
      <c r="P2243" s="48"/>
      <c r="Q2243" s="48"/>
      <c r="R2243" s="48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81"/>
      <c r="E2246" s="81"/>
      <c r="F2246" s="81"/>
      <c r="G2246" s="81"/>
      <c r="H2246" s="81"/>
      <c r="I2246" s="81"/>
      <c r="J2246" s="81"/>
      <c r="K2246" s="81"/>
      <c r="L2246" s="81"/>
      <c r="M2246" s="81"/>
      <c r="N2246" s="81"/>
      <c r="O2246" s="81"/>
      <c r="P2246" s="81"/>
      <c r="Q2246" s="81"/>
      <c r="R2246" s="81"/>
    </row>
    <row r="2247" spans="2:18">
      <c r="B2247" s="12"/>
      <c r="D2247" s="48"/>
      <c r="E2247" s="48"/>
      <c r="F2247" s="48"/>
      <c r="G2247" s="48"/>
      <c r="H2247" s="48"/>
      <c r="I2247" s="48"/>
      <c r="J2247" s="48"/>
      <c r="K2247" s="48"/>
      <c r="L2247" s="48"/>
      <c r="M2247" s="48"/>
      <c r="N2247" s="48"/>
      <c r="O2247" s="48"/>
      <c r="P2247" s="48"/>
      <c r="Q2247" s="48"/>
      <c r="R2247" s="48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81"/>
      <c r="E2250" s="81"/>
      <c r="F2250" s="81"/>
      <c r="G2250" s="81"/>
      <c r="H2250" s="81"/>
      <c r="I2250" s="81"/>
      <c r="J2250" s="81"/>
      <c r="K2250" s="81"/>
      <c r="L2250" s="81"/>
      <c r="M2250" s="81"/>
      <c r="N2250" s="81"/>
      <c r="O2250" s="81"/>
      <c r="P2250" s="81"/>
      <c r="Q2250" s="81"/>
      <c r="R2250" s="81"/>
    </row>
    <row r="2251" spans="2:18">
      <c r="B2251" s="12"/>
      <c r="D2251" s="48"/>
      <c r="E2251" s="48"/>
      <c r="F2251" s="48"/>
      <c r="G2251" s="48"/>
      <c r="H2251" s="48"/>
      <c r="I2251" s="48"/>
      <c r="J2251" s="48"/>
      <c r="K2251" s="48"/>
      <c r="L2251" s="48"/>
      <c r="M2251" s="48"/>
      <c r="N2251" s="48"/>
      <c r="O2251" s="48"/>
      <c r="P2251" s="48"/>
      <c r="Q2251" s="48"/>
      <c r="R2251" s="48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81"/>
      <c r="E2254" s="81"/>
      <c r="F2254" s="81"/>
      <c r="G2254" s="81"/>
      <c r="H2254" s="81"/>
      <c r="I2254" s="81"/>
      <c r="J2254" s="81"/>
      <c r="K2254" s="81"/>
      <c r="L2254" s="81"/>
      <c r="M2254" s="81"/>
      <c r="N2254" s="81"/>
      <c r="O2254" s="81"/>
      <c r="P2254" s="81"/>
      <c r="Q2254" s="81"/>
      <c r="R2254" s="81"/>
    </row>
    <row r="2255" spans="2:18">
      <c r="B2255" s="12"/>
      <c r="D2255" s="48"/>
      <c r="E2255" s="48"/>
      <c r="F2255" s="48"/>
      <c r="G2255" s="48"/>
      <c r="H2255" s="48"/>
      <c r="I2255" s="48"/>
      <c r="J2255" s="48"/>
      <c r="K2255" s="48"/>
      <c r="L2255" s="48"/>
      <c r="M2255" s="48"/>
      <c r="N2255" s="48"/>
      <c r="O2255" s="48"/>
      <c r="P2255" s="48"/>
      <c r="Q2255" s="48"/>
      <c r="R2255" s="48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81"/>
      <c r="E2258" s="81"/>
      <c r="F2258" s="81"/>
      <c r="G2258" s="81"/>
      <c r="H2258" s="81"/>
      <c r="I2258" s="81"/>
      <c r="J2258" s="81"/>
      <c r="K2258" s="81"/>
      <c r="L2258" s="81"/>
      <c r="M2258" s="81"/>
      <c r="N2258" s="81"/>
      <c r="O2258" s="81"/>
      <c r="P2258" s="81"/>
      <c r="Q2258" s="81"/>
      <c r="R2258" s="81"/>
    </row>
    <row r="2259" spans="2:18">
      <c r="B2259" s="12"/>
      <c r="D2259" s="48"/>
      <c r="E2259" s="48"/>
      <c r="F2259" s="48"/>
      <c r="G2259" s="48"/>
      <c r="H2259" s="48"/>
      <c r="I2259" s="48"/>
      <c r="J2259" s="48"/>
      <c r="K2259" s="48"/>
      <c r="L2259" s="48"/>
      <c r="M2259" s="48"/>
      <c r="N2259" s="48"/>
      <c r="O2259" s="48"/>
      <c r="P2259" s="48"/>
      <c r="Q2259" s="48"/>
      <c r="R2259" s="48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81"/>
      <c r="E2262" s="81"/>
      <c r="F2262" s="81"/>
      <c r="G2262" s="81"/>
      <c r="H2262" s="81"/>
      <c r="I2262" s="81"/>
      <c r="J2262" s="81"/>
      <c r="K2262" s="81"/>
      <c r="L2262" s="81"/>
      <c r="M2262" s="81"/>
      <c r="N2262" s="81"/>
      <c r="O2262" s="81"/>
      <c r="P2262" s="81"/>
      <c r="Q2262" s="81"/>
      <c r="R2262" s="81"/>
    </row>
    <row r="2263" spans="2:18">
      <c r="B2263" s="12"/>
      <c r="D2263" s="48"/>
      <c r="E2263" s="48"/>
      <c r="F2263" s="48"/>
      <c r="G2263" s="48"/>
      <c r="H2263" s="48"/>
      <c r="I2263" s="48"/>
      <c r="J2263" s="48"/>
      <c r="K2263" s="48"/>
      <c r="L2263" s="48"/>
      <c r="M2263" s="48"/>
      <c r="N2263" s="48"/>
      <c r="O2263" s="48"/>
      <c r="P2263" s="48"/>
      <c r="Q2263" s="48"/>
      <c r="R2263" s="48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81"/>
      <c r="E2266" s="81"/>
      <c r="F2266" s="81"/>
      <c r="G2266" s="81"/>
      <c r="H2266" s="81"/>
      <c r="I2266" s="81"/>
      <c r="J2266" s="81"/>
      <c r="K2266" s="81"/>
      <c r="L2266" s="81"/>
      <c r="M2266" s="81"/>
      <c r="N2266" s="81"/>
      <c r="O2266" s="81"/>
      <c r="P2266" s="81"/>
      <c r="Q2266" s="81"/>
      <c r="R2266" s="81"/>
    </row>
    <row r="2267" spans="2:18">
      <c r="D2267" s="48"/>
      <c r="E2267" s="48"/>
      <c r="F2267" s="48"/>
      <c r="G2267" s="48"/>
      <c r="H2267" s="48"/>
      <c r="I2267" s="48"/>
      <c r="J2267" s="48"/>
      <c r="K2267" s="48"/>
      <c r="L2267" s="48"/>
      <c r="M2267" s="48"/>
      <c r="N2267" s="48"/>
      <c r="O2267" s="48"/>
      <c r="P2267" s="48"/>
      <c r="Q2267" s="48"/>
      <c r="R2267" s="48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81"/>
      <c r="E2270" s="81"/>
      <c r="F2270" s="81"/>
      <c r="G2270" s="81"/>
      <c r="H2270" s="81"/>
      <c r="I2270" s="81"/>
      <c r="J2270" s="81"/>
      <c r="K2270" s="81"/>
      <c r="L2270" s="81"/>
      <c r="M2270" s="81"/>
      <c r="N2270" s="81"/>
      <c r="O2270" s="81"/>
      <c r="P2270" s="81"/>
      <c r="Q2270" s="81"/>
      <c r="R2270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11" priority="3">
      <formula>顯示注音輸入</formula>
    </cfRule>
    <cfRule type="expression" dxfId="10" priority="4">
      <formula>"'= TRUE(顯示注音輸入)"</formula>
    </cfRule>
  </conditionalFormatting>
  <conditionalFormatting sqref="D2267:R2267">
    <cfRule type="expression" dxfId="9" priority="1">
      <formula>顯示注音輸入</formula>
    </cfRule>
    <cfRule type="expression" dxfId="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B119-DEFA-4D76-A56A-E611C4980E86}">
  <dimension ref="A1:T12"/>
  <sheetViews>
    <sheetView tabSelected="1" workbookViewId="0">
      <selection activeCell="U4" sqref="U4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235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632</v>
      </c>
      <c r="R4" s="56" t="s">
        <v>633</v>
      </c>
      <c r="T4" s="84" t="str">
        <f xml:space="preserve"> _xlfn.CONCAT(Q4, CHAR(10), R4)</f>
        <v>《念奴嬌·斷虹霽雨》（宋：黃庭堅）
Liam7 loo5 giau1· duan3 hong5 ze3 u2 song3: hong5 ding5 gian1</v>
      </c>
    </row>
    <row r="5" spans="1:20" ht="69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634</v>
      </c>
      <c r="R5" s="56" t="s">
        <v>635</v>
      </c>
      <c r="T5" s="84" t="str">
        <f t="shared" ref="T5:T10" si="0" xml:space="preserve"> _xlfn.CONCAT(Q5, CHAR(10), R5)</f>
        <v>斷虹霽雨，淨秋空，山染修眉新綠。
Duan3 hong5 ze3 u2, jing7 chiu1 kong1, san1 bbak4 shiu1 bbi5 chin1 liook8.</v>
      </c>
    </row>
    <row r="6" spans="1:20" ht="69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636</v>
      </c>
      <c r="R6" s="56" t="s">
        <v>637</v>
      </c>
      <c r="T6" s="84" t="str">
        <f t="shared" si="0"/>
        <v>桂影扶疏，誰便道，今夕清輝不足？
Gue3 ing2 hu5 soo1, sui5 bian5 dor7, gim1 shiek8 ching1 hui1 but4 jiook4?</v>
      </c>
    </row>
    <row r="7" spans="1:20" ht="69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638</v>
      </c>
      <c r="R7" s="56" t="s">
        <v>639</v>
      </c>
      <c r="T7" s="84" t="str">
        <f t="shared" si="0"/>
        <v>萬里青天，姮娥何處，駕此一輪玉。
Bban7 li2 ching1 tian1, hing5 ggor5 hor5 cu2, ga3 cu2 it4 lun5 ggiook8.</v>
      </c>
    </row>
    <row r="8" spans="1:20" ht="69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640</v>
      </c>
      <c r="R8" s="56" t="s">
        <v>641</v>
      </c>
      <c r="T8" s="84" t="str">
        <f xml:space="preserve"> _xlfn.CONCAT(Q8, CHAR(10), R8)</f>
        <v>寒光零亂，為誰偏照醽醁？
Han5 gong1 ling5 luan7, ui5 sui5 tian1 jiau3?</v>
      </c>
    </row>
    <row r="9" spans="1:20" ht="69">
      <c r="A9" s="59" t="s">
        <v>152</v>
      </c>
      <c r="B9" s="70" t="s">
        <v>147</v>
      </c>
      <c r="C9" s="71" t="s">
        <v>153</v>
      </c>
      <c r="D9" s="65">
        <v>2</v>
      </c>
      <c r="E9" s="65">
        <v>5</v>
      </c>
      <c r="F9" s="73">
        <v>42000</v>
      </c>
      <c r="G9" s="74">
        <v>47000</v>
      </c>
      <c r="H9" s="75" t="s">
        <v>124</v>
      </c>
      <c r="I9" s="75" t="s">
        <v>124</v>
      </c>
      <c r="J9" s="75" t="s">
        <v>154</v>
      </c>
      <c r="K9" s="75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7" t="s">
        <v>642</v>
      </c>
      <c r="R9" s="56" t="s">
        <v>643</v>
      </c>
      <c r="T9" s="84" t="str">
        <f t="shared" si="0"/>
        <v>年少從我追遊，晚涼幽徑，繞張園森木。
Lian5 shiau3 jing5 ngoo2 dui1 iu5, bbuan2 liong5 iu1 ging3, jjiau2 diong1 uan5 shim1 bbok8.</v>
      </c>
    </row>
    <row r="10" spans="1:20" ht="103.5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 t="s">
        <v>644</v>
      </c>
      <c r="R10" s="56" t="s">
        <v>645</v>
      </c>
      <c r="T10" s="56" t="str">
        <f t="shared" si="0"/>
        <v>共倒金荷，家萬里，難得尊前相屬。
Giong7 dau2 gim1 hau1, ga1 bban7 li2, lan5 diek4 zun1 jian5 shiong3 jiook4.</v>
      </c>
    </row>
    <row r="11" spans="1:20">
      <c r="Q11" t="s">
        <v>646</v>
      </c>
      <c r="R11" t="s">
        <v>647</v>
      </c>
    </row>
    <row r="12" spans="1:20">
      <c r="Q12" t="s">
        <v>648</v>
      </c>
      <c r="R12" t="s">
        <v>649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74F9-7ED0-421B-BA1F-07914F06B865}">
  <dimension ref="A1:T19"/>
  <sheetViews>
    <sheetView workbookViewId="0">
      <selection activeCell="V17" sqref="V17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235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242</v>
      </c>
      <c r="R4" s="56" t="s">
        <v>243</v>
      </c>
      <c r="T4" s="56" t="str">
        <f xml:space="preserve"> _xlfn.CONCAT(Q4, CHAR(10), R4)</f>
        <v>《道德經。第一章》
Dô dīk gīng. Dê yīt ziōng</v>
      </c>
    </row>
    <row r="5" spans="1:20" ht="69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238</v>
      </c>
      <c r="R5" s="56" t="s">
        <v>239</v>
      </c>
      <c r="T5" s="56" t="str">
        <f t="shared" ref="T5:T19" si="0" xml:space="preserve"> _xlfn.CONCAT(Q5, CHAR(10), R5)</f>
        <v>第一章論德
Dê yīt ziōng lûn dīk</v>
      </c>
    </row>
    <row r="6" spans="1:20" ht="69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244</v>
      </c>
      <c r="R6" s="56" t="s">
        <v>245</v>
      </c>
      <c r="T6" s="56" t="str">
        <f t="shared" si="0"/>
        <v>上德不德是以有德
Siông dīk būt dīk sî yǐ yǔ dīk</v>
      </c>
    </row>
    <row r="7" spans="1:20" ht="69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246</v>
      </c>
      <c r="R7" s="56" t="s">
        <v>247</v>
      </c>
      <c r="T7" s="56" t="str">
        <f t="shared" si="0"/>
        <v>下德不失德是以無德
Hà dīk būt sīt dīk sî yǐ bbú dīk</v>
      </c>
    </row>
    <row r="8" spans="1:20" ht="69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248</v>
      </c>
      <c r="R8" s="56" t="s">
        <v>249</v>
      </c>
      <c r="T8" s="56" t="str">
        <f t="shared" si="0"/>
        <v>上德無為而無以為也
Siông dīk bbú wí zzí bbú yǐ wí yǎ</v>
      </c>
    </row>
    <row r="9" spans="1:20" ht="69">
      <c r="A9" s="59" t="s">
        <v>152</v>
      </c>
      <c r="B9" s="70" t="s">
        <v>147</v>
      </c>
      <c r="C9" s="71" t="s">
        <v>153</v>
      </c>
      <c r="D9" s="65">
        <v>2</v>
      </c>
      <c r="E9" s="65">
        <v>5</v>
      </c>
      <c r="F9" s="73">
        <v>42000</v>
      </c>
      <c r="G9" s="74">
        <v>47000</v>
      </c>
      <c r="H9" s="75" t="s">
        <v>124</v>
      </c>
      <c r="I9" s="75" t="s">
        <v>124</v>
      </c>
      <c r="J9" s="75" t="s">
        <v>154</v>
      </c>
      <c r="K9" s="75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7" t="s">
        <v>250</v>
      </c>
      <c r="R9" s="56" t="s">
        <v>251</v>
      </c>
      <c r="T9" s="56" t="str">
        <f t="shared" si="0"/>
        <v>上仁為之而無以為也
Siông zzín wí zī zzí bbú yǐ wí yǎ</v>
      </c>
    </row>
    <row r="10" spans="1:20" ht="69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 t="s">
        <v>252</v>
      </c>
      <c r="R10" s="56" t="s">
        <v>253</v>
      </c>
      <c r="T10" s="56" t="str">
        <f t="shared" si="0"/>
        <v>上義為之而有以為也
Siông ggî wí zī zzí yǔ yǐ wí yǎ</v>
      </c>
    </row>
    <row r="11" spans="1:20" ht="69">
      <c r="A11" s="59"/>
      <c r="B11" s="70"/>
      <c r="C11" s="71"/>
      <c r="D11" s="65"/>
      <c r="E11" s="65"/>
      <c r="F11" s="73"/>
      <c r="G11" s="74"/>
      <c r="H11" s="75"/>
      <c r="I11" s="75"/>
      <c r="J11" s="75"/>
      <c r="K11" s="75"/>
      <c r="L11" s="66"/>
      <c r="M11" s="66"/>
      <c r="N11" s="66"/>
      <c r="O11" s="66"/>
      <c r="P11" s="66"/>
      <c r="Q11" s="57" t="s">
        <v>254</v>
      </c>
      <c r="R11" s="56" t="s">
        <v>255</v>
      </c>
      <c r="T11" s="56" t="str">
        <f t="shared" si="0"/>
        <v>上禮為之而莫之應也
Siông lě wí zī zzí bbók zī yīng yǎ</v>
      </c>
    </row>
    <row r="12" spans="1:20" ht="69">
      <c r="A12" s="59"/>
      <c r="B12" s="70"/>
      <c r="C12" s="71"/>
      <c r="D12" s="65"/>
      <c r="E12" s="65"/>
      <c r="F12" s="73"/>
      <c r="G12" s="74"/>
      <c r="H12" s="75"/>
      <c r="I12" s="75"/>
      <c r="J12" s="75"/>
      <c r="K12" s="75"/>
      <c r="L12" s="66"/>
      <c r="M12" s="66"/>
      <c r="N12" s="66"/>
      <c r="O12" s="66"/>
      <c r="P12" s="66"/>
      <c r="Q12" s="57" t="s">
        <v>256</v>
      </c>
      <c r="R12" s="56" t="s">
        <v>257</v>
      </c>
      <c r="T12" s="56" t="str">
        <f t="shared" si="0"/>
        <v>則攘臂而扔之
Zīk zzióng bì zzí zzíng zī</v>
      </c>
    </row>
    <row r="13" spans="1:20" ht="69">
      <c r="A13" s="59"/>
      <c r="B13" s="70"/>
      <c r="C13" s="71"/>
      <c r="D13" s="65"/>
      <c r="E13" s="65"/>
      <c r="F13" s="73"/>
      <c r="G13" s="74"/>
      <c r="H13" s="75"/>
      <c r="I13" s="75"/>
      <c r="J13" s="75"/>
      <c r="K13" s="75"/>
      <c r="L13" s="66"/>
      <c r="M13" s="66"/>
      <c r="N13" s="66"/>
      <c r="O13" s="66"/>
      <c r="P13" s="66"/>
      <c r="Q13" s="57" t="s">
        <v>258</v>
      </c>
      <c r="R13" s="56" t="s">
        <v>259</v>
      </c>
      <c r="T13" s="56" t="str">
        <f t="shared" si="0"/>
        <v>故失道而後德失德而後仁
Gòo sīt dô zzí hôo dīk sīt dīk zzí hôo zzín</v>
      </c>
    </row>
    <row r="14" spans="1:20" ht="69">
      <c r="A14" s="59"/>
      <c r="B14" s="70"/>
      <c r="C14" s="71"/>
      <c r="D14" s="65"/>
      <c r="E14" s="65"/>
      <c r="F14" s="73"/>
      <c r="G14" s="74"/>
      <c r="H14" s="75"/>
      <c r="I14" s="75"/>
      <c r="J14" s="75"/>
      <c r="K14" s="75"/>
      <c r="L14" s="66"/>
      <c r="M14" s="66"/>
      <c r="N14" s="66"/>
      <c r="O14" s="66"/>
      <c r="P14" s="66"/>
      <c r="Q14" s="57" t="s">
        <v>260</v>
      </c>
      <c r="R14" s="56" t="s">
        <v>261</v>
      </c>
      <c r="T14" s="56" t="str">
        <f t="shared" si="0"/>
        <v>失仁而後義失義而後禮
Sīt zzín zzí hôo ggî sīt ggî zzí hôo lě</v>
      </c>
    </row>
    <row r="15" spans="1:20" ht="69">
      <c r="A15" s="59"/>
      <c r="B15" s="70"/>
      <c r="C15" s="71"/>
      <c r="D15" s="65"/>
      <c r="E15" s="65"/>
      <c r="F15" s="73"/>
      <c r="G15" s="74"/>
      <c r="H15" s="75"/>
      <c r="I15" s="75"/>
      <c r="J15" s="75"/>
      <c r="K15" s="75"/>
      <c r="L15" s="66"/>
      <c r="M15" s="66"/>
      <c r="N15" s="66"/>
      <c r="O15" s="66"/>
      <c r="P15" s="66"/>
      <c r="Q15" s="57" t="s">
        <v>262</v>
      </c>
      <c r="R15" s="56" t="s">
        <v>263</v>
      </c>
      <c r="T15" s="56" t="str">
        <f t="shared" si="0"/>
        <v>夫禮者忠信之泊也而亂之首也
Hú lě ziǎ diōng sìn zī bók yǎ zzí luân zī sǐu yǎ</v>
      </c>
    </row>
    <row r="16" spans="1:20" ht="69">
      <c r="A16" s="59"/>
      <c r="B16" s="70"/>
      <c r="C16" s="71"/>
      <c r="D16" s="65"/>
      <c r="E16" s="65"/>
      <c r="F16" s="73"/>
      <c r="G16" s="74"/>
      <c r="H16" s="75"/>
      <c r="I16" s="75"/>
      <c r="J16" s="75"/>
      <c r="K16" s="75"/>
      <c r="L16" s="66"/>
      <c r="M16" s="66"/>
      <c r="N16" s="66"/>
      <c r="O16" s="66"/>
      <c r="P16" s="66"/>
      <c r="Q16" s="57" t="s">
        <v>240</v>
      </c>
      <c r="R16" s="56" t="s">
        <v>241</v>
      </c>
      <c r="T16" s="56" t="str">
        <f t="shared" si="0"/>
        <v>前識者道之華也而愚之首也
Zián bbāt ziǎ dô zī huá yǎ zzí ggú zī sǐu yǎ</v>
      </c>
    </row>
    <row r="17" spans="1:20" ht="69">
      <c r="A17" s="59"/>
      <c r="B17" s="70"/>
      <c r="C17" s="71"/>
      <c r="D17" s="65"/>
      <c r="E17" s="65"/>
      <c r="F17" s="73"/>
      <c r="G17" s="74"/>
      <c r="H17" s="75"/>
      <c r="I17" s="75"/>
      <c r="J17" s="75"/>
      <c r="K17" s="75"/>
      <c r="L17" s="66"/>
      <c r="M17" s="66"/>
      <c r="N17" s="66"/>
      <c r="O17" s="66"/>
      <c r="P17" s="66"/>
      <c r="Q17" s="57" t="s">
        <v>264</v>
      </c>
      <c r="R17" s="56" t="s">
        <v>265</v>
      </c>
      <c r="T17" s="56" t="str">
        <f t="shared" si="0"/>
        <v>是以大丈夫居亓厚而不居亓泊
Sî yǐ dâi diông hú gū gí hôo zzí būt gū gí bók</v>
      </c>
    </row>
    <row r="18" spans="1:20" ht="69">
      <c r="A18" s="59"/>
      <c r="B18" s="70"/>
      <c r="C18" s="71"/>
      <c r="D18" s="65"/>
      <c r="E18" s="65"/>
      <c r="F18" s="73"/>
      <c r="G18" s="74"/>
      <c r="H18" s="75"/>
      <c r="I18" s="75"/>
      <c r="J18" s="75"/>
      <c r="K18" s="75"/>
      <c r="L18" s="66"/>
      <c r="M18" s="66"/>
      <c r="N18" s="66"/>
      <c r="O18" s="66"/>
      <c r="P18" s="66"/>
      <c r="Q18" s="57" t="s">
        <v>266</v>
      </c>
      <c r="R18" s="56" t="s">
        <v>267</v>
      </c>
      <c r="T18" s="56" t="str">
        <f t="shared" si="0"/>
        <v>居亓實而不居亓華
Gū gí sít zzí būt gū gí huá</v>
      </c>
    </row>
    <row r="19" spans="1:20" ht="103.5">
      <c r="A19" s="59"/>
      <c r="B19" s="70"/>
      <c r="C19" s="71"/>
      <c r="D19" s="65"/>
      <c r="E19" s="65"/>
      <c r="F19" s="73"/>
      <c r="G19" s="74"/>
      <c r="H19" s="75"/>
      <c r="I19" s="75"/>
      <c r="J19" s="75"/>
      <c r="K19" s="75"/>
      <c r="L19" s="66"/>
      <c r="M19" s="66"/>
      <c r="N19" s="66"/>
      <c r="O19" s="66"/>
      <c r="P19" s="66"/>
      <c r="Q19" s="57" t="s">
        <v>268</v>
      </c>
      <c r="R19" s="56" t="s">
        <v>269</v>
      </c>
      <c r="T19" s="56" t="str">
        <f t="shared" si="0"/>
        <v>故去彼取此有之以為利，無之以為用。
Gòo kù hīt cǔ cǔ yǔ zī yǐ wí lî, bbú zī yǐ wí yông.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9C83-244B-450E-989F-5E05F3CCE6DE}">
  <dimension ref="A1:T9"/>
  <sheetViews>
    <sheetView topLeftCell="A4" workbookViewId="0">
      <selection activeCell="T4" sqref="T4:T8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235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128</v>
      </c>
      <c r="R4" s="82" t="s">
        <v>129</v>
      </c>
      <c r="T4" s="56" t="str">
        <f xml:space="preserve"> _xlfn.CONCAT(Q4, CHAR(10), R4)</f>
        <v>《道德經。第十一章》
Tō tik king. Tē si̍p it tsiong</v>
      </c>
    </row>
    <row r="5" spans="1:20" ht="103.5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166</v>
      </c>
      <c r="R5" s="82" t="s">
        <v>134</v>
      </c>
      <c r="T5" s="56" t="str">
        <f t="shared" ref="T5:T8" si="0" xml:space="preserve"> _xlfn.CONCAT(Q5, CHAR(10), R5)</f>
        <v>三十輻同一轂，當其無，有車之用也。
Sip hok tâng it kok, tong kî bô, íu ku tsi īong ía.</v>
      </c>
    </row>
    <row r="6" spans="1:20" ht="69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139</v>
      </c>
      <c r="R6" s="82" t="s">
        <v>140</v>
      </c>
      <c r="T6" s="56" t="str">
        <f t="shared" si="0"/>
        <v>埏埴為器，當其無，有埴器之用也。
Îan si̍t ûi khì, tong kî bô, íu si̍t khì tsi īong ía.</v>
      </c>
    </row>
    <row r="7" spans="1:20" ht="69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145</v>
      </c>
      <c r="R7" s="82" t="s">
        <v>167</v>
      </c>
      <c r="T7" s="56" t="str">
        <f t="shared" si="0"/>
        <v>鑿戶牖，當其無，有室之用也。
Tsha̍k hōo iú, tong kî bô, íu sik tsi īong ía.</v>
      </c>
    </row>
    <row r="8" spans="1:20" ht="69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150</v>
      </c>
      <c r="R8" s="82" t="s">
        <v>151</v>
      </c>
      <c r="T8" s="56" t="str">
        <f t="shared" si="0"/>
        <v>故有之以為利，無之以為用。
Kòo íu tsi í ûi lī, bô tsi í ûi īong.</v>
      </c>
    </row>
    <row r="9" spans="1:20" ht="24">
      <c r="A9" s="68" t="s">
        <v>152</v>
      </c>
      <c r="B9" s="79" t="s">
        <v>147</v>
      </c>
      <c r="C9" s="71" t="s">
        <v>153</v>
      </c>
      <c r="D9" s="65">
        <v>2</v>
      </c>
      <c r="E9" s="65">
        <v>5</v>
      </c>
      <c r="F9" s="76">
        <v>42000</v>
      </c>
      <c r="G9" s="74">
        <v>47000</v>
      </c>
      <c r="H9" s="77" t="s">
        <v>124</v>
      </c>
      <c r="I9" s="77" t="s">
        <v>124</v>
      </c>
      <c r="J9" s="77" t="s">
        <v>154</v>
      </c>
      <c r="K9" s="77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5"/>
      <c r="R9" s="5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F075-0805-44AD-9480-D7B808C6DF70}">
  <dimension ref="A1:T9"/>
  <sheetViews>
    <sheetView topLeftCell="A3" workbookViewId="0">
      <selection activeCell="T4" sqref="T4:T8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235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128</v>
      </c>
      <c r="R4" s="56" t="s">
        <v>168</v>
      </c>
      <c r="T4" s="56" t="str">
        <f xml:space="preserve"> _xlfn.CONCAT(Q4, CHAR(10), R4)</f>
        <v>《道德經。第十一章》
Dor7 diek4 ging1. De7 ship8 it4 jiong1</v>
      </c>
    </row>
    <row r="5" spans="1:20" ht="103.5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166</v>
      </c>
      <c r="R5" s="56" t="s">
        <v>169</v>
      </c>
      <c r="T5" s="56" t="str">
        <f t="shared" ref="T5:T8" si="0" xml:space="preserve"> _xlfn.CONCAT(Q5, CHAR(10), R5)</f>
        <v>三十輻同一轂，當其無，有車之用也。
Sam1 ship8 hok4 dong5 it4 gok4, dong1 gi5 bbu5, iu2 gu1 ji1 iong7 ia2.</v>
      </c>
    </row>
    <row r="6" spans="1:20" ht="103.5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139</v>
      </c>
      <c r="R6" s="56" t="s">
        <v>170</v>
      </c>
      <c r="T6" s="56" t="str">
        <f t="shared" si="0"/>
        <v>埏埴為器，當其無，有埴器之用也。
Ian5 shit8 ui5 ki3, dong1 gi5 bbu5, iu2 shit8 ki3 ji1 iong7 ia2.</v>
      </c>
    </row>
    <row r="7" spans="1:20" ht="103.5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145</v>
      </c>
      <c r="R7" s="56" t="s">
        <v>171</v>
      </c>
      <c r="T7" s="56" t="str">
        <f t="shared" si="0"/>
        <v>鑿戶牖，當其無，有室之用也。
Cak8 hoo7 iu2, dong1 gi5 bbu5, iu2 shiek4 ji1 iong7 ia2.</v>
      </c>
    </row>
    <row r="8" spans="1:20" ht="69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150</v>
      </c>
      <c r="R8" s="56" t="s">
        <v>172</v>
      </c>
      <c r="T8" s="56" t="str">
        <f t="shared" si="0"/>
        <v>故有之以為利，無之以為用。
Goo3 iu2 ji1 i2 ui5 li7, bbu5 ji1 i2 ui5 iong7.</v>
      </c>
    </row>
    <row r="9" spans="1:20" ht="24">
      <c r="A9" s="68" t="s">
        <v>152</v>
      </c>
      <c r="B9" s="79" t="s">
        <v>147</v>
      </c>
      <c r="C9" s="71" t="s">
        <v>153</v>
      </c>
      <c r="D9" s="65">
        <v>2</v>
      </c>
      <c r="E9" s="65">
        <v>5</v>
      </c>
      <c r="F9" s="76">
        <v>42000</v>
      </c>
      <c r="G9" s="74">
        <v>47000</v>
      </c>
      <c r="H9" s="77" t="s">
        <v>124</v>
      </c>
      <c r="I9" s="77" t="s">
        <v>124</v>
      </c>
      <c r="J9" s="77" t="s">
        <v>154</v>
      </c>
      <c r="K9" s="77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5"/>
      <c r="R9" s="5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229F-C20E-465C-8F87-E4979D03A024}">
  <dimension ref="A1:V2002"/>
  <sheetViews>
    <sheetView showGridLines="0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3" sqref="E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8" t="s">
        <v>106</v>
      </c>
    </row>
    <row r="4" spans="1:22" s="6" customFormat="1" ht="36" customHeight="1">
      <c r="B4" s="16"/>
      <c r="D4" s="46"/>
      <c r="E4" s="46" t="s">
        <v>77</v>
      </c>
      <c r="F4" s="46" t="s">
        <v>79</v>
      </c>
      <c r="G4" s="46" t="s">
        <v>45</v>
      </c>
      <c r="H4" s="46"/>
      <c r="I4" s="46" t="s">
        <v>81</v>
      </c>
      <c r="J4" s="46" t="s">
        <v>42</v>
      </c>
      <c r="K4" s="46" t="s">
        <v>84</v>
      </c>
      <c r="L4" s="46" t="s">
        <v>37</v>
      </c>
      <c r="M4" s="46"/>
      <c r="N4" s="46"/>
      <c r="O4" s="46"/>
      <c r="P4" s="46"/>
      <c r="Q4" s="46"/>
      <c r="R4" s="46"/>
      <c r="S4" s="17"/>
      <c r="V4" s="89"/>
    </row>
    <row r="5" spans="1:22" s="6" customFormat="1" ht="80.099999999999994" customHeight="1">
      <c r="B5" s="18">
        <v>1</v>
      </c>
      <c r="D5" s="36" t="s">
        <v>55</v>
      </c>
      <c r="E5" s="36" t="s">
        <v>56</v>
      </c>
      <c r="F5" s="36" t="s">
        <v>57</v>
      </c>
      <c r="G5" s="36" t="s">
        <v>53</v>
      </c>
      <c r="H5" s="36" t="s">
        <v>19</v>
      </c>
      <c r="I5" s="36" t="s">
        <v>58</v>
      </c>
      <c r="J5" s="36" t="s">
        <v>59</v>
      </c>
      <c r="K5" s="36" t="s">
        <v>60</v>
      </c>
      <c r="L5" s="36" t="s">
        <v>61</v>
      </c>
      <c r="M5" s="36" t="s">
        <v>62</v>
      </c>
      <c r="N5" s="36" t="str">
        <f>CHAR(10)</f>
        <v xml:space="preserve">
</v>
      </c>
      <c r="O5" s="36"/>
      <c r="P5" s="36"/>
      <c r="Q5" s="36"/>
      <c r="R5" s="36"/>
      <c r="S5" s="19"/>
      <c r="V5" s="89"/>
    </row>
    <row r="6" spans="1:22" s="23" customFormat="1" ht="36" customHeight="1">
      <c r="B6" s="20"/>
      <c r="C6" s="21"/>
      <c r="D6" s="49"/>
      <c r="E6" s="49" t="s">
        <v>78</v>
      </c>
      <c r="F6" s="49" t="s">
        <v>80</v>
      </c>
      <c r="G6" s="49" t="s">
        <v>49</v>
      </c>
      <c r="H6" s="49"/>
      <c r="I6" s="49" t="s">
        <v>82</v>
      </c>
      <c r="J6" s="49" t="s">
        <v>83</v>
      </c>
      <c r="K6" s="49" t="s">
        <v>84</v>
      </c>
      <c r="L6" s="49" t="s">
        <v>85</v>
      </c>
      <c r="M6" s="49"/>
      <c r="N6" s="49"/>
      <c r="O6" s="49"/>
      <c r="P6" s="49"/>
      <c r="Q6" s="49"/>
      <c r="R6" s="49"/>
      <c r="S6" s="22"/>
      <c r="V6" s="89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9"/>
    </row>
    <row r="8" spans="1:22" s="6" customFormat="1" ht="36" customHeight="1">
      <c r="B8" s="16"/>
      <c r="D8" s="46" t="s">
        <v>107</v>
      </c>
      <c r="E8" s="46" t="s">
        <v>42</v>
      </c>
      <c r="F8" s="46" t="s">
        <v>86</v>
      </c>
      <c r="G8" s="46" t="s">
        <v>161</v>
      </c>
      <c r="H8" s="46" t="s">
        <v>84</v>
      </c>
      <c r="I8" s="46" t="s">
        <v>87</v>
      </c>
      <c r="J8" s="46"/>
      <c r="K8" s="46" t="s">
        <v>39</v>
      </c>
      <c r="L8" s="46" t="s">
        <v>47</v>
      </c>
      <c r="M8" s="46" t="s">
        <v>163</v>
      </c>
      <c r="N8" s="46"/>
      <c r="O8" s="46" t="s">
        <v>90</v>
      </c>
      <c r="P8" s="46" t="s">
        <v>91</v>
      </c>
      <c r="Q8" s="46" t="s">
        <v>38</v>
      </c>
      <c r="R8" s="46" t="s">
        <v>94</v>
      </c>
      <c r="S8" s="17"/>
      <c r="V8" s="89"/>
    </row>
    <row r="9" spans="1:22" s="6" customFormat="1" ht="80.099999999999994" customHeight="1">
      <c r="B9" s="18">
        <f>B5+1</f>
        <v>2</v>
      </c>
      <c r="D9" s="36" t="s">
        <v>34</v>
      </c>
      <c r="E9" s="36" t="s">
        <v>59</v>
      </c>
      <c r="F9" s="36" t="s">
        <v>63</v>
      </c>
      <c r="G9" s="36" t="s">
        <v>64</v>
      </c>
      <c r="H9" s="36" t="s">
        <v>60</v>
      </c>
      <c r="I9" s="36" t="s">
        <v>65</v>
      </c>
      <c r="J9" s="36" t="s">
        <v>18</v>
      </c>
      <c r="K9" s="36" t="s">
        <v>66</v>
      </c>
      <c r="L9" s="36" t="s">
        <v>30</v>
      </c>
      <c r="M9" s="36" t="s">
        <v>31</v>
      </c>
      <c r="N9" s="36" t="s">
        <v>18</v>
      </c>
      <c r="O9" s="36" t="s">
        <v>33</v>
      </c>
      <c r="P9" s="36" t="s">
        <v>52</v>
      </c>
      <c r="Q9" s="36" t="s">
        <v>32</v>
      </c>
      <c r="R9" s="36" t="s">
        <v>67</v>
      </c>
      <c r="S9" s="19"/>
      <c r="T9" s="15"/>
      <c r="V9" s="89"/>
    </row>
    <row r="10" spans="1:22" s="6" customFormat="1" ht="36" customHeight="1">
      <c r="B10" s="20"/>
      <c r="D10" s="49" t="s">
        <v>107</v>
      </c>
      <c r="E10" s="49" t="s">
        <v>83</v>
      </c>
      <c r="F10" s="49" t="s">
        <v>86</v>
      </c>
      <c r="G10" s="49" t="s">
        <v>162</v>
      </c>
      <c r="H10" s="49" t="s">
        <v>84</v>
      </c>
      <c r="I10" s="49" t="s">
        <v>88</v>
      </c>
      <c r="J10" s="49"/>
      <c r="K10" s="49" t="s">
        <v>89</v>
      </c>
      <c r="L10" s="49" t="s">
        <v>44</v>
      </c>
      <c r="M10" s="49" t="s">
        <v>164</v>
      </c>
      <c r="N10" s="49"/>
      <c r="O10" s="49" t="s">
        <v>90</v>
      </c>
      <c r="P10" s="49" t="s">
        <v>92</v>
      </c>
      <c r="Q10" s="49" t="s">
        <v>93</v>
      </c>
      <c r="R10" s="49" t="s">
        <v>94</v>
      </c>
      <c r="S10" s="28"/>
      <c r="V10" s="89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9"/>
    </row>
    <row r="12" spans="1:22" s="6" customFormat="1" ht="36" customHeight="1">
      <c r="B12" s="16"/>
      <c r="D12" s="46" t="s">
        <v>95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9"/>
    </row>
    <row r="13" spans="1:22" s="6" customFormat="1" ht="80.099999999999994" customHeight="1">
      <c r="B13" s="18">
        <f>B9+1</f>
        <v>3</v>
      </c>
      <c r="D13" s="36" t="s">
        <v>68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9"/>
    </row>
    <row r="14" spans="1:22" s="6" customFormat="1" ht="36" customHeight="1">
      <c r="B14" s="20"/>
      <c r="D14" s="49" t="s">
        <v>95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28"/>
      <c r="V14" s="89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9"/>
    </row>
    <row r="16" spans="1:22" s="6" customFormat="1" ht="36" customHeight="1">
      <c r="B16" s="16"/>
      <c r="D16" s="46" t="s">
        <v>96</v>
      </c>
      <c r="E16" s="46" t="s">
        <v>97</v>
      </c>
      <c r="F16" s="46" t="s">
        <v>41</v>
      </c>
      <c r="G16" s="46" t="s">
        <v>46</v>
      </c>
      <c r="H16" s="46"/>
      <c r="I16" s="46" t="s">
        <v>39</v>
      </c>
      <c r="J16" s="46" t="s">
        <v>47</v>
      </c>
      <c r="K16" s="46" t="s">
        <v>163</v>
      </c>
      <c r="L16" s="46"/>
      <c r="M16" s="46" t="s">
        <v>90</v>
      </c>
      <c r="N16" s="46" t="s">
        <v>97</v>
      </c>
      <c r="O16" s="46" t="s">
        <v>46</v>
      </c>
      <c r="P16" s="46" t="s">
        <v>38</v>
      </c>
      <c r="Q16" s="46" t="s">
        <v>94</v>
      </c>
      <c r="R16" s="46" t="s">
        <v>95</v>
      </c>
      <c r="S16" s="17"/>
      <c r="V16" s="89"/>
    </row>
    <row r="17" spans="2:22" s="6" customFormat="1" ht="80.099999999999994" customHeight="1">
      <c r="B17" s="18">
        <f>B13+1</f>
        <v>4</v>
      </c>
      <c r="D17" s="36" t="s">
        <v>69</v>
      </c>
      <c r="E17" s="36" t="s">
        <v>70</v>
      </c>
      <c r="F17" s="36" t="s">
        <v>36</v>
      </c>
      <c r="G17" s="36" t="s">
        <v>71</v>
      </c>
      <c r="H17" s="36" t="s">
        <v>18</v>
      </c>
      <c r="I17" s="36" t="s">
        <v>66</v>
      </c>
      <c r="J17" s="36" t="s">
        <v>30</v>
      </c>
      <c r="K17" s="36" t="s">
        <v>31</v>
      </c>
      <c r="L17" s="36" t="s">
        <v>18</v>
      </c>
      <c r="M17" s="36" t="s">
        <v>33</v>
      </c>
      <c r="N17" s="36" t="s">
        <v>70</v>
      </c>
      <c r="O17" s="36" t="s">
        <v>71</v>
      </c>
      <c r="P17" s="36" t="s">
        <v>32</v>
      </c>
      <c r="Q17" s="36" t="s">
        <v>67</v>
      </c>
      <c r="R17" s="36" t="s">
        <v>68</v>
      </c>
      <c r="S17" s="19"/>
      <c r="V17" s="89"/>
    </row>
    <row r="18" spans="2:22" s="6" customFormat="1" ht="36" customHeight="1">
      <c r="B18" s="20"/>
      <c r="D18" s="49" t="s">
        <v>96</v>
      </c>
      <c r="E18" s="49" t="s">
        <v>98</v>
      </c>
      <c r="F18" s="49" t="s">
        <v>41</v>
      </c>
      <c r="G18" s="49" t="s">
        <v>43</v>
      </c>
      <c r="H18" s="49"/>
      <c r="I18" s="49" t="s">
        <v>89</v>
      </c>
      <c r="J18" s="49" t="s">
        <v>44</v>
      </c>
      <c r="K18" s="49" t="s">
        <v>164</v>
      </c>
      <c r="L18" s="49"/>
      <c r="M18" s="49" t="s">
        <v>90</v>
      </c>
      <c r="N18" s="49" t="s">
        <v>98</v>
      </c>
      <c r="O18" s="49" t="s">
        <v>43</v>
      </c>
      <c r="P18" s="49" t="s">
        <v>93</v>
      </c>
      <c r="Q18" s="49" t="s">
        <v>94</v>
      </c>
      <c r="R18" s="49" t="s">
        <v>95</v>
      </c>
      <c r="S18" s="28"/>
      <c r="V18" s="89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9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9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9"/>
    </row>
    <row r="22" spans="2:22" s="6" customFormat="1" ht="36" customHeight="1">
      <c r="B22" s="20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28"/>
      <c r="V22" s="89"/>
    </row>
    <row r="23" spans="2:22" s="32" customFormat="1" ht="60" customHeight="1">
      <c r="B23" s="12"/>
      <c r="C23" s="31"/>
      <c r="D23" s="48"/>
      <c r="E23" s="48"/>
      <c r="F23" s="48" t="s">
        <v>90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9"/>
    </row>
    <row r="24" spans="2:22" s="6" customFormat="1" ht="36" customHeight="1">
      <c r="B24" s="16"/>
      <c r="D24" s="46" t="s">
        <v>99</v>
      </c>
      <c r="E24" s="46" t="s">
        <v>100</v>
      </c>
      <c r="F24" s="46" t="s">
        <v>90</v>
      </c>
      <c r="G24" s="46"/>
      <c r="H24" s="46" t="s">
        <v>39</v>
      </c>
      <c r="I24" s="46" t="s">
        <v>47</v>
      </c>
      <c r="J24" s="46" t="s">
        <v>163</v>
      </c>
      <c r="K24" s="46"/>
      <c r="L24" s="46" t="s">
        <v>90</v>
      </c>
      <c r="M24" s="46" t="s">
        <v>101</v>
      </c>
      <c r="N24" s="46" t="s">
        <v>38</v>
      </c>
      <c r="O24" s="46" t="s">
        <v>94</v>
      </c>
      <c r="P24" s="46" t="s">
        <v>95</v>
      </c>
      <c r="Q24" s="46"/>
      <c r="R24" s="46"/>
      <c r="S24" s="17"/>
      <c r="V24" s="89"/>
    </row>
    <row r="25" spans="2:22" s="6" customFormat="1" ht="80.099999999999994" customHeight="1">
      <c r="B25" s="18">
        <f>B21+1</f>
        <v>6</v>
      </c>
      <c r="D25" s="36" t="s">
        <v>72</v>
      </c>
      <c r="E25" s="36" t="s">
        <v>73</v>
      </c>
      <c r="F25" s="36" t="s">
        <v>74</v>
      </c>
      <c r="G25" s="36" t="s">
        <v>18</v>
      </c>
      <c r="H25" s="36" t="s">
        <v>66</v>
      </c>
      <c r="I25" s="36" t="s">
        <v>30</v>
      </c>
      <c r="J25" s="36" t="s">
        <v>31</v>
      </c>
      <c r="K25" s="36" t="s">
        <v>18</v>
      </c>
      <c r="L25" s="36" t="s">
        <v>33</v>
      </c>
      <c r="M25" s="36" t="s">
        <v>50</v>
      </c>
      <c r="N25" s="36" t="s">
        <v>32</v>
      </c>
      <c r="O25" s="36" t="s">
        <v>67</v>
      </c>
      <c r="P25" s="36" t="s">
        <v>68</v>
      </c>
      <c r="Q25" s="36" t="s">
        <v>19</v>
      </c>
      <c r="R25" s="36" t="str">
        <f>CHAR(10)</f>
        <v xml:space="preserve">
</v>
      </c>
      <c r="S25" s="19"/>
      <c r="V25" s="89"/>
    </row>
    <row r="26" spans="2:22" s="6" customFormat="1" ht="36" customHeight="1">
      <c r="B26" s="20"/>
      <c r="D26" s="49" t="s">
        <v>99</v>
      </c>
      <c r="E26" s="49" t="s">
        <v>100</v>
      </c>
      <c r="F26" s="49" t="s">
        <v>90</v>
      </c>
      <c r="G26" s="49"/>
      <c r="H26" s="49" t="s">
        <v>89</v>
      </c>
      <c r="I26" s="49" t="s">
        <v>44</v>
      </c>
      <c r="J26" s="49" t="s">
        <v>164</v>
      </c>
      <c r="K26" s="49"/>
      <c r="L26" s="49" t="s">
        <v>90</v>
      </c>
      <c r="M26" s="49" t="s">
        <v>102</v>
      </c>
      <c r="N26" s="49" t="s">
        <v>93</v>
      </c>
      <c r="O26" s="49" t="s">
        <v>94</v>
      </c>
      <c r="P26" s="49" t="s">
        <v>95</v>
      </c>
      <c r="Q26" s="49"/>
      <c r="R26" s="49"/>
      <c r="S26" s="28"/>
      <c r="V26" s="89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9"/>
    </row>
    <row r="28" spans="2:22" s="6" customFormat="1" ht="36" customHeight="1">
      <c r="B28" s="16"/>
      <c r="D28" s="46" t="s">
        <v>103</v>
      </c>
      <c r="E28" s="46" t="s">
        <v>90</v>
      </c>
      <c r="F28" s="46" t="s">
        <v>38</v>
      </c>
      <c r="G28" s="46" t="s">
        <v>40</v>
      </c>
      <c r="H28" s="46" t="s">
        <v>41</v>
      </c>
      <c r="I28" s="46" t="s">
        <v>105</v>
      </c>
      <c r="J28" s="46"/>
      <c r="K28" s="46" t="s">
        <v>163</v>
      </c>
      <c r="L28" s="46" t="s">
        <v>38</v>
      </c>
      <c r="M28" s="46" t="s">
        <v>40</v>
      </c>
      <c r="N28" s="46" t="s">
        <v>41</v>
      </c>
      <c r="O28" s="46" t="s">
        <v>94</v>
      </c>
      <c r="P28" s="46"/>
      <c r="Q28" s="46"/>
      <c r="R28" s="46"/>
      <c r="S28" s="17"/>
      <c r="U28" s="32" t="str">
        <f t="shared" si="1"/>
        <v/>
      </c>
      <c r="V28" s="89"/>
    </row>
    <row r="29" spans="2:22" s="6" customFormat="1" ht="80.099999999999994" customHeight="1">
      <c r="B29" s="18">
        <f>B25+1</f>
        <v>7</v>
      </c>
      <c r="D29" s="36" t="s">
        <v>75</v>
      </c>
      <c r="E29" s="36" t="s">
        <v>33</v>
      </c>
      <c r="F29" s="36" t="s">
        <v>32</v>
      </c>
      <c r="G29" s="36" t="s">
        <v>35</v>
      </c>
      <c r="H29" s="36" t="s">
        <v>36</v>
      </c>
      <c r="I29" s="36" t="s">
        <v>76</v>
      </c>
      <c r="J29" s="36" t="s">
        <v>18</v>
      </c>
      <c r="K29" s="36" t="s">
        <v>31</v>
      </c>
      <c r="L29" s="36" t="s">
        <v>32</v>
      </c>
      <c r="M29" s="36" t="s">
        <v>35</v>
      </c>
      <c r="N29" s="36" t="s">
        <v>36</v>
      </c>
      <c r="O29" s="36" t="s">
        <v>67</v>
      </c>
      <c r="P29" s="36" t="s">
        <v>165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9"/>
    </row>
    <row r="30" spans="2:22" s="6" customFormat="1" ht="36" customHeight="1">
      <c r="B30" s="20"/>
      <c r="D30" s="49" t="s">
        <v>104</v>
      </c>
      <c r="E30" s="49" t="s">
        <v>90</v>
      </c>
      <c r="F30" s="49" t="s">
        <v>93</v>
      </c>
      <c r="G30" s="49" t="s">
        <v>40</v>
      </c>
      <c r="H30" s="49" t="s">
        <v>41</v>
      </c>
      <c r="I30" s="49" t="s">
        <v>105</v>
      </c>
      <c r="J30" s="49"/>
      <c r="K30" s="49" t="s">
        <v>164</v>
      </c>
      <c r="L30" s="49" t="s">
        <v>93</v>
      </c>
      <c r="M30" s="49" t="s">
        <v>40</v>
      </c>
      <c r="N30" s="49" t="s">
        <v>41</v>
      </c>
      <c r="O30" s="49" t="s">
        <v>94</v>
      </c>
      <c r="P30" s="49"/>
      <c r="Q30" s="49"/>
      <c r="R30" s="49"/>
      <c r="S30" s="28"/>
      <c r="U30" s="32" t="str">
        <f t="shared" si="1"/>
        <v/>
      </c>
      <c r="V30" s="89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9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9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9"/>
    </row>
    <row r="34" spans="2:22" s="6" customFormat="1" ht="36" customHeight="1">
      <c r="B34" s="20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28"/>
      <c r="V34" s="89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9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9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9"/>
    </row>
    <row r="38" spans="2:22" s="6" customFormat="1" ht="36" customHeight="1">
      <c r="B38" s="2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89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9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9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9"/>
    </row>
    <row r="42" spans="2:22" s="6" customFormat="1" ht="36" customHeight="1">
      <c r="B42" s="2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28"/>
      <c r="V42" s="89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9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9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9"/>
    </row>
    <row r="46" spans="2:22" s="6" customFormat="1" ht="36" customHeight="1">
      <c r="B46" s="20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28"/>
      <c r="V46" s="89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9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9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9"/>
    </row>
    <row r="50" spans="2:22" s="6" customFormat="1" ht="36" customHeight="1">
      <c r="B50" s="20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28"/>
      <c r="V50" s="89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9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9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9"/>
    </row>
    <row r="54" spans="2:22" s="6" customFormat="1" ht="36" customHeight="1">
      <c r="B54" s="2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89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9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9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9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89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9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9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9"/>
    </row>
    <row r="62" spans="2:22" s="6" customFormat="1" ht="36" customHeight="1">
      <c r="B62" s="20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28"/>
      <c r="V62" s="89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9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9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9"/>
    </row>
    <row r="66" spans="2:22" s="6" customFormat="1" ht="36" customHeight="1">
      <c r="B66" s="20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28"/>
      <c r="V66" s="89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9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9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9"/>
    </row>
    <row r="70" spans="2:22" s="6" customFormat="1" ht="36" customHeight="1">
      <c r="B70" s="20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28"/>
      <c r="V70" s="89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9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9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9"/>
    </row>
    <row r="74" spans="2:22" s="6" customFormat="1" ht="36" customHeight="1">
      <c r="B74" s="20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28"/>
      <c r="V74" s="89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9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9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9"/>
    </row>
    <row r="78" spans="2:22" s="6" customFormat="1" ht="36" customHeight="1">
      <c r="B78" s="20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28"/>
      <c r="V78" s="89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9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9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9"/>
    </row>
    <row r="82" spans="2:22" s="6" customFormat="1" ht="36" customHeight="1">
      <c r="B82" s="20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28"/>
      <c r="V82" s="90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51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7" priority="1">
      <formula>顯示注音輸入</formula>
    </cfRule>
    <cfRule type="expression" dxfId="6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5" priority="3">
      <formula>顯示注音輸入</formula>
    </cfRule>
    <cfRule type="expression" dxfId="4" priority="4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3" priority="5">
      <formula>顯示注音輸入</formula>
    </cfRule>
    <cfRule type="expression" dxfId="2" priority="6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A4D2-B66E-4C95-83DC-9255BE7A4517}">
  <dimension ref="A1:V2002"/>
  <sheetViews>
    <sheetView showGridLines="0" zoomScale="70" zoomScaleNormal="70" workbookViewId="0">
      <pane xSplit="3" ySplit="1" topLeftCell="D13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8" t="s">
        <v>106</v>
      </c>
    </row>
    <row r="4" spans="1:22" s="6" customFormat="1" ht="36" customHeight="1">
      <c r="B4" s="16"/>
      <c r="D4" s="46"/>
      <c r="E4" s="46" t="s">
        <v>173</v>
      </c>
      <c r="F4" s="46" t="s">
        <v>175</v>
      </c>
      <c r="G4" s="46" t="s">
        <v>177</v>
      </c>
      <c r="H4" s="46"/>
      <c r="I4" s="46" t="s">
        <v>179</v>
      </c>
      <c r="J4" s="46" t="s">
        <v>181</v>
      </c>
      <c r="K4" s="46" t="s">
        <v>183</v>
      </c>
      <c r="L4" s="46" t="s">
        <v>185</v>
      </c>
      <c r="M4" s="46"/>
      <c r="N4" s="46"/>
      <c r="O4" s="46"/>
      <c r="P4" s="46"/>
      <c r="Q4" s="46"/>
      <c r="R4" s="46"/>
      <c r="S4" s="17"/>
      <c r="V4" s="89"/>
    </row>
    <row r="5" spans="1:22" s="6" customFormat="1" ht="80.099999999999994" customHeight="1">
      <c r="B5" s="18">
        <v>1</v>
      </c>
      <c r="D5" s="36" t="s">
        <v>55</v>
      </c>
      <c r="E5" s="36" t="s">
        <v>56</v>
      </c>
      <c r="F5" s="36" t="s">
        <v>57</v>
      </c>
      <c r="G5" s="36" t="s">
        <v>53</v>
      </c>
      <c r="H5" s="36" t="s">
        <v>19</v>
      </c>
      <c r="I5" s="36" t="s">
        <v>58</v>
      </c>
      <c r="J5" s="36" t="s">
        <v>59</v>
      </c>
      <c r="K5" s="36" t="s">
        <v>60</v>
      </c>
      <c r="L5" s="36" t="s">
        <v>61</v>
      </c>
      <c r="M5" s="36" t="s">
        <v>62</v>
      </c>
      <c r="N5" s="36" t="str">
        <f>CHAR(10)</f>
        <v xml:space="preserve">
</v>
      </c>
      <c r="O5" s="36"/>
      <c r="P5" s="36"/>
      <c r="Q5" s="36"/>
      <c r="R5" s="36"/>
      <c r="S5" s="19"/>
      <c r="V5" s="89"/>
    </row>
    <row r="6" spans="1:22" s="23" customFormat="1" ht="36" customHeight="1">
      <c r="B6" s="20"/>
      <c r="C6" s="21"/>
      <c r="D6" s="81"/>
      <c r="E6" s="81" t="s">
        <v>174</v>
      </c>
      <c r="F6" s="81" t="s">
        <v>176</v>
      </c>
      <c r="G6" s="81" t="s">
        <v>178</v>
      </c>
      <c r="H6" s="81"/>
      <c r="I6" s="81" t="s">
        <v>180</v>
      </c>
      <c r="J6" s="81" t="s">
        <v>182</v>
      </c>
      <c r="K6" s="81" t="s">
        <v>184</v>
      </c>
      <c r="L6" s="81" t="s">
        <v>186</v>
      </c>
      <c r="M6" s="81"/>
      <c r="N6" s="81"/>
      <c r="O6" s="81"/>
      <c r="P6" s="81"/>
      <c r="Q6" s="81"/>
      <c r="R6" s="81"/>
      <c r="S6" s="22"/>
      <c r="V6" s="89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9"/>
    </row>
    <row r="8" spans="1:22" s="6" customFormat="1" ht="36" customHeight="1">
      <c r="B8" s="16"/>
      <c r="D8" s="46" t="s">
        <v>187</v>
      </c>
      <c r="E8" s="46" t="s">
        <v>181</v>
      </c>
      <c r="F8" s="46" t="s">
        <v>189</v>
      </c>
      <c r="G8" s="46" t="s">
        <v>161</v>
      </c>
      <c r="H8" s="46" t="s">
        <v>183</v>
      </c>
      <c r="I8" s="46" t="s">
        <v>192</v>
      </c>
      <c r="J8" s="46"/>
      <c r="K8" s="46" t="s">
        <v>194</v>
      </c>
      <c r="L8" s="46" t="s">
        <v>196</v>
      </c>
      <c r="M8" s="46" t="s">
        <v>163</v>
      </c>
      <c r="N8" s="46"/>
      <c r="O8" s="46" t="s">
        <v>199</v>
      </c>
      <c r="P8" s="46" t="s">
        <v>201</v>
      </c>
      <c r="Q8" s="46" t="s">
        <v>203</v>
      </c>
      <c r="R8" s="46" t="s">
        <v>205</v>
      </c>
      <c r="S8" s="17"/>
      <c r="V8" s="89"/>
    </row>
    <row r="9" spans="1:22" s="6" customFormat="1" ht="80.099999999999994" customHeight="1">
      <c r="B9" s="18">
        <f>B5+1</f>
        <v>2</v>
      </c>
      <c r="D9" s="36" t="s">
        <v>34</v>
      </c>
      <c r="E9" s="36" t="s">
        <v>59</v>
      </c>
      <c r="F9" s="36" t="s">
        <v>63</v>
      </c>
      <c r="G9" s="36" t="s">
        <v>64</v>
      </c>
      <c r="H9" s="36" t="s">
        <v>60</v>
      </c>
      <c r="I9" s="36" t="s">
        <v>65</v>
      </c>
      <c r="J9" s="36" t="s">
        <v>18</v>
      </c>
      <c r="K9" s="36" t="s">
        <v>66</v>
      </c>
      <c r="L9" s="36" t="s">
        <v>30</v>
      </c>
      <c r="M9" s="36" t="s">
        <v>31</v>
      </c>
      <c r="N9" s="36" t="s">
        <v>18</v>
      </c>
      <c r="O9" s="36" t="s">
        <v>33</v>
      </c>
      <c r="P9" s="36" t="s">
        <v>52</v>
      </c>
      <c r="Q9" s="36" t="s">
        <v>32</v>
      </c>
      <c r="R9" s="36" t="s">
        <v>67</v>
      </c>
      <c r="S9" s="19"/>
      <c r="T9" s="15"/>
      <c r="V9" s="89"/>
    </row>
    <row r="10" spans="1:22" s="6" customFormat="1" ht="36" customHeight="1">
      <c r="B10" s="20"/>
      <c r="D10" s="81" t="s">
        <v>188</v>
      </c>
      <c r="E10" s="81" t="s">
        <v>182</v>
      </c>
      <c r="F10" s="81" t="s">
        <v>190</v>
      </c>
      <c r="G10" s="81" t="s">
        <v>191</v>
      </c>
      <c r="H10" s="81" t="s">
        <v>184</v>
      </c>
      <c r="I10" s="81" t="s">
        <v>193</v>
      </c>
      <c r="J10" s="81"/>
      <c r="K10" s="81" t="s">
        <v>195</v>
      </c>
      <c r="L10" s="81" t="s">
        <v>197</v>
      </c>
      <c r="M10" s="81" t="s">
        <v>198</v>
      </c>
      <c r="N10" s="81"/>
      <c r="O10" s="81" t="s">
        <v>200</v>
      </c>
      <c r="P10" s="81" t="s">
        <v>202</v>
      </c>
      <c r="Q10" s="81" t="s">
        <v>204</v>
      </c>
      <c r="R10" s="81" t="s">
        <v>206</v>
      </c>
      <c r="S10" s="28"/>
      <c r="V10" s="89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9"/>
    </row>
    <row r="12" spans="1:22" s="6" customFormat="1" ht="36" customHeight="1">
      <c r="B12" s="16"/>
      <c r="D12" s="46" t="s">
        <v>207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9"/>
    </row>
    <row r="13" spans="1:22" s="6" customFormat="1" ht="80.099999999999994" customHeight="1">
      <c r="B13" s="18">
        <f>B9+1</f>
        <v>3</v>
      </c>
      <c r="D13" s="36" t="s">
        <v>68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9"/>
    </row>
    <row r="14" spans="1:22" s="6" customFormat="1" ht="36" customHeight="1">
      <c r="B14" s="20"/>
      <c r="D14" s="81" t="s">
        <v>208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28"/>
      <c r="V14" s="89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9"/>
    </row>
    <row r="16" spans="1:22" s="6" customFormat="1" ht="36" customHeight="1">
      <c r="B16" s="16"/>
      <c r="D16" s="46" t="s">
        <v>209</v>
      </c>
      <c r="E16" s="46" t="s">
        <v>211</v>
      </c>
      <c r="F16" s="46" t="s">
        <v>213</v>
      </c>
      <c r="G16" s="46" t="s">
        <v>215</v>
      </c>
      <c r="H16" s="46"/>
      <c r="I16" s="46" t="s">
        <v>194</v>
      </c>
      <c r="J16" s="46" t="s">
        <v>196</v>
      </c>
      <c r="K16" s="46" t="s">
        <v>163</v>
      </c>
      <c r="L16" s="46"/>
      <c r="M16" s="46" t="s">
        <v>199</v>
      </c>
      <c r="N16" s="46" t="s">
        <v>211</v>
      </c>
      <c r="O16" s="46" t="s">
        <v>215</v>
      </c>
      <c r="P16" s="46" t="s">
        <v>203</v>
      </c>
      <c r="Q16" s="46" t="s">
        <v>205</v>
      </c>
      <c r="R16" s="46" t="s">
        <v>207</v>
      </c>
      <c r="S16" s="17"/>
      <c r="V16" s="89"/>
    </row>
    <row r="17" spans="2:22" s="6" customFormat="1" ht="80.099999999999994" customHeight="1">
      <c r="B17" s="18">
        <f>B13+1</f>
        <v>4</v>
      </c>
      <c r="D17" s="36" t="s">
        <v>69</v>
      </c>
      <c r="E17" s="36" t="s">
        <v>70</v>
      </c>
      <c r="F17" s="36" t="s">
        <v>36</v>
      </c>
      <c r="G17" s="36" t="s">
        <v>71</v>
      </c>
      <c r="H17" s="36" t="s">
        <v>18</v>
      </c>
      <c r="I17" s="36" t="s">
        <v>66</v>
      </c>
      <c r="J17" s="36" t="s">
        <v>30</v>
      </c>
      <c r="K17" s="36" t="s">
        <v>31</v>
      </c>
      <c r="L17" s="36" t="s">
        <v>18</v>
      </c>
      <c r="M17" s="36" t="s">
        <v>33</v>
      </c>
      <c r="N17" s="36" t="s">
        <v>70</v>
      </c>
      <c r="O17" s="36" t="s">
        <v>71</v>
      </c>
      <c r="P17" s="36" t="s">
        <v>32</v>
      </c>
      <c r="Q17" s="36" t="s">
        <v>67</v>
      </c>
      <c r="R17" s="36" t="s">
        <v>68</v>
      </c>
      <c r="S17" s="19"/>
      <c r="V17" s="89"/>
    </row>
    <row r="18" spans="2:22" s="6" customFormat="1" ht="36" customHeight="1">
      <c r="B18" s="20"/>
      <c r="D18" s="81" t="s">
        <v>210</v>
      </c>
      <c r="E18" s="81" t="s">
        <v>212</v>
      </c>
      <c r="F18" s="81" t="s">
        <v>214</v>
      </c>
      <c r="G18" s="81" t="s">
        <v>216</v>
      </c>
      <c r="H18" s="81"/>
      <c r="I18" s="81" t="s">
        <v>195</v>
      </c>
      <c r="J18" s="81" t="s">
        <v>197</v>
      </c>
      <c r="K18" s="81" t="s">
        <v>198</v>
      </c>
      <c r="L18" s="81"/>
      <c r="M18" s="81" t="s">
        <v>200</v>
      </c>
      <c r="N18" s="81" t="s">
        <v>212</v>
      </c>
      <c r="O18" s="81" t="s">
        <v>216</v>
      </c>
      <c r="P18" s="81" t="s">
        <v>204</v>
      </c>
      <c r="Q18" s="81" t="s">
        <v>206</v>
      </c>
      <c r="R18" s="81" t="s">
        <v>208</v>
      </c>
      <c r="S18" s="28"/>
      <c r="V18" s="89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9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9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9"/>
    </row>
    <row r="22" spans="2:22" s="6" customFormat="1" ht="36" customHeight="1">
      <c r="B22" s="2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28"/>
      <c r="V22" s="89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9"/>
    </row>
    <row r="24" spans="2:22" s="6" customFormat="1" ht="36" customHeight="1">
      <c r="B24" s="16"/>
      <c r="D24" s="46" t="s">
        <v>217</v>
      </c>
      <c r="E24" s="46" t="s">
        <v>219</v>
      </c>
      <c r="F24" s="46" t="s">
        <v>199</v>
      </c>
      <c r="G24" s="46"/>
      <c r="H24" s="46" t="s">
        <v>194</v>
      </c>
      <c r="I24" s="46" t="s">
        <v>196</v>
      </c>
      <c r="J24" s="46" t="s">
        <v>163</v>
      </c>
      <c r="K24" s="46"/>
      <c r="L24" s="46" t="s">
        <v>199</v>
      </c>
      <c r="M24" s="46" t="s">
        <v>221</v>
      </c>
      <c r="N24" s="46" t="s">
        <v>203</v>
      </c>
      <c r="O24" s="46" t="s">
        <v>205</v>
      </c>
      <c r="P24" s="46" t="s">
        <v>207</v>
      </c>
      <c r="Q24" s="46"/>
      <c r="R24" s="46"/>
      <c r="S24" s="17"/>
      <c r="V24" s="89"/>
    </row>
    <row r="25" spans="2:22" s="6" customFormat="1" ht="80.099999999999994" customHeight="1">
      <c r="B25" s="18">
        <f>B21+1</f>
        <v>6</v>
      </c>
      <c r="D25" s="36" t="s">
        <v>72</v>
      </c>
      <c r="E25" s="36" t="s">
        <v>73</v>
      </c>
      <c r="F25" s="36" t="s">
        <v>74</v>
      </c>
      <c r="G25" s="36" t="s">
        <v>18</v>
      </c>
      <c r="H25" s="36" t="s">
        <v>66</v>
      </c>
      <c r="I25" s="36" t="s">
        <v>30</v>
      </c>
      <c r="J25" s="36" t="s">
        <v>31</v>
      </c>
      <c r="K25" s="36" t="s">
        <v>18</v>
      </c>
      <c r="L25" s="36" t="s">
        <v>33</v>
      </c>
      <c r="M25" s="36" t="s">
        <v>50</v>
      </c>
      <c r="N25" s="36" t="s">
        <v>32</v>
      </c>
      <c r="O25" s="36" t="s">
        <v>67</v>
      </c>
      <c r="P25" s="36" t="s">
        <v>68</v>
      </c>
      <c r="Q25" s="36" t="s">
        <v>19</v>
      </c>
      <c r="R25" s="36" t="str">
        <f>CHAR(10)</f>
        <v xml:space="preserve">
</v>
      </c>
      <c r="S25" s="19"/>
      <c r="V25" s="89"/>
    </row>
    <row r="26" spans="2:22" s="6" customFormat="1" ht="36" customHeight="1">
      <c r="B26" s="20"/>
      <c r="D26" s="81" t="s">
        <v>218</v>
      </c>
      <c r="E26" s="81" t="s">
        <v>220</v>
      </c>
      <c r="F26" s="81" t="s">
        <v>200</v>
      </c>
      <c r="G26" s="81"/>
      <c r="H26" s="81" t="s">
        <v>195</v>
      </c>
      <c r="I26" s="81" t="s">
        <v>197</v>
      </c>
      <c r="J26" s="81" t="s">
        <v>198</v>
      </c>
      <c r="K26" s="81"/>
      <c r="L26" s="81" t="s">
        <v>200</v>
      </c>
      <c r="M26" s="81" t="s">
        <v>222</v>
      </c>
      <c r="N26" s="81" t="s">
        <v>204</v>
      </c>
      <c r="O26" s="81" t="s">
        <v>206</v>
      </c>
      <c r="P26" s="81" t="s">
        <v>208</v>
      </c>
      <c r="Q26" s="81"/>
      <c r="R26" s="81"/>
      <c r="S26" s="28"/>
      <c r="V26" s="89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9"/>
    </row>
    <row r="28" spans="2:22" s="6" customFormat="1" ht="36" customHeight="1">
      <c r="B28" s="16"/>
      <c r="D28" s="46" t="s">
        <v>223</v>
      </c>
      <c r="E28" s="46" t="s">
        <v>199</v>
      </c>
      <c r="F28" s="46" t="s">
        <v>203</v>
      </c>
      <c r="G28" s="46" t="s">
        <v>225</v>
      </c>
      <c r="H28" s="46" t="s">
        <v>213</v>
      </c>
      <c r="I28" s="46" t="s">
        <v>227</v>
      </c>
      <c r="J28" s="46"/>
      <c r="K28" s="46" t="s">
        <v>163</v>
      </c>
      <c r="L28" s="46" t="s">
        <v>203</v>
      </c>
      <c r="M28" s="46" t="s">
        <v>225</v>
      </c>
      <c r="N28" s="46" t="s">
        <v>213</v>
      </c>
      <c r="O28" s="46" t="s">
        <v>205</v>
      </c>
      <c r="P28" s="46"/>
      <c r="Q28" s="46"/>
      <c r="R28" s="46"/>
      <c r="S28" s="17"/>
      <c r="U28" s="32" t="str">
        <f t="shared" si="1"/>
        <v/>
      </c>
      <c r="V28" s="89"/>
    </row>
    <row r="29" spans="2:22" s="6" customFormat="1" ht="80.099999999999994" customHeight="1">
      <c r="B29" s="18">
        <f>B25+1</f>
        <v>7</v>
      </c>
      <c r="D29" s="36" t="s">
        <v>75</v>
      </c>
      <c r="E29" s="36" t="s">
        <v>33</v>
      </c>
      <c r="F29" s="36" t="s">
        <v>32</v>
      </c>
      <c r="G29" s="36" t="s">
        <v>35</v>
      </c>
      <c r="H29" s="36" t="s">
        <v>36</v>
      </c>
      <c r="I29" s="36" t="s">
        <v>76</v>
      </c>
      <c r="J29" s="36" t="s">
        <v>18</v>
      </c>
      <c r="K29" s="36" t="s">
        <v>31</v>
      </c>
      <c r="L29" s="36" t="s">
        <v>32</v>
      </c>
      <c r="M29" s="36" t="s">
        <v>35</v>
      </c>
      <c r="N29" s="36" t="s">
        <v>36</v>
      </c>
      <c r="O29" s="36" t="s">
        <v>67</v>
      </c>
      <c r="P29" s="36" t="s">
        <v>165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9"/>
    </row>
    <row r="30" spans="2:22" s="6" customFormat="1" ht="36" customHeight="1">
      <c r="B30" s="20"/>
      <c r="D30" s="81" t="s">
        <v>224</v>
      </c>
      <c r="E30" s="81" t="s">
        <v>200</v>
      </c>
      <c r="F30" s="81" t="s">
        <v>204</v>
      </c>
      <c r="G30" s="81" t="s">
        <v>226</v>
      </c>
      <c r="H30" s="81" t="s">
        <v>214</v>
      </c>
      <c r="I30" s="81" t="s">
        <v>228</v>
      </c>
      <c r="J30" s="81"/>
      <c r="K30" s="81" t="s">
        <v>198</v>
      </c>
      <c r="L30" s="81" t="s">
        <v>204</v>
      </c>
      <c r="M30" s="81" t="s">
        <v>226</v>
      </c>
      <c r="N30" s="81" t="s">
        <v>214</v>
      </c>
      <c r="O30" s="81" t="s">
        <v>206</v>
      </c>
      <c r="P30" s="81"/>
      <c r="Q30" s="81"/>
      <c r="R30" s="81"/>
      <c r="S30" s="28"/>
      <c r="U30" s="32" t="str">
        <f t="shared" si="1"/>
        <v/>
      </c>
      <c r="V30" s="89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9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9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9"/>
    </row>
    <row r="34" spans="2:22" s="6" customFormat="1" ht="36" customHeight="1">
      <c r="B34" s="20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28"/>
      <c r="V34" s="89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9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9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9"/>
    </row>
    <row r="38" spans="2:22" s="6" customFormat="1" ht="36" customHeight="1">
      <c r="B38" s="20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28"/>
      <c r="V38" s="89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9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9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9"/>
    </row>
    <row r="42" spans="2:22" s="6" customFormat="1" ht="36" customHeight="1">
      <c r="B42" s="2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28"/>
      <c r="V42" s="89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9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9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9"/>
    </row>
    <row r="46" spans="2:22" s="6" customFormat="1" ht="36" customHeight="1">
      <c r="B46" s="20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28"/>
      <c r="V46" s="89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9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9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9"/>
    </row>
    <row r="50" spans="2:22" s="6" customFormat="1" ht="36" customHeight="1">
      <c r="B50" s="20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28"/>
      <c r="V50" s="89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9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9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9"/>
    </row>
    <row r="54" spans="2:22" s="6" customFormat="1" ht="36" customHeight="1">
      <c r="B54" s="20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28"/>
      <c r="V54" s="89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9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9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9"/>
    </row>
    <row r="58" spans="2:22" s="6" customFormat="1" ht="36" customHeight="1">
      <c r="B58" s="20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28"/>
      <c r="V58" s="89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9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9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9"/>
    </row>
    <row r="62" spans="2:22" s="6" customFormat="1" ht="36" customHeight="1">
      <c r="B62" s="20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28"/>
      <c r="V62" s="89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9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9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9"/>
    </row>
    <row r="66" spans="2:22" s="6" customFormat="1" ht="36" customHeight="1">
      <c r="B66" s="20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28"/>
      <c r="V66" s="89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9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9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9"/>
    </row>
    <row r="70" spans="2:22" s="6" customFormat="1" ht="36" customHeight="1">
      <c r="B70" s="20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28"/>
      <c r="V70" s="89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9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9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9"/>
    </row>
    <row r="74" spans="2:22" s="6" customFormat="1" ht="36" customHeight="1">
      <c r="B74" s="20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28"/>
      <c r="V74" s="89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9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9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9"/>
    </row>
    <row r="78" spans="2:22" s="6" customFormat="1" ht="36" customHeight="1">
      <c r="B78" s="2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28"/>
      <c r="V78" s="89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9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9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9"/>
    </row>
    <row r="82" spans="2:22" s="6" customFormat="1" ht="36" customHeight="1">
      <c r="B82" s="20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28"/>
      <c r="V82" s="90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81"/>
      <c r="E1430" s="81"/>
      <c r="F1430" s="81"/>
      <c r="G1430" s="81"/>
      <c r="H1430" s="81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81"/>
      <c r="E1434" s="81"/>
      <c r="F1434" s="81"/>
      <c r="G1434" s="81"/>
      <c r="H1434" s="81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81"/>
      <c r="E1438" s="81"/>
      <c r="F1438" s="81"/>
      <c r="G1438" s="81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1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81"/>
      <c r="E1442" s="81"/>
      <c r="F1442" s="81"/>
      <c r="G1442" s="81"/>
      <c r="H1442" s="81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81"/>
      <c r="E1450" s="81"/>
      <c r="F1450" s="81"/>
      <c r="G1450" s="81"/>
      <c r="H1450" s="81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81"/>
      <c r="E1478" s="81"/>
      <c r="F1478" s="81"/>
      <c r="G1478" s="81"/>
      <c r="H1478" s="81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81"/>
      <c r="E1482" s="81"/>
      <c r="F1482" s="81"/>
      <c r="G1482" s="81"/>
      <c r="H1482" s="81"/>
      <c r="I1482" s="81"/>
      <c r="J1482" s="81"/>
      <c r="K1482" s="81"/>
      <c r="L1482" s="81"/>
      <c r="M1482" s="81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81"/>
      <c r="E1486" s="81"/>
      <c r="F1486" s="81"/>
      <c r="G1486" s="81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81"/>
      <c r="E1490" s="81"/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81"/>
      <c r="E1494" s="81"/>
      <c r="F1494" s="81"/>
      <c r="G1494" s="81"/>
      <c r="H1494" s="81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81"/>
      <c r="E1522" s="81"/>
      <c r="F1522" s="81"/>
      <c r="G1522" s="81"/>
      <c r="H1522" s="81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81"/>
      <c r="E1526" s="81"/>
      <c r="F1526" s="81"/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81"/>
      <c r="E1530" s="81"/>
      <c r="F1530" s="81"/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81"/>
      <c r="E1534" s="81"/>
      <c r="F1534" s="81"/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81"/>
      <c r="E1538" s="81"/>
      <c r="F1538" s="81"/>
      <c r="G1538" s="81"/>
      <c r="H1538" s="81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81"/>
      <c r="E1542" s="81"/>
      <c r="F1542" s="81"/>
      <c r="G1542" s="81"/>
      <c r="H1542" s="81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81"/>
      <c r="E1570" s="81"/>
      <c r="F1570" s="81"/>
      <c r="G1570" s="81"/>
      <c r="H1570" s="81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81"/>
      <c r="E1574" s="81"/>
      <c r="F1574" s="81"/>
      <c r="G1574" s="81"/>
      <c r="H1574" s="81"/>
      <c r="I1574" s="81"/>
      <c r="J1574" s="81"/>
      <c r="K1574" s="81"/>
      <c r="L1574" s="81"/>
      <c r="M1574" s="81"/>
      <c r="N1574" s="81"/>
      <c r="O1574" s="81"/>
      <c r="P1574" s="81"/>
      <c r="Q1574" s="81"/>
      <c r="R1574" s="81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81"/>
      <c r="E1578" s="81"/>
      <c r="F1578" s="81"/>
      <c r="G1578" s="81"/>
      <c r="H1578" s="81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81"/>
      <c r="E1582" s="81"/>
      <c r="F1582" s="81"/>
      <c r="G1582" s="81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81"/>
      <c r="E1586" s="81"/>
      <c r="F1586" s="81"/>
      <c r="G1586" s="81"/>
      <c r="H1586" s="81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81"/>
      <c r="E1614" s="81"/>
      <c r="F1614" s="81"/>
      <c r="G1614" s="81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81"/>
      <c r="E1618" s="81"/>
      <c r="F1618" s="81"/>
      <c r="G1618" s="81"/>
      <c r="H1618" s="81"/>
      <c r="I1618" s="81"/>
      <c r="J1618" s="81"/>
      <c r="K1618" s="81"/>
      <c r="L1618" s="81"/>
      <c r="M1618" s="81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81"/>
      <c r="E1622" s="81"/>
      <c r="F1622" s="81"/>
      <c r="G1622" s="81"/>
      <c r="H1622" s="81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81"/>
      <c r="E1626" s="81"/>
      <c r="F1626" s="81"/>
      <c r="G1626" s="81"/>
      <c r="H1626" s="81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81"/>
      <c r="E1634" s="81"/>
      <c r="F1634" s="81"/>
      <c r="G1634" s="81"/>
      <c r="H1634" s="81"/>
      <c r="I1634" s="81"/>
      <c r="J1634" s="81"/>
      <c r="K1634" s="81"/>
      <c r="L1634" s="81"/>
      <c r="M1634" s="81"/>
      <c r="N1634" s="81"/>
      <c r="O1634" s="81"/>
      <c r="P1634" s="81"/>
      <c r="Q1634" s="81"/>
      <c r="R1634" s="81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81"/>
      <c r="E1662" s="81"/>
      <c r="F1662" s="81"/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81"/>
      <c r="E1666" s="81"/>
      <c r="F1666" s="81"/>
      <c r="G1666" s="81"/>
      <c r="H1666" s="81"/>
      <c r="I1666" s="81"/>
      <c r="J1666" s="81"/>
      <c r="K1666" s="81"/>
      <c r="L1666" s="81"/>
      <c r="M1666" s="81"/>
      <c r="N1666" s="81"/>
      <c r="O1666" s="81"/>
      <c r="P1666" s="81"/>
      <c r="Q1666" s="81"/>
      <c r="R1666" s="81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81"/>
      <c r="E1670" s="81"/>
      <c r="F1670" s="81"/>
      <c r="G1670" s="81"/>
      <c r="H1670" s="81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81"/>
      <c r="E1674" s="81"/>
      <c r="F1674" s="81"/>
      <c r="G1674" s="81"/>
      <c r="H1674" s="81"/>
      <c r="I1674" s="81"/>
      <c r="J1674" s="81"/>
      <c r="K1674" s="81"/>
      <c r="L1674" s="81"/>
      <c r="M1674" s="81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81"/>
      <c r="E1678" s="81"/>
      <c r="F1678" s="81"/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81"/>
      <c r="E1706" s="81"/>
      <c r="F1706" s="81"/>
      <c r="G1706" s="81"/>
      <c r="H1706" s="81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81"/>
      <c r="E1710" s="81"/>
      <c r="F1710" s="81"/>
      <c r="G1710" s="81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81"/>
      <c r="E1714" s="81"/>
      <c r="F1714" s="81"/>
      <c r="G1714" s="81"/>
      <c r="H1714" s="81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81"/>
      <c r="E1718" s="81"/>
      <c r="F1718" s="81"/>
      <c r="G1718" s="81"/>
      <c r="H1718" s="81"/>
      <c r="I1718" s="81"/>
      <c r="J1718" s="81"/>
      <c r="K1718" s="81"/>
      <c r="L1718" s="81"/>
      <c r="M1718" s="81"/>
      <c r="N1718" s="81"/>
      <c r="O1718" s="81"/>
      <c r="P1718" s="81"/>
      <c r="Q1718" s="81"/>
      <c r="R1718" s="81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81"/>
      <c r="E1722" s="81"/>
      <c r="F1722" s="81"/>
      <c r="G1722" s="81"/>
      <c r="H1722" s="81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81"/>
      <c r="E1726" s="81"/>
      <c r="F1726" s="81"/>
      <c r="G1726" s="81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81"/>
      <c r="E1754" s="81"/>
      <c r="F1754" s="81"/>
      <c r="G1754" s="81"/>
      <c r="H1754" s="81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81"/>
      <c r="E1758" s="81"/>
      <c r="F1758" s="81"/>
      <c r="G1758" s="81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81"/>
      <c r="E1762" s="81"/>
      <c r="F1762" s="81"/>
      <c r="G1762" s="81"/>
      <c r="H1762" s="81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81"/>
      <c r="E1766" s="81"/>
      <c r="F1766" s="81"/>
      <c r="G1766" s="81"/>
      <c r="H1766" s="81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81"/>
      <c r="E1770" s="81"/>
      <c r="F1770" s="81"/>
      <c r="G1770" s="81"/>
      <c r="H1770" s="81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81"/>
      <c r="E1798" s="81"/>
      <c r="F1798" s="81"/>
      <c r="G1798" s="81"/>
      <c r="H1798" s="81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81"/>
      <c r="E1802" s="81"/>
      <c r="F1802" s="81"/>
      <c r="G1802" s="81"/>
      <c r="H1802" s="81"/>
      <c r="I1802" s="81"/>
      <c r="J1802" s="81"/>
      <c r="K1802" s="81"/>
      <c r="L1802" s="81"/>
      <c r="M1802" s="81"/>
      <c r="N1802" s="81"/>
      <c r="O1802" s="81"/>
      <c r="P1802" s="81"/>
      <c r="Q1802" s="81"/>
      <c r="R1802" s="81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81"/>
      <c r="E1810" s="81"/>
      <c r="F1810" s="81"/>
      <c r="G1810" s="81"/>
      <c r="H1810" s="81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81"/>
      <c r="E1814" s="81"/>
      <c r="F1814" s="81"/>
      <c r="G1814" s="81"/>
      <c r="H1814" s="81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81"/>
      <c r="E1818" s="81"/>
      <c r="F1818" s="81"/>
      <c r="G1818" s="81"/>
      <c r="H1818" s="81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81"/>
      <c r="E1846" s="81"/>
      <c r="F1846" s="81"/>
      <c r="G1846" s="81"/>
      <c r="H1846" s="81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81"/>
      <c r="E1850" s="81"/>
      <c r="F1850" s="81"/>
      <c r="G1850" s="81"/>
      <c r="H1850" s="81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81"/>
      <c r="E1854" s="81"/>
      <c r="F1854" s="81"/>
      <c r="G1854" s="81"/>
      <c r="H1854" s="81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81"/>
      <c r="E1858" s="81"/>
      <c r="F1858" s="81"/>
      <c r="G1858" s="81"/>
      <c r="H1858" s="81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81"/>
      <c r="E1862" s="81"/>
      <c r="F1862" s="81"/>
      <c r="G1862" s="81"/>
      <c r="H1862" s="81"/>
      <c r="I1862" s="81"/>
      <c r="J1862" s="81"/>
      <c r="K1862" s="81"/>
      <c r="L1862" s="81"/>
      <c r="M1862" s="81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22</vt:i4>
      </vt:variant>
    </vt:vector>
  </HeadingPairs>
  <TitlesOfParts>
    <vt:vector size="34" baseType="lpstr">
      <vt:lpstr>env</vt:lpstr>
      <vt:lpstr>操作表</vt:lpstr>
      <vt:lpstr>缺字表</vt:lpstr>
      <vt:lpstr>標音字庫</vt:lpstr>
      <vt:lpstr>人工標音字庫</vt:lpstr>
      <vt:lpstr>漢字注音</vt:lpstr>
      <vt:lpstr>SRT漢字注音</vt:lpstr>
      <vt:lpstr>SRT漢字注音 (2)</vt:lpstr>
      <vt:lpstr>SRT漢字注音（台羅拼音）</vt:lpstr>
      <vt:lpstr>SRT漢字注音（台語注音二式）</vt:lpstr>
      <vt:lpstr>漢字注音（台語注音二式）</vt:lpstr>
      <vt:lpstr>漢字注音（台羅拼音）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'漢字注音（台語注音二式）'!覩9</vt:lpstr>
      <vt:lpstr>'漢字注音（台羅拼音）'!覩9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2026-10-19T06:00:40Z</dcterms:modified>
</cp:coreProperties>
</file>