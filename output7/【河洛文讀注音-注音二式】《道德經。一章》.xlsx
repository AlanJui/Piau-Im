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13_ncr:1_{07F3EA64-F13B-4B55-96BB-17654555C37C}" xr6:coauthVersionLast="47" xr6:coauthVersionMax="47" xr10:uidLastSave="{00000000-0000-0000-0000-000000000000}"/>
  <bookViews>
    <workbookView xWindow="28680" yWindow="-120" windowWidth="38640" windowHeight="15720" activeTab="3" xr2:uid="{25A76161-EFED-4AC8-8EAA-A42737AE1909}"/>
  </bookViews>
  <sheets>
    <sheet name="缺字表" sheetId="216" r:id="rId1"/>
    <sheet name="標音字庫" sheetId="215" r:id="rId2"/>
    <sheet name="人工標音字庫" sheetId="214" r:id="rId3"/>
    <sheet name="env" sheetId="8" r:id="rId4"/>
    <sheet name="操作表" sheetId="190" r:id="rId5"/>
    <sheet name="漢字注音" sheetId="9" r:id="rId6"/>
    <sheet name="SRT漢字注音" sheetId="189" r:id="rId7"/>
    <sheet name="SRT漢字注音 (2)" sheetId="210" r:id="rId8"/>
    <sheet name="SRT漢字注音（台語注音二式）" sheetId="193" r:id="rId9"/>
    <sheet name="漢字注音（台語注音二式）" sheetId="192" r:id="rId10"/>
    <sheet name="漢字注音（台羅拼音）" sheetId="200" r:id="rId11"/>
    <sheet name="SRT漢字注音（台羅拼音）" sheetId="191" r:id="rId12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9">'漢字注音（台語注音二式）'!$A$5</definedName>
    <definedName name="覩9" localSheetId="10">'漢字注音（台羅拼音）'!$A$5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189" l="1"/>
  <c r="N37" i="9"/>
  <c r="L29" i="9"/>
  <c r="I21" i="9"/>
  <c r="O13" i="9"/>
  <c r="O9" i="9"/>
  <c r="L5" i="9"/>
  <c r="T11" i="210"/>
  <c r="T12" i="210"/>
  <c r="T13" i="210"/>
  <c r="T14" i="210"/>
  <c r="T15" i="210"/>
  <c r="T16" i="210"/>
  <c r="T17" i="210"/>
  <c r="T18" i="210"/>
  <c r="T19" i="210"/>
  <c r="T10" i="210"/>
  <c r="T9" i="210"/>
  <c r="T8" i="210"/>
  <c r="T7" i="210"/>
  <c r="T6" i="210"/>
  <c r="T5" i="210"/>
  <c r="T4" i="210"/>
  <c r="T9" i="189"/>
  <c r="T10" i="189"/>
  <c r="T8" i="191"/>
  <c r="T7" i="191"/>
  <c r="T6" i="191"/>
  <c r="T5" i="191"/>
  <c r="T4" i="191"/>
  <c r="T8" i="193"/>
  <c r="T7" i="193"/>
  <c r="T6" i="193"/>
  <c r="T5" i="193"/>
  <c r="T4" i="193"/>
  <c r="T5" i="189" l="1"/>
  <c r="T6" i="189"/>
  <c r="T7" i="189"/>
  <c r="T4" i="189"/>
  <c r="U32" i="200"/>
  <c r="U31" i="200"/>
  <c r="U30" i="200"/>
  <c r="U29" i="200"/>
  <c r="Q29" i="200"/>
  <c r="U28" i="200"/>
  <c r="U27" i="200"/>
  <c r="R25" i="200"/>
  <c r="E21" i="200"/>
  <c r="F13" i="200"/>
  <c r="B9" i="200"/>
  <c r="B13" i="200" s="1"/>
  <c r="B17" i="200" s="1"/>
  <c r="B21" i="200" s="1"/>
  <c r="B25" i="200" s="1"/>
  <c r="B29" i="200" s="1"/>
  <c r="B33" i="200" s="1"/>
  <c r="B37" i="200" s="1"/>
  <c r="B41" i="200" s="1"/>
  <c r="B45" i="200" s="1"/>
  <c r="B49" i="200" s="1"/>
  <c r="B53" i="200" s="1"/>
  <c r="B57" i="200" s="1"/>
  <c r="B61" i="200" s="1"/>
  <c r="B65" i="200" s="1"/>
  <c r="B69" i="200" s="1"/>
  <c r="B73" i="200" s="1"/>
  <c r="B77" i="200" s="1"/>
  <c r="B81" i="200" s="1"/>
  <c r="B85" i="200" s="1"/>
  <c r="B89" i="200" s="1"/>
  <c r="B93" i="200" s="1"/>
  <c r="B97" i="200" s="1"/>
  <c r="B101" i="200" s="1"/>
  <c r="B105" i="200" s="1"/>
  <c r="B109" i="200" s="1"/>
  <c r="B113" i="200" s="1"/>
  <c r="B117" i="200" s="1"/>
  <c r="B121" i="200" s="1"/>
  <c r="B125" i="200" s="1"/>
  <c r="B129" i="200" s="1"/>
  <c r="B133" i="200" s="1"/>
  <c r="B137" i="200" s="1"/>
  <c r="B141" i="200" s="1"/>
  <c r="B145" i="200" s="1"/>
  <c r="B149" i="200" s="1"/>
  <c r="B153" i="200" s="1"/>
  <c r="B157" i="200" s="1"/>
  <c r="B161" i="200" s="1"/>
  <c r="B165" i="200" s="1"/>
  <c r="B169" i="200" s="1"/>
  <c r="B173" i="200" s="1"/>
  <c r="B177" i="200" s="1"/>
  <c r="B181" i="200" s="1"/>
  <c r="B185" i="200" s="1"/>
  <c r="B189" i="200" s="1"/>
  <c r="B193" i="200" s="1"/>
  <c r="B197" i="200" s="1"/>
  <c r="B201" i="200" s="1"/>
  <c r="B205" i="200" s="1"/>
  <c r="B209" i="200" s="1"/>
  <c r="B213" i="200" s="1"/>
  <c r="B217" i="200" s="1"/>
  <c r="B221" i="200" s="1"/>
  <c r="B225" i="200" s="1"/>
  <c r="B229" i="200" s="1"/>
  <c r="B233" i="200" s="1"/>
  <c r="B237" i="200" s="1"/>
  <c r="B241" i="200" s="1"/>
  <c r="B245" i="200" s="1"/>
  <c r="B249" i="200" s="1"/>
  <c r="B253" i="200" s="1"/>
  <c r="B257" i="200" s="1"/>
  <c r="B261" i="200" s="1"/>
  <c r="B265" i="200" s="1"/>
  <c r="B269" i="200" s="1"/>
  <c r="B273" i="200" s="1"/>
  <c r="B277" i="200" s="1"/>
  <c r="B281" i="200" s="1"/>
  <c r="B285" i="200" s="1"/>
  <c r="B289" i="200" s="1"/>
  <c r="B293" i="200" s="1"/>
  <c r="B297" i="200" s="1"/>
  <c r="B301" i="200" s="1"/>
  <c r="B305" i="200" s="1"/>
  <c r="B309" i="200" s="1"/>
  <c r="B313" i="200" s="1"/>
  <c r="B317" i="200" s="1"/>
  <c r="B321" i="200" s="1"/>
  <c r="B325" i="200" s="1"/>
  <c r="B329" i="200" s="1"/>
  <c r="B333" i="200" s="1"/>
  <c r="B337" i="200" s="1"/>
  <c r="B341" i="200" s="1"/>
  <c r="B345" i="200" s="1"/>
  <c r="B349" i="200" s="1"/>
  <c r="B353" i="200" s="1"/>
  <c r="B357" i="200" s="1"/>
  <c r="B361" i="200" s="1"/>
  <c r="B365" i="200" s="1"/>
  <c r="B369" i="200" s="1"/>
  <c r="B373" i="200" s="1"/>
  <c r="B377" i="200" s="1"/>
  <c r="B381" i="200" s="1"/>
  <c r="B385" i="200" s="1"/>
  <c r="B389" i="200" s="1"/>
  <c r="B393" i="200" s="1"/>
  <c r="B397" i="200" s="1"/>
  <c r="B401" i="200" s="1"/>
  <c r="B405" i="200" s="1"/>
  <c r="B409" i="200" s="1"/>
  <c r="B413" i="200" s="1"/>
  <c r="B417" i="200" s="1"/>
  <c r="B421" i="200" s="1"/>
  <c r="B425" i="200" s="1"/>
  <c r="B429" i="200" s="1"/>
  <c r="B433" i="200" s="1"/>
  <c r="B437" i="200" s="1"/>
  <c r="B441" i="200" s="1"/>
  <c r="B445" i="200" s="1"/>
  <c r="B449" i="200" s="1"/>
  <c r="B453" i="200" s="1"/>
  <c r="B457" i="200" s="1"/>
  <c r="B461" i="200" s="1"/>
  <c r="B465" i="200" s="1"/>
  <c r="B469" i="200" s="1"/>
  <c r="B473" i="200" s="1"/>
  <c r="B477" i="200" s="1"/>
  <c r="B481" i="200" s="1"/>
  <c r="B485" i="200" s="1"/>
  <c r="B489" i="200" s="1"/>
  <c r="B493" i="200" s="1"/>
  <c r="B497" i="200" s="1"/>
  <c r="B501" i="200" s="1"/>
  <c r="B505" i="200" s="1"/>
  <c r="B509" i="200" s="1"/>
  <c r="B513" i="200" s="1"/>
  <c r="B517" i="200" s="1"/>
  <c r="B521" i="200" s="1"/>
  <c r="B525" i="200" s="1"/>
  <c r="B529" i="200" s="1"/>
  <c r="B533" i="200" s="1"/>
  <c r="B537" i="200" s="1"/>
  <c r="B541" i="200" s="1"/>
  <c r="B545" i="200" s="1"/>
  <c r="B549" i="200" s="1"/>
  <c r="B553" i="200" s="1"/>
  <c r="B557" i="200" s="1"/>
  <c r="B561" i="200" s="1"/>
  <c r="B565" i="200" s="1"/>
  <c r="B569" i="200" s="1"/>
  <c r="B573" i="200" s="1"/>
  <c r="B577" i="200" s="1"/>
  <c r="B581" i="200" s="1"/>
  <c r="B585" i="200" s="1"/>
  <c r="B589" i="200" s="1"/>
  <c r="B593" i="200" s="1"/>
  <c r="B597" i="200" s="1"/>
  <c r="B601" i="200" s="1"/>
  <c r="B605" i="200" s="1"/>
  <c r="B609" i="200" s="1"/>
  <c r="B613" i="200" s="1"/>
  <c r="B617" i="200" s="1"/>
  <c r="B621" i="200" s="1"/>
  <c r="B625" i="200" s="1"/>
  <c r="B629" i="200" s="1"/>
  <c r="B633" i="200" s="1"/>
  <c r="B637" i="200" s="1"/>
  <c r="B641" i="200" s="1"/>
  <c r="B645" i="200" s="1"/>
  <c r="B649" i="200" s="1"/>
  <c r="B653" i="200" s="1"/>
  <c r="B657" i="200" s="1"/>
  <c r="B661" i="200" s="1"/>
  <c r="B665" i="200" s="1"/>
  <c r="B669" i="200" s="1"/>
  <c r="B673" i="200" s="1"/>
  <c r="B677" i="200" s="1"/>
  <c r="B681" i="200" s="1"/>
  <c r="B685" i="200" s="1"/>
  <c r="B689" i="200" s="1"/>
  <c r="B693" i="200" s="1"/>
  <c r="B697" i="200" s="1"/>
  <c r="B701" i="200" s="1"/>
  <c r="B705" i="200" s="1"/>
  <c r="B709" i="200" s="1"/>
  <c r="B713" i="200" s="1"/>
  <c r="B717" i="200" s="1"/>
  <c r="B721" i="200" s="1"/>
  <c r="B725" i="200" s="1"/>
  <c r="B729" i="200" s="1"/>
  <c r="B733" i="200" s="1"/>
  <c r="B737" i="200" s="1"/>
  <c r="B741" i="200" s="1"/>
  <c r="B745" i="200" s="1"/>
  <c r="B749" i="200" s="1"/>
  <c r="B753" i="200" s="1"/>
  <c r="B757" i="200" s="1"/>
  <c r="B761" i="200" s="1"/>
  <c r="B765" i="200" s="1"/>
  <c r="B769" i="200" s="1"/>
  <c r="B773" i="200" s="1"/>
  <c r="B777" i="200" s="1"/>
  <c r="B781" i="200" s="1"/>
  <c r="B785" i="200" s="1"/>
  <c r="B789" i="200" s="1"/>
  <c r="B793" i="200" s="1"/>
  <c r="B797" i="200" s="1"/>
  <c r="B801" i="200" s="1"/>
  <c r="B805" i="200" s="1"/>
  <c r="B809" i="200" s="1"/>
  <c r="B813" i="200" s="1"/>
  <c r="B817" i="200" s="1"/>
  <c r="B821" i="200" s="1"/>
  <c r="B825" i="200" s="1"/>
  <c r="B829" i="200" s="1"/>
  <c r="B833" i="200" s="1"/>
  <c r="B837" i="200" s="1"/>
  <c r="B841" i="200" s="1"/>
  <c r="B845" i="200" s="1"/>
  <c r="B849" i="200" s="1"/>
  <c r="B853" i="200" s="1"/>
  <c r="B857" i="200" s="1"/>
  <c r="B861" i="200" s="1"/>
  <c r="B865" i="200" s="1"/>
  <c r="B869" i="200" s="1"/>
  <c r="B873" i="200" s="1"/>
  <c r="B877" i="200" s="1"/>
  <c r="B881" i="200" s="1"/>
  <c r="B885" i="200" s="1"/>
  <c r="B889" i="200" s="1"/>
  <c r="B893" i="200" s="1"/>
  <c r="B897" i="200" s="1"/>
  <c r="B901" i="200" s="1"/>
  <c r="B905" i="200" s="1"/>
  <c r="B909" i="200" s="1"/>
  <c r="B913" i="200" s="1"/>
  <c r="B917" i="200" s="1"/>
  <c r="B921" i="200" s="1"/>
  <c r="B925" i="200" s="1"/>
  <c r="B929" i="200" s="1"/>
  <c r="B933" i="200" s="1"/>
  <c r="B937" i="200" s="1"/>
  <c r="B941" i="200" s="1"/>
  <c r="B945" i="200" s="1"/>
  <c r="B949" i="200" s="1"/>
  <c r="B953" i="200" s="1"/>
  <c r="B957" i="200" s="1"/>
  <c r="B961" i="200" s="1"/>
  <c r="B965" i="200" s="1"/>
  <c r="B969" i="200" s="1"/>
  <c r="B973" i="200" s="1"/>
  <c r="B977" i="200" s="1"/>
  <c r="B981" i="200" s="1"/>
  <c r="B985" i="200" s="1"/>
  <c r="B989" i="200" s="1"/>
  <c r="B993" i="200" s="1"/>
  <c r="B997" i="200" s="1"/>
  <c r="B1001" i="200" s="1"/>
  <c r="B1005" i="200" s="1"/>
  <c r="B1009" i="200" s="1"/>
  <c r="B1013" i="200" s="1"/>
  <c r="B1017" i="200" s="1"/>
  <c r="B1021" i="200" s="1"/>
  <c r="B1025" i="200" s="1"/>
  <c r="B1029" i="200" s="1"/>
  <c r="B1033" i="200" s="1"/>
  <c r="B1037" i="200" s="1"/>
  <c r="B1041" i="200" s="1"/>
  <c r="B1045" i="200" s="1"/>
  <c r="B1049" i="200" s="1"/>
  <c r="B1053" i="200" s="1"/>
  <c r="B1057" i="200" s="1"/>
  <c r="B1061" i="200" s="1"/>
  <c r="B1065" i="200" s="1"/>
  <c r="B1069" i="200" s="1"/>
  <c r="B1073" i="200" s="1"/>
  <c r="B1077" i="200" s="1"/>
  <c r="B1081" i="200" s="1"/>
  <c r="B1085" i="200" s="1"/>
  <c r="B1089" i="200" s="1"/>
  <c r="B1093" i="200" s="1"/>
  <c r="B1097" i="200" s="1"/>
  <c r="B1101" i="200" s="1"/>
  <c r="B1105" i="200" s="1"/>
  <c r="B1109" i="200" s="1"/>
  <c r="B1113" i="200" s="1"/>
  <c r="B1117" i="200" s="1"/>
  <c r="B1121" i="200" s="1"/>
  <c r="B1125" i="200" s="1"/>
  <c r="B1129" i="200" s="1"/>
  <c r="B1133" i="200" s="1"/>
  <c r="B1137" i="200" s="1"/>
  <c r="B1141" i="200" s="1"/>
  <c r="B1145" i="200" s="1"/>
  <c r="B1149" i="200" s="1"/>
  <c r="B1153" i="200" s="1"/>
  <c r="B1157" i="200" s="1"/>
  <c r="B1161" i="200" s="1"/>
  <c r="B1165" i="200" s="1"/>
  <c r="B1169" i="200" s="1"/>
  <c r="B1173" i="200" s="1"/>
  <c r="B1177" i="200" s="1"/>
  <c r="B1181" i="200" s="1"/>
  <c r="B1185" i="200" s="1"/>
  <c r="B1189" i="200" s="1"/>
  <c r="B1193" i="200" s="1"/>
  <c r="B1197" i="200" s="1"/>
  <c r="B1201" i="200" s="1"/>
  <c r="B1205" i="200" s="1"/>
  <c r="B1209" i="200" s="1"/>
  <c r="B1213" i="200" s="1"/>
  <c r="B1217" i="200" s="1"/>
  <c r="B1221" i="200" s="1"/>
  <c r="B1225" i="200" s="1"/>
  <c r="B1229" i="200" s="1"/>
  <c r="B1233" i="200" s="1"/>
  <c r="B1237" i="200" s="1"/>
  <c r="B1241" i="200" s="1"/>
  <c r="B1245" i="200" s="1"/>
  <c r="B1249" i="200" s="1"/>
  <c r="B1253" i="200" s="1"/>
  <c r="B1257" i="200" s="1"/>
  <c r="B1261" i="200" s="1"/>
  <c r="B1265" i="200" s="1"/>
  <c r="B1269" i="200" s="1"/>
  <c r="B1273" i="200" s="1"/>
  <c r="B1277" i="200" s="1"/>
  <c r="B1281" i="200" s="1"/>
  <c r="B1285" i="200" s="1"/>
  <c r="B1289" i="200" s="1"/>
  <c r="B1293" i="200" s="1"/>
  <c r="B1297" i="200" s="1"/>
  <c r="B1301" i="200" s="1"/>
  <c r="B1305" i="200" s="1"/>
  <c r="B1309" i="200" s="1"/>
  <c r="B1313" i="200" s="1"/>
  <c r="B1317" i="200" s="1"/>
  <c r="B1321" i="200" s="1"/>
  <c r="B1325" i="200" s="1"/>
  <c r="B1329" i="200" s="1"/>
  <c r="B1333" i="200" s="1"/>
  <c r="B1337" i="200" s="1"/>
  <c r="B1341" i="200" s="1"/>
  <c r="B1345" i="200" s="1"/>
  <c r="B1349" i="200" s="1"/>
  <c r="B1353" i="200" s="1"/>
  <c r="B1357" i="200" s="1"/>
  <c r="B1361" i="200" s="1"/>
  <c r="B1365" i="200" s="1"/>
  <c r="B1369" i="200" s="1"/>
  <c r="B1373" i="200" s="1"/>
  <c r="B1377" i="200" s="1"/>
  <c r="B1381" i="200" s="1"/>
  <c r="B1385" i="200" s="1"/>
  <c r="B1389" i="200" s="1"/>
  <c r="B1393" i="200" s="1"/>
  <c r="B1397" i="200" s="1"/>
  <c r="B1401" i="200" s="1"/>
  <c r="B1405" i="200" s="1"/>
  <c r="B1409" i="200" s="1"/>
  <c r="B1413" i="200" s="1"/>
  <c r="B1417" i="200" s="1"/>
  <c r="B1421" i="200" s="1"/>
  <c r="B1425" i="200" s="1"/>
  <c r="B1429" i="200" s="1"/>
  <c r="B1433" i="200" s="1"/>
  <c r="B1437" i="200" s="1"/>
  <c r="B1441" i="200" s="1"/>
  <c r="B1445" i="200" s="1"/>
  <c r="B1449" i="200" s="1"/>
  <c r="B1453" i="200" s="1"/>
  <c r="B1457" i="200" s="1"/>
  <c r="B1461" i="200" s="1"/>
  <c r="B1465" i="200" s="1"/>
  <c r="B1469" i="200" s="1"/>
  <c r="B1473" i="200" s="1"/>
  <c r="B1477" i="200" s="1"/>
  <c r="B1481" i="200" s="1"/>
  <c r="B1485" i="200" s="1"/>
  <c r="B1489" i="200" s="1"/>
  <c r="B1493" i="200" s="1"/>
  <c r="B1497" i="200" s="1"/>
  <c r="B1501" i="200" s="1"/>
  <c r="B1505" i="200" s="1"/>
  <c r="B1509" i="200" s="1"/>
  <c r="B1513" i="200" s="1"/>
  <c r="B1517" i="200" s="1"/>
  <c r="B1521" i="200" s="1"/>
  <c r="B1525" i="200" s="1"/>
  <c r="B1529" i="200" s="1"/>
  <c r="B1533" i="200" s="1"/>
  <c r="B1537" i="200" s="1"/>
  <c r="B1541" i="200" s="1"/>
  <c r="B1545" i="200" s="1"/>
  <c r="B1549" i="200" s="1"/>
  <c r="B1553" i="200" s="1"/>
  <c r="B1557" i="200" s="1"/>
  <c r="B1561" i="200" s="1"/>
  <c r="B1565" i="200" s="1"/>
  <c r="B1569" i="200" s="1"/>
  <c r="B1573" i="200" s="1"/>
  <c r="B1577" i="200" s="1"/>
  <c r="B1581" i="200" s="1"/>
  <c r="B1585" i="200" s="1"/>
  <c r="B1589" i="200" s="1"/>
  <c r="B1593" i="200" s="1"/>
  <c r="B1597" i="200" s="1"/>
  <c r="B1601" i="200" s="1"/>
  <c r="B1605" i="200" s="1"/>
  <c r="B1609" i="200" s="1"/>
  <c r="B1613" i="200" s="1"/>
  <c r="B1617" i="200" s="1"/>
  <c r="B1621" i="200" s="1"/>
  <c r="B1625" i="200" s="1"/>
  <c r="B1629" i="200" s="1"/>
  <c r="B1633" i="200" s="1"/>
  <c r="B1637" i="200" s="1"/>
  <c r="B1641" i="200" s="1"/>
  <c r="B1645" i="200" s="1"/>
  <c r="B1649" i="200" s="1"/>
  <c r="B1653" i="200" s="1"/>
  <c r="B1657" i="200" s="1"/>
  <c r="B1661" i="200" s="1"/>
  <c r="B1665" i="200" s="1"/>
  <c r="B1669" i="200" s="1"/>
  <c r="B1673" i="200" s="1"/>
  <c r="B1677" i="200" s="1"/>
  <c r="B1681" i="200" s="1"/>
  <c r="B1685" i="200" s="1"/>
  <c r="B1689" i="200" s="1"/>
  <c r="B1693" i="200" s="1"/>
  <c r="B1697" i="200" s="1"/>
  <c r="B1701" i="200" s="1"/>
  <c r="B1705" i="200" s="1"/>
  <c r="B1709" i="200" s="1"/>
  <c r="B1713" i="200" s="1"/>
  <c r="B1717" i="200" s="1"/>
  <c r="B1721" i="200" s="1"/>
  <c r="B1725" i="200" s="1"/>
  <c r="B1729" i="200" s="1"/>
  <c r="B1733" i="200" s="1"/>
  <c r="B1737" i="200" s="1"/>
  <c r="B1741" i="200" s="1"/>
  <c r="B1745" i="200" s="1"/>
  <c r="B1749" i="200" s="1"/>
  <c r="B1753" i="200" s="1"/>
  <c r="B1757" i="200" s="1"/>
  <c r="B1761" i="200" s="1"/>
  <c r="B1765" i="200" s="1"/>
  <c r="B1769" i="200" s="1"/>
  <c r="B1773" i="200" s="1"/>
  <c r="B1777" i="200" s="1"/>
  <c r="B1781" i="200" s="1"/>
  <c r="B1785" i="200" s="1"/>
  <c r="B1789" i="200" s="1"/>
  <c r="B1793" i="200" s="1"/>
  <c r="B1797" i="200" s="1"/>
  <c r="B1801" i="200" s="1"/>
  <c r="B1805" i="200" s="1"/>
  <c r="B1809" i="200" s="1"/>
  <c r="B1813" i="200" s="1"/>
  <c r="B1817" i="200" s="1"/>
  <c r="B1821" i="200" s="1"/>
  <c r="B1825" i="200" s="1"/>
  <c r="B1829" i="200" s="1"/>
  <c r="B1833" i="200" s="1"/>
  <c r="B1837" i="200" s="1"/>
  <c r="B1841" i="200" s="1"/>
  <c r="B1845" i="200" s="1"/>
  <c r="B1849" i="200" s="1"/>
  <c r="B1853" i="200" s="1"/>
  <c r="B1857" i="200" s="1"/>
  <c r="B1861" i="200" s="1"/>
  <c r="B1865" i="200" s="1"/>
  <c r="B1869" i="200" s="1"/>
  <c r="B1873" i="200" s="1"/>
  <c r="B1877" i="200" s="1"/>
  <c r="B1881" i="200" s="1"/>
  <c r="B1885" i="200" s="1"/>
  <c r="B1889" i="200" s="1"/>
  <c r="B1893" i="200" s="1"/>
  <c r="B1897" i="200" s="1"/>
  <c r="B1901" i="200" s="1"/>
  <c r="B1905" i="200" s="1"/>
  <c r="B1909" i="200" s="1"/>
  <c r="B1913" i="200" s="1"/>
  <c r="B1917" i="200" s="1"/>
  <c r="B1921" i="200" s="1"/>
  <c r="B1925" i="200" s="1"/>
  <c r="B1929" i="200" s="1"/>
  <c r="B1933" i="200" s="1"/>
  <c r="B1937" i="200" s="1"/>
  <c r="B1941" i="200" s="1"/>
  <c r="B1945" i="200" s="1"/>
  <c r="B1949" i="200" s="1"/>
  <c r="B1953" i="200" s="1"/>
  <c r="B1957" i="200" s="1"/>
  <c r="B1961" i="200" s="1"/>
  <c r="B1965" i="200" s="1"/>
  <c r="B1969" i="200" s="1"/>
  <c r="B1973" i="200" s="1"/>
  <c r="B1977" i="200" s="1"/>
  <c r="B1981" i="200" s="1"/>
  <c r="B1985" i="200" s="1"/>
  <c r="B1989" i="200" s="1"/>
  <c r="B1993" i="200" s="1"/>
  <c r="B1997" i="200" s="1"/>
  <c r="B2001" i="200" s="1"/>
  <c r="N5" i="200"/>
  <c r="V2" i="200"/>
  <c r="R1" i="200"/>
  <c r="Q1" i="200"/>
  <c r="P1" i="200"/>
  <c r="O1" i="200"/>
  <c r="N1" i="200"/>
  <c r="M1" i="200"/>
  <c r="L1" i="200"/>
  <c r="K1" i="200"/>
  <c r="J1" i="200"/>
  <c r="I1" i="200"/>
  <c r="H1" i="200"/>
  <c r="G1" i="200"/>
  <c r="F1" i="200"/>
  <c r="E1" i="200"/>
  <c r="D1" i="200"/>
  <c r="C1" i="200"/>
  <c r="B1" i="200"/>
  <c r="A1" i="200"/>
  <c r="B37" i="192"/>
  <c r="B41" i="192" s="1"/>
  <c r="B45" i="192" s="1"/>
  <c r="B49" i="192" s="1"/>
  <c r="B53" i="192" s="1"/>
  <c r="B57" i="192" s="1"/>
  <c r="B61" i="192" s="1"/>
  <c r="B65" i="192" s="1"/>
  <c r="B69" i="192" s="1"/>
  <c r="B73" i="192" s="1"/>
  <c r="B77" i="192" s="1"/>
  <c r="B81" i="192" s="1"/>
  <c r="B85" i="192" s="1"/>
  <c r="B89" i="192" s="1"/>
  <c r="B93" i="192" s="1"/>
  <c r="B97" i="192" s="1"/>
  <c r="B101" i="192" s="1"/>
  <c r="B105" i="192" s="1"/>
  <c r="B109" i="192" s="1"/>
  <c r="B113" i="192" s="1"/>
  <c r="B117" i="192" s="1"/>
  <c r="B121" i="192" s="1"/>
  <c r="B125" i="192" s="1"/>
  <c r="B129" i="192" s="1"/>
  <c r="B133" i="192" s="1"/>
  <c r="B137" i="192" s="1"/>
  <c r="B141" i="192" s="1"/>
  <c r="B145" i="192" s="1"/>
  <c r="B149" i="192" s="1"/>
  <c r="B153" i="192" s="1"/>
  <c r="B157" i="192" s="1"/>
  <c r="B161" i="192" s="1"/>
  <c r="B165" i="192" s="1"/>
  <c r="B169" i="192" s="1"/>
  <c r="B173" i="192" s="1"/>
  <c r="B177" i="192" s="1"/>
  <c r="B181" i="192" s="1"/>
  <c r="B185" i="192" s="1"/>
  <c r="B189" i="192" s="1"/>
  <c r="B193" i="192" s="1"/>
  <c r="B197" i="192" s="1"/>
  <c r="B201" i="192" s="1"/>
  <c r="B205" i="192" s="1"/>
  <c r="B209" i="192" s="1"/>
  <c r="B213" i="192" s="1"/>
  <c r="B217" i="192" s="1"/>
  <c r="B221" i="192" s="1"/>
  <c r="B225" i="192" s="1"/>
  <c r="B229" i="192" s="1"/>
  <c r="B233" i="192" s="1"/>
  <c r="B237" i="192" s="1"/>
  <c r="B241" i="192" s="1"/>
  <c r="B245" i="192" s="1"/>
  <c r="B249" i="192" s="1"/>
  <c r="B253" i="192" s="1"/>
  <c r="B257" i="192" s="1"/>
  <c r="B261" i="192" s="1"/>
  <c r="B265" i="192" s="1"/>
  <c r="B269" i="192" s="1"/>
  <c r="B273" i="192" s="1"/>
  <c r="B277" i="192" s="1"/>
  <c r="B281" i="192" s="1"/>
  <c r="B285" i="192" s="1"/>
  <c r="B289" i="192" s="1"/>
  <c r="B293" i="192" s="1"/>
  <c r="B297" i="192" s="1"/>
  <c r="B301" i="192" s="1"/>
  <c r="B305" i="192" s="1"/>
  <c r="B309" i="192" s="1"/>
  <c r="B313" i="192" s="1"/>
  <c r="B317" i="192" s="1"/>
  <c r="B321" i="192" s="1"/>
  <c r="B325" i="192" s="1"/>
  <c r="B329" i="192" s="1"/>
  <c r="B333" i="192" s="1"/>
  <c r="B337" i="192" s="1"/>
  <c r="B341" i="192" s="1"/>
  <c r="B345" i="192" s="1"/>
  <c r="B349" i="192" s="1"/>
  <c r="B353" i="192" s="1"/>
  <c r="B357" i="192" s="1"/>
  <c r="B361" i="192" s="1"/>
  <c r="B365" i="192" s="1"/>
  <c r="B369" i="192" s="1"/>
  <c r="B373" i="192" s="1"/>
  <c r="B377" i="192" s="1"/>
  <c r="B381" i="192" s="1"/>
  <c r="B385" i="192" s="1"/>
  <c r="B389" i="192" s="1"/>
  <c r="B393" i="192" s="1"/>
  <c r="B397" i="192" s="1"/>
  <c r="B401" i="192" s="1"/>
  <c r="B405" i="192" s="1"/>
  <c r="B409" i="192" s="1"/>
  <c r="B413" i="192" s="1"/>
  <c r="B417" i="192" s="1"/>
  <c r="B421" i="192" s="1"/>
  <c r="B425" i="192" s="1"/>
  <c r="B429" i="192" s="1"/>
  <c r="B433" i="192" s="1"/>
  <c r="B437" i="192" s="1"/>
  <c r="B441" i="192" s="1"/>
  <c r="B445" i="192" s="1"/>
  <c r="B449" i="192" s="1"/>
  <c r="B453" i="192" s="1"/>
  <c r="B457" i="192" s="1"/>
  <c r="B461" i="192" s="1"/>
  <c r="B465" i="192" s="1"/>
  <c r="B469" i="192" s="1"/>
  <c r="B473" i="192" s="1"/>
  <c r="B477" i="192" s="1"/>
  <c r="B481" i="192" s="1"/>
  <c r="B485" i="192" s="1"/>
  <c r="B489" i="192" s="1"/>
  <c r="B493" i="192" s="1"/>
  <c r="B497" i="192" s="1"/>
  <c r="B501" i="192" s="1"/>
  <c r="B505" i="192" s="1"/>
  <c r="B509" i="192" s="1"/>
  <c r="B513" i="192" s="1"/>
  <c r="B517" i="192" s="1"/>
  <c r="B521" i="192" s="1"/>
  <c r="B525" i="192" s="1"/>
  <c r="B529" i="192" s="1"/>
  <c r="B533" i="192" s="1"/>
  <c r="B537" i="192" s="1"/>
  <c r="B541" i="192" s="1"/>
  <c r="B545" i="192" s="1"/>
  <c r="B549" i="192" s="1"/>
  <c r="B553" i="192" s="1"/>
  <c r="B557" i="192" s="1"/>
  <c r="B561" i="192" s="1"/>
  <c r="B565" i="192" s="1"/>
  <c r="B569" i="192" s="1"/>
  <c r="B573" i="192" s="1"/>
  <c r="B577" i="192" s="1"/>
  <c r="B581" i="192" s="1"/>
  <c r="B585" i="192" s="1"/>
  <c r="B589" i="192" s="1"/>
  <c r="B593" i="192" s="1"/>
  <c r="B597" i="192" s="1"/>
  <c r="B601" i="192" s="1"/>
  <c r="B605" i="192" s="1"/>
  <c r="B609" i="192" s="1"/>
  <c r="B613" i="192" s="1"/>
  <c r="B617" i="192" s="1"/>
  <c r="B621" i="192" s="1"/>
  <c r="B625" i="192" s="1"/>
  <c r="B629" i="192" s="1"/>
  <c r="B633" i="192" s="1"/>
  <c r="B637" i="192" s="1"/>
  <c r="B641" i="192" s="1"/>
  <c r="B645" i="192" s="1"/>
  <c r="B649" i="192" s="1"/>
  <c r="B653" i="192" s="1"/>
  <c r="B657" i="192" s="1"/>
  <c r="B661" i="192" s="1"/>
  <c r="B665" i="192" s="1"/>
  <c r="B669" i="192" s="1"/>
  <c r="B673" i="192" s="1"/>
  <c r="B677" i="192" s="1"/>
  <c r="B681" i="192" s="1"/>
  <c r="B685" i="192" s="1"/>
  <c r="B689" i="192" s="1"/>
  <c r="B693" i="192" s="1"/>
  <c r="B697" i="192" s="1"/>
  <c r="B701" i="192" s="1"/>
  <c r="B705" i="192" s="1"/>
  <c r="B709" i="192" s="1"/>
  <c r="B713" i="192" s="1"/>
  <c r="B717" i="192" s="1"/>
  <c r="B721" i="192" s="1"/>
  <c r="B725" i="192" s="1"/>
  <c r="B729" i="192" s="1"/>
  <c r="B733" i="192" s="1"/>
  <c r="B737" i="192" s="1"/>
  <c r="B741" i="192" s="1"/>
  <c r="B745" i="192" s="1"/>
  <c r="B749" i="192" s="1"/>
  <c r="B753" i="192" s="1"/>
  <c r="B757" i="192" s="1"/>
  <c r="B761" i="192" s="1"/>
  <c r="B765" i="192" s="1"/>
  <c r="B769" i="192" s="1"/>
  <c r="B773" i="192" s="1"/>
  <c r="B777" i="192" s="1"/>
  <c r="B781" i="192" s="1"/>
  <c r="B785" i="192" s="1"/>
  <c r="B789" i="192" s="1"/>
  <c r="B793" i="192" s="1"/>
  <c r="B797" i="192" s="1"/>
  <c r="B801" i="192" s="1"/>
  <c r="B805" i="192" s="1"/>
  <c r="B809" i="192" s="1"/>
  <c r="B813" i="192" s="1"/>
  <c r="B817" i="192" s="1"/>
  <c r="B821" i="192" s="1"/>
  <c r="B825" i="192" s="1"/>
  <c r="B829" i="192" s="1"/>
  <c r="B833" i="192" s="1"/>
  <c r="B837" i="192" s="1"/>
  <c r="B841" i="192" s="1"/>
  <c r="B845" i="192" s="1"/>
  <c r="B849" i="192" s="1"/>
  <c r="B853" i="192" s="1"/>
  <c r="B857" i="192" s="1"/>
  <c r="B861" i="192" s="1"/>
  <c r="B865" i="192" s="1"/>
  <c r="B869" i="192" s="1"/>
  <c r="B873" i="192" s="1"/>
  <c r="B877" i="192" s="1"/>
  <c r="B881" i="192" s="1"/>
  <c r="B885" i="192" s="1"/>
  <c r="B889" i="192" s="1"/>
  <c r="B893" i="192" s="1"/>
  <c r="B897" i="192" s="1"/>
  <c r="B901" i="192" s="1"/>
  <c r="B905" i="192" s="1"/>
  <c r="B909" i="192" s="1"/>
  <c r="B913" i="192" s="1"/>
  <c r="B917" i="192" s="1"/>
  <c r="B921" i="192" s="1"/>
  <c r="B925" i="192" s="1"/>
  <c r="B929" i="192" s="1"/>
  <c r="B933" i="192" s="1"/>
  <c r="B937" i="192" s="1"/>
  <c r="B941" i="192" s="1"/>
  <c r="B945" i="192" s="1"/>
  <c r="B949" i="192" s="1"/>
  <c r="B953" i="192" s="1"/>
  <c r="B957" i="192" s="1"/>
  <c r="B961" i="192" s="1"/>
  <c r="B965" i="192" s="1"/>
  <c r="B969" i="192" s="1"/>
  <c r="B973" i="192" s="1"/>
  <c r="B977" i="192" s="1"/>
  <c r="B981" i="192" s="1"/>
  <c r="B985" i="192" s="1"/>
  <c r="B989" i="192" s="1"/>
  <c r="B993" i="192" s="1"/>
  <c r="B997" i="192" s="1"/>
  <c r="B1001" i="192" s="1"/>
  <c r="B1005" i="192" s="1"/>
  <c r="B1009" i="192" s="1"/>
  <c r="B1013" i="192" s="1"/>
  <c r="B1017" i="192" s="1"/>
  <c r="B1021" i="192" s="1"/>
  <c r="B1025" i="192" s="1"/>
  <c r="B1029" i="192" s="1"/>
  <c r="B1033" i="192" s="1"/>
  <c r="B1037" i="192" s="1"/>
  <c r="B1041" i="192" s="1"/>
  <c r="B1045" i="192" s="1"/>
  <c r="B1049" i="192" s="1"/>
  <c r="B1053" i="192" s="1"/>
  <c r="B1057" i="192" s="1"/>
  <c r="B1061" i="192" s="1"/>
  <c r="B1065" i="192" s="1"/>
  <c r="B1069" i="192" s="1"/>
  <c r="B1073" i="192" s="1"/>
  <c r="B1077" i="192" s="1"/>
  <c r="B1081" i="192" s="1"/>
  <c r="B1085" i="192" s="1"/>
  <c r="B1089" i="192" s="1"/>
  <c r="B1093" i="192" s="1"/>
  <c r="B1097" i="192" s="1"/>
  <c r="B1101" i="192" s="1"/>
  <c r="B1105" i="192" s="1"/>
  <c r="B1109" i="192" s="1"/>
  <c r="B1113" i="192" s="1"/>
  <c r="B1117" i="192" s="1"/>
  <c r="B1121" i="192" s="1"/>
  <c r="B1125" i="192" s="1"/>
  <c r="B1129" i="192" s="1"/>
  <c r="B1133" i="192" s="1"/>
  <c r="B1137" i="192" s="1"/>
  <c r="B1141" i="192" s="1"/>
  <c r="B1145" i="192" s="1"/>
  <c r="B1149" i="192" s="1"/>
  <c r="B1153" i="192" s="1"/>
  <c r="B1157" i="192" s="1"/>
  <c r="B1161" i="192" s="1"/>
  <c r="B1165" i="192" s="1"/>
  <c r="B1169" i="192" s="1"/>
  <c r="B1173" i="192" s="1"/>
  <c r="B1177" i="192" s="1"/>
  <c r="B1181" i="192" s="1"/>
  <c r="B1185" i="192" s="1"/>
  <c r="B1189" i="192" s="1"/>
  <c r="B1193" i="192" s="1"/>
  <c r="B1197" i="192" s="1"/>
  <c r="B1201" i="192" s="1"/>
  <c r="B1205" i="192" s="1"/>
  <c r="B1209" i="192" s="1"/>
  <c r="B1213" i="192" s="1"/>
  <c r="B1217" i="192" s="1"/>
  <c r="B1221" i="192" s="1"/>
  <c r="B1225" i="192" s="1"/>
  <c r="B1229" i="192" s="1"/>
  <c r="B1233" i="192" s="1"/>
  <c r="B1237" i="192" s="1"/>
  <c r="B1241" i="192" s="1"/>
  <c r="B1245" i="192" s="1"/>
  <c r="B1249" i="192" s="1"/>
  <c r="B1253" i="192" s="1"/>
  <c r="B1257" i="192" s="1"/>
  <c r="B1261" i="192" s="1"/>
  <c r="B1265" i="192" s="1"/>
  <c r="B1269" i="192" s="1"/>
  <c r="B1273" i="192" s="1"/>
  <c r="B1277" i="192" s="1"/>
  <c r="B1281" i="192" s="1"/>
  <c r="B1285" i="192" s="1"/>
  <c r="B1289" i="192" s="1"/>
  <c r="B1293" i="192" s="1"/>
  <c r="B1297" i="192" s="1"/>
  <c r="B1301" i="192" s="1"/>
  <c r="B1305" i="192" s="1"/>
  <c r="B1309" i="192" s="1"/>
  <c r="B1313" i="192" s="1"/>
  <c r="B1317" i="192" s="1"/>
  <c r="B1321" i="192" s="1"/>
  <c r="B1325" i="192" s="1"/>
  <c r="B1329" i="192" s="1"/>
  <c r="B1333" i="192" s="1"/>
  <c r="B1337" i="192" s="1"/>
  <c r="B1341" i="192" s="1"/>
  <c r="B1345" i="192" s="1"/>
  <c r="B1349" i="192" s="1"/>
  <c r="B1353" i="192" s="1"/>
  <c r="B1357" i="192" s="1"/>
  <c r="B1361" i="192" s="1"/>
  <c r="B1365" i="192" s="1"/>
  <c r="B1369" i="192" s="1"/>
  <c r="B1373" i="192" s="1"/>
  <c r="B1377" i="192" s="1"/>
  <c r="B1381" i="192" s="1"/>
  <c r="B1385" i="192" s="1"/>
  <c r="B1389" i="192" s="1"/>
  <c r="B1393" i="192" s="1"/>
  <c r="B1397" i="192" s="1"/>
  <c r="B1401" i="192" s="1"/>
  <c r="B1405" i="192" s="1"/>
  <c r="B1409" i="192" s="1"/>
  <c r="B1413" i="192" s="1"/>
  <c r="B1417" i="192" s="1"/>
  <c r="B1421" i="192" s="1"/>
  <c r="B1425" i="192" s="1"/>
  <c r="B1429" i="192" s="1"/>
  <c r="B1433" i="192" s="1"/>
  <c r="B1437" i="192" s="1"/>
  <c r="B1441" i="192" s="1"/>
  <c r="B1445" i="192" s="1"/>
  <c r="B1449" i="192" s="1"/>
  <c r="B1453" i="192" s="1"/>
  <c r="B1457" i="192" s="1"/>
  <c r="B1461" i="192" s="1"/>
  <c r="B1465" i="192" s="1"/>
  <c r="B1469" i="192" s="1"/>
  <c r="B1473" i="192" s="1"/>
  <c r="B1477" i="192" s="1"/>
  <c r="B1481" i="192" s="1"/>
  <c r="B1485" i="192" s="1"/>
  <c r="B1489" i="192" s="1"/>
  <c r="B1493" i="192" s="1"/>
  <c r="B1497" i="192" s="1"/>
  <c r="B1501" i="192" s="1"/>
  <c r="B1505" i="192" s="1"/>
  <c r="B1509" i="192" s="1"/>
  <c r="B1513" i="192" s="1"/>
  <c r="B1517" i="192" s="1"/>
  <c r="B1521" i="192" s="1"/>
  <c r="B1525" i="192" s="1"/>
  <c r="B1529" i="192" s="1"/>
  <c r="B1533" i="192" s="1"/>
  <c r="B1537" i="192" s="1"/>
  <c r="B1541" i="192" s="1"/>
  <c r="B1545" i="192" s="1"/>
  <c r="B1549" i="192" s="1"/>
  <c r="B1553" i="192" s="1"/>
  <c r="B1557" i="192" s="1"/>
  <c r="B1561" i="192" s="1"/>
  <c r="B1565" i="192" s="1"/>
  <c r="B1569" i="192" s="1"/>
  <c r="B1573" i="192" s="1"/>
  <c r="B1577" i="192" s="1"/>
  <c r="B1581" i="192" s="1"/>
  <c r="B1585" i="192" s="1"/>
  <c r="B1589" i="192" s="1"/>
  <c r="B1593" i="192" s="1"/>
  <c r="B1597" i="192" s="1"/>
  <c r="B1601" i="192" s="1"/>
  <c r="B1605" i="192" s="1"/>
  <c r="B1609" i="192" s="1"/>
  <c r="B1613" i="192" s="1"/>
  <c r="B1617" i="192" s="1"/>
  <c r="B1621" i="192" s="1"/>
  <c r="B1625" i="192" s="1"/>
  <c r="B1629" i="192" s="1"/>
  <c r="B1633" i="192" s="1"/>
  <c r="B1637" i="192" s="1"/>
  <c r="B1641" i="192" s="1"/>
  <c r="B1645" i="192" s="1"/>
  <c r="B1649" i="192" s="1"/>
  <c r="B1653" i="192" s="1"/>
  <c r="B1657" i="192" s="1"/>
  <c r="B1661" i="192" s="1"/>
  <c r="B1665" i="192" s="1"/>
  <c r="B1669" i="192" s="1"/>
  <c r="B1673" i="192" s="1"/>
  <c r="B1677" i="192" s="1"/>
  <c r="B1681" i="192" s="1"/>
  <c r="B1685" i="192" s="1"/>
  <c r="B1689" i="192" s="1"/>
  <c r="B1693" i="192" s="1"/>
  <c r="B1697" i="192" s="1"/>
  <c r="B1701" i="192" s="1"/>
  <c r="B1705" i="192" s="1"/>
  <c r="B1709" i="192" s="1"/>
  <c r="B1713" i="192" s="1"/>
  <c r="B1717" i="192" s="1"/>
  <c r="B1721" i="192" s="1"/>
  <c r="B1725" i="192" s="1"/>
  <c r="B1729" i="192" s="1"/>
  <c r="B1733" i="192" s="1"/>
  <c r="B1737" i="192" s="1"/>
  <c r="B1741" i="192" s="1"/>
  <c r="B1745" i="192" s="1"/>
  <c r="B1749" i="192" s="1"/>
  <c r="B1753" i="192" s="1"/>
  <c r="B1757" i="192" s="1"/>
  <c r="B1761" i="192" s="1"/>
  <c r="B1765" i="192" s="1"/>
  <c r="B1769" i="192" s="1"/>
  <c r="B1773" i="192" s="1"/>
  <c r="B1777" i="192" s="1"/>
  <c r="B1781" i="192" s="1"/>
  <c r="B1785" i="192" s="1"/>
  <c r="B1789" i="192" s="1"/>
  <c r="B1793" i="192" s="1"/>
  <c r="B1797" i="192" s="1"/>
  <c r="B1801" i="192" s="1"/>
  <c r="B1805" i="192" s="1"/>
  <c r="B1809" i="192" s="1"/>
  <c r="B1813" i="192" s="1"/>
  <c r="B1817" i="192" s="1"/>
  <c r="B1821" i="192" s="1"/>
  <c r="B1825" i="192" s="1"/>
  <c r="B1829" i="192" s="1"/>
  <c r="B1833" i="192" s="1"/>
  <c r="B1837" i="192" s="1"/>
  <c r="B1841" i="192" s="1"/>
  <c r="B1845" i="192" s="1"/>
  <c r="B1849" i="192" s="1"/>
  <c r="B1853" i="192" s="1"/>
  <c r="B1857" i="192" s="1"/>
  <c r="B1861" i="192" s="1"/>
  <c r="B1865" i="192" s="1"/>
  <c r="B1869" i="192" s="1"/>
  <c r="B1873" i="192" s="1"/>
  <c r="B1877" i="192" s="1"/>
  <c r="B1881" i="192" s="1"/>
  <c r="B1885" i="192" s="1"/>
  <c r="B1889" i="192" s="1"/>
  <c r="B1893" i="192" s="1"/>
  <c r="B1897" i="192" s="1"/>
  <c r="B1901" i="192" s="1"/>
  <c r="B1905" i="192" s="1"/>
  <c r="B1909" i="192" s="1"/>
  <c r="B1913" i="192" s="1"/>
  <c r="B1917" i="192" s="1"/>
  <c r="B1921" i="192" s="1"/>
  <c r="B1925" i="192" s="1"/>
  <c r="B1929" i="192" s="1"/>
  <c r="B1933" i="192" s="1"/>
  <c r="B1937" i="192" s="1"/>
  <c r="B1941" i="192" s="1"/>
  <c r="B1945" i="192" s="1"/>
  <c r="B1949" i="192" s="1"/>
  <c r="B1953" i="192" s="1"/>
  <c r="B1957" i="192" s="1"/>
  <c r="B1961" i="192" s="1"/>
  <c r="B1965" i="192" s="1"/>
  <c r="B1969" i="192" s="1"/>
  <c r="B1973" i="192" s="1"/>
  <c r="B1977" i="192" s="1"/>
  <c r="B1981" i="192" s="1"/>
  <c r="B1985" i="192" s="1"/>
  <c r="B1989" i="192" s="1"/>
  <c r="B1993" i="192" s="1"/>
  <c r="B1997" i="192" s="1"/>
  <c r="B2001" i="192" s="1"/>
  <c r="U32" i="192"/>
  <c r="U31" i="192"/>
  <c r="U30" i="192"/>
  <c r="U29" i="192"/>
  <c r="Q29" i="192"/>
  <c r="U28" i="192"/>
  <c r="U27" i="192"/>
  <c r="R25" i="192"/>
  <c r="E21" i="192"/>
  <c r="F13" i="192"/>
  <c r="B13" i="192"/>
  <c r="B17" i="192" s="1"/>
  <c r="B21" i="192" s="1"/>
  <c r="B25" i="192" s="1"/>
  <c r="B29" i="192" s="1"/>
  <c r="B33" i="192" s="1"/>
  <c r="B9" i="192"/>
  <c r="N5" i="192"/>
  <c r="V2" i="192"/>
  <c r="R1" i="192"/>
  <c r="Q1" i="192"/>
  <c r="P1" i="192"/>
  <c r="O1" i="192"/>
  <c r="N1" i="192"/>
  <c r="M1" i="192"/>
  <c r="L1" i="192"/>
  <c r="K1" i="192"/>
  <c r="J1" i="192"/>
  <c r="I1" i="192"/>
  <c r="H1" i="192"/>
  <c r="G1" i="192"/>
  <c r="F1" i="192"/>
  <c r="E1" i="192"/>
  <c r="D1" i="192"/>
  <c r="C1" i="192"/>
  <c r="B1" i="192"/>
  <c r="A1" i="192"/>
  <c r="D11" i="8" l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V2" i="9"/>
  <c r="B97" i="9" l="1"/>
  <c r="B101" i="9" s="1"/>
  <c r="B105" i="9" s="1"/>
  <c r="B109" i="9" l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405" i="9" s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805" i="9" s="1"/>
  <c r="B809" i="9" s="1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1205" i="9" s="1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1605" i="9" s="1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</calcChain>
</file>

<file path=xl/sharedStrings.xml><?xml version="1.0" encoding="utf-8"?>
<sst xmlns="http://schemas.openxmlformats.org/spreadsheetml/2006/main" count="1219" uniqueCount="407">
  <si>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</si>
  <si>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</si>
  <si>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</si>
  <si>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</si>
  <si>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</si>
  <si>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</si>
  <si>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</si>
  <si>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</si>
  <si>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</si>
  <si>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</si>
  <si>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</si>
  <si>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</si>
  <si>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</si>
  <si>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</si>
  <si>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</si>
  <si>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</si>
  <si>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</si>
  <si>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</si>
  <si>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，</t>
  </si>
  <si>
    <t>。</t>
  </si>
  <si>
    <t>φ</t>
  </si>
  <si>
    <t>N/A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</si>
  <si>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</si>
  <si>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</si>
  <si>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</si>
  <si>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</si>
  <si>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</si>
  <si>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無預設</t>
  </si>
  <si>
    <t>上及右</t>
  </si>
  <si>
    <t>output7</t>
    <phoneticPr fontId="1" type="noConversion"/>
  </si>
  <si>
    <t>其</t>
  </si>
  <si>
    <t>無</t>
  </si>
  <si>
    <t>之</t>
  </si>
  <si>
    <t>有</t>
  </si>
  <si>
    <t>三</t>
  </si>
  <si>
    <t>以</t>
  </si>
  <si>
    <t>為</t>
  </si>
  <si>
    <t>ziong1</t>
  </si>
  <si>
    <t>zi1</t>
  </si>
  <si>
    <t>tong1</t>
  </si>
  <si>
    <t>i2</t>
  </si>
  <si>
    <t>ui5</t>
  </si>
  <si>
    <t>sip8</t>
  </si>
  <si>
    <t>ki3</t>
  </si>
  <si>
    <t>gi5</t>
  </si>
  <si>
    <t>(5, 7)</t>
  </si>
  <si>
    <t>(25, 4)</t>
  </si>
  <si>
    <t>king1</t>
  </si>
  <si>
    <t>khi3</t>
  </si>
  <si>
    <t>ki5</t>
  </si>
  <si>
    <t>河洛話</t>
    <phoneticPr fontId="1" type="noConversion"/>
  </si>
  <si>
    <t>ging1</t>
  </si>
  <si>
    <t>室</t>
  </si>
  <si>
    <t>時</t>
  </si>
  <si>
    <t>車</t>
  </si>
  <si>
    <t>經</t>
  </si>
  <si>
    <t>漢字</t>
  </si>
  <si>
    <t>(5, 6)</t>
  </si>
  <si>
    <t>(29, 9)</t>
  </si>
  <si>
    <t>《</t>
  </si>
  <si>
    <t>道</t>
  </si>
  <si>
    <t>德</t>
  </si>
  <si>
    <t>第</t>
  </si>
  <si>
    <t>十</t>
  </si>
  <si>
    <t>一</t>
  </si>
  <si>
    <t>章</t>
  </si>
  <si>
    <t>》</t>
  </si>
  <si>
    <t>輻</t>
  </si>
  <si>
    <t>同</t>
  </si>
  <si>
    <t>轂</t>
  </si>
  <si>
    <t>當</t>
  </si>
  <si>
    <t>用</t>
  </si>
  <si>
    <t>也</t>
  </si>
  <si>
    <t>埏</t>
  </si>
  <si>
    <t>埴</t>
  </si>
  <si>
    <t>器</t>
  </si>
  <si>
    <t>鑿</t>
  </si>
  <si>
    <t>戶</t>
  </si>
  <si>
    <t>牖</t>
  </si>
  <si>
    <t>故</t>
  </si>
  <si>
    <t>利</t>
  </si>
  <si>
    <t>to7</t>
  </si>
  <si>
    <t>dor7</t>
  </si>
  <si>
    <t>tik4</t>
  </si>
  <si>
    <t>diek4</t>
  </si>
  <si>
    <t>te7</t>
  </si>
  <si>
    <t>de7</t>
  </si>
  <si>
    <t>ship8</t>
  </si>
  <si>
    <t>it4</t>
  </si>
  <si>
    <t>jiong1</t>
  </si>
  <si>
    <t>(5, 9)</t>
  </si>
  <si>
    <t>hok4</t>
  </si>
  <si>
    <t>kok4</t>
  </si>
  <si>
    <t>gok4</t>
  </si>
  <si>
    <t>dong1</t>
  </si>
  <si>
    <t>iu2</t>
  </si>
  <si>
    <t>ku1</t>
  </si>
  <si>
    <t>gu1</t>
  </si>
  <si>
    <t>ji1</t>
  </si>
  <si>
    <t>iong7</t>
  </si>
  <si>
    <t>ia2</t>
  </si>
  <si>
    <t>ian5</t>
  </si>
  <si>
    <t>sit8</t>
  </si>
  <si>
    <t>shit8</t>
  </si>
  <si>
    <t>cak8</t>
  </si>
  <si>
    <t>hoo7</t>
  </si>
  <si>
    <t>sik4</t>
  </si>
  <si>
    <t>shiek4</t>
  </si>
  <si>
    <t>koo3</t>
  </si>
  <si>
    <t>goo3</t>
  </si>
  <si>
    <t>li7</t>
  </si>
  <si>
    <t xml:space="preserve">《道德經。第十一章》
三十輻同一轂，當其無，有車之用也。
埏埴為器，當其無，有埴器之用也。
鑿戶牖，當其無，有室之用也。
故有之以為利，無之以為用。
</t>
  </si>
  <si>
    <t>sam1</t>
  </si>
  <si>
    <t>下一個編號的 Show 時刻</t>
  </si>
  <si>
    <t xml:space="preserve">計算此編號的 Hide 時刻 ==》 Hide Value = Show Value + Duration </t>
  </si>
  <si>
    <t>編號</t>
  </si>
  <si>
    <t>顯示時刻</t>
  </si>
  <si>
    <t>隱藏時刻</t>
  </si>
  <si>
    <t>持續時間
（秒）</t>
  </si>
  <si>
    <t>到下個顯示時刻時長  （秒）</t>
  </si>
  <si>
    <t>顯示時刻值（毫秒）</t>
  </si>
  <si>
    <t>次顯示時刻值 （毫秒）</t>
  </si>
  <si>
    <t>分</t>
  </si>
  <si>
    <t>秒</t>
  </si>
  <si>
    <t>毫秒</t>
  </si>
  <si>
    <t>隱藏時刻值  （毫秒）</t>
  </si>
  <si>
    <t>漢字標音</t>
  </si>
  <si>
    <t>00:00:00,000</t>
  </si>
  <si>
    <t>00:00:20,000</t>
  </si>
  <si>
    <t>00</t>
  </si>
  <si>
    <t>25</t>
  </si>
  <si>
    <t>000</t>
  </si>
  <si>
    <t>20</t>
  </si>
  <si>
    <t>《道德經。第十一章》</t>
  </si>
  <si>
    <t>Tō tik king. Tē si̍p it tsiong</t>
  </si>
  <si>
    <t>00:00:25,000</t>
  </si>
  <si>
    <t>00:00:27,000</t>
  </si>
  <si>
    <t>30</t>
  </si>
  <si>
    <t>27</t>
  </si>
  <si>
    <t>Sip hok tâng it kok, tong kî bô, íu ku tsi īong ía.</t>
  </si>
  <si>
    <t>00:00:30,000</t>
  </si>
  <si>
    <t>00:00:32,000</t>
  </si>
  <si>
    <t>35</t>
  </si>
  <si>
    <t>32</t>
  </si>
  <si>
    <t>埏埴為器，當其無，有埴器之用也。</t>
  </si>
  <si>
    <t>Îan si̍t ûi khì, tong kî bô, íu si̍t khì tsi īong ía.</t>
  </si>
  <si>
    <t>00:00:35,000</t>
  </si>
  <si>
    <t>00:00:37,000</t>
  </si>
  <si>
    <t>40</t>
  </si>
  <si>
    <t>37</t>
  </si>
  <si>
    <t>鑿戶牖，當其無，有室之用也。</t>
  </si>
  <si>
    <t>00:00:40,000</t>
  </si>
  <si>
    <t>00:00:42,000</t>
  </si>
  <si>
    <t>45</t>
  </si>
  <si>
    <t>42</t>
  </si>
  <si>
    <t>故有之以為利，無之以為用。</t>
  </si>
  <si>
    <t>Kòo íu tsi í ûi lī, bô tsi í ûi īong.</t>
  </si>
  <si>
    <t>End</t>
  </si>
  <si>
    <t>00:00:44,000</t>
  </si>
  <si>
    <t>47</t>
  </si>
  <si>
    <t>44</t>
  </si>
  <si>
    <r>
      <t>py a100_</t>
    </r>
    <r>
      <rPr>
        <sz val="16"/>
        <color theme="1"/>
        <rFont val="Microsoft JhengHei UI"/>
        <family val="2"/>
        <charset val="136"/>
      </rPr>
      <t>作業中活頁檔填入漢字</t>
    </r>
    <r>
      <rPr>
        <sz val="16"/>
        <color theme="1"/>
        <rFont val="Charis SIL"/>
      </rPr>
      <t>.py --new</t>
    </r>
    <phoneticPr fontId="1" type="noConversion"/>
  </si>
  <si>
    <r>
      <t>py a200_</t>
    </r>
    <r>
      <rPr>
        <sz val="16"/>
        <color theme="1"/>
        <rFont val="Microsoft JhengHei UI"/>
        <family val="2"/>
        <charset val="136"/>
      </rPr>
      <t>查找及填入漢字標音</t>
    </r>
    <r>
      <rPr>
        <sz val="16"/>
        <color theme="1"/>
        <rFont val="Charis SIL"/>
      </rPr>
      <t>.py</t>
    </r>
    <phoneticPr fontId="1" type="noConversion"/>
  </si>
  <si>
    <r>
      <t>py a300_</t>
    </r>
    <r>
      <rPr>
        <sz val="16"/>
        <color theme="1"/>
        <rFont val="Microsoft JhengHei UI"/>
        <family val="2"/>
        <charset val="136"/>
      </rPr>
      <t>漢字注音工作表校對</t>
    </r>
    <r>
      <rPr>
        <sz val="16"/>
        <color theme="1"/>
        <rFont val="Charis SIL"/>
      </rPr>
      <t>.py  --view</t>
    </r>
    <phoneticPr fontId="1" type="noConversion"/>
  </si>
  <si>
    <r>
      <t>py a391_</t>
    </r>
    <r>
      <rPr>
        <sz val="16"/>
        <color theme="1"/>
        <rFont val="Microsoft JhengHei UI"/>
        <family val="2"/>
        <charset val="136"/>
      </rPr>
      <t>缺字表修正後續作業</t>
    </r>
    <r>
      <rPr>
        <sz val="16"/>
        <color theme="1"/>
        <rFont val="Charis SIL"/>
      </rPr>
      <t>.py</t>
    </r>
    <phoneticPr fontId="1" type="noConversion"/>
  </si>
  <si>
    <r>
      <t>py a400_</t>
    </r>
    <r>
      <rPr>
        <sz val="16"/>
        <color theme="1"/>
        <rFont val="Microsoft JhengHei UI"/>
        <family val="2"/>
        <charset val="136"/>
      </rPr>
      <t>製作標音網頁</t>
    </r>
    <r>
      <rPr>
        <sz val="16"/>
        <color theme="1"/>
        <rFont val="Charis SIL"/>
      </rPr>
      <t>.py</t>
    </r>
    <phoneticPr fontId="1" type="noConversion"/>
  </si>
  <si>
    <t>tong5</t>
  </si>
  <si>
    <t>tong5</t>
    <phoneticPr fontId="1" type="noConversion"/>
  </si>
  <si>
    <t>dong5</t>
    <phoneticPr fontId="1" type="noConversion"/>
  </si>
  <si>
    <t>bu5</t>
  </si>
  <si>
    <t>bu5</t>
    <phoneticPr fontId="1" type="noConversion"/>
  </si>
  <si>
    <t>bbu5</t>
    <phoneticPr fontId="1" type="noConversion"/>
  </si>
  <si>
    <t>。</t>
    <phoneticPr fontId="1" type="noConversion"/>
  </si>
  <si>
    <t>三十輻同一轂，當其無，有車之用也。</t>
  </si>
  <si>
    <t>Tsha̍k hōo iú, tong kî bô, íu sik tsi īong ía.</t>
    <phoneticPr fontId="1" type="noConversion"/>
  </si>
  <si>
    <t>Dor7 diek4 ging1. De7 ship8 it4 jiong1</t>
  </si>
  <si>
    <t>Sam1 ship8 hok4 dong5 it4 gok4, dong1 gi5 bbu5, iu2 gu1 ji1 iong7 ia2.</t>
  </si>
  <si>
    <t>Ian5 shit8 ui5 ki3, dong1 gi5 bbu5, iu2 shit8 ki3 ji1 iong7 ia2.</t>
  </si>
  <si>
    <t>Cak8 hoo7 iu2, dong1 gi5 bbu5, iu2 shiek4 ji1 iong7 ia2.</t>
  </si>
  <si>
    <t>Goo3 iu2 ji1 i2 ui5 li7, bbu5 ji1 i2 ui5 iong7.</t>
  </si>
  <si>
    <t>to7</t>
    <phoneticPr fontId="1" type="noConversion"/>
  </si>
  <si>
    <t>tō</t>
    <phoneticPr fontId="1" type="noConversion"/>
  </si>
  <si>
    <t>tik4</t>
    <phoneticPr fontId="1" type="noConversion"/>
  </si>
  <si>
    <t>tik</t>
    <phoneticPr fontId="1" type="noConversion"/>
  </si>
  <si>
    <t>king1</t>
    <phoneticPr fontId="1" type="noConversion"/>
  </si>
  <si>
    <t>king</t>
    <phoneticPr fontId="1" type="noConversion"/>
  </si>
  <si>
    <t>te7</t>
    <phoneticPr fontId="1" type="noConversion"/>
  </si>
  <si>
    <t>tē</t>
    <phoneticPr fontId="1" type="noConversion"/>
  </si>
  <si>
    <t>sip8</t>
    <phoneticPr fontId="1" type="noConversion"/>
  </si>
  <si>
    <t>si̍p</t>
    <phoneticPr fontId="1" type="noConversion"/>
  </si>
  <si>
    <t>it4</t>
    <phoneticPr fontId="1" type="noConversion"/>
  </si>
  <si>
    <t>it</t>
    <phoneticPr fontId="1" type="noConversion"/>
  </si>
  <si>
    <t>ziong1</t>
    <phoneticPr fontId="1" type="noConversion"/>
  </si>
  <si>
    <t>tsiong</t>
    <phoneticPr fontId="1" type="noConversion"/>
  </si>
  <si>
    <t>sam1</t>
    <phoneticPr fontId="1" type="noConversion"/>
  </si>
  <si>
    <t>sam</t>
    <phoneticPr fontId="1" type="noConversion"/>
  </si>
  <si>
    <t>hok4</t>
    <phoneticPr fontId="1" type="noConversion"/>
  </si>
  <si>
    <t>hok</t>
    <phoneticPr fontId="1" type="noConversion"/>
  </si>
  <si>
    <t>tông</t>
    <phoneticPr fontId="1" type="noConversion"/>
  </si>
  <si>
    <t>kok4</t>
    <phoneticPr fontId="1" type="noConversion"/>
  </si>
  <si>
    <t>kok</t>
    <phoneticPr fontId="1" type="noConversion"/>
  </si>
  <si>
    <t>tong1</t>
    <phoneticPr fontId="1" type="noConversion"/>
  </si>
  <si>
    <t>tong</t>
    <phoneticPr fontId="1" type="noConversion"/>
  </si>
  <si>
    <t>ki5</t>
    <phoneticPr fontId="1" type="noConversion"/>
  </si>
  <si>
    <t>kî</t>
    <phoneticPr fontId="1" type="noConversion"/>
  </si>
  <si>
    <t>bû</t>
    <phoneticPr fontId="1" type="noConversion"/>
  </si>
  <si>
    <t>iu2</t>
    <phoneticPr fontId="1" type="noConversion"/>
  </si>
  <si>
    <t>íu</t>
    <phoneticPr fontId="1" type="noConversion"/>
  </si>
  <si>
    <t>ku1</t>
    <phoneticPr fontId="1" type="noConversion"/>
  </si>
  <si>
    <t>ku</t>
    <phoneticPr fontId="1" type="noConversion"/>
  </si>
  <si>
    <t>zi1</t>
    <phoneticPr fontId="1" type="noConversion"/>
  </si>
  <si>
    <t>tsi</t>
    <phoneticPr fontId="1" type="noConversion"/>
  </si>
  <si>
    <t>iong7</t>
    <phoneticPr fontId="1" type="noConversion"/>
  </si>
  <si>
    <t>īong</t>
    <phoneticPr fontId="1" type="noConversion"/>
  </si>
  <si>
    <t>ia2</t>
    <phoneticPr fontId="1" type="noConversion"/>
  </si>
  <si>
    <t>ía</t>
    <phoneticPr fontId="1" type="noConversion"/>
  </si>
  <si>
    <t>ian5</t>
    <phoneticPr fontId="1" type="noConversion"/>
  </si>
  <si>
    <t>îan</t>
    <phoneticPr fontId="1" type="noConversion"/>
  </si>
  <si>
    <t>sit8</t>
    <phoneticPr fontId="1" type="noConversion"/>
  </si>
  <si>
    <t>si̍t</t>
    <phoneticPr fontId="1" type="noConversion"/>
  </si>
  <si>
    <t>ui5</t>
    <phoneticPr fontId="1" type="noConversion"/>
  </si>
  <si>
    <t>ûi</t>
    <phoneticPr fontId="1" type="noConversion"/>
  </si>
  <si>
    <t>khi3</t>
    <phoneticPr fontId="1" type="noConversion"/>
  </si>
  <si>
    <t>khì</t>
    <phoneticPr fontId="1" type="noConversion"/>
  </si>
  <si>
    <t>cak8</t>
    <phoneticPr fontId="1" type="noConversion"/>
  </si>
  <si>
    <t>tsha̍k</t>
    <phoneticPr fontId="1" type="noConversion"/>
  </si>
  <si>
    <t>hoo7</t>
    <phoneticPr fontId="1" type="noConversion"/>
  </si>
  <si>
    <t>hōo</t>
    <phoneticPr fontId="1" type="noConversion"/>
  </si>
  <si>
    <t>sik4</t>
    <phoneticPr fontId="1" type="noConversion"/>
  </si>
  <si>
    <t>sik</t>
    <phoneticPr fontId="1" type="noConversion"/>
  </si>
  <si>
    <t>koo3</t>
    <phoneticPr fontId="1" type="noConversion"/>
  </si>
  <si>
    <t>kòo</t>
    <phoneticPr fontId="1" type="noConversion"/>
  </si>
  <si>
    <t>i2</t>
    <phoneticPr fontId="1" type="noConversion"/>
  </si>
  <si>
    <t>í</t>
    <phoneticPr fontId="1" type="noConversion"/>
  </si>
  <si>
    <t>li7</t>
    <phoneticPr fontId="1" type="noConversion"/>
  </si>
  <si>
    <t>lī</t>
    <phoneticPr fontId="1" type="noConversion"/>
  </si>
  <si>
    <r>
      <t>py b000_</t>
    </r>
    <r>
      <rPr>
        <sz val="16"/>
        <color theme="1"/>
        <rFont val="Microsoft JhengHei UI"/>
        <family val="2"/>
        <charset val="136"/>
      </rPr>
      <t>抄寫到</t>
    </r>
    <r>
      <rPr>
        <sz val="16"/>
        <color theme="1"/>
        <rFont val="Charis SIL"/>
      </rPr>
      <t>SRT</t>
    </r>
    <r>
      <rPr>
        <sz val="16"/>
        <color theme="1"/>
        <rFont val="Microsoft JhengHei UI"/>
        <family val="2"/>
        <charset val="136"/>
      </rPr>
      <t>漢字注音工作表</t>
    </r>
    <r>
      <rPr>
        <sz val="16"/>
        <color theme="1"/>
        <rFont val="Charis SIL"/>
      </rPr>
      <t>.py</t>
    </r>
    <phoneticPr fontId="1" type="noConversion"/>
  </si>
  <si>
    <t>缺字表</t>
    <phoneticPr fontId="1" type="noConversion"/>
  </si>
  <si>
    <t>用【E】鍵。</t>
    <phoneticPr fontId="1" type="noConversion"/>
  </si>
  <si>
    <t>查漢字標音</t>
    <phoneticPr fontId="1" type="noConversion"/>
  </si>
  <si>
    <t>用【空白】鍵。</t>
    <phoneticPr fontId="1" type="noConversion"/>
  </si>
  <si>
    <r>
      <t>py a300_</t>
    </r>
    <r>
      <rPr>
        <sz val="16"/>
        <color rgb="FFFF0000"/>
        <rFont val="Microsoft JhengHei UI"/>
        <family val="2"/>
        <charset val="136"/>
      </rPr>
      <t>漢字注音工作表校對</t>
    </r>
    <r>
      <rPr>
        <sz val="16"/>
        <color rgb="FFFF0000"/>
        <rFont val="Charis SIL"/>
      </rPr>
      <t>.py</t>
    </r>
    <phoneticPr fontId="1" type="noConversion"/>
  </si>
  <si>
    <t>上下注音文</t>
    <phoneticPr fontId="1" type="noConversion"/>
  </si>
  <si>
    <t>而</t>
  </si>
  <si>
    <t>者</t>
  </si>
  <si>
    <t>此</t>
  </si>
  <si>
    <t>ji5</t>
  </si>
  <si>
    <t>(33, 4)</t>
  </si>
  <si>
    <t>(33, 5)</t>
  </si>
  <si>
    <t>zia2</t>
  </si>
  <si>
    <t>cu2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</si>
  <si>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</si>
  <si>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</si>
  <si>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</si>
  <si>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</si>
  <si>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第一章論德</t>
  </si>
  <si>
    <t>Dê yīt ziōng lûn dīk</t>
  </si>
  <si>
    <t>前識者道之華也而愚之首也</t>
  </si>
  <si>
    <t>Zián bbāt ziǎ dô zī huá yǎ zzí ggú zī sǐu yǎ</t>
  </si>
  <si>
    <t>(5, 10)</t>
  </si>
  <si>
    <t>(17, 12)</t>
  </si>
  <si>
    <t>(33, 10)</t>
  </si>
  <si>
    <t>(37, 6)</t>
  </si>
  <si>
    <t>《道德經。第一章》</t>
  </si>
  <si>
    <t>Dô dīk gīng. Dê yīt ziōng</t>
  </si>
  <si>
    <t>上德不德是以有德</t>
  </si>
  <si>
    <t>Siông dīk būt dīk sî yǐ yǔ dīk</t>
  </si>
  <si>
    <t>下德不失德是以無德</t>
  </si>
  <si>
    <t>Hà dīk būt sīt dīk sî yǐ bbú dīk</t>
  </si>
  <si>
    <t>上德無為而無以為也</t>
  </si>
  <si>
    <t>Siông dīk bbú wí zzí bbú yǐ wí yǎ</t>
  </si>
  <si>
    <t>上仁為之而無以為也</t>
  </si>
  <si>
    <t>Siông zzín wí zī zzí bbú yǐ wí yǎ</t>
  </si>
  <si>
    <t>上義為之而有以為也</t>
  </si>
  <si>
    <t>Siông ggî wí zī zzí yǔ yǐ wí yǎ</t>
  </si>
  <si>
    <t>上禮為之而莫之應也</t>
  </si>
  <si>
    <t>Siông lě wí zī zzí bbók zī yīng yǎ</t>
  </si>
  <si>
    <t>則攘臂而扔之</t>
  </si>
  <si>
    <t>Zīk zzióng bì zzí zzíng zī</t>
  </si>
  <si>
    <t>故失道而後德失德而後仁</t>
  </si>
  <si>
    <t>Gòo sīt dô zzí hôo dīk sīt dīk zzí hôo zzín</t>
  </si>
  <si>
    <t>失仁而後義失義而後禮</t>
  </si>
  <si>
    <t>Sīt zzín zzí hôo ggî sīt ggî zzí hôo lě</t>
  </si>
  <si>
    <t>夫禮者忠信之泊也而亂之首也</t>
  </si>
  <si>
    <t>Hú lě ziǎ diōng sìn zī bók yǎ zzí luân zī sǐu yǎ</t>
  </si>
  <si>
    <t>是以大丈夫居亓厚而不居亓泊</t>
  </si>
  <si>
    <t>Sî yǐ dâi diông hú gū gí hôo zzí būt gū gí bók</t>
  </si>
  <si>
    <t>居亓實而不居亓華</t>
  </si>
  <si>
    <t>Gū gí sít zzí būt gū gí huá</t>
  </si>
  <si>
    <t>故去彼取此有之以為利，無之以為用。</t>
  </si>
  <si>
    <t>Gòo kù hīt cǔ cǔ yǔ zī yǐ wí lî, bbú zī yǐ wí yông.</t>
  </si>
  <si>
    <t>可</t>
  </si>
  <si>
    <t>非</t>
  </si>
  <si>
    <t>恆</t>
  </si>
  <si>
    <t>名</t>
  </si>
  <si>
    <t>「</t>
  </si>
  <si>
    <t>」</t>
  </si>
  <si>
    <t>天</t>
  </si>
  <si>
    <t>地</t>
  </si>
  <si>
    <t>始</t>
  </si>
  <si>
    <t>；</t>
  </si>
  <si>
    <t>萬</t>
  </si>
  <si>
    <t>物</t>
  </si>
  <si>
    <t>母</t>
  </si>
  <si>
    <t>常</t>
  </si>
  <si>
    <t>欲</t>
  </si>
  <si>
    <t>觀</t>
  </si>
  <si>
    <t>妙</t>
  </si>
  <si>
    <t>所</t>
  </si>
  <si>
    <t>徼</t>
  </si>
  <si>
    <t>兩</t>
  </si>
  <si>
    <t>出</t>
  </si>
  <si>
    <t>異</t>
  </si>
  <si>
    <t>謂</t>
  </si>
  <si>
    <t>玄</t>
  </si>
  <si>
    <t>又</t>
  </si>
  <si>
    <t>眾</t>
  </si>
  <si>
    <t>門</t>
  </si>
  <si>
    <t xml:space="preserve">《道德經。一章》
道，可道也，非恆道也。
名，可名也，非恆名也。
「無」，名天地之始；「有」，名萬物之母。
故，常無欲也，以觀其妙；常有欲也，以觀其所徼。
此兩者，同出而異名，同謂之玄。玄之又玄，眾妙之門。
</t>
  </si>
  <si>
    <t>道德經。一章</t>
    <phoneticPr fontId="1" type="noConversion"/>
  </si>
  <si>
    <t>kho2</t>
  </si>
  <si>
    <t>hui1</t>
  </si>
  <si>
    <t>hing5</t>
  </si>
  <si>
    <t>(5, 5); (9, 4); (9, 7); (9, 12)</t>
  </si>
  <si>
    <t>bing5</t>
  </si>
  <si>
    <t>(9, 6); (13, 6)</t>
  </si>
  <si>
    <t>(9, 10); (13, 10)</t>
  </si>
  <si>
    <t>(9, 11); (13, 11)</t>
  </si>
  <si>
    <t>thian1</t>
  </si>
  <si>
    <t>si2</t>
  </si>
  <si>
    <t>(17, 9)</t>
  </si>
  <si>
    <t>(17, 10)</t>
  </si>
  <si>
    <t>ban7</t>
  </si>
  <si>
    <t>but8</t>
  </si>
  <si>
    <t>bio2</t>
  </si>
  <si>
    <t>(21, 4)</t>
  </si>
  <si>
    <t>(21, 5)</t>
  </si>
  <si>
    <t>(21, 7)</t>
  </si>
  <si>
    <t>siong5</t>
  </si>
  <si>
    <t>iok8</t>
  </si>
  <si>
    <t>kuan1</t>
  </si>
  <si>
    <t>biau7</t>
  </si>
  <si>
    <t>(17, 5); (25, 7)</t>
  </si>
  <si>
    <t>(17, 15); (25, 17)</t>
  </si>
  <si>
    <t>(25, 6); (25, 16)</t>
  </si>
  <si>
    <t>(25, 8); (25, 18)</t>
  </si>
  <si>
    <t>soo2</t>
  </si>
  <si>
    <t>kiau3</t>
  </si>
  <si>
    <t>(9, 8); (9, 13); (13, 8); (13, 13); (25, 9); (29, 4)</t>
  </si>
  <si>
    <t>(25, 11); (29, 6)</t>
  </si>
  <si>
    <t>(25, 12); (29, 7)</t>
  </si>
  <si>
    <t>(25, 13); (29, 8)</t>
  </si>
  <si>
    <t>(29, 10)</t>
  </si>
  <si>
    <t>liong2</t>
  </si>
  <si>
    <t>cut4</t>
  </si>
  <si>
    <t>i7</t>
  </si>
  <si>
    <t>ui7</t>
  </si>
  <si>
    <t>hian5</t>
  </si>
  <si>
    <t>(13, 4); (13, 7); (13, 12); (17, 8); (17, 18); (33, 12)</t>
  </si>
  <si>
    <t>(33, 6)</t>
  </si>
  <si>
    <t>(33, 8); (33, 14)</t>
  </si>
  <si>
    <t>(33, 9)</t>
  </si>
  <si>
    <t>(33, 11)</t>
  </si>
  <si>
    <t>(33, 15)</t>
  </si>
  <si>
    <t>iu7</t>
  </si>
  <si>
    <t>ziong3</t>
  </si>
  <si>
    <t>bun5</t>
  </si>
  <si>
    <t>(17, 11); (21, 6); (33, 16); (37, 5); (37, 11)</t>
  </si>
  <si>
    <t>(25, 14); (37, 10)</t>
  </si>
  <si>
    <t>(33, 17); (37, 4); (37, 7)</t>
  </si>
  <si>
    <t>(37, 9)</t>
  </si>
  <si>
    <t>(37, 12)</t>
  </si>
  <si>
    <t>注音二式</t>
  </si>
  <si>
    <t>雅俗通</t>
  </si>
  <si>
    <t>方音符號</t>
  </si>
  <si>
    <t>kor2</t>
  </si>
  <si>
    <t>bbing5</t>
  </si>
  <si>
    <t>bbu5</t>
  </si>
  <si>
    <t>tian1</t>
  </si>
  <si>
    <t>shi2</t>
  </si>
  <si>
    <t>bban7</t>
  </si>
  <si>
    <t>bbut8</t>
  </si>
  <si>
    <t>bbior2</t>
  </si>
  <si>
    <t>shiong5</t>
  </si>
  <si>
    <t>iook8</t>
  </si>
  <si>
    <t>guan1</t>
  </si>
  <si>
    <t>bbiau7</t>
  </si>
  <si>
    <t>giau3</t>
  </si>
  <si>
    <t>jia2</t>
  </si>
  <si>
    <t>dong5</t>
  </si>
  <si>
    <t>jji5</t>
  </si>
  <si>
    <t>jiong3</t>
  </si>
  <si>
    <t>bbun5</t>
  </si>
  <si>
    <t>【河洛文讀注音-注音二式】《道德經。一章》.xlsx</t>
    <phoneticPr fontId="1" type="noConversion"/>
  </si>
  <si>
    <t>《道德經。一章》</t>
  </si>
  <si>
    <t>Dor7 diek4 ging1. It4 jiong1</t>
  </si>
  <si>
    <t>道，可道也，非恆道也。</t>
  </si>
  <si>
    <t>Dor7, kor2 dor7 ia2, hui1 hing5 dor7 ia2.</t>
  </si>
  <si>
    <t>名，可名也，非恆名也。</t>
  </si>
  <si>
    <t>Bbing5, kor2 bbing5 ia2, hui1 hing5 bbing5 ia2.</t>
  </si>
  <si>
    <t>「無」，名天地之始；「有」，名萬物之母。</t>
  </si>
  <si>
    <t>Bbu5, bbing5 tian1 de7 ji1 shi2; iu2, bbing5 bban7 bbut8 ji1 bbior2.</t>
  </si>
  <si>
    <t>故，常無欲也，以觀其妙；常有欲也，以觀其所徼。</t>
  </si>
  <si>
    <t>Goo3, shiong5 bbu5 iook8 ia2, i2 guan1 gi5 bbiau7; shiong5 iu2 iook8 ia2, i2 guan1 gi5 soo2 giau3.</t>
  </si>
  <si>
    <t>此兩者，同出而異名，同謂之玄。玄之又玄，眾妙之門。</t>
  </si>
  <si>
    <t>Cu2 liong2 jia2, dong5 cut4 jji5 i7 bbing5, dong5 ui7 ji1 hian5. Hian5 ji1 iu7 hian5, jiong3 bbiau7 ji1 bbun5.</t>
  </si>
  <si>
    <t>daodejing-series.png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</si>
</sst>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.000_);[Red]\(#,##0.000\)"/>
  </numFmts>
  <fonts count="5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6"/>
      <color rgb="FF009900"/>
      <name val="Cascadia Code"/>
      <family val="3"/>
    </font>
    <font>
      <sz val="18"/>
      <color theme="1"/>
      <name val="Calibri"/>
      <family val="2"/>
    </font>
    <font>
      <b/>
      <sz val="48"/>
      <color rgb="FFFF0000"/>
      <name val="吳守禮細明台語注音"/>
      <family val="1"/>
      <charset val="136"/>
    </font>
    <font>
      <u/>
      <sz val="18"/>
      <color theme="10"/>
      <name val="新細明體"/>
      <family val="2"/>
      <charset val="136"/>
      <scheme val="minor"/>
    </font>
    <font>
      <sz val="18"/>
      <color theme="1"/>
      <name val="Arial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1"/>
      <color rgb="FFFFFFFF"/>
      <name val="Microsoft JhengHei"/>
      <family val="2"/>
      <charset val="136"/>
    </font>
    <font>
      <sz val="11"/>
      <name val="Microsoft JhengHei"/>
      <family val="2"/>
      <charset val="136"/>
    </font>
    <font>
      <sz val="11"/>
      <color theme="1"/>
      <name val="新細明體"/>
      <family val="2"/>
      <scheme val="minor"/>
    </font>
    <font>
      <sz val="11"/>
      <color rgb="FFFF0000"/>
      <name val="Microsoft JhengHei"/>
      <family val="2"/>
      <charset val="136"/>
    </font>
    <font>
      <b/>
      <sz val="11"/>
      <color rgb="FFFF0000"/>
      <name val="Microsoft JhengHei"/>
      <family val="2"/>
      <charset val="136"/>
    </font>
    <font>
      <sz val="11"/>
      <color rgb="FFFF0000"/>
      <name val="Microsoft JhengHei"/>
      <family val="2"/>
    </font>
    <font>
      <b/>
      <sz val="11"/>
      <color rgb="FFFFFF00"/>
      <name val="Microsoft JhengHei"/>
      <family val="2"/>
    </font>
    <font>
      <b/>
      <sz val="11"/>
      <color rgb="FF0070C0"/>
      <name val="Microsoft JhengHei"/>
      <family val="2"/>
      <charset val="136"/>
    </font>
    <font>
      <b/>
      <sz val="18"/>
      <color rgb="FFFFFFFF"/>
      <name val="Microsoft JhengHei"/>
      <family val="2"/>
      <charset val="136"/>
    </font>
    <font>
      <sz val="18"/>
      <name val="Microsoft JhengHei"/>
      <family val="2"/>
      <charset val="136"/>
    </font>
    <font>
      <b/>
      <sz val="18"/>
      <color rgb="FFFF0000"/>
      <name val="Microsoft JhengHei"/>
      <family val="2"/>
      <charset val="136"/>
    </font>
    <font>
      <sz val="18"/>
      <name val="Charis SIL"/>
    </font>
    <font>
      <sz val="16"/>
      <color theme="1"/>
      <name val="Charis SIL"/>
    </font>
    <font>
      <sz val="16"/>
      <color theme="1"/>
      <name val="Microsoft JhengHei UI"/>
      <family val="2"/>
      <charset val="136"/>
    </font>
    <font>
      <sz val="26"/>
      <color rgb="FF009900"/>
      <name val="Charis SIL"/>
    </font>
    <font>
      <sz val="16"/>
      <color rgb="FFFF0000"/>
      <name val="Charis SIL"/>
    </font>
    <font>
      <sz val="16"/>
      <color rgb="FFFF0000"/>
      <name val="Microsoft JhengHei UI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7" fillId="0" borderId="0" applyNumberFormat="0" applyFill="0" applyBorder="0" applyAlignment="0" applyProtection="0">
      <alignment vertical="center"/>
    </xf>
    <xf numFmtId="0" fontId="38" fillId="4" borderId="0">
      <alignment horizontal="center" vertical="center"/>
    </xf>
    <xf numFmtId="0" fontId="44" fillId="0" borderId="0"/>
    <xf numFmtId="43" fontId="41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88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2" fillId="0" borderId="0" xfId="3" applyFont="1" applyAlignment="1">
      <alignment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shrinkToFit="1" readingOrder="1"/>
    </xf>
    <xf numFmtId="0" fontId="25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8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9" fillId="0" borderId="0" xfId="1" applyFont="1">
      <alignment vertical="center"/>
    </xf>
    <xf numFmtId="0" fontId="30" fillId="0" borderId="0" xfId="3" applyFont="1" applyAlignment="1">
      <alignment horizontal="left" vertical="center"/>
    </xf>
    <xf numFmtId="0" fontId="31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2" fillId="0" borderId="0" xfId="1" applyFont="1" applyAlignment="1">
      <alignment horizontal="left" vertical="center"/>
    </xf>
    <xf numFmtId="0" fontId="33" fillId="3" borderId="0" xfId="1" applyFont="1" applyFill="1">
      <alignment vertical="center"/>
    </xf>
    <xf numFmtId="0" fontId="31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5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34" fillId="2" borderId="3" xfId="3" applyFont="1" applyFill="1" applyBorder="1" applyAlignment="1" applyProtection="1">
      <alignment horizontal="center" vertical="center" wrapText="1" readingOrder="1"/>
      <protection locked="0"/>
    </xf>
    <xf numFmtId="0" fontId="36" fillId="0" borderId="0" xfId="3" applyFont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center" vertical="center"/>
    </xf>
    <xf numFmtId="0" fontId="39" fillId="4" borderId="0" xfId="4" applyFont="1" applyFill="1" applyAlignment="1">
      <alignment vertical="center" readingOrder="1"/>
    </xf>
    <xf numFmtId="0" fontId="40" fillId="0" borderId="0" xfId="1" applyFont="1">
      <alignment vertical="center"/>
    </xf>
    <xf numFmtId="0" fontId="54" fillId="0" borderId="0" xfId="0" applyFont="1">
      <alignment vertical="center"/>
    </xf>
    <xf numFmtId="49" fontId="52" fillId="4" borderId="6" xfId="0" applyNumberFormat="1" applyFont="1" applyFill="1" applyBorder="1" applyAlignment="1">
      <alignment horizontal="left" vertical="center" wrapText="1"/>
    </xf>
    <xf numFmtId="49" fontId="53" fillId="2" borderId="6" xfId="0" applyNumberFormat="1" applyFont="1" applyFill="1" applyBorder="1" applyAlignment="1">
      <alignment horizontal="left" vertical="center" wrapText="1"/>
    </xf>
    <xf numFmtId="49" fontId="51" fillId="2" borderId="6" xfId="0" applyNumberFormat="1" applyFont="1" applyFill="1" applyBorder="1" applyAlignment="1">
      <alignment horizontal="left" vertical="center" wrapText="1"/>
    </xf>
    <xf numFmtId="0" fontId="42" fillId="5" borderId="6" xfId="0" applyFont="1" applyFill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0" fillId="0" borderId="0" xfId="0" applyAlignment="1"/>
    <xf numFmtId="0" fontId="48" fillId="7" borderId="6" xfId="0" applyFont="1" applyFill="1" applyBorder="1" applyAlignment="1">
      <alignment horizontal="center" vertical="center"/>
    </xf>
    <xf numFmtId="0" fontId="49" fillId="8" borderId="6" xfId="0" applyFont="1" applyFill="1" applyBorder="1" applyAlignment="1">
      <alignment horizontal="center" vertical="center" wrapText="1"/>
    </xf>
    <xf numFmtId="0" fontId="42" fillId="5" borderId="6" xfId="0" applyFont="1" applyFill="1" applyBorder="1" applyAlignment="1">
      <alignment horizontal="center" vertical="center" wrapText="1"/>
    </xf>
    <xf numFmtId="0" fontId="48" fillId="7" borderId="6" xfId="0" applyFont="1" applyFill="1" applyBorder="1" applyAlignment="1">
      <alignment horizontal="center" vertical="center" wrapText="1"/>
    </xf>
    <xf numFmtId="38" fontId="43" fillId="2" borderId="6" xfId="7" applyNumberFormat="1" applyFont="1" applyFill="1" applyBorder="1" applyAlignment="1" applyProtection="1">
      <alignment horizontal="right" vertical="center"/>
    </xf>
    <xf numFmtId="38" fontId="43" fillId="6" borderId="6" xfId="7" applyNumberFormat="1" applyFont="1" applyFill="1" applyBorder="1" applyAlignment="1" applyProtection="1">
      <alignment horizontal="right" vertical="center"/>
    </xf>
    <xf numFmtId="0" fontId="49" fillId="8" borderId="6" xfId="0" applyFont="1" applyFill="1" applyBorder="1" applyAlignment="1">
      <alignment horizontal="centerContinuous" vertical="center"/>
    </xf>
    <xf numFmtId="0" fontId="45" fillId="0" borderId="6" xfId="0" applyFont="1" applyBorder="1" applyAlignment="1">
      <alignment horizontal="center" vertical="center"/>
    </xf>
    <xf numFmtId="0" fontId="46" fillId="9" borderId="6" xfId="0" applyFont="1" applyFill="1" applyBorder="1" applyAlignment="1" applyProtection="1">
      <alignment horizontal="center" vertical="center"/>
      <protection locked="0"/>
    </xf>
    <xf numFmtId="0" fontId="43" fillId="9" borderId="6" xfId="0" applyFont="1" applyFill="1" applyBorder="1" applyAlignment="1">
      <alignment horizontal="center" vertical="center"/>
    </xf>
    <xf numFmtId="177" fontId="43" fillId="9" borderId="6" xfId="7" applyNumberFormat="1" applyFont="1" applyFill="1" applyBorder="1" applyAlignment="1" applyProtection="1">
      <alignment horizontal="right" vertical="center"/>
    </xf>
    <xf numFmtId="38" fontId="43" fillId="2" borderId="6" xfId="7" applyNumberFormat="1" applyFont="1" applyFill="1" applyBorder="1" applyAlignment="1" applyProtection="1">
      <alignment horizontal="right" vertical="center" wrapText="1"/>
    </xf>
    <xf numFmtId="38" fontId="43" fillId="10" borderId="6" xfId="7" applyNumberFormat="1" applyFont="1" applyFill="1" applyBorder="1" applyAlignment="1" applyProtection="1">
      <alignment horizontal="right" vertical="center"/>
    </xf>
    <xf numFmtId="176" fontId="43" fillId="10" borderId="6" xfId="7" applyNumberFormat="1" applyFont="1" applyFill="1" applyBorder="1" applyAlignment="1" applyProtection="1">
      <alignment horizontal="right" vertical="center"/>
    </xf>
    <xf numFmtId="0" fontId="43" fillId="10" borderId="6" xfId="0" applyFont="1" applyFill="1" applyBorder="1" applyAlignment="1">
      <alignment horizontal="center" vertical="center"/>
    </xf>
    <xf numFmtId="38" fontId="47" fillId="10" borderId="6" xfId="7" applyNumberFormat="1" applyFont="1" applyFill="1" applyBorder="1" applyAlignment="1" applyProtection="1">
      <alignment horizontal="right" vertical="center"/>
    </xf>
    <xf numFmtId="0" fontId="47" fillId="10" borderId="6" xfId="0" applyFont="1" applyFill="1" applyBorder="1" applyAlignment="1">
      <alignment horizontal="center" vertical="center"/>
    </xf>
    <xf numFmtId="0" fontId="50" fillId="5" borderId="6" xfId="0" applyFont="1" applyFill="1" applyBorder="1" applyAlignment="1">
      <alignment horizontal="center" vertical="center"/>
    </xf>
    <xf numFmtId="177" fontId="47" fillId="2" borderId="6" xfId="0" applyNumberFormat="1" applyFont="1" applyFill="1" applyBorder="1" applyAlignment="1">
      <alignment horizontal="center" vertical="center"/>
    </xf>
    <xf numFmtId="0" fontId="57" fillId="0" borderId="0" xfId="0" applyFont="1">
      <alignment vertical="center"/>
    </xf>
    <xf numFmtId="0" fontId="56" fillId="0" borderId="0" xfId="3" applyFont="1" applyAlignment="1">
      <alignment horizontal="center" vertical="center"/>
    </xf>
    <xf numFmtId="49" fontId="53" fillId="10" borderId="6" xfId="0" applyNumberFormat="1" applyFont="1" applyFill="1" applyBorder="1" applyAlignment="1">
      <alignment horizontal="left" vertical="center" wrapText="1"/>
    </xf>
    <xf numFmtId="0" fontId="58" fillId="0" borderId="0" xfId="0" applyFont="1">
      <alignment vertical="center"/>
    </xf>
    <xf numFmtId="0" fontId="53" fillId="2" borderId="6" xfId="0" applyFont="1" applyFill="1" applyBorder="1" applyAlignment="1">
      <alignment horizontal="left" vertical="center" wrapText="1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</cellXfs>
  <cellStyles count="9">
    <cellStyle name="一般" xfId="0" builtinId="0"/>
    <cellStyle name="一般 2" xfId="1" xr:uid="{4FD2CE07-C666-4AC5-9045-FB736D1889EE}"/>
    <cellStyle name="一般 2 2" xfId="8" xr:uid="{EBA072E0-A0D2-4361-BC90-5A4E021815D2}"/>
    <cellStyle name="一般 2 3" xfId="6" xr:uid="{DB58D167-0668-4A1B-82D5-9FC676312192}"/>
    <cellStyle name="一般 3" xfId="3" xr:uid="{0DB1BAA5-A6FE-4E94-BB2A-2EBCEF59C2EB}"/>
    <cellStyle name="人工標音儲存格" xfId="5" xr:uid="{5AE8588D-0914-4D03-A132-65900D328DBE}"/>
    <cellStyle name="千分位 2" xfId="7" xr:uid="{2D2C0B5F-E139-4578-8C7C-17253E2DA496}"/>
    <cellStyle name="超連結" xfId="4" builtinId="8"/>
    <cellStyle name="超連結 2" xfId="2" xr:uid="{35CF4CF4-6C05-4C83-A404-416353358D27}"/>
  </cellStyles>
  <dxfs count="10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C232-BD9D-4F66-8718-341BBB913086}">
  <dimension ref="A1:D1"/>
  <sheetViews>
    <sheetView workbookViewId="0"/>
  </sheetViews>
  <sheetFormatPr defaultRowHeight="16.5"/>
  <sheetData>
    <row r="1" spans="1:4">
      <c r="A1" t="s">
        <v>251</v>
      </c>
      <c r="B1" t="s">
        <v>252</v>
      </c>
      <c r="C1" t="s">
        <v>253</v>
      </c>
      <c r="D1" t="s">
        <v>254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5BC4-2F4F-48C6-9CEC-C543B3573528}">
  <dimension ref="A1:D41"/>
  <sheetViews>
    <sheetView workbookViewId="0"/>
  </sheetViews>
  <sheetFormatPr defaultRowHeight="16.5"/>
  <sheetData>
    <row r="1" spans="1:4">
      <c r="A1" t="s">
        <v>251</v>
      </c>
      <c r="B1" t="s">
        <v>252</v>
      </c>
      <c r="C1" t="s">
        <v>253</v>
      </c>
      <c r="D1" t="s">
        <v>254</v>
      </c>
    </row>
    <row r="2" spans="1:4">
      <c r="A2" t="s">
        <v>60</v>
      </c>
      <c r="B2" t="s">
        <v>81</v>
      </c>
      <c r="C2" t="s">
        <v>21</v>
      </c>
      <c r="D2" t="s">
        <v>323</v>
      </c>
    </row>
    <row r="3" spans="1:4">
      <c r="A3" t="s">
        <v>61</v>
      </c>
      <c r="B3" t="s">
        <v>83</v>
      </c>
      <c r="C3" t="s">
        <v>21</v>
      </c>
      <c r="D3" t="s">
        <v>57</v>
      </c>
    </row>
    <row r="4" spans="1:4">
      <c r="A4" t="s">
        <v>55</v>
      </c>
      <c r="B4" t="s">
        <v>47</v>
      </c>
      <c r="C4" t="s">
        <v>21</v>
      </c>
      <c r="D4" t="s">
        <v>45</v>
      </c>
    </row>
    <row r="5" spans="1:4">
      <c r="A5" t="s">
        <v>64</v>
      </c>
      <c r="B5" t="s">
        <v>88</v>
      </c>
      <c r="C5" t="s">
        <v>21</v>
      </c>
      <c r="D5" t="s">
        <v>90</v>
      </c>
    </row>
    <row r="6" spans="1:4">
      <c r="A6" t="s">
        <v>65</v>
      </c>
      <c r="B6" t="s">
        <v>37</v>
      </c>
      <c r="C6" t="s">
        <v>21</v>
      </c>
      <c r="D6" t="s">
        <v>259</v>
      </c>
    </row>
    <row r="7" spans="1:4">
      <c r="A7" t="s">
        <v>291</v>
      </c>
      <c r="B7" t="s">
        <v>320</v>
      </c>
      <c r="C7" t="s">
        <v>21</v>
      </c>
      <c r="D7" t="s">
        <v>325</v>
      </c>
    </row>
    <row r="8" spans="1:4">
      <c r="A8" t="s">
        <v>72</v>
      </c>
      <c r="B8" t="s">
        <v>100</v>
      </c>
      <c r="C8" t="s">
        <v>21</v>
      </c>
      <c r="D8" t="s">
        <v>348</v>
      </c>
    </row>
    <row r="9" spans="1:4">
      <c r="A9" t="s">
        <v>292</v>
      </c>
      <c r="B9" t="s">
        <v>321</v>
      </c>
      <c r="C9" t="s">
        <v>21</v>
      </c>
      <c r="D9" t="s">
        <v>326</v>
      </c>
    </row>
    <row r="10" spans="1:4">
      <c r="A10" t="s">
        <v>293</v>
      </c>
      <c r="B10" t="s">
        <v>322</v>
      </c>
      <c r="C10" t="s">
        <v>21</v>
      </c>
      <c r="D10" t="s">
        <v>327</v>
      </c>
    </row>
    <row r="11" spans="1:4">
      <c r="A11" t="s">
        <v>294</v>
      </c>
      <c r="B11" t="s">
        <v>324</v>
      </c>
      <c r="C11" t="s">
        <v>21</v>
      </c>
      <c r="D11" t="s">
        <v>358</v>
      </c>
    </row>
    <row r="12" spans="1:4">
      <c r="A12" t="s">
        <v>31</v>
      </c>
      <c r="B12" t="s">
        <v>169</v>
      </c>
      <c r="C12" t="s">
        <v>21</v>
      </c>
      <c r="D12" t="s">
        <v>342</v>
      </c>
    </row>
    <row r="13" spans="1:4">
      <c r="A13" t="s">
        <v>297</v>
      </c>
      <c r="B13" t="s">
        <v>328</v>
      </c>
      <c r="C13" t="s">
        <v>21</v>
      </c>
      <c r="D13" t="s">
        <v>330</v>
      </c>
    </row>
    <row r="14" spans="1:4">
      <c r="A14" t="s">
        <v>298</v>
      </c>
      <c r="B14" t="s">
        <v>85</v>
      </c>
      <c r="C14" t="s">
        <v>21</v>
      </c>
      <c r="D14" t="s">
        <v>331</v>
      </c>
    </row>
    <row r="15" spans="1:4">
      <c r="A15" t="s">
        <v>32</v>
      </c>
      <c r="B15" t="s">
        <v>38</v>
      </c>
      <c r="C15" t="s">
        <v>21</v>
      </c>
      <c r="D15" t="s">
        <v>367</v>
      </c>
    </row>
    <row r="16" spans="1:4">
      <c r="A16" t="s">
        <v>299</v>
      </c>
      <c r="B16" t="s">
        <v>329</v>
      </c>
      <c r="C16" t="s">
        <v>21</v>
      </c>
      <c r="D16" t="s">
        <v>260</v>
      </c>
    </row>
    <row r="17" spans="1:4">
      <c r="A17" t="s">
        <v>33</v>
      </c>
      <c r="B17" t="s">
        <v>95</v>
      </c>
      <c r="C17" t="s">
        <v>21</v>
      </c>
      <c r="D17" t="s">
        <v>343</v>
      </c>
    </row>
    <row r="18" spans="1:4">
      <c r="A18" t="s">
        <v>301</v>
      </c>
      <c r="B18" t="s">
        <v>332</v>
      </c>
      <c r="C18" t="s">
        <v>21</v>
      </c>
      <c r="D18" t="s">
        <v>335</v>
      </c>
    </row>
    <row r="19" spans="1:4">
      <c r="A19" t="s">
        <v>302</v>
      </c>
      <c r="B19" t="s">
        <v>333</v>
      </c>
      <c r="C19" t="s">
        <v>21</v>
      </c>
      <c r="D19" t="s">
        <v>336</v>
      </c>
    </row>
    <row r="20" spans="1:4">
      <c r="A20" t="s">
        <v>303</v>
      </c>
      <c r="B20" t="s">
        <v>334</v>
      </c>
      <c r="C20" t="s">
        <v>21</v>
      </c>
      <c r="D20" t="s">
        <v>337</v>
      </c>
    </row>
    <row r="21" spans="1:4">
      <c r="A21" t="s">
        <v>79</v>
      </c>
      <c r="B21" t="s">
        <v>108</v>
      </c>
      <c r="C21" t="s">
        <v>21</v>
      </c>
      <c r="D21" t="s">
        <v>46</v>
      </c>
    </row>
    <row r="22" spans="1:4">
      <c r="A22" t="s">
        <v>304</v>
      </c>
      <c r="B22" t="s">
        <v>338</v>
      </c>
      <c r="C22" t="s">
        <v>21</v>
      </c>
      <c r="D22" t="s">
        <v>344</v>
      </c>
    </row>
    <row r="23" spans="1:4">
      <c r="A23" t="s">
        <v>305</v>
      </c>
      <c r="B23" t="s">
        <v>339</v>
      </c>
      <c r="C23" t="s">
        <v>21</v>
      </c>
      <c r="D23" t="s">
        <v>345</v>
      </c>
    </row>
    <row r="24" spans="1:4">
      <c r="A24" t="s">
        <v>35</v>
      </c>
      <c r="B24" t="s">
        <v>40</v>
      </c>
      <c r="C24" t="s">
        <v>21</v>
      </c>
      <c r="D24" t="s">
        <v>349</v>
      </c>
    </row>
    <row r="25" spans="1:4">
      <c r="A25" t="s">
        <v>306</v>
      </c>
      <c r="B25" t="s">
        <v>340</v>
      </c>
      <c r="C25" t="s">
        <v>21</v>
      </c>
      <c r="D25" t="s">
        <v>350</v>
      </c>
    </row>
    <row r="26" spans="1:4">
      <c r="A26" t="s">
        <v>30</v>
      </c>
      <c r="B26" t="s">
        <v>49</v>
      </c>
      <c r="C26" t="s">
        <v>21</v>
      </c>
      <c r="D26" t="s">
        <v>351</v>
      </c>
    </row>
    <row r="27" spans="1:4">
      <c r="A27" t="s">
        <v>307</v>
      </c>
      <c r="B27" t="s">
        <v>341</v>
      </c>
      <c r="C27" t="s">
        <v>21</v>
      </c>
      <c r="D27" t="s">
        <v>368</v>
      </c>
    </row>
    <row r="28" spans="1:4">
      <c r="A28" t="s">
        <v>308</v>
      </c>
      <c r="B28" t="s">
        <v>346</v>
      </c>
      <c r="C28" t="s">
        <v>21</v>
      </c>
      <c r="D28" t="s">
        <v>58</v>
      </c>
    </row>
    <row r="29" spans="1:4">
      <c r="A29" t="s">
        <v>309</v>
      </c>
      <c r="B29" t="s">
        <v>347</v>
      </c>
      <c r="C29" t="s">
        <v>21</v>
      </c>
      <c r="D29" t="s">
        <v>352</v>
      </c>
    </row>
    <row r="30" spans="1:4">
      <c r="A30" t="s">
        <v>245</v>
      </c>
      <c r="B30" t="s">
        <v>250</v>
      </c>
      <c r="C30" t="s">
        <v>21</v>
      </c>
      <c r="D30" t="s">
        <v>247</v>
      </c>
    </row>
    <row r="31" spans="1:4">
      <c r="A31" t="s">
        <v>310</v>
      </c>
      <c r="B31" t="s">
        <v>353</v>
      </c>
      <c r="C31" t="s">
        <v>21</v>
      </c>
      <c r="D31" t="s">
        <v>248</v>
      </c>
    </row>
    <row r="32" spans="1:4">
      <c r="A32" t="s">
        <v>244</v>
      </c>
      <c r="B32" t="s">
        <v>249</v>
      </c>
      <c r="C32" t="s">
        <v>21</v>
      </c>
      <c r="D32" t="s">
        <v>359</v>
      </c>
    </row>
    <row r="33" spans="1:4">
      <c r="A33" t="s">
        <v>68</v>
      </c>
      <c r="B33" t="s">
        <v>166</v>
      </c>
      <c r="C33" t="s">
        <v>21</v>
      </c>
      <c r="D33" t="s">
        <v>360</v>
      </c>
    </row>
    <row r="34" spans="1:4">
      <c r="A34" t="s">
        <v>311</v>
      </c>
      <c r="B34" t="s">
        <v>354</v>
      </c>
      <c r="C34" t="s">
        <v>21</v>
      </c>
      <c r="D34" t="s">
        <v>361</v>
      </c>
    </row>
    <row r="35" spans="1:4">
      <c r="A35" t="s">
        <v>243</v>
      </c>
      <c r="B35" t="s">
        <v>246</v>
      </c>
      <c r="C35" t="s">
        <v>21</v>
      </c>
      <c r="D35" t="s">
        <v>261</v>
      </c>
    </row>
    <row r="36" spans="1:4">
      <c r="A36" t="s">
        <v>312</v>
      </c>
      <c r="B36" t="s">
        <v>355</v>
      </c>
      <c r="C36" t="s">
        <v>21</v>
      </c>
      <c r="D36" t="s">
        <v>362</v>
      </c>
    </row>
    <row r="37" spans="1:4">
      <c r="A37" t="s">
        <v>313</v>
      </c>
      <c r="B37" t="s">
        <v>356</v>
      </c>
      <c r="C37" t="s">
        <v>21</v>
      </c>
      <c r="D37" t="s">
        <v>363</v>
      </c>
    </row>
    <row r="38" spans="1:4">
      <c r="A38" t="s">
        <v>314</v>
      </c>
      <c r="B38" t="s">
        <v>357</v>
      </c>
      <c r="C38" t="s">
        <v>21</v>
      </c>
      <c r="D38" t="s">
        <v>369</v>
      </c>
    </row>
    <row r="39" spans="1:4">
      <c r="A39" t="s">
        <v>315</v>
      </c>
      <c r="B39" t="s">
        <v>364</v>
      </c>
      <c r="C39" t="s">
        <v>21</v>
      </c>
      <c r="D39" t="s">
        <v>262</v>
      </c>
    </row>
    <row r="40" spans="1:4">
      <c r="A40" t="s">
        <v>316</v>
      </c>
      <c r="B40" t="s">
        <v>365</v>
      </c>
      <c r="C40" t="s">
        <v>21</v>
      </c>
      <c r="D40" t="s">
        <v>370</v>
      </c>
    </row>
    <row r="41" spans="1:4">
      <c r="A41" t="s">
        <v>317</v>
      </c>
      <c r="B41" t="s">
        <v>366</v>
      </c>
      <c r="C41" t="s">
        <v>21</v>
      </c>
      <c r="D41" t="s">
        <v>371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AD76-B7DE-4BA7-9233-9A52CC704901}">
  <dimension ref="A1:D1"/>
  <sheetViews>
    <sheetView workbookViewId="0"/>
  </sheetViews>
  <sheetFormatPr defaultRowHeight="16.5"/>
  <sheetData>
    <row r="1" spans="1:4">
      <c r="A1" t="s">
        <v>251</v>
      </c>
      <c r="B1" t="s">
        <v>252</v>
      </c>
      <c r="C1" t="s">
        <v>253</v>
      </c>
      <c r="D1" t="s">
        <v>254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8"/>
  <sheetViews>
    <sheetView tabSelected="1" zoomScale="80" zoomScaleNormal="80" workbookViewId="0">
      <selection activeCell="C8" sqref="C8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2" t="s">
        <v>0</v>
      </c>
      <c r="C1" s="42" t="s">
        <v>1</v>
      </c>
    </row>
    <row r="2" spans="2:4" ht="30">
      <c r="B2" s="37" t="s">
        <v>23</v>
      </c>
      <c r="C2" s="40">
        <v>1</v>
      </c>
    </row>
    <row r="3" spans="2:4" ht="30">
      <c r="B3" s="37" t="s">
        <v>24</v>
      </c>
      <c r="C3" s="45" t="s">
        <v>25</v>
      </c>
    </row>
    <row r="4" spans="2:4">
      <c r="B4" s="4" t="s">
        <v>2</v>
      </c>
      <c r="C4" s="2"/>
    </row>
    <row r="5" spans="2:4">
      <c r="B5" s="4" t="s">
        <v>3</v>
      </c>
      <c r="C5" s="53" t="s">
        <v>393</v>
      </c>
    </row>
    <row r="6" spans="2:4">
      <c r="B6" s="4" t="s">
        <v>4</v>
      </c>
      <c r="C6" s="3" t="s">
        <v>319</v>
      </c>
    </row>
    <row r="7" spans="2:4">
      <c r="B7" s="4" t="s">
        <v>5</v>
      </c>
      <c r="C7" s="52" t="s">
        <v>406</v>
      </c>
      <c r="D7" s="44"/>
    </row>
    <row r="8" spans="2:4">
      <c r="B8" s="4" t="s">
        <v>6</v>
      </c>
      <c r="C8" s="41" t="s">
        <v>29</v>
      </c>
    </row>
    <row r="9" spans="2:4" ht="30">
      <c r="B9" s="37" t="s">
        <v>7</v>
      </c>
      <c r="C9" s="40"/>
    </row>
    <row r="10" spans="2:4">
      <c r="B10" s="38" t="s">
        <v>8</v>
      </c>
      <c r="C10" s="40" t="b">
        <v>1</v>
      </c>
    </row>
    <row r="11" spans="2:4" ht="30">
      <c r="B11" s="37" t="s">
        <v>9</v>
      </c>
      <c r="C11" s="40">
        <v>10</v>
      </c>
      <c r="D11" s="1">
        <f>每頁總列數*4+5</f>
        <v>45</v>
      </c>
    </row>
    <row r="12" spans="2:4" ht="30">
      <c r="B12" s="37" t="s">
        <v>10</v>
      </c>
      <c r="C12" s="40">
        <v>15</v>
      </c>
    </row>
    <row r="13" spans="2:4" ht="30">
      <c r="B13" s="37" t="s">
        <v>11</v>
      </c>
      <c r="C13" s="39" t="s">
        <v>26</v>
      </c>
    </row>
    <row r="14" spans="2:4" ht="30">
      <c r="B14" s="37" t="s">
        <v>12</v>
      </c>
      <c r="C14" s="39" t="s">
        <v>50</v>
      </c>
    </row>
    <row r="15" spans="2:4" ht="30">
      <c r="B15" s="37" t="s">
        <v>13</v>
      </c>
      <c r="C15" s="39" t="s">
        <v>372</v>
      </c>
    </row>
    <row r="16" spans="2:4" ht="30">
      <c r="B16" s="37" t="s">
        <v>14</v>
      </c>
      <c r="C16" s="39" t="s">
        <v>27</v>
      </c>
    </row>
    <row r="17" spans="2:3" ht="30">
      <c r="B17" s="37" t="s">
        <v>15</v>
      </c>
      <c r="C17" s="39" t="s">
        <v>28</v>
      </c>
    </row>
    <row r="18" spans="2:3" ht="30">
      <c r="B18" s="37" t="s">
        <v>16</v>
      </c>
      <c r="C18" s="39" t="s">
        <v>373</v>
      </c>
    </row>
    <row r="19" spans="2:3" ht="30">
      <c r="B19" s="37" t="s">
        <v>17</v>
      </c>
      <c r="C19" s="39" t="s">
        <v>374</v>
      </c>
    </row>
    <row r="20" spans="2:3" ht="30">
      <c r="B20" s="37" t="s">
        <v>22</v>
      </c>
      <c r="C20" s="43">
        <v>0</v>
      </c>
    </row>
    <row r="28" spans="2:3">
      <c r="C28" s="50"/>
    </row>
  </sheetData>
  <phoneticPr fontId="1" type="noConversion"/>
  <dataValidations count="6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" xr:uid="{4B8A1C7E-4BB3-4C1C-9065-B81F5BED0DFB}">
      <formula1>" ,十五音, 雅俗通,方音符號,注音二式,台語音標, 白話字, 台羅拼音,閩拼調號, 閩拼調符"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55AE-7CDC-4512-ABB0-84FC6338A0E0}">
  <dimension ref="B2:E11"/>
  <sheetViews>
    <sheetView workbookViewId="0">
      <selection activeCell="B9" sqref="B9"/>
    </sheetView>
  </sheetViews>
  <sheetFormatPr defaultRowHeight="29.25"/>
  <cols>
    <col min="1" max="1" width="9" style="54"/>
    <col min="2" max="2" width="63.625" style="54" customWidth="1"/>
    <col min="3" max="3" width="9" style="54"/>
    <col min="4" max="4" width="16.625" style="54" customWidth="1"/>
    <col min="5" max="5" width="29.75" style="54" customWidth="1"/>
    <col min="6" max="16384" width="9" style="54"/>
  </cols>
  <sheetData>
    <row r="2" spans="2:5">
      <c r="B2" s="54" t="s">
        <v>161</v>
      </c>
    </row>
    <row r="3" spans="2:5">
      <c r="B3" s="54" t="s">
        <v>162</v>
      </c>
    </row>
    <row r="4" spans="2:5">
      <c r="B4" s="80" t="s">
        <v>241</v>
      </c>
      <c r="D4" s="83" t="s">
        <v>239</v>
      </c>
      <c r="E4" s="83" t="s">
        <v>240</v>
      </c>
    </row>
    <row r="5" spans="2:5">
      <c r="B5" s="54" t="s">
        <v>164</v>
      </c>
      <c r="D5" s="83" t="s">
        <v>237</v>
      </c>
      <c r="E5" s="83" t="s">
        <v>238</v>
      </c>
    </row>
    <row r="6" spans="2:5">
      <c r="B6" s="54" t="s">
        <v>165</v>
      </c>
    </row>
    <row r="8" spans="2:5">
      <c r="B8" s="54" t="s">
        <v>236</v>
      </c>
    </row>
    <row r="11" spans="2:5">
      <c r="B11" s="54" t="s">
        <v>163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002"/>
  <sheetViews>
    <sheetView showGridLines="0" zoomScale="70" zoomScaleNormal="70" workbookViewId="0">
      <pane xSplit="3" ySplit="1" topLeftCell="D34" activePane="bottomRight" state="frozen"/>
      <selection pane="topRight" activeCell="D1" sqref="D1"/>
      <selection pane="bottomLeft" activeCell="A2" sqref="A2"/>
      <selection pane="bottomRight" activeCell="D41" sqref="D4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104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85" t="s">
        <v>318</v>
      </c>
    </row>
    <row r="4" spans="1:22" s="6" customFormat="1" ht="36" customHeight="1">
      <c r="B4" s="16"/>
      <c r="D4" s="46"/>
      <c r="E4" s="46" t="s">
        <v>81</v>
      </c>
      <c r="F4" s="46" t="s">
        <v>83</v>
      </c>
      <c r="G4" s="46" t="s">
        <v>47</v>
      </c>
      <c r="H4" s="46"/>
      <c r="I4" s="46" t="s">
        <v>88</v>
      </c>
      <c r="J4" s="46" t="s">
        <v>37</v>
      </c>
      <c r="K4" s="46"/>
      <c r="L4" s="46"/>
      <c r="M4" s="46"/>
      <c r="N4" s="46"/>
      <c r="O4" s="46"/>
      <c r="P4" s="46"/>
      <c r="Q4" s="46"/>
      <c r="R4" s="46"/>
      <c r="S4" s="17"/>
      <c r="V4" s="86"/>
    </row>
    <row r="5" spans="1:22" s="6" customFormat="1" ht="80.099999999999994" customHeight="1">
      <c r="B5" s="18">
        <v>1</v>
      </c>
      <c r="D5" s="36" t="s">
        <v>59</v>
      </c>
      <c r="E5" s="36" t="s">
        <v>60</v>
      </c>
      <c r="F5" s="36" t="s">
        <v>61</v>
      </c>
      <c r="G5" s="36" t="s">
        <v>55</v>
      </c>
      <c r="H5" s="36" t="s">
        <v>19</v>
      </c>
      <c r="I5" s="36" t="s">
        <v>64</v>
      </c>
      <c r="J5" s="36" t="s">
        <v>65</v>
      </c>
      <c r="K5" s="36" t="s">
        <v>66</v>
      </c>
      <c r="L5" s="36" t="str">
        <f>CHAR(10)</f>
        <v xml:space="preserve">
</v>
      </c>
      <c r="M5" s="36"/>
      <c r="N5" s="36"/>
      <c r="O5" s="36"/>
      <c r="P5" s="36"/>
      <c r="Q5" s="36"/>
      <c r="R5" s="36"/>
      <c r="S5" s="19"/>
      <c r="V5" s="86"/>
    </row>
    <row r="6" spans="1:22" s="23" customFormat="1" ht="36" customHeight="1">
      <c r="B6" s="20"/>
      <c r="C6" s="21"/>
      <c r="D6" s="81"/>
      <c r="E6" s="81" t="s">
        <v>82</v>
      </c>
      <c r="F6" s="81" t="s">
        <v>84</v>
      </c>
      <c r="G6" s="81" t="s">
        <v>51</v>
      </c>
      <c r="H6" s="81"/>
      <c r="I6" s="81" t="s">
        <v>88</v>
      </c>
      <c r="J6" s="81" t="s">
        <v>89</v>
      </c>
      <c r="K6" s="81"/>
      <c r="L6" s="81"/>
      <c r="M6" s="81"/>
      <c r="N6" s="81"/>
      <c r="O6" s="81"/>
      <c r="P6" s="81"/>
      <c r="Q6" s="81"/>
      <c r="R6" s="81"/>
      <c r="S6" s="22"/>
      <c r="V6" s="86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86"/>
    </row>
    <row r="8" spans="1:22" s="6" customFormat="1" ht="36" customHeight="1">
      <c r="B8" s="16"/>
      <c r="D8" s="46" t="s">
        <v>81</v>
      </c>
      <c r="E8" s="46"/>
      <c r="F8" s="46" t="s">
        <v>320</v>
      </c>
      <c r="G8" s="46" t="s">
        <v>81</v>
      </c>
      <c r="H8" s="46" t="s">
        <v>100</v>
      </c>
      <c r="I8" s="46"/>
      <c r="J8" s="46" t="s">
        <v>321</v>
      </c>
      <c r="K8" s="46" t="s">
        <v>322</v>
      </c>
      <c r="L8" s="46" t="s">
        <v>81</v>
      </c>
      <c r="M8" s="46" t="s">
        <v>100</v>
      </c>
      <c r="N8" s="46"/>
      <c r="O8" s="46"/>
      <c r="P8" s="46"/>
      <c r="Q8" s="46"/>
      <c r="R8" s="46"/>
      <c r="S8" s="17"/>
      <c r="V8" s="86"/>
    </row>
    <row r="9" spans="1:22" s="6" customFormat="1" ht="80.099999999999994" customHeight="1">
      <c r="B9" s="18">
        <f>B5+1</f>
        <v>2</v>
      </c>
      <c r="D9" s="36" t="s">
        <v>60</v>
      </c>
      <c r="E9" s="36" t="s">
        <v>18</v>
      </c>
      <c r="F9" s="36" t="s">
        <v>291</v>
      </c>
      <c r="G9" s="36" t="s">
        <v>60</v>
      </c>
      <c r="H9" s="36" t="s">
        <v>72</v>
      </c>
      <c r="I9" s="36" t="s">
        <v>18</v>
      </c>
      <c r="J9" s="36" t="s">
        <v>292</v>
      </c>
      <c r="K9" s="36" t="s">
        <v>293</v>
      </c>
      <c r="L9" s="36" t="s">
        <v>60</v>
      </c>
      <c r="M9" s="36" t="s">
        <v>72</v>
      </c>
      <c r="N9" s="36" t="s">
        <v>19</v>
      </c>
      <c r="O9" s="36" t="str">
        <f>CHAR(10)</f>
        <v xml:space="preserve">
</v>
      </c>
      <c r="P9" s="36"/>
      <c r="Q9" s="36"/>
      <c r="R9" s="36"/>
      <c r="S9" s="19"/>
      <c r="T9" s="15"/>
      <c r="V9" s="86"/>
    </row>
    <row r="10" spans="1:22" s="6" customFormat="1" ht="36" customHeight="1">
      <c r="B10" s="20"/>
      <c r="D10" s="81" t="s">
        <v>82</v>
      </c>
      <c r="E10" s="81"/>
      <c r="F10" s="81" t="s">
        <v>375</v>
      </c>
      <c r="G10" s="81" t="s">
        <v>82</v>
      </c>
      <c r="H10" s="81" t="s">
        <v>100</v>
      </c>
      <c r="I10" s="81"/>
      <c r="J10" s="81" t="s">
        <v>321</v>
      </c>
      <c r="K10" s="81" t="s">
        <v>322</v>
      </c>
      <c r="L10" s="81" t="s">
        <v>82</v>
      </c>
      <c r="M10" s="81" t="s">
        <v>100</v>
      </c>
      <c r="N10" s="81"/>
      <c r="O10" s="81"/>
      <c r="P10" s="81"/>
      <c r="Q10" s="81"/>
      <c r="R10" s="81"/>
      <c r="S10" s="28"/>
      <c r="V10" s="86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86"/>
    </row>
    <row r="12" spans="1:22" s="6" customFormat="1" ht="36" customHeight="1">
      <c r="B12" s="16"/>
      <c r="D12" s="46" t="s">
        <v>324</v>
      </c>
      <c r="E12" s="46"/>
      <c r="F12" s="46" t="s">
        <v>320</v>
      </c>
      <c r="G12" s="46" t="s">
        <v>324</v>
      </c>
      <c r="H12" s="46" t="s">
        <v>100</v>
      </c>
      <c r="I12" s="46"/>
      <c r="J12" s="46" t="s">
        <v>321</v>
      </c>
      <c r="K12" s="46" t="s">
        <v>322</v>
      </c>
      <c r="L12" s="46" t="s">
        <v>324</v>
      </c>
      <c r="M12" s="46" t="s">
        <v>100</v>
      </c>
      <c r="N12" s="46"/>
      <c r="O12" s="46"/>
      <c r="P12" s="46"/>
      <c r="Q12" s="46"/>
      <c r="R12" s="46"/>
      <c r="S12" s="17"/>
      <c r="V12" s="86"/>
    </row>
    <row r="13" spans="1:22" s="6" customFormat="1" ht="80.099999999999994" customHeight="1">
      <c r="B13" s="18">
        <f>B9+1</f>
        <v>3</v>
      </c>
      <c r="D13" s="36" t="s">
        <v>294</v>
      </c>
      <c r="E13" s="36" t="s">
        <v>18</v>
      </c>
      <c r="F13" s="36" t="s">
        <v>291</v>
      </c>
      <c r="G13" s="36" t="s">
        <v>294</v>
      </c>
      <c r="H13" s="36" t="s">
        <v>72</v>
      </c>
      <c r="I13" s="36" t="s">
        <v>18</v>
      </c>
      <c r="J13" s="36" t="s">
        <v>292</v>
      </c>
      <c r="K13" s="36" t="s">
        <v>293</v>
      </c>
      <c r="L13" s="36" t="s">
        <v>294</v>
      </c>
      <c r="M13" s="36" t="s">
        <v>72</v>
      </c>
      <c r="N13" s="36" t="s">
        <v>19</v>
      </c>
      <c r="O13" s="36" t="str">
        <f>CHAR(10)</f>
        <v xml:space="preserve">
</v>
      </c>
      <c r="P13" s="36"/>
      <c r="Q13" s="36"/>
      <c r="R13" s="36"/>
      <c r="S13" s="19"/>
      <c r="V13" s="86"/>
    </row>
    <row r="14" spans="1:22" s="6" customFormat="1" ht="36" customHeight="1">
      <c r="B14" s="20"/>
      <c r="D14" s="81" t="s">
        <v>376</v>
      </c>
      <c r="E14" s="81"/>
      <c r="F14" s="81" t="s">
        <v>375</v>
      </c>
      <c r="G14" s="81" t="s">
        <v>376</v>
      </c>
      <c r="H14" s="81" t="s">
        <v>100</v>
      </c>
      <c r="I14" s="81"/>
      <c r="J14" s="81" t="s">
        <v>321</v>
      </c>
      <c r="K14" s="81" t="s">
        <v>322</v>
      </c>
      <c r="L14" s="81" t="s">
        <v>376</v>
      </c>
      <c r="M14" s="81" t="s">
        <v>100</v>
      </c>
      <c r="N14" s="81"/>
      <c r="O14" s="81"/>
      <c r="P14" s="81"/>
      <c r="Q14" s="81"/>
      <c r="R14" s="81"/>
      <c r="S14" s="28"/>
      <c r="V14" s="86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86"/>
    </row>
    <row r="16" spans="1:22" s="6" customFormat="1" ht="36" customHeight="1">
      <c r="B16" s="16"/>
      <c r="D16" s="46"/>
      <c r="E16" s="46" t="s">
        <v>169</v>
      </c>
      <c r="F16" s="46"/>
      <c r="G16" s="46"/>
      <c r="H16" s="46" t="s">
        <v>324</v>
      </c>
      <c r="I16" s="46" t="s">
        <v>328</v>
      </c>
      <c r="J16" s="46" t="s">
        <v>85</v>
      </c>
      <c r="K16" s="46" t="s">
        <v>38</v>
      </c>
      <c r="L16" s="46" t="s">
        <v>329</v>
      </c>
      <c r="M16" s="46"/>
      <c r="N16" s="46"/>
      <c r="O16" s="46" t="s">
        <v>95</v>
      </c>
      <c r="P16" s="46"/>
      <c r="Q16" s="46"/>
      <c r="R16" s="46" t="s">
        <v>324</v>
      </c>
      <c r="S16" s="17"/>
      <c r="V16" s="86"/>
    </row>
    <row r="17" spans="2:22" s="6" customFormat="1" ht="80.099999999999994" customHeight="1">
      <c r="B17" s="18">
        <f>B13+1</f>
        <v>4</v>
      </c>
      <c r="D17" s="36" t="s">
        <v>295</v>
      </c>
      <c r="E17" s="36" t="s">
        <v>31</v>
      </c>
      <c r="F17" s="36" t="s">
        <v>296</v>
      </c>
      <c r="G17" s="36" t="s">
        <v>18</v>
      </c>
      <c r="H17" s="36" t="s">
        <v>294</v>
      </c>
      <c r="I17" s="36" t="s">
        <v>297</v>
      </c>
      <c r="J17" s="36" t="s">
        <v>298</v>
      </c>
      <c r="K17" s="36" t="s">
        <v>32</v>
      </c>
      <c r="L17" s="36" t="s">
        <v>299</v>
      </c>
      <c r="M17" s="36" t="s">
        <v>300</v>
      </c>
      <c r="N17" s="36" t="s">
        <v>295</v>
      </c>
      <c r="O17" s="36" t="s">
        <v>33</v>
      </c>
      <c r="P17" s="36" t="s">
        <v>296</v>
      </c>
      <c r="Q17" s="36" t="s">
        <v>18</v>
      </c>
      <c r="R17" s="36" t="s">
        <v>294</v>
      </c>
      <c r="S17" s="19"/>
      <c r="V17" s="86"/>
    </row>
    <row r="18" spans="2:22" s="6" customFormat="1" ht="36" customHeight="1">
      <c r="B18" s="20"/>
      <c r="D18" s="81"/>
      <c r="E18" s="81" t="s">
        <v>377</v>
      </c>
      <c r="F18" s="81"/>
      <c r="G18" s="81"/>
      <c r="H18" s="81" t="s">
        <v>376</v>
      </c>
      <c r="I18" s="81" t="s">
        <v>378</v>
      </c>
      <c r="J18" s="81" t="s">
        <v>86</v>
      </c>
      <c r="K18" s="81" t="s">
        <v>98</v>
      </c>
      <c r="L18" s="81" t="s">
        <v>379</v>
      </c>
      <c r="M18" s="81"/>
      <c r="N18" s="81"/>
      <c r="O18" s="81" t="s">
        <v>95</v>
      </c>
      <c r="P18" s="81"/>
      <c r="Q18" s="81"/>
      <c r="R18" s="81" t="s">
        <v>376</v>
      </c>
      <c r="S18" s="28"/>
      <c r="V18" s="86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86"/>
    </row>
    <row r="20" spans="2:22" s="6" customFormat="1" ht="36" customHeight="1">
      <c r="B20" s="16"/>
      <c r="D20" s="46" t="s">
        <v>332</v>
      </c>
      <c r="E20" s="46" t="s">
        <v>333</v>
      </c>
      <c r="F20" s="46" t="s">
        <v>38</v>
      </c>
      <c r="G20" s="46" t="s">
        <v>334</v>
      </c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17"/>
      <c r="V20" s="86"/>
    </row>
    <row r="21" spans="2:22" s="6" customFormat="1" ht="80.099999999999994" customHeight="1">
      <c r="B21" s="18">
        <f>B17+1</f>
        <v>5</v>
      </c>
      <c r="D21" s="36" t="s">
        <v>301</v>
      </c>
      <c r="E21" s="36" t="s">
        <v>302</v>
      </c>
      <c r="F21" s="36" t="s">
        <v>32</v>
      </c>
      <c r="G21" s="36" t="s">
        <v>303</v>
      </c>
      <c r="H21" s="36" t="s">
        <v>19</v>
      </c>
      <c r="I21" s="36" t="str">
        <f>CHAR(10)</f>
        <v xml:space="preserve">
</v>
      </c>
      <c r="J21" s="36"/>
      <c r="K21" s="36"/>
      <c r="L21" s="36"/>
      <c r="M21" s="36"/>
      <c r="N21" s="36"/>
      <c r="O21" s="36"/>
      <c r="P21" s="36"/>
      <c r="Q21" s="36"/>
      <c r="R21" s="36"/>
      <c r="S21" s="19"/>
      <c r="V21" s="86"/>
    </row>
    <row r="22" spans="2:22" s="6" customFormat="1" ht="36" customHeight="1">
      <c r="B22" s="20"/>
      <c r="D22" s="81" t="s">
        <v>380</v>
      </c>
      <c r="E22" s="81" t="s">
        <v>381</v>
      </c>
      <c r="F22" s="81" t="s">
        <v>98</v>
      </c>
      <c r="G22" s="81" t="s">
        <v>382</v>
      </c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28"/>
      <c r="V22" s="86"/>
    </row>
    <row r="23" spans="2:22" s="32" customFormat="1" ht="60" customHeight="1">
      <c r="B23" s="12"/>
      <c r="C23" s="31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86"/>
    </row>
    <row r="24" spans="2:22" s="6" customFormat="1" ht="36" customHeight="1">
      <c r="B24" s="16"/>
      <c r="D24" s="46" t="s">
        <v>108</v>
      </c>
      <c r="E24" s="46"/>
      <c r="F24" s="46" t="s">
        <v>338</v>
      </c>
      <c r="G24" s="46" t="s">
        <v>169</v>
      </c>
      <c r="H24" s="46" t="s">
        <v>339</v>
      </c>
      <c r="I24" s="46" t="s">
        <v>100</v>
      </c>
      <c r="J24" s="46"/>
      <c r="K24" s="46" t="s">
        <v>40</v>
      </c>
      <c r="L24" s="46" t="s">
        <v>340</v>
      </c>
      <c r="M24" s="46" t="s">
        <v>49</v>
      </c>
      <c r="N24" s="46" t="s">
        <v>341</v>
      </c>
      <c r="O24" s="46"/>
      <c r="P24" s="46" t="s">
        <v>338</v>
      </c>
      <c r="Q24" s="46" t="s">
        <v>95</v>
      </c>
      <c r="R24" s="46" t="s">
        <v>339</v>
      </c>
      <c r="S24" s="17"/>
      <c r="V24" s="86"/>
    </row>
    <row r="25" spans="2:22" s="6" customFormat="1" ht="80.099999999999994" customHeight="1">
      <c r="B25" s="18">
        <f>B21+1</f>
        <v>6</v>
      </c>
      <c r="D25" s="36" t="s">
        <v>79</v>
      </c>
      <c r="E25" s="36" t="s">
        <v>18</v>
      </c>
      <c r="F25" s="36" t="s">
        <v>304</v>
      </c>
      <c r="G25" s="36" t="s">
        <v>31</v>
      </c>
      <c r="H25" s="36" t="s">
        <v>305</v>
      </c>
      <c r="I25" s="36" t="s">
        <v>72</v>
      </c>
      <c r="J25" s="36" t="s">
        <v>18</v>
      </c>
      <c r="K25" s="36" t="s">
        <v>35</v>
      </c>
      <c r="L25" s="36" t="s">
        <v>306</v>
      </c>
      <c r="M25" s="36" t="s">
        <v>30</v>
      </c>
      <c r="N25" s="36" t="s">
        <v>307</v>
      </c>
      <c r="O25" s="36" t="s">
        <v>300</v>
      </c>
      <c r="P25" s="36" t="s">
        <v>304</v>
      </c>
      <c r="Q25" s="36" t="s">
        <v>33</v>
      </c>
      <c r="R25" s="36" t="s">
        <v>305</v>
      </c>
      <c r="S25" s="19"/>
      <c r="V25" s="86"/>
    </row>
    <row r="26" spans="2:22" s="6" customFormat="1" ht="36" customHeight="1">
      <c r="B26" s="20"/>
      <c r="D26" s="81" t="s">
        <v>109</v>
      </c>
      <c r="E26" s="81"/>
      <c r="F26" s="81" t="s">
        <v>383</v>
      </c>
      <c r="G26" s="81" t="s">
        <v>377</v>
      </c>
      <c r="H26" s="81" t="s">
        <v>384</v>
      </c>
      <c r="I26" s="81" t="s">
        <v>100</v>
      </c>
      <c r="J26" s="81"/>
      <c r="K26" s="81" t="s">
        <v>40</v>
      </c>
      <c r="L26" s="81" t="s">
        <v>385</v>
      </c>
      <c r="M26" s="81" t="s">
        <v>44</v>
      </c>
      <c r="N26" s="81" t="s">
        <v>386</v>
      </c>
      <c r="O26" s="81"/>
      <c r="P26" s="81" t="s">
        <v>383</v>
      </c>
      <c r="Q26" s="81" t="s">
        <v>95</v>
      </c>
      <c r="R26" s="81" t="s">
        <v>384</v>
      </c>
      <c r="S26" s="28"/>
      <c r="V26" s="86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>a</v>
      </c>
      <c r="V27" s="86"/>
    </row>
    <row r="28" spans="2:22" s="6" customFormat="1" ht="36" customHeight="1">
      <c r="B28" s="16"/>
      <c r="D28" s="46" t="s">
        <v>100</v>
      </c>
      <c r="E28" s="46"/>
      <c r="F28" s="46" t="s">
        <v>40</v>
      </c>
      <c r="G28" s="46" t="s">
        <v>340</v>
      </c>
      <c r="H28" s="46" t="s">
        <v>49</v>
      </c>
      <c r="I28" s="46" t="s">
        <v>346</v>
      </c>
      <c r="J28" s="46" t="s">
        <v>347</v>
      </c>
      <c r="K28" s="46"/>
      <c r="L28" s="46"/>
      <c r="M28" s="46"/>
      <c r="N28" s="46"/>
      <c r="O28" s="46"/>
      <c r="P28" s="46"/>
      <c r="Q28" s="46"/>
      <c r="R28" s="46"/>
      <c r="S28" s="17"/>
      <c r="U28" s="32" t="str">
        <f t="shared" si="1"/>
        <v>a</v>
      </c>
      <c r="V28" s="86"/>
    </row>
    <row r="29" spans="2:22" s="6" customFormat="1" ht="80.099999999999994" customHeight="1">
      <c r="B29" s="18">
        <f>B25+1</f>
        <v>7</v>
      </c>
      <c r="D29" s="36" t="s">
        <v>72</v>
      </c>
      <c r="E29" s="36" t="s">
        <v>18</v>
      </c>
      <c r="F29" s="36" t="s">
        <v>35</v>
      </c>
      <c r="G29" s="36" t="s">
        <v>306</v>
      </c>
      <c r="H29" s="36" t="s">
        <v>30</v>
      </c>
      <c r="I29" s="36" t="s">
        <v>308</v>
      </c>
      <c r="J29" s="36" t="s">
        <v>309</v>
      </c>
      <c r="K29" s="36" t="s">
        <v>19</v>
      </c>
      <c r="L29" s="36" t="str">
        <f>CHAR(10)</f>
        <v xml:space="preserve">
</v>
      </c>
      <c r="M29" s="36"/>
      <c r="N29" s="36"/>
      <c r="O29" s="36"/>
      <c r="P29" s="36"/>
      <c r="Q29" s="36"/>
      <c r="R29" s="36"/>
      <c r="S29" s="19"/>
      <c r="U29" s="32" t="str">
        <f t="shared" si="1"/>
        <v>a</v>
      </c>
      <c r="V29" s="86"/>
    </row>
    <row r="30" spans="2:22" s="6" customFormat="1" ht="36" customHeight="1">
      <c r="B30" s="20"/>
      <c r="D30" s="81" t="s">
        <v>100</v>
      </c>
      <c r="E30" s="81"/>
      <c r="F30" s="81" t="s">
        <v>40</v>
      </c>
      <c r="G30" s="81" t="s">
        <v>385</v>
      </c>
      <c r="H30" s="81" t="s">
        <v>44</v>
      </c>
      <c r="I30" s="81" t="s">
        <v>346</v>
      </c>
      <c r="J30" s="81" t="s">
        <v>387</v>
      </c>
      <c r="K30" s="81"/>
      <c r="L30" s="81"/>
      <c r="M30" s="81"/>
      <c r="N30" s="81"/>
      <c r="O30" s="81"/>
      <c r="P30" s="81"/>
      <c r="Q30" s="81"/>
      <c r="R30" s="81"/>
      <c r="S30" s="28"/>
      <c r="U30" s="32" t="str">
        <f t="shared" si="1"/>
        <v>a</v>
      </c>
      <c r="V30" s="86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>a</v>
      </c>
      <c r="V31" s="86"/>
    </row>
    <row r="32" spans="2:22" s="6" customFormat="1" ht="36" customHeight="1">
      <c r="B32" s="16"/>
      <c r="D32" s="46" t="s">
        <v>250</v>
      </c>
      <c r="E32" s="46" t="s">
        <v>353</v>
      </c>
      <c r="F32" s="46" t="s">
        <v>249</v>
      </c>
      <c r="G32" s="46"/>
      <c r="H32" s="46" t="s">
        <v>166</v>
      </c>
      <c r="I32" s="46" t="s">
        <v>354</v>
      </c>
      <c r="J32" s="46" t="s">
        <v>246</v>
      </c>
      <c r="K32" s="46" t="s">
        <v>355</v>
      </c>
      <c r="L32" s="46" t="s">
        <v>324</v>
      </c>
      <c r="M32" s="46"/>
      <c r="N32" s="46" t="s">
        <v>166</v>
      </c>
      <c r="O32" s="46" t="s">
        <v>356</v>
      </c>
      <c r="P32" s="46" t="s">
        <v>38</v>
      </c>
      <c r="Q32" s="46" t="s">
        <v>357</v>
      </c>
      <c r="R32" s="46"/>
      <c r="S32" s="17"/>
      <c r="U32" s="32" t="str">
        <f t="shared" si="1"/>
        <v>a</v>
      </c>
      <c r="V32" s="86"/>
    </row>
    <row r="33" spans="2:22" s="6" customFormat="1" ht="80.099999999999994" customHeight="1">
      <c r="B33" s="18">
        <f>B29+1</f>
        <v>8</v>
      </c>
      <c r="D33" s="36" t="s">
        <v>245</v>
      </c>
      <c r="E33" s="36" t="s">
        <v>310</v>
      </c>
      <c r="F33" s="36" t="s">
        <v>244</v>
      </c>
      <c r="G33" s="36" t="s">
        <v>18</v>
      </c>
      <c r="H33" s="36" t="s">
        <v>68</v>
      </c>
      <c r="I33" s="36" t="s">
        <v>311</v>
      </c>
      <c r="J33" s="36" t="s">
        <v>243</v>
      </c>
      <c r="K33" s="36" t="s">
        <v>312</v>
      </c>
      <c r="L33" s="36" t="s">
        <v>294</v>
      </c>
      <c r="M33" s="36" t="s">
        <v>18</v>
      </c>
      <c r="N33" s="36" t="s">
        <v>68</v>
      </c>
      <c r="O33" s="36" t="s">
        <v>313</v>
      </c>
      <c r="P33" s="36" t="s">
        <v>32</v>
      </c>
      <c r="Q33" s="36" t="s">
        <v>314</v>
      </c>
      <c r="R33" s="36" t="s">
        <v>19</v>
      </c>
      <c r="S33" s="19"/>
      <c r="V33" s="86"/>
    </row>
    <row r="34" spans="2:22" s="6" customFormat="1" ht="36" customHeight="1">
      <c r="B34" s="20"/>
      <c r="D34" s="81" t="s">
        <v>250</v>
      </c>
      <c r="E34" s="81" t="s">
        <v>353</v>
      </c>
      <c r="F34" s="81" t="s">
        <v>388</v>
      </c>
      <c r="G34" s="81"/>
      <c r="H34" s="81" t="s">
        <v>389</v>
      </c>
      <c r="I34" s="81" t="s">
        <v>354</v>
      </c>
      <c r="J34" s="81" t="s">
        <v>390</v>
      </c>
      <c r="K34" s="81" t="s">
        <v>355</v>
      </c>
      <c r="L34" s="81" t="s">
        <v>376</v>
      </c>
      <c r="M34" s="81"/>
      <c r="N34" s="81" t="s">
        <v>389</v>
      </c>
      <c r="O34" s="81" t="s">
        <v>356</v>
      </c>
      <c r="P34" s="81" t="s">
        <v>98</v>
      </c>
      <c r="Q34" s="81" t="s">
        <v>357</v>
      </c>
      <c r="R34" s="81"/>
      <c r="S34" s="28"/>
      <c r="V34" s="86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86"/>
    </row>
    <row r="36" spans="2:22" s="6" customFormat="1" ht="36" customHeight="1">
      <c r="B36" s="16"/>
      <c r="D36" s="46" t="s">
        <v>357</v>
      </c>
      <c r="E36" s="46" t="s">
        <v>38</v>
      </c>
      <c r="F36" s="46" t="s">
        <v>364</v>
      </c>
      <c r="G36" s="46" t="s">
        <v>357</v>
      </c>
      <c r="H36" s="46"/>
      <c r="I36" s="46" t="s">
        <v>365</v>
      </c>
      <c r="J36" s="46" t="s">
        <v>341</v>
      </c>
      <c r="K36" s="46" t="s">
        <v>38</v>
      </c>
      <c r="L36" s="46" t="s">
        <v>366</v>
      </c>
      <c r="M36" s="46"/>
      <c r="N36" s="46"/>
      <c r="O36" s="46"/>
      <c r="P36" s="46"/>
      <c r="Q36" s="46"/>
      <c r="R36" s="46"/>
      <c r="S36" s="17"/>
      <c r="V36" s="86"/>
    </row>
    <row r="37" spans="2:22" s="6" customFormat="1" ht="80.099999999999994" customHeight="1">
      <c r="B37" s="18">
        <f>B33+1</f>
        <v>9</v>
      </c>
      <c r="D37" s="36" t="s">
        <v>314</v>
      </c>
      <c r="E37" s="36" t="s">
        <v>32</v>
      </c>
      <c r="F37" s="36" t="s">
        <v>315</v>
      </c>
      <c r="G37" s="36" t="s">
        <v>314</v>
      </c>
      <c r="H37" s="36" t="s">
        <v>18</v>
      </c>
      <c r="I37" s="36" t="s">
        <v>316</v>
      </c>
      <c r="J37" s="36" t="s">
        <v>307</v>
      </c>
      <c r="K37" s="36" t="s">
        <v>32</v>
      </c>
      <c r="L37" s="36" t="s">
        <v>317</v>
      </c>
      <c r="M37" s="36" t="s">
        <v>19</v>
      </c>
      <c r="N37" s="36" t="str">
        <f>CHAR(10)</f>
        <v xml:space="preserve">
</v>
      </c>
      <c r="O37" s="36"/>
      <c r="P37" s="36"/>
      <c r="Q37" s="36"/>
      <c r="R37" s="36"/>
      <c r="S37" s="19"/>
      <c r="V37" s="86"/>
    </row>
    <row r="38" spans="2:22" s="6" customFormat="1" ht="36" customHeight="1">
      <c r="B38" s="20"/>
      <c r="D38" s="81" t="s">
        <v>357</v>
      </c>
      <c r="E38" s="81" t="s">
        <v>98</v>
      </c>
      <c r="F38" s="81" t="s">
        <v>364</v>
      </c>
      <c r="G38" s="81" t="s">
        <v>357</v>
      </c>
      <c r="H38" s="81"/>
      <c r="I38" s="81" t="s">
        <v>391</v>
      </c>
      <c r="J38" s="81" t="s">
        <v>386</v>
      </c>
      <c r="K38" s="81" t="s">
        <v>98</v>
      </c>
      <c r="L38" s="81" t="s">
        <v>392</v>
      </c>
      <c r="M38" s="81"/>
      <c r="N38" s="81"/>
      <c r="O38" s="81"/>
      <c r="P38" s="81"/>
      <c r="Q38" s="81"/>
      <c r="R38" s="81"/>
      <c r="S38" s="28"/>
      <c r="V38" s="86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86"/>
    </row>
    <row r="40" spans="2:22" s="6" customFormat="1" ht="36" customHeight="1">
      <c r="B40" s="1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17"/>
      <c r="V40" s="86"/>
    </row>
    <row r="41" spans="2:22" s="6" customFormat="1" ht="80.099999999999994" customHeight="1">
      <c r="B41" s="18">
        <f>B37+1</f>
        <v>10</v>
      </c>
      <c r="D41" s="36" t="s">
        <v>20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19"/>
      <c r="V41" s="86"/>
    </row>
    <row r="42" spans="2:22" s="6" customFormat="1" ht="36" customHeight="1">
      <c r="B42" s="20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28"/>
      <c r="V42" s="86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86"/>
    </row>
    <row r="44" spans="2:22" s="6" customFormat="1" ht="36" customHeight="1">
      <c r="B44" s="1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86"/>
    </row>
    <row r="45" spans="2:22" s="6" customFormat="1" ht="80.099999999999994" customHeight="1">
      <c r="B45" s="18">
        <f>B41+1</f>
        <v>11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86"/>
    </row>
    <row r="46" spans="2:22" s="6" customFormat="1" ht="36" customHeight="1">
      <c r="B46" s="20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28"/>
      <c r="V46" s="86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86"/>
    </row>
    <row r="48" spans="2:22" s="6" customFormat="1" ht="36" customHeight="1">
      <c r="B48" s="1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17"/>
      <c r="V48" s="86"/>
    </row>
    <row r="49" spans="2:22" s="6" customFormat="1" ht="80.099999999999994" customHeight="1">
      <c r="B49" s="18">
        <f>B45+1</f>
        <v>12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19"/>
      <c r="V49" s="86"/>
    </row>
    <row r="50" spans="2:22" s="6" customFormat="1" ht="36" customHeight="1">
      <c r="B50" s="20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28"/>
      <c r="V50" s="86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86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86"/>
    </row>
    <row r="53" spans="2:22" s="6" customFormat="1" ht="80.099999999999994" customHeight="1">
      <c r="B53" s="18">
        <f>B49+1</f>
        <v>13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86"/>
    </row>
    <row r="54" spans="2:22" s="6" customFormat="1" ht="36" customHeight="1">
      <c r="B54" s="20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28"/>
      <c r="V54" s="86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86"/>
    </row>
    <row r="56" spans="2:22" s="6" customFormat="1" ht="36" customHeight="1">
      <c r="B56" s="1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17"/>
      <c r="V56" s="86"/>
    </row>
    <row r="57" spans="2:22" s="6" customFormat="1" ht="80.099999999999994" customHeight="1">
      <c r="B57" s="18">
        <f>B53+1</f>
        <v>14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19"/>
      <c r="V57" s="86"/>
    </row>
    <row r="58" spans="2:22" s="6" customFormat="1" ht="36" customHeight="1">
      <c r="B58" s="20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28"/>
      <c r="V58" s="86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86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86"/>
    </row>
    <row r="61" spans="2:22" s="6" customFormat="1" ht="80.099999999999994" customHeight="1">
      <c r="B61" s="18">
        <f>B57+1</f>
        <v>15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86"/>
    </row>
    <row r="62" spans="2:22" s="6" customFormat="1" ht="36" customHeight="1">
      <c r="B62" s="20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28"/>
      <c r="V62" s="86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86"/>
    </row>
    <row r="64" spans="2:22" s="6" customFormat="1" ht="36" customHeight="1">
      <c r="B64" s="1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17"/>
      <c r="V64" s="86"/>
    </row>
    <row r="65" spans="2:22" s="6" customFormat="1" ht="80.099999999999994" customHeight="1">
      <c r="B65" s="18">
        <f>B61+1</f>
        <v>16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19"/>
      <c r="V65" s="86"/>
    </row>
    <row r="66" spans="2:22" s="6" customFormat="1" ht="36" customHeight="1">
      <c r="B66" s="20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28"/>
      <c r="V66" s="86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86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6"/>
    </row>
    <row r="69" spans="2:22" s="6" customFormat="1" ht="80.099999999999994" customHeight="1">
      <c r="B69" s="18">
        <f>B65+1</f>
        <v>17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6"/>
    </row>
    <row r="70" spans="2:22" s="6" customFormat="1" ht="36" customHeight="1">
      <c r="B70" s="20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28"/>
      <c r="V70" s="86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86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6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6"/>
    </row>
    <row r="74" spans="2:22" s="6" customFormat="1" ht="36" customHeight="1">
      <c r="B74" s="20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28"/>
      <c r="V74" s="86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86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6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6"/>
    </row>
    <row r="78" spans="2:22" s="6" customFormat="1" ht="36" customHeight="1">
      <c r="B78" s="20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28"/>
      <c r="V78" s="86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86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6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6"/>
    </row>
    <row r="82" spans="2:22" s="6" customFormat="1" ht="36" customHeight="1">
      <c r="B82" s="20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28"/>
      <c r="V82" s="87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 ht="48.75">
      <c r="B170" s="20"/>
      <c r="C170" s="6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 ht="48.75">
      <c r="B174" s="20"/>
      <c r="C174" s="6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 ht="48.75">
      <c r="B178" s="20"/>
      <c r="C178" s="6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 ht="48.75">
      <c r="B182" s="20"/>
      <c r="C182" s="6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 ht="48.75">
      <c r="B186" s="20"/>
      <c r="C186" s="6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 ht="48.75">
      <c r="B190" s="20"/>
      <c r="C190" s="6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 ht="48.75">
      <c r="B194" s="20"/>
      <c r="C194" s="6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 ht="48.75">
      <c r="B198" s="20"/>
      <c r="C198" s="6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 ht="48.75">
      <c r="B202" s="20"/>
      <c r="C202" s="6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 ht="48.75">
      <c r="B206" s="20"/>
      <c r="C206" s="6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 ht="48.75">
      <c r="B210" s="20"/>
      <c r="C210" s="6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 ht="48.75">
      <c r="B214" s="20"/>
      <c r="C214" s="6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 ht="48.75">
      <c r="B218" s="20"/>
      <c r="C218" s="6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 ht="48.75">
      <c r="B222" s="20"/>
      <c r="C222" s="6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 ht="48.75">
      <c r="B226" s="20"/>
      <c r="C226" s="6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 ht="48.75">
      <c r="B230" s="20"/>
      <c r="C230" s="6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 ht="48.75">
      <c r="B234" s="20"/>
      <c r="C234" s="6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 ht="48.75">
      <c r="B238" s="20"/>
      <c r="C238" s="6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 ht="48.75">
      <c r="B242" s="20"/>
      <c r="C242" s="6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 ht="48.75">
      <c r="B250" s="20"/>
      <c r="C250" s="6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 ht="48.75">
      <c r="B254" s="20"/>
      <c r="C254" s="6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 ht="48.75">
      <c r="B258" s="20"/>
      <c r="C258" s="6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 ht="48.75">
      <c r="B262" s="20"/>
      <c r="C262" s="6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 ht="48.75">
      <c r="B266" s="20"/>
      <c r="C266" s="6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 ht="48.75">
      <c r="B270" s="20"/>
      <c r="C270" s="6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 ht="48.75">
      <c r="B274" s="20"/>
      <c r="C274" s="6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 ht="48.75">
      <c r="B278" s="20"/>
      <c r="C278" s="6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 ht="48.75">
      <c r="B282" s="20"/>
      <c r="C282" s="6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 ht="48.75">
      <c r="B286" s="20"/>
      <c r="C286" s="6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 ht="48.75">
      <c r="B290" s="20"/>
      <c r="C290" s="6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 ht="48.75">
      <c r="B294" s="20"/>
      <c r="C294" s="6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 ht="48.75">
      <c r="B298" s="20"/>
      <c r="C298" s="6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 ht="48.75">
      <c r="B302" s="20"/>
      <c r="C302" s="6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 ht="48.75">
      <c r="B306" s="20"/>
      <c r="C306" s="6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 ht="48.75">
      <c r="B310" s="20"/>
      <c r="C310" s="6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 ht="48.75">
      <c r="B314" s="20"/>
      <c r="C314" s="6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 ht="48.75">
      <c r="B318" s="20"/>
      <c r="C318" s="6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 ht="48.75">
      <c r="B322" s="20"/>
      <c r="C322" s="6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 ht="48.75">
      <c r="B326" s="20"/>
      <c r="C326" s="6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 ht="48.75">
      <c r="B330" s="20"/>
      <c r="C330" s="6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 ht="48.75">
      <c r="B334" s="20"/>
      <c r="C334" s="6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 ht="48.75">
      <c r="B338" s="20"/>
      <c r="C338" s="6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 ht="48.75">
      <c r="B342" s="20"/>
      <c r="C342" s="6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 ht="48.75">
      <c r="B346" s="20"/>
      <c r="C346" s="6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 ht="48.75">
      <c r="B350" s="20"/>
      <c r="C350" s="6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 ht="48.75">
      <c r="B354" s="20"/>
      <c r="C354" s="6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 ht="48.75">
      <c r="B358" s="20"/>
      <c r="C358" s="6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81"/>
      <c r="E1414" s="81"/>
      <c r="F1414" s="81"/>
      <c r="G1414" s="81"/>
      <c r="H1414" s="81"/>
      <c r="I1414" s="81"/>
      <c r="J1414" s="81"/>
      <c r="K1414" s="81"/>
      <c r="L1414" s="81"/>
      <c r="M1414" s="81"/>
      <c r="N1414" s="81"/>
      <c r="O1414" s="81"/>
      <c r="P1414" s="81"/>
      <c r="Q1414" s="81"/>
      <c r="R1414" s="81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81"/>
      <c r="E1418" s="81"/>
      <c r="F1418" s="81"/>
      <c r="G1418" s="81"/>
      <c r="H1418" s="81"/>
      <c r="I1418" s="81"/>
      <c r="J1418" s="81"/>
      <c r="K1418" s="81"/>
      <c r="L1418" s="81"/>
      <c r="M1418" s="81"/>
      <c r="N1418" s="81"/>
      <c r="O1418" s="81"/>
      <c r="P1418" s="81"/>
      <c r="Q1418" s="81"/>
      <c r="R1418" s="81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81"/>
      <c r="E1422" s="81"/>
      <c r="F1422" s="81"/>
      <c r="G1422" s="81"/>
      <c r="H1422" s="81"/>
      <c r="I1422" s="81"/>
      <c r="J1422" s="81"/>
      <c r="K1422" s="81"/>
      <c r="L1422" s="81"/>
      <c r="M1422" s="81"/>
      <c r="N1422" s="81"/>
      <c r="O1422" s="81"/>
      <c r="P1422" s="81"/>
      <c r="Q1422" s="81"/>
      <c r="R1422" s="81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81"/>
      <c r="E1426" s="81"/>
      <c r="F1426" s="81"/>
      <c r="G1426" s="81"/>
      <c r="H1426" s="81"/>
      <c r="I1426" s="81"/>
      <c r="J1426" s="81"/>
      <c r="K1426" s="81"/>
      <c r="L1426" s="81"/>
      <c r="M1426" s="81"/>
      <c r="N1426" s="81"/>
      <c r="O1426" s="81"/>
      <c r="P1426" s="81"/>
      <c r="Q1426" s="81"/>
      <c r="R1426" s="81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81"/>
      <c r="E1430" s="81"/>
      <c r="F1430" s="81"/>
      <c r="G1430" s="81"/>
      <c r="H1430" s="81"/>
      <c r="I1430" s="81"/>
      <c r="J1430" s="81"/>
      <c r="K1430" s="81"/>
      <c r="L1430" s="81"/>
      <c r="M1430" s="81"/>
      <c r="N1430" s="81"/>
      <c r="O1430" s="81"/>
      <c r="P1430" s="81"/>
      <c r="Q1430" s="81"/>
      <c r="R1430" s="81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81"/>
      <c r="E1434" s="81"/>
      <c r="F1434" s="81"/>
      <c r="G1434" s="81"/>
      <c r="H1434" s="81"/>
      <c r="I1434" s="81"/>
      <c r="J1434" s="81"/>
      <c r="K1434" s="81"/>
      <c r="L1434" s="81"/>
      <c r="M1434" s="81"/>
      <c r="N1434" s="81"/>
      <c r="O1434" s="81"/>
      <c r="P1434" s="81"/>
      <c r="Q1434" s="81"/>
      <c r="R1434" s="81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81"/>
      <c r="E1438" s="81"/>
      <c r="F1438" s="81"/>
      <c r="G1438" s="81"/>
      <c r="H1438" s="81"/>
      <c r="I1438" s="81"/>
      <c r="J1438" s="81"/>
      <c r="K1438" s="81"/>
      <c r="L1438" s="81"/>
      <c r="M1438" s="81"/>
      <c r="N1438" s="81"/>
      <c r="O1438" s="81"/>
      <c r="P1438" s="81"/>
      <c r="Q1438" s="81"/>
      <c r="R1438" s="81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81"/>
      <c r="E1442" s="81"/>
      <c r="F1442" s="81"/>
      <c r="G1442" s="81"/>
      <c r="H1442" s="81"/>
      <c r="I1442" s="81"/>
      <c r="J1442" s="81"/>
      <c r="K1442" s="81"/>
      <c r="L1442" s="81"/>
      <c r="M1442" s="81"/>
      <c r="N1442" s="81"/>
      <c r="O1442" s="81"/>
      <c r="P1442" s="81"/>
      <c r="Q1442" s="81"/>
      <c r="R1442" s="81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81"/>
      <c r="E1446" s="81"/>
      <c r="F1446" s="81"/>
      <c r="G1446" s="81"/>
      <c r="H1446" s="81"/>
      <c r="I1446" s="81"/>
      <c r="J1446" s="81"/>
      <c r="K1446" s="81"/>
      <c r="L1446" s="81"/>
      <c r="M1446" s="81"/>
      <c r="N1446" s="81"/>
      <c r="O1446" s="81"/>
      <c r="P1446" s="81"/>
      <c r="Q1446" s="81"/>
      <c r="R1446" s="81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81"/>
      <c r="E1450" s="81"/>
      <c r="F1450" s="81"/>
      <c r="G1450" s="81"/>
      <c r="H1450" s="81"/>
      <c r="I1450" s="81"/>
      <c r="J1450" s="81"/>
      <c r="K1450" s="81"/>
      <c r="L1450" s="81"/>
      <c r="M1450" s="81"/>
      <c r="N1450" s="81"/>
      <c r="O1450" s="81"/>
      <c r="P1450" s="81"/>
      <c r="Q1450" s="81"/>
      <c r="R1450" s="81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81"/>
      <c r="E1454" s="81"/>
      <c r="F1454" s="81"/>
      <c r="G1454" s="81"/>
      <c r="H1454" s="81"/>
      <c r="I1454" s="81"/>
      <c r="J1454" s="81"/>
      <c r="K1454" s="81"/>
      <c r="L1454" s="81"/>
      <c r="M1454" s="81"/>
      <c r="N1454" s="81"/>
      <c r="O1454" s="81"/>
      <c r="P1454" s="81"/>
      <c r="Q1454" s="81"/>
      <c r="R1454" s="81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81"/>
      <c r="E1458" s="81"/>
      <c r="F1458" s="81"/>
      <c r="G1458" s="81"/>
      <c r="H1458" s="81"/>
      <c r="I1458" s="81"/>
      <c r="J1458" s="81"/>
      <c r="K1458" s="81"/>
      <c r="L1458" s="81"/>
      <c r="M1458" s="81"/>
      <c r="N1458" s="81"/>
      <c r="O1458" s="81"/>
      <c r="P1458" s="81"/>
      <c r="Q1458" s="81"/>
      <c r="R1458" s="81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81"/>
      <c r="E1462" s="81"/>
      <c r="F1462" s="81"/>
      <c r="G1462" s="81"/>
      <c r="H1462" s="81"/>
      <c r="I1462" s="81"/>
      <c r="J1462" s="81"/>
      <c r="K1462" s="81"/>
      <c r="L1462" s="81"/>
      <c r="M1462" s="81"/>
      <c r="N1462" s="81"/>
      <c r="O1462" s="81"/>
      <c r="P1462" s="81"/>
      <c r="Q1462" s="81"/>
      <c r="R1462" s="81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81"/>
      <c r="E1466" s="81"/>
      <c r="F1466" s="81"/>
      <c r="G1466" s="81"/>
      <c r="H1466" s="81"/>
      <c r="I1466" s="81"/>
      <c r="J1466" s="81"/>
      <c r="K1466" s="81"/>
      <c r="L1466" s="81"/>
      <c r="M1466" s="81"/>
      <c r="N1466" s="81"/>
      <c r="O1466" s="81"/>
      <c r="P1466" s="81"/>
      <c r="Q1466" s="81"/>
      <c r="R1466" s="81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81"/>
      <c r="E1470" s="81"/>
      <c r="F1470" s="81"/>
      <c r="G1470" s="81"/>
      <c r="H1470" s="81"/>
      <c r="I1470" s="81"/>
      <c r="J1470" s="81"/>
      <c r="K1470" s="81"/>
      <c r="L1470" s="81"/>
      <c r="M1470" s="81"/>
      <c r="N1470" s="81"/>
      <c r="O1470" s="81"/>
      <c r="P1470" s="81"/>
      <c r="Q1470" s="81"/>
      <c r="R1470" s="81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81"/>
      <c r="E1474" s="81"/>
      <c r="F1474" s="81"/>
      <c r="G1474" s="81"/>
      <c r="H1474" s="81"/>
      <c r="I1474" s="81"/>
      <c r="J1474" s="81"/>
      <c r="K1474" s="81"/>
      <c r="L1474" s="81"/>
      <c r="M1474" s="81"/>
      <c r="N1474" s="81"/>
      <c r="O1474" s="81"/>
      <c r="P1474" s="81"/>
      <c r="Q1474" s="81"/>
      <c r="R1474" s="81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81"/>
      <c r="E1478" s="81"/>
      <c r="F1478" s="81"/>
      <c r="G1478" s="81"/>
      <c r="H1478" s="81"/>
      <c r="I1478" s="81"/>
      <c r="J1478" s="81"/>
      <c r="K1478" s="81"/>
      <c r="L1478" s="81"/>
      <c r="M1478" s="81"/>
      <c r="N1478" s="81"/>
      <c r="O1478" s="81"/>
      <c r="P1478" s="81"/>
      <c r="Q1478" s="81"/>
      <c r="R1478" s="81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81"/>
      <c r="E1482" s="81"/>
      <c r="F1482" s="81"/>
      <c r="G1482" s="81"/>
      <c r="H1482" s="81"/>
      <c r="I1482" s="81"/>
      <c r="J1482" s="81"/>
      <c r="K1482" s="81"/>
      <c r="L1482" s="81"/>
      <c r="M1482" s="81"/>
      <c r="N1482" s="81"/>
      <c r="O1482" s="81"/>
      <c r="P1482" s="81"/>
      <c r="Q1482" s="81"/>
      <c r="R1482" s="81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81"/>
      <c r="E1486" s="81"/>
      <c r="F1486" s="81"/>
      <c r="G1486" s="81"/>
      <c r="H1486" s="81"/>
      <c r="I1486" s="81"/>
      <c r="J1486" s="81"/>
      <c r="K1486" s="81"/>
      <c r="L1486" s="81"/>
      <c r="M1486" s="81"/>
      <c r="N1486" s="81"/>
      <c r="O1486" s="81"/>
      <c r="P1486" s="81"/>
      <c r="Q1486" s="81"/>
      <c r="R1486" s="81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81"/>
      <c r="E1490" s="81"/>
      <c r="F1490" s="81"/>
      <c r="G1490" s="81"/>
      <c r="H1490" s="81"/>
      <c r="I1490" s="81"/>
      <c r="J1490" s="81"/>
      <c r="K1490" s="81"/>
      <c r="L1490" s="81"/>
      <c r="M1490" s="81"/>
      <c r="N1490" s="81"/>
      <c r="O1490" s="81"/>
      <c r="P1490" s="81"/>
      <c r="Q1490" s="81"/>
      <c r="R1490" s="81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81"/>
      <c r="E1494" s="81"/>
      <c r="F1494" s="81"/>
      <c r="G1494" s="81"/>
      <c r="H1494" s="81"/>
      <c r="I1494" s="81"/>
      <c r="J1494" s="81"/>
      <c r="K1494" s="81"/>
      <c r="L1494" s="81"/>
      <c r="M1494" s="81"/>
      <c r="N1494" s="81"/>
      <c r="O1494" s="81"/>
      <c r="P1494" s="81"/>
      <c r="Q1494" s="81"/>
      <c r="R1494" s="81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81"/>
      <c r="E1498" s="81"/>
      <c r="F1498" s="81"/>
      <c r="G1498" s="81"/>
      <c r="H1498" s="81"/>
      <c r="I1498" s="81"/>
      <c r="J1498" s="81"/>
      <c r="K1498" s="81"/>
      <c r="L1498" s="81"/>
      <c r="M1498" s="81"/>
      <c r="N1498" s="81"/>
      <c r="O1498" s="81"/>
      <c r="P1498" s="81"/>
      <c r="Q1498" s="81"/>
      <c r="R1498" s="81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81"/>
      <c r="E1502" s="81"/>
      <c r="F1502" s="81"/>
      <c r="G1502" s="81"/>
      <c r="H1502" s="81"/>
      <c r="I1502" s="81"/>
      <c r="J1502" s="81"/>
      <c r="K1502" s="81"/>
      <c r="L1502" s="81"/>
      <c r="M1502" s="81"/>
      <c r="N1502" s="81"/>
      <c r="O1502" s="81"/>
      <c r="P1502" s="81"/>
      <c r="Q1502" s="81"/>
      <c r="R1502" s="81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81"/>
      <c r="E1506" s="81"/>
      <c r="F1506" s="81"/>
      <c r="G1506" s="81"/>
      <c r="H1506" s="81"/>
      <c r="I1506" s="81"/>
      <c r="J1506" s="81"/>
      <c r="K1506" s="81"/>
      <c r="L1506" s="81"/>
      <c r="M1506" s="81"/>
      <c r="N1506" s="81"/>
      <c r="O1506" s="81"/>
      <c r="P1506" s="81"/>
      <c r="Q1506" s="81"/>
      <c r="R1506" s="81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81"/>
      <c r="E1510" s="81"/>
      <c r="F1510" s="81"/>
      <c r="G1510" s="81"/>
      <c r="H1510" s="81"/>
      <c r="I1510" s="81"/>
      <c r="J1510" s="81"/>
      <c r="K1510" s="81"/>
      <c r="L1510" s="81"/>
      <c r="M1510" s="81"/>
      <c r="N1510" s="81"/>
      <c r="O1510" s="81"/>
      <c r="P1510" s="81"/>
      <c r="Q1510" s="81"/>
      <c r="R1510" s="81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81"/>
      <c r="E1514" s="81"/>
      <c r="F1514" s="81"/>
      <c r="G1514" s="81"/>
      <c r="H1514" s="81"/>
      <c r="I1514" s="81"/>
      <c r="J1514" s="81"/>
      <c r="K1514" s="81"/>
      <c r="L1514" s="81"/>
      <c r="M1514" s="81"/>
      <c r="N1514" s="81"/>
      <c r="O1514" s="81"/>
      <c r="P1514" s="81"/>
      <c r="Q1514" s="81"/>
      <c r="R1514" s="81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81"/>
      <c r="E1518" s="81"/>
      <c r="F1518" s="81"/>
      <c r="G1518" s="81"/>
      <c r="H1518" s="81"/>
      <c r="I1518" s="81"/>
      <c r="J1518" s="81"/>
      <c r="K1518" s="81"/>
      <c r="L1518" s="81"/>
      <c r="M1518" s="81"/>
      <c r="N1518" s="81"/>
      <c r="O1518" s="81"/>
      <c r="P1518" s="81"/>
      <c r="Q1518" s="81"/>
      <c r="R1518" s="81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81"/>
      <c r="E1522" s="81"/>
      <c r="F1522" s="81"/>
      <c r="G1522" s="81"/>
      <c r="H1522" s="81"/>
      <c r="I1522" s="81"/>
      <c r="J1522" s="81"/>
      <c r="K1522" s="81"/>
      <c r="L1522" s="81"/>
      <c r="M1522" s="81"/>
      <c r="N1522" s="81"/>
      <c r="O1522" s="81"/>
      <c r="P1522" s="81"/>
      <c r="Q1522" s="81"/>
      <c r="R1522" s="81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81"/>
      <c r="E1526" s="81"/>
      <c r="F1526" s="81"/>
      <c r="G1526" s="81"/>
      <c r="H1526" s="81"/>
      <c r="I1526" s="81"/>
      <c r="J1526" s="81"/>
      <c r="K1526" s="81"/>
      <c r="L1526" s="81"/>
      <c r="M1526" s="81"/>
      <c r="N1526" s="81"/>
      <c r="O1526" s="81"/>
      <c r="P1526" s="81"/>
      <c r="Q1526" s="81"/>
      <c r="R1526" s="81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81"/>
      <c r="E1530" s="81"/>
      <c r="F1530" s="81"/>
      <c r="G1530" s="81"/>
      <c r="H1530" s="81"/>
      <c r="I1530" s="81"/>
      <c r="J1530" s="81"/>
      <c r="K1530" s="81"/>
      <c r="L1530" s="81"/>
      <c r="M1530" s="81"/>
      <c r="N1530" s="81"/>
      <c r="O1530" s="81"/>
      <c r="P1530" s="81"/>
      <c r="Q1530" s="81"/>
      <c r="R1530" s="81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81"/>
      <c r="E1534" s="81"/>
      <c r="F1534" s="81"/>
      <c r="G1534" s="81"/>
      <c r="H1534" s="81"/>
      <c r="I1534" s="81"/>
      <c r="J1534" s="81"/>
      <c r="K1534" s="81"/>
      <c r="L1534" s="81"/>
      <c r="M1534" s="81"/>
      <c r="N1534" s="81"/>
      <c r="O1534" s="81"/>
      <c r="P1534" s="81"/>
      <c r="Q1534" s="81"/>
      <c r="R1534" s="81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81"/>
      <c r="E1538" s="81"/>
      <c r="F1538" s="81"/>
      <c r="G1538" s="81"/>
      <c r="H1538" s="81"/>
      <c r="I1538" s="81"/>
      <c r="J1538" s="81"/>
      <c r="K1538" s="81"/>
      <c r="L1538" s="81"/>
      <c r="M1538" s="81"/>
      <c r="N1538" s="81"/>
      <c r="O1538" s="81"/>
      <c r="P1538" s="81"/>
      <c r="Q1538" s="81"/>
      <c r="R1538" s="81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81"/>
      <c r="E1542" s="81"/>
      <c r="F1542" s="81"/>
      <c r="G1542" s="81"/>
      <c r="H1542" s="81"/>
      <c r="I1542" s="81"/>
      <c r="J1542" s="81"/>
      <c r="K1542" s="81"/>
      <c r="L1542" s="81"/>
      <c r="M1542" s="81"/>
      <c r="N1542" s="81"/>
      <c r="O1542" s="81"/>
      <c r="P1542" s="81"/>
      <c r="Q1542" s="81"/>
      <c r="R1542" s="81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81"/>
      <c r="E1546" s="81"/>
      <c r="F1546" s="81"/>
      <c r="G1546" s="81"/>
      <c r="H1546" s="81"/>
      <c r="I1546" s="81"/>
      <c r="J1546" s="81"/>
      <c r="K1546" s="81"/>
      <c r="L1546" s="81"/>
      <c r="M1546" s="81"/>
      <c r="N1546" s="81"/>
      <c r="O1546" s="81"/>
      <c r="P1546" s="81"/>
      <c r="Q1546" s="81"/>
      <c r="R1546" s="81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81"/>
      <c r="E1550" s="81"/>
      <c r="F1550" s="81"/>
      <c r="G1550" s="81"/>
      <c r="H1550" s="81"/>
      <c r="I1550" s="81"/>
      <c r="J1550" s="81"/>
      <c r="K1550" s="81"/>
      <c r="L1550" s="81"/>
      <c r="M1550" s="81"/>
      <c r="N1550" s="81"/>
      <c r="O1550" s="81"/>
      <c r="P1550" s="81"/>
      <c r="Q1550" s="81"/>
      <c r="R1550" s="81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81"/>
      <c r="E1554" s="81"/>
      <c r="F1554" s="81"/>
      <c r="G1554" s="81"/>
      <c r="H1554" s="81"/>
      <c r="I1554" s="81"/>
      <c r="J1554" s="81"/>
      <c r="K1554" s="81"/>
      <c r="L1554" s="81"/>
      <c r="M1554" s="81"/>
      <c r="N1554" s="81"/>
      <c r="O1554" s="81"/>
      <c r="P1554" s="81"/>
      <c r="Q1554" s="81"/>
      <c r="R1554" s="81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81"/>
      <c r="E1558" s="81"/>
      <c r="F1558" s="81"/>
      <c r="G1558" s="81"/>
      <c r="H1558" s="81"/>
      <c r="I1558" s="81"/>
      <c r="J1558" s="81"/>
      <c r="K1558" s="81"/>
      <c r="L1558" s="81"/>
      <c r="M1558" s="81"/>
      <c r="N1558" s="81"/>
      <c r="O1558" s="81"/>
      <c r="P1558" s="81"/>
      <c r="Q1558" s="81"/>
      <c r="R1558" s="81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81"/>
      <c r="E1562" s="81"/>
      <c r="F1562" s="81"/>
      <c r="G1562" s="81"/>
      <c r="H1562" s="81"/>
      <c r="I1562" s="81"/>
      <c r="J1562" s="81"/>
      <c r="K1562" s="81"/>
      <c r="L1562" s="81"/>
      <c r="M1562" s="81"/>
      <c r="N1562" s="81"/>
      <c r="O1562" s="81"/>
      <c r="P1562" s="81"/>
      <c r="Q1562" s="81"/>
      <c r="R1562" s="81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81"/>
      <c r="E1566" s="81"/>
      <c r="F1566" s="81"/>
      <c r="G1566" s="81"/>
      <c r="H1566" s="81"/>
      <c r="I1566" s="81"/>
      <c r="J1566" s="81"/>
      <c r="K1566" s="81"/>
      <c r="L1566" s="81"/>
      <c r="M1566" s="81"/>
      <c r="N1566" s="81"/>
      <c r="O1566" s="81"/>
      <c r="P1566" s="81"/>
      <c r="Q1566" s="81"/>
      <c r="R1566" s="81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81"/>
      <c r="E1570" s="81"/>
      <c r="F1570" s="81"/>
      <c r="G1570" s="81"/>
      <c r="H1570" s="81"/>
      <c r="I1570" s="81"/>
      <c r="J1570" s="81"/>
      <c r="K1570" s="81"/>
      <c r="L1570" s="81"/>
      <c r="M1570" s="81"/>
      <c r="N1570" s="81"/>
      <c r="O1570" s="81"/>
      <c r="P1570" s="81"/>
      <c r="Q1570" s="81"/>
      <c r="R1570" s="81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81"/>
      <c r="E1574" s="81"/>
      <c r="F1574" s="81"/>
      <c r="G1574" s="81"/>
      <c r="H1574" s="81"/>
      <c r="I1574" s="81"/>
      <c r="J1574" s="81"/>
      <c r="K1574" s="81"/>
      <c r="L1574" s="81"/>
      <c r="M1574" s="81"/>
      <c r="N1574" s="81"/>
      <c r="O1574" s="81"/>
      <c r="P1574" s="81"/>
      <c r="Q1574" s="81"/>
      <c r="R1574" s="81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81"/>
      <c r="E1578" s="81"/>
      <c r="F1578" s="81"/>
      <c r="G1578" s="81"/>
      <c r="H1578" s="81"/>
      <c r="I1578" s="81"/>
      <c r="J1578" s="81"/>
      <c r="K1578" s="81"/>
      <c r="L1578" s="81"/>
      <c r="M1578" s="81"/>
      <c r="N1578" s="81"/>
      <c r="O1578" s="81"/>
      <c r="P1578" s="81"/>
      <c r="Q1578" s="81"/>
      <c r="R1578" s="81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81"/>
      <c r="E1582" s="81"/>
      <c r="F1582" s="81"/>
      <c r="G1582" s="81"/>
      <c r="H1582" s="81"/>
      <c r="I1582" s="81"/>
      <c r="J1582" s="81"/>
      <c r="K1582" s="81"/>
      <c r="L1582" s="81"/>
      <c r="M1582" s="81"/>
      <c r="N1582" s="81"/>
      <c r="O1582" s="81"/>
      <c r="P1582" s="81"/>
      <c r="Q1582" s="81"/>
      <c r="R1582" s="81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81"/>
      <c r="E1586" s="81"/>
      <c r="F1586" s="81"/>
      <c r="G1586" s="81"/>
      <c r="H1586" s="81"/>
      <c r="I1586" s="81"/>
      <c r="J1586" s="81"/>
      <c r="K1586" s="81"/>
      <c r="L1586" s="81"/>
      <c r="M1586" s="81"/>
      <c r="N1586" s="81"/>
      <c r="O1586" s="81"/>
      <c r="P1586" s="81"/>
      <c r="Q1586" s="81"/>
      <c r="R1586" s="81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81"/>
      <c r="E1590" s="81"/>
      <c r="F1590" s="81"/>
      <c r="G1590" s="81"/>
      <c r="H1590" s="81"/>
      <c r="I1590" s="81"/>
      <c r="J1590" s="81"/>
      <c r="K1590" s="81"/>
      <c r="L1590" s="81"/>
      <c r="M1590" s="81"/>
      <c r="N1590" s="81"/>
      <c r="O1590" s="81"/>
      <c r="P1590" s="81"/>
      <c r="Q1590" s="81"/>
      <c r="R1590" s="81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81"/>
      <c r="E1594" s="81"/>
      <c r="F1594" s="81"/>
      <c r="G1594" s="81"/>
      <c r="H1594" s="81"/>
      <c r="I1594" s="81"/>
      <c r="J1594" s="81"/>
      <c r="K1594" s="81"/>
      <c r="L1594" s="81"/>
      <c r="M1594" s="81"/>
      <c r="N1594" s="81"/>
      <c r="O1594" s="81"/>
      <c r="P1594" s="81"/>
      <c r="Q1594" s="81"/>
      <c r="R1594" s="81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81"/>
      <c r="E1598" s="81"/>
      <c r="F1598" s="81"/>
      <c r="G1598" s="81"/>
      <c r="H1598" s="81"/>
      <c r="I1598" s="81"/>
      <c r="J1598" s="81"/>
      <c r="K1598" s="81"/>
      <c r="L1598" s="81"/>
      <c r="M1598" s="81"/>
      <c r="N1598" s="81"/>
      <c r="O1598" s="81"/>
      <c r="P1598" s="81"/>
      <c r="Q1598" s="81"/>
      <c r="R1598" s="81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81"/>
      <c r="E1602" s="81"/>
      <c r="F1602" s="81"/>
      <c r="G1602" s="81"/>
      <c r="H1602" s="81"/>
      <c r="I1602" s="81"/>
      <c r="J1602" s="81"/>
      <c r="K1602" s="81"/>
      <c r="L1602" s="81"/>
      <c r="M1602" s="81"/>
      <c r="N1602" s="81"/>
      <c r="O1602" s="81"/>
      <c r="P1602" s="81"/>
      <c r="Q1602" s="81"/>
      <c r="R1602" s="81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81"/>
      <c r="E1606" s="81"/>
      <c r="F1606" s="81"/>
      <c r="G1606" s="81"/>
      <c r="H1606" s="81"/>
      <c r="I1606" s="81"/>
      <c r="J1606" s="81"/>
      <c r="K1606" s="81"/>
      <c r="L1606" s="81"/>
      <c r="M1606" s="81"/>
      <c r="N1606" s="81"/>
      <c r="O1606" s="81"/>
      <c r="P1606" s="81"/>
      <c r="Q1606" s="81"/>
      <c r="R1606" s="81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81"/>
      <c r="E1610" s="81"/>
      <c r="F1610" s="81"/>
      <c r="G1610" s="81"/>
      <c r="H1610" s="81"/>
      <c r="I1610" s="81"/>
      <c r="J1610" s="81"/>
      <c r="K1610" s="81"/>
      <c r="L1610" s="81"/>
      <c r="M1610" s="81"/>
      <c r="N1610" s="81"/>
      <c r="O1610" s="81"/>
      <c r="P1610" s="81"/>
      <c r="Q1610" s="81"/>
      <c r="R1610" s="81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81"/>
      <c r="E1614" s="81"/>
      <c r="F1614" s="81"/>
      <c r="G1614" s="81"/>
      <c r="H1614" s="81"/>
      <c r="I1614" s="81"/>
      <c r="J1614" s="81"/>
      <c r="K1614" s="81"/>
      <c r="L1614" s="81"/>
      <c r="M1614" s="81"/>
      <c r="N1614" s="81"/>
      <c r="O1614" s="81"/>
      <c r="P1614" s="81"/>
      <c r="Q1614" s="81"/>
      <c r="R1614" s="81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81"/>
      <c r="E1618" s="81"/>
      <c r="F1618" s="81"/>
      <c r="G1618" s="81"/>
      <c r="H1618" s="81"/>
      <c r="I1618" s="81"/>
      <c r="J1618" s="81"/>
      <c r="K1618" s="81"/>
      <c r="L1618" s="81"/>
      <c r="M1618" s="81"/>
      <c r="N1618" s="81"/>
      <c r="O1618" s="81"/>
      <c r="P1618" s="81"/>
      <c r="Q1618" s="81"/>
      <c r="R1618" s="81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81"/>
      <c r="E1622" s="81"/>
      <c r="F1622" s="81"/>
      <c r="G1622" s="81"/>
      <c r="H1622" s="81"/>
      <c r="I1622" s="81"/>
      <c r="J1622" s="81"/>
      <c r="K1622" s="81"/>
      <c r="L1622" s="81"/>
      <c r="M1622" s="81"/>
      <c r="N1622" s="81"/>
      <c r="O1622" s="81"/>
      <c r="P1622" s="81"/>
      <c r="Q1622" s="81"/>
      <c r="R1622" s="81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81"/>
      <c r="E1626" s="81"/>
      <c r="F1626" s="81"/>
      <c r="G1626" s="81"/>
      <c r="H1626" s="81"/>
      <c r="I1626" s="81"/>
      <c r="J1626" s="81"/>
      <c r="K1626" s="81"/>
      <c r="L1626" s="81"/>
      <c r="M1626" s="81"/>
      <c r="N1626" s="81"/>
      <c r="O1626" s="81"/>
      <c r="P1626" s="81"/>
      <c r="Q1626" s="81"/>
      <c r="R1626" s="81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81"/>
      <c r="E1630" s="81"/>
      <c r="F1630" s="81"/>
      <c r="G1630" s="81"/>
      <c r="H1630" s="81"/>
      <c r="I1630" s="81"/>
      <c r="J1630" s="81"/>
      <c r="K1630" s="81"/>
      <c r="L1630" s="81"/>
      <c r="M1630" s="81"/>
      <c r="N1630" s="81"/>
      <c r="O1630" s="81"/>
      <c r="P1630" s="81"/>
      <c r="Q1630" s="81"/>
      <c r="R1630" s="81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81"/>
      <c r="E1634" s="81"/>
      <c r="F1634" s="81"/>
      <c r="G1634" s="81"/>
      <c r="H1634" s="81"/>
      <c r="I1634" s="81"/>
      <c r="J1634" s="81"/>
      <c r="K1634" s="81"/>
      <c r="L1634" s="81"/>
      <c r="M1634" s="81"/>
      <c r="N1634" s="81"/>
      <c r="O1634" s="81"/>
      <c r="P1634" s="81"/>
      <c r="Q1634" s="81"/>
      <c r="R1634" s="81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81"/>
      <c r="E1638" s="81"/>
      <c r="F1638" s="81"/>
      <c r="G1638" s="81"/>
      <c r="H1638" s="81"/>
      <c r="I1638" s="81"/>
      <c r="J1638" s="81"/>
      <c r="K1638" s="81"/>
      <c r="L1638" s="81"/>
      <c r="M1638" s="81"/>
      <c r="N1638" s="81"/>
      <c r="O1638" s="81"/>
      <c r="P1638" s="81"/>
      <c r="Q1638" s="81"/>
      <c r="R1638" s="81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81"/>
      <c r="E1642" s="81"/>
      <c r="F1642" s="81"/>
      <c r="G1642" s="81"/>
      <c r="H1642" s="81"/>
      <c r="I1642" s="81"/>
      <c r="J1642" s="81"/>
      <c r="K1642" s="81"/>
      <c r="L1642" s="81"/>
      <c r="M1642" s="81"/>
      <c r="N1642" s="81"/>
      <c r="O1642" s="81"/>
      <c r="P1642" s="81"/>
      <c r="Q1642" s="81"/>
      <c r="R1642" s="81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81"/>
      <c r="E1646" s="81"/>
      <c r="F1646" s="81"/>
      <c r="G1646" s="81"/>
      <c r="H1646" s="81"/>
      <c r="I1646" s="81"/>
      <c r="J1646" s="81"/>
      <c r="K1646" s="81"/>
      <c r="L1646" s="81"/>
      <c r="M1646" s="81"/>
      <c r="N1646" s="81"/>
      <c r="O1646" s="81"/>
      <c r="P1646" s="81"/>
      <c r="Q1646" s="81"/>
      <c r="R1646" s="81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81"/>
      <c r="E1650" s="81"/>
      <c r="F1650" s="81"/>
      <c r="G1650" s="81"/>
      <c r="H1650" s="81"/>
      <c r="I1650" s="81"/>
      <c r="J1650" s="81"/>
      <c r="K1650" s="81"/>
      <c r="L1650" s="81"/>
      <c r="M1650" s="81"/>
      <c r="N1650" s="81"/>
      <c r="O1650" s="81"/>
      <c r="P1650" s="81"/>
      <c r="Q1650" s="81"/>
      <c r="R1650" s="81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81"/>
      <c r="E1654" s="81"/>
      <c r="F1654" s="81"/>
      <c r="G1654" s="81"/>
      <c r="H1654" s="81"/>
      <c r="I1654" s="81"/>
      <c r="J1654" s="81"/>
      <c r="K1654" s="81"/>
      <c r="L1654" s="81"/>
      <c r="M1654" s="81"/>
      <c r="N1654" s="81"/>
      <c r="O1654" s="81"/>
      <c r="P1654" s="81"/>
      <c r="Q1654" s="81"/>
      <c r="R1654" s="81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81"/>
      <c r="E1658" s="81"/>
      <c r="F1658" s="81"/>
      <c r="G1658" s="81"/>
      <c r="H1658" s="81"/>
      <c r="I1658" s="81"/>
      <c r="J1658" s="81"/>
      <c r="K1658" s="81"/>
      <c r="L1658" s="81"/>
      <c r="M1658" s="81"/>
      <c r="N1658" s="81"/>
      <c r="O1658" s="81"/>
      <c r="P1658" s="81"/>
      <c r="Q1658" s="81"/>
      <c r="R1658" s="81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81"/>
      <c r="E1662" s="81"/>
      <c r="F1662" s="81"/>
      <c r="G1662" s="81"/>
      <c r="H1662" s="81"/>
      <c r="I1662" s="81"/>
      <c r="J1662" s="81"/>
      <c r="K1662" s="81"/>
      <c r="L1662" s="81"/>
      <c r="M1662" s="81"/>
      <c r="N1662" s="81"/>
      <c r="O1662" s="81"/>
      <c r="P1662" s="81"/>
      <c r="Q1662" s="81"/>
      <c r="R1662" s="81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81"/>
      <c r="E1666" s="81"/>
      <c r="F1666" s="81"/>
      <c r="G1666" s="81"/>
      <c r="H1666" s="81"/>
      <c r="I1666" s="81"/>
      <c r="J1666" s="81"/>
      <c r="K1666" s="81"/>
      <c r="L1666" s="81"/>
      <c r="M1666" s="81"/>
      <c r="N1666" s="81"/>
      <c r="O1666" s="81"/>
      <c r="P1666" s="81"/>
      <c r="Q1666" s="81"/>
      <c r="R1666" s="81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81"/>
      <c r="E1670" s="81"/>
      <c r="F1670" s="81"/>
      <c r="G1670" s="81"/>
      <c r="H1670" s="81"/>
      <c r="I1670" s="81"/>
      <c r="J1670" s="81"/>
      <c r="K1670" s="81"/>
      <c r="L1670" s="81"/>
      <c r="M1670" s="81"/>
      <c r="N1670" s="81"/>
      <c r="O1670" s="81"/>
      <c r="P1670" s="81"/>
      <c r="Q1670" s="81"/>
      <c r="R1670" s="81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81"/>
      <c r="E1674" s="81"/>
      <c r="F1674" s="81"/>
      <c r="G1674" s="81"/>
      <c r="H1674" s="81"/>
      <c r="I1674" s="81"/>
      <c r="J1674" s="81"/>
      <c r="K1674" s="81"/>
      <c r="L1674" s="81"/>
      <c r="M1674" s="81"/>
      <c r="N1674" s="81"/>
      <c r="O1674" s="81"/>
      <c r="P1674" s="81"/>
      <c r="Q1674" s="81"/>
      <c r="R1674" s="81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81"/>
      <c r="E1678" s="81"/>
      <c r="F1678" s="81"/>
      <c r="G1678" s="81"/>
      <c r="H1678" s="81"/>
      <c r="I1678" s="81"/>
      <c r="J1678" s="81"/>
      <c r="K1678" s="81"/>
      <c r="L1678" s="81"/>
      <c r="M1678" s="81"/>
      <c r="N1678" s="81"/>
      <c r="O1678" s="81"/>
      <c r="P1678" s="81"/>
      <c r="Q1678" s="81"/>
      <c r="R1678" s="81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81"/>
      <c r="E1682" s="81"/>
      <c r="F1682" s="81"/>
      <c r="G1682" s="81"/>
      <c r="H1682" s="81"/>
      <c r="I1682" s="81"/>
      <c r="J1682" s="81"/>
      <c r="K1682" s="81"/>
      <c r="L1682" s="81"/>
      <c r="M1682" s="81"/>
      <c r="N1682" s="81"/>
      <c r="O1682" s="81"/>
      <c r="P1682" s="81"/>
      <c r="Q1682" s="81"/>
      <c r="R1682" s="81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81"/>
      <c r="E1686" s="81"/>
      <c r="F1686" s="81"/>
      <c r="G1686" s="81"/>
      <c r="H1686" s="81"/>
      <c r="I1686" s="81"/>
      <c r="J1686" s="81"/>
      <c r="K1686" s="81"/>
      <c r="L1686" s="81"/>
      <c r="M1686" s="81"/>
      <c r="N1686" s="81"/>
      <c r="O1686" s="81"/>
      <c r="P1686" s="81"/>
      <c r="Q1686" s="81"/>
      <c r="R1686" s="81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81"/>
      <c r="E1690" s="81"/>
      <c r="F1690" s="81"/>
      <c r="G1690" s="81"/>
      <c r="H1690" s="81"/>
      <c r="I1690" s="81"/>
      <c r="J1690" s="81"/>
      <c r="K1690" s="81"/>
      <c r="L1690" s="81"/>
      <c r="M1690" s="81"/>
      <c r="N1690" s="81"/>
      <c r="O1690" s="81"/>
      <c r="P1690" s="81"/>
      <c r="Q1690" s="81"/>
      <c r="R1690" s="81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81"/>
      <c r="E1694" s="81"/>
      <c r="F1694" s="81"/>
      <c r="G1694" s="81"/>
      <c r="H1694" s="81"/>
      <c r="I1694" s="81"/>
      <c r="J1694" s="81"/>
      <c r="K1694" s="81"/>
      <c r="L1694" s="81"/>
      <c r="M1694" s="81"/>
      <c r="N1694" s="81"/>
      <c r="O1694" s="81"/>
      <c r="P1694" s="81"/>
      <c r="Q1694" s="81"/>
      <c r="R1694" s="81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81"/>
      <c r="E1698" s="81"/>
      <c r="F1698" s="81"/>
      <c r="G1698" s="81"/>
      <c r="H1698" s="81"/>
      <c r="I1698" s="81"/>
      <c r="J1698" s="81"/>
      <c r="K1698" s="81"/>
      <c r="L1698" s="81"/>
      <c r="M1698" s="81"/>
      <c r="N1698" s="81"/>
      <c r="O1698" s="81"/>
      <c r="P1698" s="81"/>
      <c r="Q1698" s="81"/>
      <c r="R1698" s="81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81"/>
      <c r="E1702" s="81"/>
      <c r="F1702" s="81"/>
      <c r="G1702" s="81"/>
      <c r="H1702" s="81"/>
      <c r="I1702" s="81"/>
      <c r="J1702" s="81"/>
      <c r="K1702" s="81"/>
      <c r="L1702" s="81"/>
      <c r="M1702" s="81"/>
      <c r="N1702" s="81"/>
      <c r="O1702" s="81"/>
      <c r="P1702" s="81"/>
      <c r="Q1702" s="81"/>
      <c r="R1702" s="81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81"/>
      <c r="E1706" s="81"/>
      <c r="F1706" s="81"/>
      <c r="G1706" s="81"/>
      <c r="H1706" s="81"/>
      <c r="I1706" s="81"/>
      <c r="J1706" s="81"/>
      <c r="K1706" s="81"/>
      <c r="L1706" s="81"/>
      <c r="M1706" s="81"/>
      <c r="N1706" s="81"/>
      <c r="O1706" s="81"/>
      <c r="P1706" s="81"/>
      <c r="Q1706" s="81"/>
      <c r="R1706" s="81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81"/>
      <c r="E1710" s="81"/>
      <c r="F1710" s="81"/>
      <c r="G1710" s="81"/>
      <c r="H1710" s="81"/>
      <c r="I1710" s="81"/>
      <c r="J1710" s="81"/>
      <c r="K1710" s="81"/>
      <c r="L1710" s="81"/>
      <c r="M1710" s="81"/>
      <c r="N1710" s="81"/>
      <c r="O1710" s="81"/>
      <c r="P1710" s="81"/>
      <c r="Q1710" s="81"/>
      <c r="R1710" s="81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81"/>
      <c r="E1714" s="81"/>
      <c r="F1714" s="81"/>
      <c r="G1714" s="81"/>
      <c r="H1714" s="81"/>
      <c r="I1714" s="81"/>
      <c r="J1714" s="81"/>
      <c r="K1714" s="81"/>
      <c r="L1714" s="81"/>
      <c r="M1714" s="81"/>
      <c r="N1714" s="81"/>
      <c r="O1714" s="81"/>
      <c r="P1714" s="81"/>
      <c r="Q1714" s="81"/>
      <c r="R1714" s="81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81"/>
      <c r="E1718" s="81"/>
      <c r="F1718" s="81"/>
      <c r="G1718" s="81"/>
      <c r="H1718" s="81"/>
      <c r="I1718" s="81"/>
      <c r="J1718" s="81"/>
      <c r="K1718" s="81"/>
      <c r="L1718" s="81"/>
      <c r="M1718" s="81"/>
      <c r="N1718" s="81"/>
      <c r="O1718" s="81"/>
      <c r="P1718" s="81"/>
      <c r="Q1718" s="81"/>
      <c r="R1718" s="81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81"/>
      <c r="E1722" s="81"/>
      <c r="F1722" s="81"/>
      <c r="G1722" s="81"/>
      <c r="H1722" s="81"/>
      <c r="I1722" s="81"/>
      <c r="J1722" s="81"/>
      <c r="K1722" s="81"/>
      <c r="L1722" s="81"/>
      <c r="M1722" s="81"/>
      <c r="N1722" s="81"/>
      <c r="O1722" s="81"/>
      <c r="P1722" s="81"/>
      <c r="Q1722" s="81"/>
      <c r="R1722" s="81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81"/>
      <c r="E1726" s="81"/>
      <c r="F1726" s="81"/>
      <c r="G1726" s="81"/>
      <c r="H1726" s="81"/>
      <c r="I1726" s="81"/>
      <c r="J1726" s="81"/>
      <c r="K1726" s="81"/>
      <c r="L1726" s="81"/>
      <c r="M1726" s="81"/>
      <c r="N1726" s="81"/>
      <c r="O1726" s="81"/>
      <c r="P1726" s="81"/>
      <c r="Q1726" s="81"/>
      <c r="R1726" s="81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81"/>
      <c r="E1730" s="81"/>
      <c r="F1730" s="81"/>
      <c r="G1730" s="81"/>
      <c r="H1730" s="81"/>
      <c r="I1730" s="81"/>
      <c r="J1730" s="81"/>
      <c r="K1730" s="81"/>
      <c r="L1730" s="81"/>
      <c r="M1730" s="81"/>
      <c r="N1730" s="81"/>
      <c r="O1730" s="81"/>
      <c r="P1730" s="81"/>
      <c r="Q1730" s="81"/>
      <c r="R1730" s="81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81"/>
      <c r="E1734" s="81"/>
      <c r="F1734" s="81"/>
      <c r="G1734" s="81"/>
      <c r="H1734" s="81"/>
      <c r="I1734" s="81"/>
      <c r="J1734" s="81"/>
      <c r="K1734" s="81"/>
      <c r="L1734" s="81"/>
      <c r="M1734" s="81"/>
      <c r="N1734" s="81"/>
      <c r="O1734" s="81"/>
      <c r="P1734" s="81"/>
      <c r="Q1734" s="81"/>
      <c r="R1734" s="81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81"/>
      <c r="E1738" s="81"/>
      <c r="F1738" s="81"/>
      <c r="G1738" s="81"/>
      <c r="H1738" s="81"/>
      <c r="I1738" s="81"/>
      <c r="J1738" s="81"/>
      <c r="K1738" s="81"/>
      <c r="L1738" s="81"/>
      <c r="M1738" s="81"/>
      <c r="N1738" s="81"/>
      <c r="O1738" s="81"/>
      <c r="P1738" s="81"/>
      <c r="Q1738" s="81"/>
      <c r="R1738" s="81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81"/>
      <c r="E1742" s="81"/>
      <c r="F1742" s="81"/>
      <c r="G1742" s="81"/>
      <c r="H1742" s="81"/>
      <c r="I1742" s="81"/>
      <c r="J1742" s="81"/>
      <c r="K1742" s="81"/>
      <c r="L1742" s="81"/>
      <c r="M1742" s="81"/>
      <c r="N1742" s="81"/>
      <c r="O1742" s="81"/>
      <c r="P1742" s="81"/>
      <c r="Q1742" s="81"/>
      <c r="R1742" s="81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81"/>
      <c r="E1746" s="81"/>
      <c r="F1746" s="81"/>
      <c r="G1746" s="81"/>
      <c r="H1746" s="81"/>
      <c r="I1746" s="81"/>
      <c r="J1746" s="81"/>
      <c r="K1746" s="81"/>
      <c r="L1746" s="81"/>
      <c r="M1746" s="81"/>
      <c r="N1746" s="81"/>
      <c r="O1746" s="81"/>
      <c r="P1746" s="81"/>
      <c r="Q1746" s="81"/>
      <c r="R1746" s="81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81"/>
      <c r="E1750" s="81"/>
      <c r="F1750" s="81"/>
      <c r="G1750" s="81"/>
      <c r="H1750" s="81"/>
      <c r="I1750" s="81"/>
      <c r="J1750" s="81"/>
      <c r="K1750" s="81"/>
      <c r="L1750" s="81"/>
      <c r="M1750" s="81"/>
      <c r="N1750" s="81"/>
      <c r="O1750" s="81"/>
      <c r="P1750" s="81"/>
      <c r="Q1750" s="81"/>
      <c r="R1750" s="81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81"/>
      <c r="E1754" s="81"/>
      <c r="F1754" s="81"/>
      <c r="G1754" s="81"/>
      <c r="H1754" s="81"/>
      <c r="I1754" s="81"/>
      <c r="J1754" s="81"/>
      <c r="K1754" s="81"/>
      <c r="L1754" s="81"/>
      <c r="M1754" s="81"/>
      <c r="N1754" s="81"/>
      <c r="O1754" s="81"/>
      <c r="P1754" s="81"/>
      <c r="Q1754" s="81"/>
      <c r="R1754" s="81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81"/>
      <c r="E1758" s="81"/>
      <c r="F1758" s="81"/>
      <c r="G1758" s="81"/>
      <c r="H1758" s="81"/>
      <c r="I1758" s="81"/>
      <c r="J1758" s="81"/>
      <c r="K1758" s="81"/>
      <c r="L1758" s="81"/>
      <c r="M1758" s="81"/>
      <c r="N1758" s="81"/>
      <c r="O1758" s="81"/>
      <c r="P1758" s="81"/>
      <c r="Q1758" s="81"/>
      <c r="R1758" s="81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81"/>
      <c r="E1762" s="81"/>
      <c r="F1762" s="81"/>
      <c r="G1762" s="81"/>
      <c r="H1762" s="81"/>
      <c r="I1762" s="81"/>
      <c r="J1762" s="81"/>
      <c r="K1762" s="81"/>
      <c r="L1762" s="81"/>
      <c r="M1762" s="81"/>
      <c r="N1762" s="81"/>
      <c r="O1762" s="81"/>
      <c r="P1762" s="81"/>
      <c r="Q1762" s="81"/>
      <c r="R1762" s="81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81"/>
      <c r="E1766" s="81"/>
      <c r="F1766" s="81"/>
      <c r="G1766" s="81"/>
      <c r="H1766" s="81"/>
      <c r="I1766" s="81"/>
      <c r="J1766" s="81"/>
      <c r="K1766" s="81"/>
      <c r="L1766" s="81"/>
      <c r="M1766" s="81"/>
      <c r="N1766" s="81"/>
      <c r="O1766" s="81"/>
      <c r="P1766" s="81"/>
      <c r="Q1766" s="81"/>
      <c r="R1766" s="81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81"/>
      <c r="E1770" s="81"/>
      <c r="F1770" s="81"/>
      <c r="G1770" s="81"/>
      <c r="H1770" s="81"/>
      <c r="I1770" s="81"/>
      <c r="J1770" s="81"/>
      <c r="K1770" s="81"/>
      <c r="L1770" s="81"/>
      <c r="M1770" s="81"/>
      <c r="N1770" s="81"/>
      <c r="O1770" s="81"/>
      <c r="P1770" s="81"/>
      <c r="Q1770" s="81"/>
      <c r="R1770" s="81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81"/>
      <c r="E1774" s="81"/>
      <c r="F1774" s="81"/>
      <c r="G1774" s="81"/>
      <c r="H1774" s="81"/>
      <c r="I1774" s="81"/>
      <c r="J1774" s="81"/>
      <c r="K1774" s="81"/>
      <c r="L1774" s="81"/>
      <c r="M1774" s="81"/>
      <c r="N1774" s="81"/>
      <c r="O1774" s="81"/>
      <c r="P1774" s="81"/>
      <c r="Q1774" s="81"/>
      <c r="R1774" s="81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81"/>
      <c r="E1778" s="81"/>
      <c r="F1778" s="81"/>
      <c r="G1778" s="81"/>
      <c r="H1778" s="81"/>
      <c r="I1778" s="81"/>
      <c r="J1778" s="81"/>
      <c r="K1778" s="81"/>
      <c r="L1778" s="81"/>
      <c r="M1778" s="81"/>
      <c r="N1778" s="81"/>
      <c r="O1778" s="81"/>
      <c r="P1778" s="81"/>
      <c r="Q1778" s="81"/>
      <c r="R1778" s="81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81"/>
      <c r="E1782" s="81"/>
      <c r="F1782" s="81"/>
      <c r="G1782" s="81"/>
      <c r="H1782" s="81"/>
      <c r="I1782" s="81"/>
      <c r="J1782" s="81"/>
      <c r="K1782" s="81"/>
      <c r="L1782" s="81"/>
      <c r="M1782" s="81"/>
      <c r="N1782" s="81"/>
      <c r="O1782" s="81"/>
      <c r="P1782" s="81"/>
      <c r="Q1782" s="81"/>
      <c r="R1782" s="81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81"/>
      <c r="E1786" s="81"/>
      <c r="F1786" s="81"/>
      <c r="G1786" s="81"/>
      <c r="H1786" s="81"/>
      <c r="I1786" s="81"/>
      <c r="J1786" s="81"/>
      <c r="K1786" s="81"/>
      <c r="L1786" s="81"/>
      <c r="M1786" s="81"/>
      <c r="N1786" s="81"/>
      <c r="O1786" s="81"/>
      <c r="P1786" s="81"/>
      <c r="Q1786" s="81"/>
      <c r="R1786" s="81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81"/>
      <c r="E1790" s="81"/>
      <c r="F1790" s="81"/>
      <c r="G1790" s="81"/>
      <c r="H1790" s="81"/>
      <c r="I1790" s="81"/>
      <c r="J1790" s="81"/>
      <c r="K1790" s="81"/>
      <c r="L1790" s="81"/>
      <c r="M1790" s="81"/>
      <c r="N1790" s="81"/>
      <c r="O1790" s="81"/>
      <c r="P1790" s="81"/>
      <c r="Q1790" s="81"/>
      <c r="R1790" s="81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81"/>
      <c r="E1794" s="81"/>
      <c r="F1794" s="81"/>
      <c r="G1794" s="81"/>
      <c r="H1794" s="81"/>
      <c r="I1794" s="81"/>
      <c r="J1794" s="81"/>
      <c r="K1794" s="81"/>
      <c r="L1794" s="81"/>
      <c r="M1794" s="81"/>
      <c r="N1794" s="81"/>
      <c r="O1794" s="81"/>
      <c r="P1794" s="81"/>
      <c r="Q1794" s="81"/>
      <c r="R1794" s="81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81"/>
      <c r="E1798" s="81"/>
      <c r="F1798" s="81"/>
      <c r="G1798" s="81"/>
      <c r="H1798" s="81"/>
      <c r="I1798" s="81"/>
      <c r="J1798" s="81"/>
      <c r="K1798" s="81"/>
      <c r="L1798" s="81"/>
      <c r="M1798" s="81"/>
      <c r="N1798" s="81"/>
      <c r="O1798" s="81"/>
      <c r="P1798" s="81"/>
      <c r="Q1798" s="81"/>
      <c r="R1798" s="81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81"/>
      <c r="E1802" s="81"/>
      <c r="F1802" s="81"/>
      <c r="G1802" s="81"/>
      <c r="H1802" s="81"/>
      <c r="I1802" s="81"/>
      <c r="J1802" s="81"/>
      <c r="K1802" s="81"/>
      <c r="L1802" s="81"/>
      <c r="M1802" s="81"/>
      <c r="N1802" s="81"/>
      <c r="O1802" s="81"/>
      <c r="P1802" s="81"/>
      <c r="Q1802" s="81"/>
      <c r="R1802" s="81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81"/>
      <c r="E1806" s="81"/>
      <c r="F1806" s="81"/>
      <c r="G1806" s="81"/>
      <c r="H1806" s="81"/>
      <c r="I1806" s="81"/>
      <c r="J1806" s="81"/>
      <c r="K1806" s="81"/>
      <c r="L1806" s="81"/>
      <c r="M1806" s="81"/>
      <c r="N1806" s="81"/>
      <c r="O1806" s="81"/>
      <c r="P1806" s="81"/>
      <c r="Q1806" s="81"/>
      <c r="R1806" s="81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81"/>
      <c r="E1810" s="81"/>
      <c r="F1810" s="81"/>
      <c r="G1810" s="81"/>
      <c r="H1810" s="81"/>
      <c r="I1810" s="81"/>
      <c r="J1810" s="81"/>
      <c r="K1810" s="81"/>
      <c r="L1810" s="81"/>
      <c r="M1810" s="81"/>
      <c r="N1810" s="81"/>
      <c r="O1810" s="81"/>
      <c r="P1810" s="81"/>
      <c r="Q1810" s="81"/>
      <c r="R1810" s="81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81"/>
      <c r="E1814" s="81"/>
      <c r="F1814" s="81"/>
      <c r="G1814" s="81"/>
      <c r="H1814" s="81"/>
      <c r="I1814" s="81"/>
      <c r="J1814" s="81"/>
      <c r="K1814" s="81"/>
      <c r="L1814" s="81"/>
      <c r="M1814" s="81"/>
      <c r="N1814" s="81"/>
      <c r="O1814" s="81"/>
      <c r="P1814" s="81"/>
      <c r="Q1814" s="81"/>
      <c r="R1814" s="81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81"/>
      <c r="E1818" s="81"/>
      <c r="F1818" s="81"/>
      <c r="G1818" s="81"/>
      <c r="H1818" s="81"/>
      <c r="I1818" s="81"/>
      <c r="J1818" s="81"/>
      <c r="K1818" s="81"/>
      <c r="L1818" s="81"/>
      <c r="M1818" s="81"/>
      <c r="N1818" s="81"/>
      <c r="O1818" s="81"/>
      <c r="P1818" s="81"/>
      <c r="Q1818" s="81"/>
      <c r="R1818" s="81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81"/>
      <c r="E1822" s="81"/>
      <c r="F1822" s="81"/>
      <c r="G1822" s="81"/>
      <c r="H1822" s="81"/>
      <c r="I1822" s="81"/>
      <c r="J1822" s="81"/>
      <c r="K1822" s="81"/>
      <c r="L1822" s="81"/>
      <c r="M1822" s="81"/>
      <c r="N1822" s="81"/>
      <c r="O1822" s="81"/>
      <c r="P1822" s="81"/>
      <c r="Q1822" s="81"/>
      <c r="R1822" s="81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81"/>
      <c r="E1826" s="81"/>
      <c r="F1826" s="81"/>
      <c r="G1826" s="81"/>
      <c r="H1826" s="81"/>
      <c r="I1826" s="81"/>
      <c r="J1826" s="81"/>
      <c r="K1826" s="81"/>
      <c r="L1826" s="81"/>
      <c r="M1826" s="81"/>
      <c r="N1826" s="81"/>
      <c r="O1826" s="81"/>
      <c r="P1826" s="81"/>
      <c r="Q1826" s="81"/>
      <c r="R1826" s="81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81"/>
      <c r="E1830" s="81"/>
      <c r="F1830" s="81"/>
      <c r="G1830" s="81"/>
      <c r="H1830" s="81"/>
      <c r="I1830" s="81"/>
      <c r="J1830" s="81"/>
      <c r="K1830" s="81"/>
      <c r="L1830" s="81"/>
      <c r="M1830" s="81"/>
      <c r="N1830" s="81"/>
      <c r="O1830" s="81"/>
      <c r="P1830" s="81"/>
      <c r="Q1830" s="81"/>
      <c r="R1830" s="81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81"/>
      <c r="E1834" s="81"/>
      <c r="F1834" s="81"/>
      <c r="G1834" s="81"/>
      <c r="H1834" s="81"/>
      <c r="I1834" s="81"/>
      <c r="J1834" s="81"/>
      <c r="K1834" s="81"/>
      <c r="L1834" s="81"/>
      <c r="M1834" s="81"/>
      <c r="N1834" s="81"/>
      <c r="O1834" s="81"/>
      <c r="P1834" s="81"/>
      <c r="Q1834" s="81"/>
      <c r="R1834" s="81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81"/>
      <c r="E1838" s="81"/>
      <c r="F1838" s="81"/>
      <c r="G1838" s="81"/>
      <c r="H1838" s="81"/>
      <c r="I1838" s="81"/>
      <c r="J1838" s="81"/>
      <c r="K1838" s="81"/>
      <c r="L1838" s="81"/>
      <c r="M1838" s="81"/>
      <c r="N1838" s="81"/>
      <c r="O1838" s="81"/>
      <c r="P1838" s="81"/>
      <c r="Q1838" s="81"/>
      <c r="R1838" s="81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81"/>
      <c r="E1842" s="81"/>
      <c r="F1842" s="81"/>
      <c r="G1842" s="81"/>
      <c r="H1842" s="81"/>
      <c r="I1842" s="81"/>
      <c r="J1842" s="81"/>
      <c r="K1842" s="81"/>
      <c r="L1842" s="81"/>
      <c r="M1842" s="81"/>
      <c r="N1842" s="81"/>
      <c r="O1842" s="81"/>
      <c r="P1842" s="81"/>
      <c r="Q1842" s="81"/>
      <c r="R1842" s="81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81"/>
      <c r="E1846" s="81"/>
      <c r="F1846" s="81"/>
      <c r="G1846" s="81"/>
      <c r="H1846" s="81"/>
      <c r="I1846" s="81"/>
      <c r="J1846" s="81"/>
      <c r="K1846" s="81"/>
      <c r="L1846" s="81"/>
      <c r="M1846" s="81"/>
      <c r="N1846" s="81"/>
      <c r="O1846" s="81"/>
      <c r="P1846" s="81"/>
      <c r="Q1846" s="81"/>
      <c r="R1846" s="81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81"/>
      <c r="E1850" s="81"/>
      <c r="F1850" s="81"/>
      <c r="G1850" s="81"/>
      <c r="H1850" s="81"/>
      <c r="I1850" s="81"/>
      <c r="J1850" s="81"/>
      <c r="K1850" s="81"/>
      <c r="L1850" s="81"/>
      <c r="M1850" s="81"/>
      <c r="N1850" s="81"/>
      <c r="O1850" s="81"/>
      <c r="P1850" s="81"/>
      <c r="Q1850" s="81"/>
      <c r="R1850" s="81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81"/>
      <c r="E1854" s="81"/>
      <c r="F1854" s="81"/>
      <c r="G1854" s="81"/>
      <c r="H1854" s="81"/>
      <c r="I1854" s="81"/>
      <c r="J1854" s="81"/>
      <c r="K1854" s="81"/>
      <c r="L1854" s="81"/>
      <c r="M1854" s="81"/>
      <c r="N1854" s="81"/>
      <c r="O1854" s="81"/>
      <c r="P1854" s="81"/>
      <c r="Q1854" s="81"/>
      <c r="R1854" s="81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81"/>
      <c r="E1858" s="81"/>
      <c r="F1858" s="81"/>
      <c r="G1858" s="81"/>
      <c r="H1858" s="81"/>
      <c r="I1858" s="81"/>
      <c r="J1858" s="81"/>
      <c r="K1858" s="81"/>
      <c r="L1858" s="81"/>
      <c r="M1858" s="81"/>
      <c r="N1858" s="81"/>
      <c r="O1858" s="81"/>
      <c r="P1858" s="81"/>
      <c r="Q1858" s="81"/>
      <c r="R1858" s="81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81"/>
      <c r="E1862" s="81"/>
      <c r="F1862" s="81"/>
      <c r="G1862" s="81"/>
      <c r="H1862" s="81"/>
      <c r="I1862" s="81"/>
      <c r="J1862" s="81"/>
      <c r="K1862" s="81"/>
      <c r="L1862" s="81"/>
      <c r="M1862" s="81"/>
      <c r="N1862" s="81"/>
      <c r="O1862" s="81"/>
      <c r="P1862" s="81"/>
      <c r="Q1862" s="81"/>
      <c r="R1862" s="81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81"/>
      <c r="E1866" s="81"/>
      <c r="F1866" s="81"/>
      <c r="G1866" s="81"/>
      <c r="H1866" s="81"/>
      <c r="I1866" s="81"/>
      <c r="J1866" s="81"/>
      <c r="K1866" s="81"/>
      <c r="L1866" s="81"/>
      <c r="M1866" s="81"/>
      <c r="N1866" s="81"/>
      <c r="O1866" s="81"/>
      <c r="P1866" s="81"/>
      <c r="Q1866" s="81"/>
      <c r="R1866" s="81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81"/>
      <c r="E1870" s="81"/>
      <c r="F1870" s="81"/>
      <c r="G1870" s="81"/>
      <c r="H1870" s="81"/>
      <c r="I1870" s="81"/>
      <c r="J1870" s="81"/>
      <c r="K1870" s="81"/>
      <c r="L1870" s="81"/>
      <c r="M1870" s="81"/>
      <c r="N1870" s="81"/>
      <c r="O1870" s="81"/>
      <c r="P1870" s="81"/>
      <c r="Q1870" s="81"/>
      <c r="R1870" s="81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81"/>
      <c r="E1874" s="81"/>
      <c r="F1874" s="81"/>
      <c r="G1874" s="81"/>
      <c r="H1874" s="81"/>
      <c r="I1874" s="81"/>
      <c r="J1874" s="81"/>
      <c r="K1874" s="81"/>
      <c r="L1874" s="81"/>
      <c r="M1874" s="81"/>
      <c r="N1874" s="81"/>
      <c r="O1874" s="81"/>
      <c r="P1874" s="81"/>
      <c r="Q1874" s="81"/>
      <c r="R1874" s="81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81"/>
      <c r="E1878" s="81"/>
      <c r="F1878" s="81"/>
      <c r="G1878" s="81"/>
      <c r="H1878" s="81"/>
      <c r="I1878" s="81"/>
      <c r="J1878" s="81"/>
      <c r="K1878" s="81"/>
      <c r="L1878" s="81"/>
      <c r="M1878" s="81"/>
      <c r="N1878" s="81"/>
      <c r="O1878" s="81"/>
      <c r="P1878" s="81"/>
      <c r="Q1878" s="81"/>
      <c r="R1878" s="81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81"/>
      <c r="E1882" s="81"/>
      <c r="F1882" s="81"/>
      <c r="G1882" s="81"/>
      <c r="H1882" s="81"/>
      <c r="I1882" s="81"/>
      <c r="J1882" s="81"/>
      <c r="K1882" s="81"/>
      <c r="L1882" s="81"/>
      <c r="M1882" s="81"/>
      <c r="N1882" s="81"/>
      <c r="O1882" s="81"/>
      <c r="P1882" s="81"/>
      <c r="Q1882" s="81"/>
      <c r="R1882" s="81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81"/>
      <c r="E1886" s="81"/>
      <c r="F1886" s="81"/>
      <c r="G1886" s="81"/>
      <c r="H1886" s="81"/>
      <c r="I1886" s="81"/>
      <c r="J1886" s="81"/>
      <c r="K1886" s="81"/>
      <c r="L1886" s="81"/>
      <c r="M1886" s="81"/>
      <c r="N1886" s="81"/>
      <c r="O1886" s="81"/>
      <c r="P1886" s="81"/>
      <c r="Q1886" s="81"/>
      <c r="R1886" s="81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81"/>
      <c r="E1890" s="81"/>
      <c r="F1890" s="81"/>
      <c r="G1890" s="81"/>
      <c r="H1890" s="81"/>
      <c r="I1890" s="81"/>
      <c r="J1890" s="81"/>
      <c r="K1890" s="81"/>
      <c r="L1890" s="81"/>
      <c r="M1890" s="81"/>
      <c r="N1890" s="81"/>
      <c r="O1890" s="81"/>
      <c r="P1890" s="81"/>
      <c r="Q1890" s="81"/>
      <c r="R1890" s="81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81"/>
      <c r="E1894" s="81"/>
      <c r="F1894" s="81"/>
      <c r="G1894" s="81"/>
      <c r="H1894" s="81"/>
      <c r="I1894" s="81"/>
      <c r="J1894" s="81"/>
      <c r="K1894" s="81"/>
      <c r="L1894" s="81"/>
      <c r="M1894" s="81"/>
      <c r="N1894" s="81"/>
      <c r="O1894" s="81"/>
      <c r="P1894" s="81"/>
      <c r="Q1894" s="81"/>
      <c r="R1894" s="81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81"/>
      <c r="E1898" s="81"/>
      <c r="F1898" s="81"/>
      <c r="G1898" s="81"/>
      <c r="H1898" s="81"/>
      <c r="I1898" s="81"/>
      <c r="J1898" s="81"/>
      <c r="K1898" s="81"/>
      <c r="L1898" s="81"/>
      <c r="M1898" s="81"/>
      <c r="N1898" s="81"/>
      <c r="O1898" s="81"/>
      <c r="P1898" s="81"/>
      <c r="Q1898" s="81"/>
      <c r="R1898" s="81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81"/>
      <c r="E1902" s="81"/>
      <c r="F1902" s="81"/>
      <c r="G1902" s="81"/>
      <c r="H1902" s="81"/>
      <c r="I1902" s="81"/>
      <c r="J1902" s="81"/>
      <c r="K1902" s="81"/>
      <c r="L1902" s="81"/>
      <c r="M1902" s="81"/>
      <c r="N1902" s="81"/>
      <c r="O1902" s="81"/>
      <c r="P1902" s="81"/>
      <c r="Q1902" s="81"/>
      <c r="R1902" s="81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81"/>
      <c r="E1906" s="81"/>
      <c r="F1906" s="81"/>
      <c r="G1906" s="81"/>
      <c r="H1906" s="81"/>
      <c r="I1906" s="81"/>
      <c r="J1906" s="81"/>
      <c r="K1906" s="81"/>
      <c r="L1906" s="81"/>
      <c r="M1906" s="81"/>
      <c r="N1906" s="81"/>
      <c r="O1906" s="81"/>
      <c r="P1906" s="81"/>
      <c r="Q1906" s="81"/>
      <c r="R1906" s="81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81"/>
      <c r="E1910" s="81"/>
      <c r="F1910" s="81"/>
      <c r="G1910" s="81"/>
      <c r="H1910" s="81"/>
      <c r="I1910" s="81"/>
      <c r="J1910" s="81"/>
      <c r="K1910" s="81"/>
      <c r="L1910" s="81"/>
      <c r="M1910" s="81"/>
      <c r="N1910" s="81"/>
      <c r="O1910" s="81"/>
      <c r="P1910" s="81"/>
      <c r="Q1910" s="81"/>
      <c r="R1910" s="81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81"/>
      <c r="E1914" s="81"/>
      <c r="F1914" s="81"/>
      <c r="G1914" s="81"/>
      <c r="H1914" s="81"/>
      <c r="I1914" s="81"/>
      <c r="J1914" s="81"/>
      <c r="K1914" s="81"/>
      <c r="L1914" s="81"/>
      <c r="M1914" s="81"/>
      <c r="N1914" s="81"/>
      <c r="O1914" s="81"/>
      <c r="P1914" s="81"/>
      <c r="Q1914" s="81"/>
      <c r="R1914" s="81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81"/>
      <c r="E1918" s="81"/>
      <c r="F1918" s="81"/>
      <c r="G1918" s="81"/>
      <c r="H1918" s="81"/>
      <c r="I1918" s="81"/>
      <c r="J1918" s="81"/>
      <c r="K1918" s="81"/>
      <c r="L1918" s="81"/>
      <c r="M1918" s="81"/>
      <c r="N1918" s="81"/>
      <c r="O1918" s="81"/>
      <c r="P1918" s="81"/>
      <c r="Q1918" s="81"/>
      <c r="R1918" s="81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81"/>
      <c r="E1922" s="81"/>
      <c r="F1922" s="81"/>
      <c r="G1922" s="81"/>
      <c r="H1922" s="81"/>
      <c r="I1922" s="81"/>
      <c r="J1922" s="81"/>
      <c r="K1922" s="81"/>
      <c r="L1922" s="81"/>
      <c r="M1922" s="81"/>
      <c r="N1922" s="81"/>
      <c r="O1922" s="81"/>
      <c r="P1922" s="81"/>
      <c r="Q1922" s="81"/>
      <c r="R1922" s="81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81"/>
      <c r="E1926" s="81"/>
      <c r="F1926" s="81"/>
      <c r="G1926" s="81"/>
      <c r="H1926" s="81"/>
      <c r="I1926" s="81"/>
      <c r="J1926" s="81"/>
      <c r="K1926" s="81"/>
      <c r="L1926" s="81"/>
      <c r="M1926" s="81"/>
      <c r="N1926" s="81"/>
      <c r="O1926" s="81"/>
      <c r="P1926" s="81"/>
      <c r="Q1926" s="81"/>
      <c r="R1926" s="81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81"/>
      <c r="E1930" s="81"/>
      <c r="F1930" s="81"/>
      <c r="G1930" s="81"/>
      <c r="H1930" s="81"/>
      <c r="I1930" s="81"/>
      <c r="J1930" s="81"/>
      <c r="K1930" s="81"/>
      <c r="L1930" s="81"/>
      <c r="M1930" s="81"/>
      <c r="N1930" s="81"/>
      <c r="O1930" s="81"/>
      <c r="P1930" s="81"/>
      <c r="Q1930" s="81"/>
      <c r="R1930" s="81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81"/>
      <c r="E1934" s="81"/>
      <c r="F1934" s="81"/>
      <c r="G1934" s="81"/>
      <c r="H1934" s="81"/>
      <c r="I1934" s="81"/>
      <c r="J1934" s="81"/>
      <c r="K1934" s="81"/>
      <c r="L1934" s="81"/>
      <c r="M1934" s="81"/>
      <c r="N1934" s="81"/>
      <c r="O1934" s="81"/>
      <c r="P1934" s="81"/>
      <c r="Q1934" s="81"/>
      <c r="R1934" s="81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81"/>
      <c r="E1938" s="81"/>
      <c r="F1938" s="81"/>
      <c r="G1938" s="81"/>
      <c r="H1938" s="81"/>
      <c r="I1938" s="81"/>
      <c r="J1938" s="81"/>
      <c r="K1938" s="81"/>
      <c r="L1938" s="81"/>
      <c r="M1938" s="81"/>
      <c r="N1938" s="81"/>
      <c r="O1938" s="81"/>
      <c r="P1938" s="81"/>
      <c r="Q1938" s="81"/>
      <c r="R1938" s="81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81"/>
      <c r="E1942" s="81"/>
      <c r="F1942" s="81"/>
      <c r="G1942" s="81"/>
      <c r="H1942" s="81"/>
      <c r="I1942" s="81"/>
      <c r="J1942" s="81"/>
      <c r="K1942" s="81"/>
      <c r="L1942" s="81"/>
      <c r="M1942" s="81"/>
      <c r="N1942" s="81"/>
      <c r="O1942" s="81"/>
      <c r="P1942" s="81"/>
      <c r="Q1942" s="81"/>
      <c r="R1942" s="81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81"/>
      <c r="E1946" s="81"/>
      <c r="F1946" s="81"/>
      <c r="G1946" s="81"/>
      <c r="H1946" s="81"/>
      <c r="I1946" s="81"/>
      <c r="J1946" s="81"/>
      <c r="K1946" s="81"/>
      <c r="L1946" s="81"/>
      <c r="M1946" s="81"/>
      <c r="N1946" s="81"/>
      <c r="O1946" s="81"/>
      <c r="P1946" s="81"/>
      <c r="Q1946" s="81"/>
      <c r="R1946" s="81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81"/>
      <c r="E1950" s="81"/>
      <c r="F1950" s="81"/>
      <c r="G1950" s="81"/>
      <c r="H1950" s="81"/>
      <c r="I1950" s="81"/>
      <c r="J1950" s="81"/>
      <c r="K1950" s="81"/>
      <c r="L1950" s="81"/>
      <c r="M1950" s="81"/>
      <c r="N1950" s="81"/>
      <c r="O1950" s="81"/>
      <c r="P1950" s="81"/>
      <c r="Q1950" s="81"/>
      <c r="R1950" s="81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81"/>
      <c r="E1954" s="81"/>
      <c r="F1954" s="81"/>
      <c r="G1954" s="81"/>
      <c r="H1954" s="81"/>
      <c r="I1954" s="81"/>
      <c r="J1954" s="81"/>
      <c r="K1954" s="81"/>
      <c r="L1954" s="81"/>
      <c r="M1954" s="81"/>
      <c r="N1954" s="81"/>
      <c r="O1954" s="81"/>
      <c r="P1954" s="81"/>
      <c r="Q1954" s="81"/>
      <c r="R1954" s="81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81"/>
      <c r="E1958" s="81"/>
      <c r="F1958" s="81"/>
      <c r="G1958" s="81"/>
      <c r="H1958" s="81"/>
      <c r="I1958" s="81"/>
      <c r="J1958" s="81"/>
      <c r="K1958" s="81"/>
      <c r="L1958" s="81"/>
      <c r="M1958" s="81"/>
      <c r="N1958" s="81"/>
      <c r="O1958" s="81"/>
      <c r="P1958" s="81"/>
      <c r="Q1958" s="81"/>
      <c r="R1958" s="81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81"/>
      <c r="E1962" s="81"/>
      <c r="F1962" s="81"/>
      <c r="G1962" s="81"/>
      <c r="H1962" s="81"/>
      <c r="I1962" s="81"/>
      <c r="J1962" s="81"/>
      <c r="K1962" s="81"/>
      <c r="L1962" s="81"/>
      <c r="M1962" s="81"/>
      <c r="N1962" s="81"/>
      <c r="O1962" s="81"/>
      <c r="P1962" s="81"/>
      <c r="Q1962" s="81"/>
      <c r="R1962" s="81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81"/>
      <c r="E1966" s="81"/>
      <c r="F1966" s="81"/>
      <c r="G1966" s="81"/>
      <c r="H1966" s="81"/>
      <c r="I1966" s="81"/>
      <c r="J1966" s="81"/>
      <c r="K1966" s="81"/>
      <c r="L1966" s="81"/>
      <c r="M1966" s="81"/>
      <c r="N1966" s="81"/>
      <c r="O1966" s="81"/>
      <c r="P1966" s="81"/>
      <c r="Q1966" s="81"/>
      <c r="R1966" s="81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81"/>
      <c r="E1970" s="81"/>
      <c r="F1970" s="81"/>
      <c r="G1970" s="81"/>
      <c r="H1970" s="81"/>
      <c r="I1970" s="81"/>
      <c r="J1970" s="81"/>
      <c r="K1970" s="81"/>
      <c r="L1970" s="81"/>
      <c r="M1970" s="81"/>
      <c r="N1970" s="81"/>
      <c r="O1970" s="81"/>
      <c r="P1970" s="81"/>
      <c r="Q1970" s="81"/>
      <c r="R1970" s="81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81"/>
      <c r="E1974" s="81"/>
      <c r="F1974" s="81"/>
      <c r="G1974" s="81"/>
      <c r="H1974" s="81"/>
      <c r="I1974" s="81"/>
      <c r="J1974" s="81"/>
      <c r="K1974" s="81"/>
      <c r="L1974" s="81"/>
      <c r="M1974" s="81"/>
      <c r="N1974" s="81"/>
      <c r="O1974" s="81"/>
      <c r="P1974" s="81"/>
      <c r="Q1974" s="81"/>
      <c r="R1974" s="81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81"/>
      <c r="E1978" s="81"/>
      <c r="F1978" s="81"/>
      <c r="G1978" s="81"/>
      <c r="H1978" s="81"/>
      <c r="I1978" s="81"/>
      <c r="J1978" s="81"/>
      <c r="K1978" s="81"/>
      <c r="L1978" s="81"/>
      <c r="M1978" s="81"/>
      <c r="N1978" s="81"/>
      <c r="O1978" s="81"/>
      <c r="P1978" s="81"/>
      <c r="Q1978" s="81"/>
      <c r="R1978" s="81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81"/>
      <c r="E1982" s="81"/>
      <c r="F1982" s="81"/>
      <c r="G1982" s="81"/>
      <c r="H1982" s="81"/>
      <c r="I1982" s="81"/>
      <c r="J1982" s="81"/>
      <c r="K1982" s="81"/>
      <c r="L1982" s="81"/>
      <c r="M1982" s="81"/>
      <c r="N1982" s="81"/>
      <c r="O1982" s="81"/>
      <c r="P1982" s="81"/>
      <c r="Q1982" s="81"/>
      <c r="R1982" s="81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81"/>
      <c r="E1986" s="81"/>
      <c r="F1986" s="81"/>
      <c r="G1986" s="81"/>
      <c r="H1986" s="81"/>
      <c r="I1986" s="81"/>
      <c r="J1986" s="81"/>
      <c r="K1986" s="81"/>
      <c r="L1986" s="81"/>
      <c r="M1986" s="81"/>
      <c r="N1986" s="81"/>
      <c r="O1986" s="81"/>
      <c r="P1986" s="81"/>
      <c r="Q1986" s="81"/>
      <c r="R1986" s="81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81"/>
      <c r="E1990" s="81"/>
      <c r="F1990" s="81"/>
      <c r="G1990" s="81"/>
      <c r="H1990" s="81"/>
      <c r="I1990" s="81"/>
      <c r="J1990" s="81"/>
      <c r="K1990" s="81"/>
      <c r="L1990" s="81"/>
      <c r="M1990" s="81"/>
      <c r="N1990" s="81"/>
      <c r="O1990" s="81"/>
      <c r="P1990" s="81"/>
      <c r="Q1990" s="81"/>
      <c r="R1990" s="81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81"/>
      <c r="E1994" s="81"/>
      <c r="F1994" s="81"/>
      <c r="G1994" s="81"/>
      <c r="H1994" s="81"/>
      <c r="I1994" s="81"/>
      <c r="J1994" s="81"/>
      <c r="K1994" s="81"/>
      <c r="L1994" s="81"/>
      <c r="M1994" s="81"/>
      <c r="N1994" s="81"/>
      <c r="O1994" s="81"/>
      <c r="P1994" s="81"/>
      <c r="Q1994" s="81"/>
      <c r="R1994" s="81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81"/>
      <c r="E1998" s="81"/>
      <c r="F1998" s="81"/>
      <c r="G1998" s="81"/>
      <c r="H1998" s="81"/>
      <c r="I1998" s="81"/>
      <c r="J1998" s="81"/>
      <c r="K1998" s="81"/>
      <c r="L1998" s="81"/>
      <c r="M1998" s="81"/>
      <c r="N1998" s="81"/>
      <c r="O1998" s="81"/>
      <c r="P1998" s="81"/>
      <c r="Q1998" s="81"/>
      <c r="R1998" s="81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81"/>
      <c r="E2002" s="81"/>
      <c r="F2002" s="81"/>
      <c r="G2002" s="81"/>
      <c r="H2002" s="81"/>
      <c r="I2002" s="81"/>
      <c r="J2002" s="81"/>
      <c r="K2002" s="81"/>
      <c r="L2002" s="81"/>
      <c r="M2002" s="81"/>
      <c r="N2002" s="81"/>
      <c r="O2002" s="81"/>
      <c r="P2002" s="81"/>
      <c r="Q2002" s="81"/>
      <c r="R2002" s="81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9" priority="1">
      <formula>顯示注音輸入</formula>
    </cfRule>
    <cfRule type="expression" dxfId="8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B119-DEFA-4D76-A56A-E611C4980E86}">
  <dimension ref="A1:T10"/>
  <sheetViews>
    <sheetView workbookViewId="0">
      <selection activeCell="U4" sqref="U4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63" customWidth="1"/>
  </cols>
  <sheetData>
    <row r="1" spans="1:20">
      <c r="B1" s="60"/>
      <c r="F1" s="67" t="s">
        <v>113</v>
      </c>
      <c r="G1" s="67"/>
      <c r="H1" s="67"/>
      <c r="I1" s="67"/>
      <c r="J1" s="67"/>
      <c r="K1" s="67"/>
      <c r="L1" s="61"/>
      <c r="M1" s="61"/>
      <c r="N1" s="61" t="s">
        <v>114</v>
      </c>
      <c r="O1" s="61"/>
      <c r="P1" s="61"/>
    </row>
    <row r="3" spans="1:20" ht="60">
      <c r="A3" s="58" t="s">
        <v>115</v>
      </c>
      <c r="B3" s="58" t="s">
        <v>116</v>
      </c>
      <c r="C3" s="58" t="s">
        <v>117</v>
      </c>
      <c r="D3" s="63" t="s">
        <v>118</v>
      </c>
      <c r="E3" s="63" t="s">
        <v>119</v>
      </c>
      <c r="F3" s="62" t="s">
        <v>120</v>
      </c>
      <c r="G3" s="62" t="s">
        <v>121</v>
      </c>
      <c r="H3" s="62" t="s">
        <v>53</v>
      </c>
      <c r="I3" s="62" t="s">
        <v>122</v>
      </c>
      <c r="J3" s="62" t="s">
        <v>123</v>
      </c>
      <c r="K3" s="62" t="s">
        <v>124</v>
      </c>
      <c r="L3" s="64" t="s">
        <v>125</v>
      </c>
      <c r="M3" s="61" t="s">
        <v>53</v>
      </c>
      <c r="N3" s="61" t="s">
        <v>122</v>
      </c>
      <c r="O3" s="61" t="s">
        <v>123</v>
      </c>
      <c r="P3" s="61" t="s">
        <v>124</v>
      </c>
      <c r="Q3" s="78" t="s">
        <v>56</v>
      </c>
      <c r="R3" s="78" t="s">
        <v>126</v>
      </c>
      <c r="T3" s="78" t="s">
        <v>242</v>
      </c>
    </row>
    <row r="4" spans="1:20" ht="69">
      <c r="A4" s="59">
        <v>1</v>
      </c>
      <c r="B4" s="69" t="s">
        <v>127</v>
      </c>
      <c r="C4" s="71" t="s">
        <v>128</v>
      </c>
      <c r="D4" s="72">
        <v>20</v>
      </c>
      <c r="E4" s="72">
        <v>25</v>
      </c>
      <c r="F4" s="73">
        <v>0</v>
      </c>
      <c r="G4" s="74">
        <v>25000</v>
      </c>
      <c r="H4" s="75" t="s">
        <v>129</v>
      </c>
      <c r="I4" s="75" t="s">
        <v>129</v>
      </c>
      <c r="J4" s="75" t="s">
        <v>130</v>
      </c>
      <c r="K4" s="75" t="s">
        <v>131</v>
      </c>
      <c r="L4" s="66">
        <v>20000</v>
      </c>
      <c r="M4" s="66" t="s">
        <v>129</v>
      </c>
      <c r="N4" s="66" t="s">
        <v>129</v>
      </c>
      <c r="O4" s="66" t="s">
        <v>132</v>
      </c>
      <c r="P4" s="66" t="s">
        <v>131</v>
      </c>
      <c r="Q4" s="57" t="s">
        <v>394</v>
      </c>
      <c r="R4" s="56" t="s">
        <v>395</v>
      </c>
      <c r="T4" s="84" t="str">
        <f xml:space="preserve"> _xlfn.CONCAT(Q4, CHAR(10), R4)</f>
        <v>《道德經。一章》
Dor7 diek4 ging1. It4 jiong1</v>
      </c>
    </row>
    <row r="5" spans="1:20" ht="69">
      <c r="A5" s="59">
        <v>2</v>
      </c>
      <c r="B5" s="70" t="s">
        <v>135</v>
      </c>
      <c r="C5" s="71" t="s">
        <v>136</v>
      </c>
      <c r="D5" s="65">
        <v>2</v>
      </c>
      <c r="E5" s="65">
        <v>5</v>
      </c>
      <c r="F5" s="73">
        <v>25000</v>
      </c>
      <c r="G5" s="74">
        <v>30000</v>
      </c>
      <c r="H5" s="75" t="s">
        <v>129</v>
      </c>
      <c r="I5" s="75" t="s">
        <v>129</v>
      </c>
      <c r="J5" s="75" t="s">
        <v>137</v>
      </c>
      <c r="K5" s="75" t="s">
        <v>131</v>
      </c>
      <c r="L5" s="66">
        <v>27000</v>
      </c>
      <c r="M5" s="66" t="s">
        <v>129</v>
      </c>
      <c r="N5" s="66" t="s">
        <v>129</v>
      </c>
      <c r="O5" s="66" t="s">
        <v>138</v>
      </c>
      <c r="P5" s="66" t="s">
        <v>131</v>
      </c>
      <c r="Q5" s="57" t="s">
        <v>396</v>
      </c>
      <c r="R5" s="56" t="s">
        <v>397</v>
      </c>
      <c r="T5" s="84" t="str">
        <f t="shared" ref="T5:T10" si="0" xml:space="preserve"> _xlfn.CONCAT(Q5, CHAR(10), R5)</f>
        <v>道，可道也，非恆道也。
Dor7, kor2 dor7 ia2, hui1 hing5 dor7 ia2.</v>
      </c>
    </row>
    <row r="6" spans="1:20" ht="103.5">
      <c r="A6" s="59">
        <v>3</v>
      </c>
      <c r="B6" s="70" t="s">
        <v>140</v>
      </c>
      <c r="C6" s="71" t="s">
        <v>141</v>
      </c>
      <c r="D6" s="65">
        <v>2</v>
      </c>
      <c r="E6" s="65">
        <v>5</v>
      </c>
      <c r="F6" s="73">
        <v>30000</v>
      </c>
      <c r="G6" s="74">
        <v>35000</v>
      </c>
      <c r="H6" s="75" t="s">
        <v>129</v>
      </c>
      <c r="I6" s="75" t="s">
        <v>129</v>
      </c>
      <c r="J6" s="75" t="s">
        <v>142</v>
      </c>
      <c r="K6" s="75" t="s">
        <v>131</v>
      </c>
      <c r="L6" s="66">
        <v>32000</v>
      </c>
      <c r="M6" s="66" t="s">
        <v>129</v>
      </c>
      <c r="N6" s="66" t="s">
        <v>129</v>
      </c>
      <c r="O6" s="66" t="s">
        <v>143</v>
      </c>
      <c r="P6" s="66" t="s">
        <v>131</v>
      </c>
      <c r="Q6" s="57" t="s">
        <v>398</v>
      </c>
      <c r="R6" s="56" t="s">
        <v>399</v>
      </c>
      <c r="T6" s="84" t="str">
        <f t="shared" si="0"/>
        <v>名，可名也，非恆名也。
Bbing5, kor2 bbing5 ia2, hui1 hing5 bbing5 ia2.</v>
      </c>
    </row>
    <row r="7" spans="1:20" ht="103.5">
      <c r="A7" s="59">
        <v>4</v>
      </c>
      <c r="B7" s="70" t="s">
        <v>146</v>
      </c>
      <c r="C7" s="71" t="s">
        <v>147</v>
      </c>
      <c r="D7" s="65">
        <v>2</v>
      </c>
      <c r="E7" s="65">
        <v>5</v>
      </c>
      <c r="F7" s="73">
        <v>35000</v>
      </c>
      <c r="G7" s="74">
        <v>40000</v>
      </c>
      <c r="H7" s="75" t="s">
        <v>129</v>
      </c>
      <c r="I7" s="75" t="s">
        <v>129</v>
      </c>
      <c r="J7" s="75" t="s">
        <v>148</v>
      </c>
      <c r="K7" s="75" t="s">
        <v>131</v>
      </c>
      <c r="L7" s="66">
        <v>37000</v>
      </c>
      <c r="M7" s="66" t="s">
        <v>129</v>
      </c>
      <c r="N7" s="66" t="s">
        <v>129</v>
      </c>
      <c r="O7" s="66" t="s">
        <v>149</v>
      </c>
      <c r="P7" s="66" t="s">
        <v>131</v>
      </c>
      <c r="Q7" s="57" t="s">
        <v>400</v>
      </c>
      <c r="R7" s="56" t="s">
        <v>401</v>
      </c>
      <c r="T7" s="84" t="str">
        <f t="shared" si="0"/>
        <v>「無」，名天地之始；「有」，名萬物之母。
Bbu5, bbing5 tian1 de7 ji1 shi2; iu2, bbing5 bban7 bbut8 ji1 bbior2.</v>
      </c>
    </row>
    <row r="8" spans="1:20" ht="172.5">
      <c r="A8" s="59">
        <v>5</v>
      </c>
      <c r="B8" s="70" t="s">
        <v>151</v>
      </c>
      <c r="C8" s="71" t="s">
        <v>152</v>
      </c>
      <c r="D8" s="65">
        <v>2</v>
      </c>
      <c r="E8" s="65">
        <v>5</v>
      </c>
      <c r="F8" s="73">
        <v>40000</v>
      </c>
      <c r="G8" s="74">
        <v>45000</v>
      </c>
      <c r="H8" s="75" t="s">
        <v>129</v>
      </c>
      <c r="I8" s="75" t="s">
        <v>129</v>
      </c>
      <c r="J8" s="75" t="s">
        <v>153</v>
      </c>
      <c r="K8" s="75" t="s">
        <v>131</v>
      </c>
      <c r="L8" s="66">
        <v>42000</v>
      </c>
      <c r="M8" s="66" t="s">
        <v>129</v>
      </c>
      <c r="N8" s="66" t="s">
        <v>129</v>
      </c>
      <c r="O8" s="66" t="s">
        <v>154</v>
      </c>
      <c r="P8" s="66" t="s">
        <v>131</v>
      </c>
      <c r="Q8" s="57" t="s">
        <v>402</v>
      </c>
      <c r="R8" s="56" t="s">
        <v>403</v>
      </c>
      <c r="T8" s="84" t="str">
        <f xml:space="preserve"> _xlfn.CONCAT(Q8, CHAR(10), R8)</f>
        <v>故，常無欲也，以觀其妙；常有欲也，以觀其所徼。
Goo3, shiong5 bbu5 iook8 ia2, i2 guan1 gi5 bbiau7; shiong5 iu2 iook8 ia2, i2 guan1 gi5 soo2 giau3.</v>
      </c>
    </row>
    <row r="9" spans="1:20" ht="172.5">
      <c r="A9" s="59" t="s">
        <v>157</v>
      </c>
      <c r="B9" s="70" t="s">
        <v>152</v>
      </c>
      <c r="C9" s="71" t="s">
        <v>158</v>
      </c>
      <c r="D9" s="65">
        <v>2</v>
      </c>
      <c r="E9" s="65">
        <v>5</v>
      </c>
      <c r="F9" s="73">
        <v>42000</v>
      </c>
      <c r="G9" s="74">
        <v>47000</v>
      </c>
      <c r="H9" s="75" t="s">
        <v>129</v>
      </c>
      <c r="I9" s="75" t="s">
        <v>129</v>
      </c>
      <c r="J9" s="75" t="s">
        <v>159</v>
      </c>
      <c r="K9" s="75" t="s">
        <v>131</v>
      </c>
      <c r="L9" s="66">
        <v>44000</v>
      </c>
      <c r="M9" s="66" t="s">
        <v>129</v>
      </c>
      <c r="N9" s="66" t="s">
        <v>129</v>
      </c>
      <c r="O9" s="66" t="s">
        <v>160</v>
      </c>
      <c r="P9" s="66" t="s">
        <v>131</v>
      </c>
      <c r="Q9" s="57" t="s">
        <v>404</v>
      </c>
      <c r="R9" s="56" t="s">
        <v>405</v>
      </c>
      <c r="T9" s="84" t="str">
        <f t="shared" si="0"/>
        <v>此兩者，同出而異名，同謂之玄。玄之又玄，眾妙之門。
Cu2 liong2 jia2, dong5 cut4 jji5 i7 bbing5, dong5 ui7 ji1 hian5. Hian5 ji1 iu7 hian5, jiong3 bbiau7 ji1 bbun5.</v>
      </c>
    </row>
    <row r="10" spans="1:20" ht="69">
      <c r="A10" s="59"/>
      <c r="B10" s="70"/>
      <c r="C10" s="71"/>
      <c r="D10" s="65"/>
      <c r="E10" s="65"/>
      <c r="F10" s="73"/>
      <c r="G10" s="74"/>
      <c r="H10" s="75"/>
      <c r="I10" s="75"/>
      <c r="J10" s="75"/>
      <c r="K10" s="75"/>
      <c r="L10" s="66"/>
      <c r="M10" s="66"/>
      <c r="N10" s="66"/>
      <c r="O10" s="66"/>
      <c r="P10" s="66"/>
      <c r="Q10" s="57"/>
      <c r="R10" s="56"/>
      <c r="T10" s="56" t="str">
        <f t="shared" si="0"/>
        <v xml:space="preserve">
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74F9-7ED0-421B-BA1F-07914F06B865}">
  <dimension ref="A1:T19"/>
  <sheetViews>
    <sheetView workbookViewId="0">
      <selection activeCell="V17" sqref="V17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63" customWidth="1"/>
  </cols>
  <sheetData>
    <row r="1" spans="1:20">
      <c r="B1" s="60"/>
      <c r="F1" s="67" t="s">
        <v>113</v>
      </c>
      <c r="G1" s="67"/>
      <c r="H1" s="67"/>
      <c r="I1" s="67"/>
      <c r="J1" s="67"/>
      <c r="K1" s="67"/>
      <c r="L1" s="61"/>
      <c r="M1" s="61"/>
      <c r="N1" s="61" t="s">
        <v>114</v>
      </c>
      <c r="O1" s="61"/>
      <c r="P1" s="61"/>
    </row>
    <row r="3" spans="1:20" ht="60">
      <c r="A3" s="58" t="s">
        <v>115</v>
      </c>
      <c r="B3" s="58" t="s">
        <v>116</v>
      </c>
      <c r="C3" s="58" t="s">
        <v>117</v>
      </c>
      <c r="D3" s="63" t="s">
        <v>118</v>
      </c>
      <c r="E3" s="63" t="s">
        <v>119</v>
      </c>
      <c r="F3" s="62" t="s">
        <v>120</v>
      </c>
      <c r="G3" s="62" t="s">
        <v>121</v>
      </c>
      <c r="H3" s="62" t="s">
        <v>53</v>
      </c>
      <c r="I3" s="62" t="s">
        <v>122</v>
      </c>
      <c r="J3" s="62" t="s">
        <v>123</v>
      </c>
      <c r="K3" s="62" t="s">
        <v>124</v>
      </c>
      <c r="L3" s="64" t="s">
        <v>125</v>
      </c>
      <c r="M3" s="61" t="s">
        <v>53</v>
      </c>
      <c r="N3" s="61" t="s">
        <v>122</v>
      </c>
      <c r="O3" s="61" t="s">
        <v>123</v>
      </c>
      <c r="P3" s="61" t="s">
        <v>124</v>
      </c>
      <c r="Q3" s="78" t="s">
        <v>56</v>
      </c>
      <c r="R3" s="78" t="s">
        <v>126</v>
      </c>
      <c r="T3" s="78" t="s">
        <v>242</v>
      </c>
    </row>
    <row r="4" spans="1:20" ht="69">
      <c r="A4" s="59">
        <v>1</v>
      </c>
      <c r="B4" s="69" t="s">
        <v>127</v>
      </c>
      <c r="C4" s="71" t="s">
        <v>128</v>
      </c>
      <c r="D4" s="72">
        <v>20</v>
      </c>
      <c r="E4" s="72">
        <v>25</v>
      </c>
      <c r="F4" s="73">
        <v>0</v>
      </c>
      <c r="G4" s="74">
        <v>25000</v>
      </c>
      <c r="H4" s="75" t="s">
        <v>129</v>
      </c>
      <c r="I4" s="75" t="s">
        <v>129</v>
      </c>
      <c r="J4" s="75" t="s">
        <v>130</v>
      </c>
      <c r="K4" s="75" t="s">
        <v>131</v>
      </c>
      <c r="L4" s="66">
        <v>20000</v>
      </c>
      <c r="M4" s="66" t="s">
        <v>129</v>
      </c>
      <c r="N4" s="66" t="s">
        <v>129</v>
      </c>
      <c r="O4" s="66" t="s">
        <v>132</v>
      </c>
      <c r="P4" s="66" t="s">
        <v>131</v>
      </c>
      <c r="Q4" s="57" t="s">
        <v>263</v>
      </c>
      <c r="R4" s="56" t="s">
        <v>264</v>
      </c>
      <c r="T4" s="56" t="str">
        <f xml:space="preserve"> _xlfn.CONCAT(Q4, CHAR(10), R4)</f>
        <v>《道德經。第一章》
Dô dīk gīng. Dê yīt ziōng</v>
      </c>
    </row>
    <row r="5" spans="1:20" ht="69">
      <c r="A5" s="59">
        <v>2</v>
      </c>
      <c r="B5" s="70" t="s">
        <v>135</v>
      </c>
      <c r="C5" s="71" t="s">
        <v>136</v>
      </c>
      <c r="D5" s="65">
        <v>2</v>
      </c>
      <c r="E5" s="65">
        <v>5</v>
      </c>
      <c r="F5" s="73">
        <v>25000</v>
      </c>
      <c r="G5" s="74">
        <v>30000</v>
      </c>
      <c r="H5" s="75" t="s">
        <v>129</v>
      </c>
      <c r="I5" s="75" t="s">
        <v>129</v>
      </c>
      <c r="J5" s="75" t="s">
        <v>137</v>
      </c>
      <c r="K5" s="75" t="s">
        <v>131</v>
      </c>
      <c r="L5" s="66">
        <v>27000</v>
      </c>
      <c r="M5" s="66" t="s">
        <v>129</v>
      </c>
      <c r="N5" s="66" t="s">
        <v>129</v>
      </c>
      <c r="O5" s="66" t="s">
        <v>138</v>
      </c>
      <c r="P5" s="66" t="s">
        <v>131</v>
      </c>
      <c r="Q5" s="57" t="s">
        <v>255</v>
      </c>
      <c r="R5" s="56" t="s">
        <v>256</v>
      </c>
      <c r="T5" s="56" t="str">
        <f t="shared" ref="T5:T19" si="0" xml:space="preserve"> _xlfn.CONCAT(Q5, CHAR(10), R5)</f>
        <v>第一章論德
Dê yīt ziōng lûn dīk</v>
      </c>
    </row>
    <row r="6" spans="1:20" ht="69">
      <c r="A6" s="59">
        <v>3</v>
      </c>
      <c r="B6" s="70" t="s">
        <v>140</v>
      </c>
      <c r="C6" s="71" t="s">
        <v>141</v>
      </c>
      <c r="D6" s="65">
        <v>2</v>
      </c>
      <c r="E6" s="65">
        <v>5</v>
      </c>
      <c r="F6" s="73">
        <v>30000</v>
      </c>
      <c r="G6" s="74">
        <v>35000</v>
      </c>
      <c r="H6" s="75" t="s">
        <v>129</v>
      </c>
      <c r="I6" s="75" t="s">
        <v>129</v>
      </c>
      <c r="J6" s="75" t="s">
        <v>142</v>
      </c>
      <c r="K6" s="75" t="s">
        <v>131</v>
      </c>
      <c r="L6" s="66">
        <v>32000</v>
      </c>
      <c r="M6" s="66" t="s">
        <v>129</v>
      </c>
      <c r="N6" s="66" t="s">
        <v>129</v>
      </c>
      <c r="O6" s="66" t="s">
        <v>143</v>
      </c>
      <c r="P6" s="66" t="s">
        <v>131</v>
      </c>
      <c r="Q6" s="57" t="s">
        <v>265</v>
      </c>
      <c r="R6" s="56" t="s">
        <v>266</v>
      </c>
      <c r="T6" s="56" t="str">
        <f t="shared" si="0"/>
        <v>上德不德是以有德
Siông dīk būt dīk sî yǐ yǔ dīk</v>
      </c>
    </row>
    <row r="7" spans="1:20" ht="69">
      <c r="A7" s="59">
        <v>4</v>
      </c>
      <c r="B7" s="70" t="s">
        <v>146</v>
      </c>
      <c r="C7" s="71" t="s">
        <v>147</v>
      </c>
      <c r="D7" s="65">
        <v>2</v>
      </c>
      <c r="E7" s="65">
        <v>5</v>
      </c>
      <c r="F7" s="73">
        <v>35000</v>
      </c>
      <c r="G7" s="74">
        <v>40000</v>
      </c>
      <c r="H7" s="75" t="s">
        <v>129</v>
      </c>
      <c r="I7" s="75" t="s">
        <v>129</v>
      </c>
      <c r="J7" s="75" t="s">
        <v>148</v>
      </c>
      <c r="K7" s="75" t="s">
        <v>131</v>
      </c>
      <c r="L7" s="66">
        <v>37000</v>
      </c>
      <c r="M7" s="66" t="s">
        <v>129</v>
      </c>
      <c r="N7" s="66" t="s">
        <v>129</v>
      </c>
      <c r="O7" s="66" t="s">
        <v>149</v>
      </c>
      <c r="P7" s="66" t="s">
        <v>131</v>
      </c>
      <c r="Q7" s="57" t="s">
        <v>267</v>
      </c>
      <c r="R7" s="56" t="s">
        <v>268</v>
      </c>
      <c r="T7" s="56" t="str">
        <f t="shared" si="0"/>
        <v>下德不失德是以無德
Hà dīk būt sīt dīk sî yǐ bbú dīk</v>
      </c>
    </row>
    <row r="8" spans="1:20" ht="69">
      <c r="A8" s="59">
        <v>5</v>
      </c>
      <c r="B8" s="70" t="s">
        <v>151</v>
      </c>
      <c r="C8" s="71" t="s">
        <v>152</v>
      </c>
      <c r="D8" s="65">
        <v>2</v>
      </c>
      <c r="E8" s="65">
        <v>5</v>
      </c>
      <c r="F8" s="73">
        <v>40000</v>
      </c>
      <c r="G8" s="74">
        <v>45000</v>
      </c>
      <c r="H8" s="75" t="s">
        <v>129</v>
      </c>
      <c r="I8" s="75" t="s">
        <v>129</v>
      </c>
      <c r="J8" s="75" t="s">
        <v>153</v>
      </c>
      <c r="K8" s="75" t="s">
        <v>131</v>
      </c>
      <c r="L8" s="66">
        <v>42000</v>
      </c>
      <c r="M8" s="66" t="s">
        <v>129</v>
      </c>
      <c r="N8" s="66" t="s">
        <v>129</v>
      </c>
      <c r="O8" s="66" t="s">
        <v>154</v>
      </c>
      <c r="P8" s="66" t="s">
        <v>131</v>
      </c>
      <c r="Q8" s="57" t="s">
        <v>269</v>
      </c>
      <c r="R8" s="56" t="s">
        <v>270</v>
      </c>
      <c r="T8" s="56" t="str">
        <f t="shared" si="0"/>
        <v>上德無為而無以為也
Siông dīk bbú wí zzí bbú yǐ wí yǎ</v>
      </c>
    </row>
    <row r="9" spans="1:20" ht="69">
      <c r="A9" s="59" t="s">
        <v>157</v>
      </c>
      <c r="B9" s="70" t="s">
        <v>152</v>
      </c>
      <c r="C9" s="71" t="s">
        <v>158</v>
      </c>
      <c r="D9" s="65">
        <v>2</v>
      </c>
      <c r="E9" s="65">
        <v>5</v>
      </c>
      <c r="F9" s="73">
        <v>42000</v>
      </c>
      <c r="G9" s="74">
        <v>47000</v>
      </c>
      <c r="H9" s="75" t="s">
        <v>129</v>
      </c>
      <c r="I9" s="75" t="s">
        <v>129</v>
      </c>
      <c r="J9" s="75" t="s">
        <v>159</v>
      </c>
      <c r="K9" s="75" t="s">
        <v>131</v>
      </c>
      <c r="L9" s="66">
        <v>44000</v>
      </c>
      <c r="M9" s="66" t="s">
        <v>129</v>
      </c>
      <c r="N9" s="66" t="s">
        <v>129</v>
      </c>
      <c r="O9" s="66" t="s">
        <v>160</v>
      </c>
      <c r="P9" s="66" t="s">
        <v>131</v>
      </c>
      <c r="Q9" s="57" t="s">
        <v>271</v>
      </c>
      <c r="R9" s="56" t="s">
        <v>272</v>
      </c>
      <c r="T9" s="56" t="str">
        <f t="shared" si="0"/>
        <v>上仁為之而無以為也
Siông zzín wí zī zzí bbú yǐ wí yǎ</v>
      </c>
    </row>
    <row r="10" spans="1:20" ht="69">
      <c r="A10" s="59"/>
      <c r="B10" s="70"/>
      <c r="C10" s="71"/>
      <c r="D10" s="65"/>
      <c r="E10" s="65"/>
      <c r="F10" s="73"/>
      <c r="G10" s="74"/>
      <c r="H10" s="75"/>
      <c r="I10" s="75"/>
      <c r="J10" s="75"/>
      <c r="K10" s="75"/>
      <c r="L10" s="66"/>
      <c r="M10" s="66"/>
      <c r="N10" s="66"/>
      <c r="O10" s="66"/>
      <c r="P10" s="66"/>
      <c r="Q10" s="57" t="s">
        <v>273</v>
      </c>
      <c r="R10" s="56" t="s">
        <v>274</v>
      </c>
      <c r="T10" s="56" t="str">
        <f t="shared" si="0"/>
        <v>上義為之而有以為也
Siông ggî wí zī zzí yǔ yǐ wí yǎ</v>
      </c>
    </row>
    <row r="11" spans="1:20" ht="69">
      <c r="A11" s="59"/>
      <c r="B11" s="70"/>
      <c r="C11" s="71"/>
      <c r="D11" s="65"/>
      <c r="E11" s="65"/>
      <c r="F11" s="73"/>
      <c r="G11" s="74"/>
      <c r="H11" s="75"/>
      <c r="I11" s="75"/>
      <c r="J11" s="75"/>
      <c r="K11" s="75"/>
      <c r="L11" s="66"/>
      <c r="M11" s="66"/>
      <c r="N11" s="66"/>
      <c r="O11" s="66"/>
      <c r="P11" s="66"/>
      <c r="Q11" s="57" t="s">
        <v>275</v>
      </c>
      <c r="R11" s="56" t="s">
        <v>276</v>
      </c>
      <c r="T11" s="56" t="str">
        <f t="shared" si="0"/>
        <v>上禮為之而莫之應也
Siông lě wí zī zzí bbók zī yīng yǎ</v>
      </c>
    </row>
    <row r="12" spans="1:20" ht="69">
      <c r="A12" s="59"/>
      <c r="B12" s="70"/>
      <c r="C12" s="71"/>
      <c r="D12" s="65"/>
      <c r="E12" s="65"/>
      <c r="F12" s="73"/>
      <c r="G12" s="74"/>
      <c r="H12" s="75"/>
      <c r="I12" s="75"/>
      <c r="J12" s="75"/>
      <c r="K12" s="75"/>
      <c r="L12" s="66"/>
      <c r="M12" s="66"/>
      <c r="N12" s="66"/>
      <c r="O12" s="66"/>
      <c r="P12" s="66"/>
      <c r="Q12" s="57" t="s">
        <v>277</v>
      </c>
      <c r="R12" s="56" t="s">
        <v>278</v>
      </c>
      <c r="T12" s="56" t="str">
        <f t="shared" si="0"/>
        <v>則攘臂而扔之
Zīk zzióng bì zzí zzíng zī</v>
      </c>
    </row>
    <row r="13" spans="1:20" ht="69">
      <c r="A13" s="59"/>
      <c r="B13" s="70"/>
      <c r="C13" s="71"/>
      <c r="D13" s="65"/>
      <c r="E13" s="65"/>
      <c r="F13" s="73"/>
      <c r="G13" s="74"/>
      <c r="H13" s="75"/>
      <c r="I13" s="75"/>
      <c r="J13" s="75"/>
      <c r="K13" s="75"/>
      <c r="L13" s="66"/>
      <c r="M13" s="66"/>
      <c r="N13" s="66"/>
      <c r="O13" s="66"/>
      <c r="P13" s="66"/>
      <c r="Q13" s="57" t="s">
        <v>279</v>
      </c>
      <c r="R13" s="56" t="s">
        <v>280</v>
      </c>
      <c r="T13" s="56" t="str">
        <f t="shared" si="0"/>
        <v>故失道而後德失德而後仁
Gòo sīt dô zzí hôo dīk sīt dīk zzí hôo zzín</v>
      </c>
    </row>
    <row r="14" spans="1:20" ht="69">
      <c r="A14" s="59"/>
      <c r="B14" s="70"/>
      <c r="C14" s="71"/>
      <c r="D14" s="65"/>
      <c r="E14" s="65"/>
      <c r="F14" s="73"/>
      <c r="G14" s="74"/>
      <c r="H14" s="75"/>
      <c r="I14" s="75"/>
      <c r="J14" s="75"/>
      <c r="K14" s="75"/>
      <c r="L14" s="66"/>
      <c r="M14" s="66"/>
      <c r="N14" s="66"/>
      <c r="O14" s="66"/>
      <c r="P14" s="66"/>
      <c r="Q14" s="57" t="s">
        <v>281</v>
      </c>
      <c r="R14" s="56" t="s">
        <v>282</v>
      </c>
      <c r="T14" s="56" t="str">
        <f t="shared" si="0"/>
        <v>失仁而後義失義而後禮
Sīt zzín zzí hôo ggî sīt ggî zzí hôo lě</v>
      </c>
    </row>
    <row r="15" spans="1:20" ht="69">
      <c r="A15" s="59"/>
      <c r="B15" s="70"/>
      <c r="C15" s="71"/>
      <c r="D15" s="65"/>
      <c r="E15" s="65"/>
      <c r="F15" s="73"/>
      <c r="G15" s="74"/>
      <c r="H15" s="75"/>
      <c r="I15" s="75"/>
      <c r="J15" s="75"/>
      <c r="K15" s="75"/>
      <c r="L15" s="66"/>
      <c r="M15" s="66"/>
      <c r="N15" s="66"/>
      <c r="O15" s="66"/>
      <c r="P15" s="66"/>
      <c r="Q15" s="57" t="s">
        <v>283</v>
      </c>
      <c r="R15" s="56" t="s">
        <v>284</v>
      </c>
      <c r="T15" s="56" t="str">
        <f t="shared" si="0"/>
        <v>夫禮者忠信之泊也而亂之首也
Hú lě ziǎ diōng sìn zī bók yǎ zzí luân zī sǐu yǎ</v>
      </c>
    </row>
    <row r="16" spans="1:20" ht="69">
      <c r="A16" s="59"/>
      <c r="B16" s="70"/>
      <c r="C16" s="71"/>
      <c r="D16" s="65"/>
      <c r="E16" s="65"/>
      <c r="F16" s="73"/>
      <c r="G16" s="74"/>
      <c r="H16" s="75"/>
      <c r="I16" s="75"/>
      <c r="J16" s="75"/>
      <c r="K16" s="75"/>
      <c r="L16" s="66"/>
      <c r="M16" s="66"/>
      <c r="N16" s="66"/>
      <c r="O16" s="66"/>
      <c r="P16" s="66"/>
      <c r="Q16" s="57" t="s">
        <v>257</v>
      </c>
      <c r="R16" s="56" t="s">
        <v>258</v>
      </c>
      <c r="T16" s="56" t="str">
        <f t="shared" si="0"/>
        <v>前識者道之華也而愚之首也
Zián bbāt ziǎ dô zī huá yǎ zzí ggú zī sǐu yǎ</v>
      </c>
    </row>
    <row r="17" spans="1:20" ht="69">
      <c r="A17" s="59"/>
      <c r="B17" s="70"/>
      <c r="C17" s="71"/>
      <c r="D17" s="65"/>
      <c r="E17" s="65"/>
      <c r="F17" s="73"/>
      <c r="G17" s="74"/>
      <c r="H17" s="75"/>
      <c r="I17" s="75"/>
      <c r="J17" s="75"/>
      <c r="K17" s="75"/>
      <c r="L17" s="66"/>
      <c r="M17" s="66"/>
      <c r="N17" s="66"/>
      <c r="O17" s="66"/>
      <c r="P17" s="66"/>
      <c r="Q17" s="57" t="s">
        <v>285</v>
      </c>
      <c r="R17" s="56" t="s">
        <v>286</v>
      </c>
      <c r="T17" s="56" t="str">
        <f t="shared" si="0"/>
        <v>是以大丈夫居亓厚而不居亓泊
Sî yǐ dâi diông hú gū gí hôo zzí būt gū gí bók</v>
      </c>
    </row>
    <row r="18" spans="1:20" ht="69">
      <c r="A18" s="59"/>
      <c r="B18" s="70"/>
      <c r="C18" s="71"/>
      <c r="D18" s="65"/>
      <c r="E18" s="65"/>
      <c r="F18" s="73"/>
      <c r="G18" s="74"/>
      <c r="H18" s="75"/>
      <c r="I18" s="75"/>
      <c r="J18" s="75"/>
      <c r="K18" s="75"/>
      <c r="L18" s="66"/>
      <c r="M18" s="66"/>
      <c r="N18" s="66"/>
      <c r="O18" s="66"/>
      <c r="P18" s="66"/>
      <c r="Q18" s="57" t="s">
        <v>287</v>
      </c>
      <c r="R18" s="56" t="s">
        <v>288</v>
      </c>
      <c r="T18" s="56" t="str">
        <f t="shared" si="0"/>
        <v>居亓實而不居亓華
Gū gí sít zzí būt gū gí huá</v>
      </c>
    </row>
    <row r="19" spans="1:20" ht="103.5">
      <c r="A19" s="59"/>
      <c r="B19" s="70"/>
      <c r="C19" s="71"/>
      <c r="D19" s="65"/>
      <c r="E19" s="65"/>
      <c r="F19" s="73"/>
      <c r="G19" s="74"/>
      <c r="H19" s="75"/>
      <c r="I19" s="75"/>
      <c r="J19" s="75"/>
      <c r="K19" s="75"/>
      <c r="L19" s="66"/>
      <c r="M19" s="66"/>
      <c r="N19" s="66"/>
      <c r="O19" s="66"/>
      <c r="P19" s="66"/>
      <c r="Q19" s="57" t="s">
        <v>289</v>
      </c>
      <c r="R19" s="56" t="s">
        <v>290</v>
      </c>
      <c r="T19" s="56" t="str">
        <f t="shared" si="0"/>
        <v>故去彼取此有之以為利，無之以為用。
Gòo kù hīt cǔ cǔ yǔ zī yǐ wí lî, bbú zī yǐ wí yông.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F075-0805-44AD-9480-D7B808C6DF70}">
  <dimension ref="A1:T9"/>
  <sheetViews>
    <sheetView topLeftCell="A3" workbookViewId="0">
      <selection activeCell="T4" sqref="T4:T8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63" customWidth="1"/>
  </cols>
  <sheetData>
    <row r="1" spans="1:20">
      <c r="B1" s="60"/>
      <c r="F1" s="67" t="s">
        <v>113</v>
      </c>
      <c r="G1" s="67"/>
      <c r="H1" s="67"/>
      <c r="I1" s="67"/>
      <c r="J1" s="67"/>
      <c r="K1" s="67"/>
      <c r="L1" s="61"/>
      <c r="M1" s="61"/>
      <c r="N1" s="61" t="s">
        <v>114</v>
      </c>
      <c r="O1" s="61"/>
      <c r="P1" s="61"/>
    </row>
    <row r="3" spans="1:20" ht="60">
      <c r="A3" s="58" t="s">
        <v>115</v>
      </c>
      <c r="B3" s="58" t="s">
        <v>116</v>
      </c>
      <c r="C3" s="58" t="s">
        <v>117</v>
      </c>
      <c r="D3" s="63" t="s">
        <v>118</v>
      </c>
      <c r="E3" s="63" t="s">
        <v>119</v>
      </c>
      <c r="F3" s="62" t="s">
        <v>120</v>
      </c>
      <c r="G3" s="62" t="s">
        <v>121</v>
      </c>
      <c r="H3" s="62" t="s">
        <v>53</v>
      </c>
      <c r="I3" s="62" t="s">
        <v>122</v>
      </c>
      <c r="J3" s="62" t="s">
        <v>123</v>
      </c>
      <c r="K3" s="62" t="s">
        <v>124</v>
      </c>
      <c r="L3" s="64" t="s">
        <v>125</v>
      </c>
      <c r="M3" s="61" t="s">
        <v>53</v>
      </c>
      <c r="N3" s="61" t="s">
        <v>122</v>
      </c>
      <c r="O3" s="61" t="s">
        <v>123</v>
      </c>
      <c r="P3" s="61" t="s">
        <v>124</v>
      </c>
      <c r="Q3" s="78" t="s">
        <v>56</v>
      </c>
      <c r="R3" s="78" t="s">
        <v>126</v>
      </c>
      <c r="T3" s="78" t="s">
        <v>242</v>
      </c>
    </row>
    <row r="4" spans="1:20" ht="69">
      <c r="A4" s="59">
        <v>1</v>
      </c>
      <c r="B4" s="69" t="s">
        <v>127</v>
      </c>
      <c r="C4" s="71" t="s">
        <v>128</v>
      </c>
      <c r="D4" s="72">
        <v>20</v>
      </c>
      <c r="E4" s="72">
        <v>25</v>
      </c>
      <c r="F4" s="73">
        <v>0</v>
      </c>
      <c r="G4" s="74">
        <v>25000</v>
      </c>
      <c r="H4" s="75" t="s">
        <v>129</v>
      </c>
      <c r="I4" s="75" t="s">
        <v>129</v>
      </c>
      <c r="J4" s="75" t="s">
        <v>130</v>
      </c>
      <c r="K4" s="75" t="s">
        <v>131</v>
      </c>
      <c r="L4" s="66">
        <v>20000</v>
      </c>
      <c r="M4" s="66" t="s">
        <v>129</v>
      </c>
      <c r="N4" s="66" t="s">
        <v>129</v>
      </c>
      <c r="O4" s="66" t="s">
        <v>132</v>
      </c>
      <c r="P4" s="66" t="s">
        <v>131</v>
      </c>
      <c r="Q4" s="57" t="s">
        <v>133</v>
      </c>
      <c r="R4" s="56" t="s">
        <v>175</v>
      </c>
      <c r="T4" s="56" t="str">
        <f xml:space="preserve"> _xlfn.CONCAT(Q4, CHAR(10), R4)</f>
        <v>《道德經。第十一章》
Dor7 diek4 ging1. De7 ship8 it4 jiong1</v>
      </c>
    </row>
    <row r="5" spans="1:20" ht="103.5">
      <c r="A5" s="59">
        <v>2</v>
      </c>
      <c r="B5" s="70" t="s">
        <v>135</v>
      </c>
      <c r="C5" s="71" t="s">
        <v>136</v>
      </c>
      <c r="D5" s="65">
        <v>2</v>
      </c>
      <c r="E5" s="65">
        <v>5</v>
      </c>
      <c r="F5" s="73">
        <v>25000</v>
      </c>
      <c r="G5" s="74">
        <v>30000</v>
      </c>
      <c r="H5" s="75" t="s">
        <v>129</v>
      </c>
      <c r="I5" s="75" t="s">
        <v>129</v>
      </c>
      <c r="J5" s="75" t="s">
        <v>137</v>
      </c>
      <c r="K5" s="75" t="s">
        <v>131</v>
      </c>
      <c r="L5" s="66">
        <v>27000</v>
      </c>
      <c r="M5" s="66" t="s">
        <v>129</v>
      </c>
      <c r="N5" s="66" t="s">
        <v>129</v>
      </c>
      <c r="O5" s="66" t="s">
        <v>138</v>
      </c>
      <c r="P5" s="66" t="s">
        <v>131</v>
      </c>
      <c r="Q5" s="57" t="s">
        <v>173</v>
      </c>
      <c r="R5" s="56" t="s">
        <v>176</v>
      </c>
      <c r="T5" s="56" t="str">
        <f t="shared" ref="T5:T8" si="0" xml:space="preserve"> _xlfn.CONCAT(Q5, CHAR(10), R5)</f>
        <v>三十輻同一轂，當其無，有車之用也。
Sam1 ship8 hok4 dong5 it4 gok4, dong1 gi5 bbu5, iu2 gu1 ji1 iong7 ia2.</v>
      </c>
    </row>
    <row r="6" spans="1:20" ht="103.5">
      <c r="A6" s="59">
        <v>3</v>
      </c>
      <c r="B6" s="70" t="s">
        <v>140</v>
      </c>
      <c r="C6" s="71" t="s">
        <v>141</v>
      </c>
      <c r="D6" s="65">
        <v>2</v>
      </c>
      <c r="E6" s="65">
        <v>5</v>
      </c>
      <c r="F6" s="73">
        <v>30000</v>
      </c>
      <c r="G6" s="74">
        <v>35000</v>
      </c>
      <c r="H6" s="75" t="s">
        <v>129</v>
      </c>
      <c r="I6" s="75" t="s">
        <v>129</v>
      </c>
      <c r="J6" s="75" t="s">
        <v>142</v>
      </c>
      <c r="K6" s="75" t="s">
        <v>131</v>
      </c>
      <c r="L6" s="66">
        <v>32000</v>
      </c>
      <c r="M6" s="66" t="s">
        <v>129</v>
      </c>
      <c r="N6" s="66" t="s">
        <v>129</v>
      </c>
      <c r="O6" s="66" t="s">
        <v>143</v>
      </c>
      <c r="P6" s="66" t="s">
        <v>131</v>
      </c>
      <c r="Q6" s="57" t="s">
        <v>144</v>
      </c>
      <c r="R6" s="56" t="s">
        <v>177</v>
      </c>
      <c r="T6" s="56" t="str">
        <f t="shared" si="0"/>
        <v>埏埴為器，當其無，有埴器之用也。
Ian5 shit8 ui5 ki3, dong1 gi5 bbu5, iu2 shit8 ki3 ji1 iong7 ia2.</v>
      </c>
    </row>
    <row r="7" spans="1:20" ht="103.5">
      <c r="A7" s="59">
        <v>4</v>
      </c>
      <c r="B7" s="70" t="s">
        <v>146</v>
      </c>
      <c r="C7" s="71" t="s">
        <v>147</v>
      </c>
      <c r="D7" s="65">
        <v>2</v>
      </c>
      <c r="E7" s="65">
        <v>5</v>
      </c>
      <c r="F7" s="73">
        <v>35000</v>
      </c>
      <c r="G7" s="74">
        <v>40000</v>
      </c>
      <c r="H7" s="75" t="s">
        <v>129</v>
      </c>
      <c r="I7" s="75" t="s">
        <v>129</v>
      </c>
      <c r="J7" s="75" t="s">
        <v>148</v>
      </c>
      <c r="K7" s="75" t="s">
        <v>131</v>
      </c>
      <c r="L7" s="66">
        <v>37000</v>
      </c>
      <c r="M7" s="66" t="s">
        <v>129</v>
      </c>
      <c r="N7" s="66" t="s">
        <v>129</v>
      </c>
      <c r="O7" s="66" t="s">
        <v>149</v>
      </c>
      <c r="P7" s="66" t="s">
        <v>131</v>
      </c>
      <c r="Q7" s="57" t="s">
        <v>150</v>
      </c>
      <c r="R7" s="56" t="s">
        <v>178</v>
      </c>
      <c r="T7" s="56" t="str">
        <f t="shared" si="0"/>
        <v>鑿戶牖，當其無，有室之用也。
Cak8 hoo7 iu2, dong1 gi5 bbu5, iu2 shiek4 ji1 iong7 ia2.</v>
      </c>
    </row>
    <row r="8" spans="1:20" ht="69">
      <c r="A8" s="59">
        <v>5</v>
      </c>
      <c r="B8" s="70" t="s">
        <v>151</v>
      </c>
      <c r="C8" s="71" t="s">
        <v>152</v>
      </c>
      <c r="D8" s="65">
        <v>2</v>
      </c>
      <c r="E8" s="65">
        <v>5</v>
      </c>
      <c r="F8" s="73">
        <v>40000</v>
      </c>
      <c r="G8" s="74">
        <v>45000</v>
      </c>
      <c r="H8" s="75" t="s">
        <v>129</v>
      </c>
      <c r="I8" s="75" t="s">
        <v>129</v>
      </c>
      <c r="J8" s="75" t="s">
        <v>153</v>
      </c>
      <c r="K8" s="75" t="s">
        <v>131</v>
      </c>
      <c r="L8" s="66">
        <v>42000</v>
      </c>
      <c r="M8" s="66" t="s">
        <v>129</v>
      </c>
      <c r="N8" s="66" t="s">
        <v>129</v>
      </c>
      <c r="O8" s="66" t="s">
        <v>154</v>
      </c>
      <c r="P8" s="66" t="s">
        <v>131</v>
      </c>
      <c r="Q8" s="57" t="s">
        <v>155</v>
      </c>
      <c r="R8" s="56" t="s">
        <v>179</v>
      </c>
      <c r="T8" s="56" t="str">
        <f t="shared" si="0"/>
        <v>故有之以為利，無之以為用。
Goo3 iu2 ji1 i2 ui5 li7, bbu5 ji1 i2 ui5 iong7.</v>
      </c>
    </row>
    <row r="9" spans="1:20" ht="24">
      <c r="A9" s="68" t="s">
        <v>157</v>
      </c>
      <c r="B9" s="79" t="s">
        <v>152</v>
      </c>
      <c r="C9" s="71" t="s">
        <v>158</v>
      </c>
      <c r="D9" s="65">
        <v>2</v>
      </c>
      <c r="E9" s="65">
        <v>5</v>
      </c>
      <c r="F9" s="76">
        <v>42000</v>
      </c>
      <c r="G9" s="74">
        <v>47000</v>
      </c>
      <c r="H9" s="77" t="s">
        <v>129</v>
      </c>
      <c r="I9" s="77" t="s">
        <v>129</v>
      </c>
      <c r="J9" s="77" t="s">
        <v>159</v>
      </c>
      <c r="K9" s="77" t="s">
        <v>131</v>
      </c>
      <c r="L9" s="66">
        <v>44000</v>
      </c>
      <c r="M9" s="66" t="s">
        <v>129</v>
      </c>
      <c r="N9" s="66" t="s">
        <v>129</v>
      </c>
      <c r="O9" s="66" t="s">
        <v>160</v>
      </c>
      <c r="P9" s="66" t="s">
        <v>131</v>
      </c>
      <c r="Q9" s="55"/>
      <c r="R9" s="55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229F-C20E-465C-8F87-E4979D03A024}">
  <dimension ref="A1:V2002"/>
  <sheetViews>
    <sheetView showGridLines="0"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33" sqref="E3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75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85" t="s">
        <v>111</v>
      </c>
    </row>
    <row r="4" spans="1:22" s="6" customFormat="1" ht="36" customHeight="1">
      <c r="B4" s="16"/>
      <c r="D4" s="46"/>
      <c r="E4" s="46" t="s">
        <v>81</v>
      </c>
      <c r="F4" s="46" t="s">
        <v>83</v>
      </c>
      <c r="G4" s="46" t="s">
        <v>47</v>
      </c>
      <c r="H4" s="46"/>
      <c r="I4" s="46" t="s">
        <v>85</v>
      </c>
      <c r="J4" s="46" t="s">
        <v>42</v>
      </c>
      <c r="K4" s="46" t="s">
        <v>88</v>
      </c>
      <c r="L4" s="46" t="s">
        <v>37</v>
      </c>
      <c r="M4" s="46"/>
      <c r="N4" s="46"/>
      <c r="O4" s="46"/>
      <c r="P4" s="46"/>
      <c r="Q4" s="46"/>
      <c r="R4" s="46"/>
      <c r="S4" s="17"/>
      <c r="V4" s="86"/>
    </row>
    <row r="5" spans="1:22" s="6" customFormat="1" ht="80.099999999999994" customHeight="1">
      <c r="B5" s="18">
        <v>1</v>
      </c>
      <c r="D5" s="36" t="s">
        <v>59</v>
      </c>
      <c r="E5" s="36" t="s">
        <v>60</v>
      </c>
      <c r="F5" s="36" t="s">
        <v>61</v>
      </c>
      <c r="G5" s="36" t="s">
        <v>55</v>
      </c>
      <c r="H5" s="36" t="s">
        <v>19</v>
      </c>
      <c r="I5" s="36" t="s">
        <v>62</v>
      </c>
      <c r="J5" s="36" t="s">
        <v>63</v>
      </c>
      <c r="K5" s="36" t="s">
        <v>64</v>
      </c>
      <c r="L5" s="36" t="s">
        <v>65</v>
      </c>
      <c r="M5" s="36" t="s">
        <v>66</v>
      </c>
      <c r="N5" s="36" t="str">
        <f>CHAR(10)</f>
        <v xml:space="preserve">
</v>
      </c>
      <c r="O5" s="36"/>
      <c r="P5" s="36"/>
      <c r="Q5" s="36"/>
      <c r="R5" s="36"/>
      <c r="S5" s="19"/>
      <c r="V5" s="86"/>
    </row>
    <row r="6" spans="1:22" s="23" customFormat="1" ht="36" customHeight="1">
      <c r="B6" s="20"/>
      <c r="C6" s="21"/>
      <c r="D6" s="49"/>
      <c r="E6" s="49" t="s">
        <v>82</v>
      </c>
      <c r="F6" s="49" t="s">
        <v>84</v>
      </c>
      <c r="G6" s="49" t="s">
        <v>51</v>
      </c>
      <c r="H6" s="49"/>
      <c r="I6" s="49" t="s">
        <v>86</v>
      </c>
      <c r="J6" s="49" t="s">
        <v>87</v>
      </c>
      <c r="K6" s="49" t="s">
        <v>88</v>
      </c>
      <c r="L6" s="49" t="s">
        <v>89</v>
      </c>
      <c r="M6" s="49"/>
      <c r="N6" s="49"/>
      <c r="O6" s="49"/>
      <c r="P6" s="49"/>
      <c r="Q6" s="49"/>
      <c r="R6" s="49"/>
      <c r="S6" s="22"/>
      <c r="V6" s="86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86"/>
    </row>
    <row r="8" spans="1:22" s="6" customFormat="1" ht="36" customHeight="1">
      <c r="B8" s="16"/>
      <c r="D8" s="46" t="s">
        <v>112</v>
      </c>
      <c r="E8" s="46" t="s">
        <v>42</v>
      </c>
      <c r="F8" s="46" t="s">
        <v>91</v>
      </c>
      <c r="G8" s="46" t="s">
        <v>167</v>
      </c>
      <c r="H8" s="46" t="s">
        <v>88</v>
      </c>
      <c r="I8" s="46" t="s">
        <v>92</v>
      </c>
      <c r="J8" s="46"/>
      <c r="K8" s="46" t="s">
        <v>39</v>
      </c>
      <c r="L8" s="46" t="s">
        <v>49</v>
      </c>
      <c r="M8" s="46" t="s">
        <v>170</v>
      </c>
      <c r="N8" s="46"/>
      <c r="O8" s="46" t="s">
        <v>95</v>
      </c>
      <c r="P8" s="46" t="s">
        <v>96</v>
      </c>
      <c r="Q8" s="46" t="s">
        <v>38</v>
      </c>
      <c r="R8" s="46" t="s">
        <v>99</v>
      </c>
      <c r="S8" s="17"/>
      <c r="V8" s="86"/>
    </row>
    <row r="9" spans="1:22" s="6" customFormat="1" ht="80.099999999999994" customHeight="1">
      <c r="B9" s="18">
        <f>B5+1</f>
        <v>2</v>
      </c>
      <c r="D9" s="36" t="s">
        <v>34</v>
      </c>
      <c r="E9" s="36" t="s">
        <v>63</v>
      </c>
      <c r="F9" s="36" t="s">
        <v>67</v>
      </c>
      <c r="G9" s="36" t="s">
        <v>68</v>
      </c>
      <c r="H9" s="36" t="s">
        <v>64</v>
      </c>
      <c r="I9" s="36" t="s">
        <v>69</v>
      </c>
      <c r="J9" s="36" t="s">
        <v>18</v>
      </c>
      <c r="K9" s="36" t="s">
        <v>70</v>
      </c>
      <c r="L9" s="36" t="s">
        <v>30</v>
      </c>
      <c r="M9" s="36" t="s">
        <v>31</v>
      </c>
      <c r="N9" s="36" t="s">
        <v>18</v>
      </c>
      <c r="O9" s="36" t="s">
        <v>33</v>
      </c>
      <c r="P9" s="36" t="s">
        <v>54</v>
      </c>
      <c r="Q9" s="36" t="s">
        <v>32</v>
      </c>
      <c r="R9" s="36" t="s">
        <v>71</v>
      </c>
      <c r="S9" s="19"/>
      <c r="T9" s="15"/>
      <c r="V9" s="86"/>
    </row>
    <row r="10" spans="1:22" s="6" customFormat="1" ht="36" customHeight="1">
      <c r="B10" s="20"/>
      <c r="D10" s="49" t="s">
        <v>112</v>
      </c>
      <c r="E10" s="49" t="s">
        <v>87</v>
      </c>
      <c r="F10" s="49" t="s">
        <v>91</v>
      </c>
      <c r="G10" s="49" t="s">
        <v>168</v>
      </c>
      <c r="H10" s="49" t="s">
        <v>88</v>
      </c>
      <c r="I10" s="49" t="s">
        <v>93</v>
      </c>
      <c r="J10" s="49"/>
      <c r="K10" s="49" t="s">
        <v>94</v>
      </c>
      <c r="L10" s="49" t="s">
        <v>44</v>
      </c>
      <c r="M10" s="49" t="s">
        <v>171</v>
      </c>
      <c r="N10" s="49"/>
      <c r="O10" s="49" t="s">
        <v>95</v>
      </c>
      <c r="P10" s="49" t="s">
        <v>97</v>
      </c>
      <c r="Q10" s="49" t="s">
        <v>98</v>
      </c>
      <c r="R10" s="49" t="s">
        <v>99</v>
      </c>
      <c r="S10" s="28"/>
      <c r="V10" s="86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86"/>
    </row>
    <row r="12" spans="1:22" s="6" customFormat="1" ht="36" customHeight="1">
      <c r="B12" s="16"/>
      <c r="D12" s="46" t="s">
        <v>100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17"/>
      <c r="V12" s="86"/>
    </row>
    <row r="13" spans="1:22" s="6" customFormat="1" ht="80.099999999999994" customHeight="1">
      <c r="B13" s="18">
        <f>B9+1</f>
        <v>3</v>
      </c>
      <c r="D13" s="36" t="s">
        <v>72</v>
      </c>
      <c r="E13" s="36" t="s">
        <v>19</v>
      </c>
      <c r="F13" s="36" t="str">
        <f>CHAR(10)</f>
        <v xml:space="preserve">
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19"/>
      <c r="V13" s="86"/>
    </row>
    <row r="14" spans="1:22" s="6" customFormat="1" ht="36" customHeight="1">
      <c r="B14" s="20"/>
      <c r="D14" s="49" t="s">
        <v>100</v>
      </c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28"/>
      <c r="V14" s="86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86"/>
    </row>
    <row r="16" spans="1:22" s="6" customFormat="1" ht="36" customHeight="1">
      <c r="B16" s="16"/>
      <c r="D16" s="46" t="s">
        <v>101</v>
      </c>
      <c r="E16" s="46" t="s">
        <v>102</v>
      </c>
      <c r="F16" s="46" t="s">
        <v>41</v>
      </c>
      <c r="G16" s="46" t="s">
        <v>48</v>
      </c>
      <c r="H16" s="46"/>
      <c r="I16" s="46" t="s">
        <v>39</v>
      </c>
      <c r="J16" s="46" t="s">
        <v>49</v>
      </c>
      <c r="K16" s="46" t="s">
        <v>170</v>
      </c>
      <c r="L16" s="46"/>
      <c r="M16" s="46" t="s">
        <v>95</v>
      </c>
      <c r="N16" s="46" t="s">
        <v>102</v>
      </c>
      <c r="O16" s="46" t="s">
        <v>48</v>
      </c>
      <c r="P16" s="46" t="s">
        <v>38</v>
      </c>
      <c r="Q16" s="46" t="s">
        <v>99</v>
      </c>
      <c r="R16" s="46" t="s">
        <v>100</v>
      </c>
      <c r="S16" s="17"/>
      <c r="V16" s="86"/>
    </row>
    <row r="17" spans="2:22" s="6" customFormat="1" ht="80.099999999999994" customHeight="1">
      <c r="B17" s="18">
        <f>B13+1</f>
        <v>4</v>
      </c>
      <c r="D17" s="36" t="s">
        <v>73</v>
      </c>
      <c r="E17" s="36" t="s">
        <v>74</v>
      </c>
      <c r="F17" s="36" t="s">
        <v>36</v>
      </c>
      <c r="G17" s="36" t="s">
        <v>75</v>
      </c>
      <c r="H17" s="36" t="s">
        <v>18</v>
      </c>
      <c r="I17" s="36" t="s">
        <v>70</v>
      </c>
      <c r="J17" s="36" t="s">
        <v>30</v>
      </c>
      <c r="K17" s="36" t="s">
        <v>31</v>
      </c>
      <c r="L17" s="36" t="s">
        <v>18</v>
      </c>
      <c r="M17" s="36" t="s">
        <v>33</v>
      </c>
      <c r="N17" s="36" t="s">
        <v>74</v>
      </c>
      <c r="O17" s="36" t="s">
        <v>75</v>
      </c>
      <c r="P17" s="36" t="s">
        <v>32</v>
      </c>
      <c r="Q17" s="36" t="s">
        <v>71</v>
      </c>
      <c r="R17" s="36" t="s">
        <v>72</v>
      </c>
      <c r="S17" s="19"/>
      <c r="V17" s="86"/>
    </row>
    <row r="18" spans="2:22" s="6" customFormat="1" ht="36" customHeight="1">
      <c r="B18" s="20"/>
      <c r="D18" s="49" t="s">
        <v>101</v>
      </c>
      <c r="E18" s="49" t="s">
        <v>103</v>
      </c>
      <c r="F18" s="49" t="s">
        <v>41</v>
      </c>
      <c r="G18" s="49" t="s">
        <v>43</v>
      </c>
      <c r="H18" s="49"/>
      <c r="I18" s="49" t="s">
        <v>94</v>
      </c>
      <c r="J18" s="49" t="s">
        <v>44</v>
      </c>
      <c r="K18" s="49" t="s">
        <v>171</v>
      </c>
      <c r="L18" s="49"/>
      <c r="M18" s="49" t="s">
        <v>95</v>
      </c>
      <c r="N18" s="49" t="s">
        <v>103</v>
      </c>
      <c r="O18" s="49" t="s">
        <v>43</v>
      </c>
      <c r="P18" s="49" t="s">
        <v>98</v>
      </c>
      <c r="Q18" s="49" t="s">
        <v>99</v>
      </c>
      <c r="R18" s="49" t="s">
        <v>100</v>
      </c>
      <c r="S18" s="28"/>
      <c r="V18" s="86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86"/>
    </row>
    <row r="20" spans="2:22" s="6" customFormat="1" ht="36" customHeight="1">
      <c r="B20" s="1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17"/>
      <c r="V20" s="86"/>
    </row>
    <row r="21" spans="2:22" s="6" customFormat="1" ht="80.099999999999994" customHeight="1">
      <c r="B21" s="18">
        <f>B17+1</f>
        <v>5</v>
      </c>
      <c r="D21" s="36" t="s">
        <v>19</v>
      </c>
      <c r="E21" s="36" t="str">
        <f>CHAR(10)</f>
        <v xml:space="preserve">
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19"/>
      <c r="V21" s="86"/>
    </row>
    <row r="22" spans="2:22" s="6" customFormat="1" ht="36" customHeight="1">
      <c r="B22" s="20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28"/>
      <c r="V22" s="86"/>
    </row>
    <row r="23" spans="2:22" s="32" customFormat="1" ht="60" customHeight="1">
      <c r="B23" s="12"/>
      <c r="C23" s="31"/>
      <c r="D23" s="48"/>
      <c r="E23" s="48"/>
      <c r="F23" s="48" t="s">
        <v>95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86"/>
    </row>
    <row r="24" spans="2:22" s="6" customFormat="1" ht="36" customHeight="1">
      <c r="B24" s="16"/>
      <c r="D24" s="46" t="s">
        <v>104</v>
      </c>
      <c r="E24" s="46" t="s">
        <v>105</v>
      </c>
      <c r="F24" s="46" t="s">
        <v>95</v>
      </c>
      <c r="G24" s="46"/>
      <c r="H24" s="46" t="s">
        <v>39</v>
      </c>
      <c r="I24" s="46" t="s">
        <v>49</v>
      </c>
      <c r="J24" s="46" t="s">
        <v>170</v>
      </c>
      <c r="K24" s="46"/>
      <c r="L24" s="46" t="s">
        <v>95</v>
      </c>
      <c r="M24" s="46" t="s">
        <v>106</v>
      </c>
      <c r="N24" s="46" t="s">
        <v>38</v>
      </c>
      <c r="O24" s="46" t="s">
        <v>99</v>
      </c>
      <c r="P24" s="46" t="s">
        <v>100</v>
      </c>
      <c r="Q24" s="46"/>
      <c r="R24" s="46"/>
      <c r="S24" s="17"/>
      <c r="V24" s="86"/>
    </row>
    <row r="25" spans="2:22" s="6" customFormat="1" ht="80.099999999999994" customHeight="1">
      <c r="B25" s="18">
        <f>B21+1</f>
        <v>6</v>
      </c>
      <c r="D25" s="36" t="s">
        <v>76</v>
      </c>
      <c r="E25" s="36" t="s">
        <v>77</v>
      </c>
      <c r="F25" s="36" t="s">
        <v>78</v>
      </c>
      <c r="G25" s="36" t="s">
        <v>18</v>
      </c>
      <c r="H25" s="36" t="s">
        <v>70</v>
      </c>
      <c r="I25" s="36" t="s">
        <v>30</v>
      </c>
      <c r="J25" s="36" t="s">
        <v>31</v>
      </c>
      <c r="K25" s="36" t="s">
        <v>18</v>
      </c>
      <c r="L25" s="36" t="s">
        <v>33</v>
      </c>
      <c r="M25" s="36" t="s">
        <v>52</v>
      </c>
      <c r="N25" s="36" t="s">
        <v>32</v>
      </c>
      <c r="O25" s="36" t="s">
        <v>71</v>
      </c>
      <c r="P25" s="36" t="s">
        <v>72</v>
      </c>
      <c r="Q25" s="36" t="s">
        <v>19</v>
      </c>
      <c r="R25" s="36" t="str">
        <f>CHAR(10)</f>
        <v xml:space="preserve">
</v>
      </c>
      <c r="S25" s="19"/>
      <c r="V25" s="86"/>
    </row>
    <row r="26" spans="2:22" s="6" customFormat="1" ht="36" customHeight="1">
      <c r="B26" s="20"/>
      <c r="D26" s="49" t="s">
        <v>104</v>
      </c>
      <c r="E26" s="49" t="s">
        <v>105</v>
      </c>
      <c r="F26" s="49" t="s">
        <v>95</v>
      </c>
      <c r="G26" s="49"/>
      <c r="H26" s="49" t="s">
        <v>94</v>
      </c>
      <c r="I26" s="49" t="s">
        <v>44</v>
      </c>
      <c r="J26" s="49" t="s">
        <v>171</v>
      </c>
      <c r="K26" s="49"/>
      <c r="L26" s="49" t="s">
        <v>95</v>
      </c>
      <c r="M26" s="49" t="s">
        <v>107</v>
      </c>
      <c r="N26" s="49" t="s">
        <v>98</v>
      </c>
      <c r="O26" s="49" t="s">
        <v>99</v>
      </c>
      <c r="P26" s="49" t="s">
        <v>100</v>
      </c>
      <c r="Q26" s="49"/>
      <c r="R26" s="49"/>
      <c r="S26" s="28"/>
      <c r="V26" s="86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86"/>
    </row>
    <row r="28" spans="2:22" s="6" customFormat="1" ht="36" customHeight="1">
      <c r="B28" s="16"/>
      <c r="D28" s="46" t="s">
        <v>108</v>
      </c>
      <c r="E28" s="46" t="s">
        <v>95</v>
      </c>
      <c r="F28" s="46" t="s">
        <v>38</v>
      </c>
      <c r="G28" s="46" t="s">
        <v>40</v>
      </c>
      <c r="H28" s="46" t="s">
        <v>41</v>
      </c>
      <c r="I28" s="46" t="s">
        <v>110</v>
      </c>
      <c r="J28" s="46"/>
      <c r="K28" s="46" t="s">
        <v>170</v>
      </c>
      <c r="L28" s="46" t="s">
        <v>38</v>
      </c>
      <c r="M28" s="46" t="s">
        <v>40</v>
      </c>
      <c r="N28" s="46" t="s">
        <v>41</v>
      </c>
      <c r="O28" s="46" t="s">
        <v>99</v>
      </c>
      <c r="P28" s="46"/>
      <c r="Q28" s="46"/>
      <c r="R28" s="46"/>
      <c r="S28" s="17"/>
      <c r="U28" s="32" t="str">
        <f t="shared" si="1"/>
        <v/>
      </c>
      <c r="V28" s="86"/>
    </row>
    <row r="29" spans="2:22" s="6" customFormat="1" ht="80.099999999999994" customHeight="1">
      <c r="B29" s="18">
        <f>B25+1</f>
        <v>7</v>
      </c>
      <c r="D29" s="36" t="s">
        <v>79</v>
      </c>
      <c r="E29" s="36" t="s">
        <v>33</v>
      </c>
      <c r="F29" s="36" t="s">
        <v>32</v>
      </c>
      <c r="G29" s="36" t="s">
        <v>35</v>
      </c>
      <c r="H29" s="36" t="s">
        <v>36</v>
      </c>
      <c r="I29" s="36" t="s">
        <v>80</v>
      </c>
      <c r="J29" s="36" t="s">
        <v>18</v>
      </c>
      <c r="K29" s="36" t="s">
        <v>31</v>
      </c>
      <c r="L29" s="36" t="s">
        <v>32</v>
      </c>
      <c r="M29" s="36" t="s">
        <v>35</v>
      </c>
      <c r="N29" s="36" t="s">
        <v>36</v>
      </c>
      <c r="O29" s="36" t="s">
        <v>71</v>
      </c>
      <c r="P29" s="36" t="s">
        <v>172</v>
      </c>
      <c r="Q29" s="36" t="str">
        <f>CHAR(10)</f>
        <v xml:space="preserve">
</v>
      </c>
      <c r="R29" s="36"/>
      <c r="S29" s="19"/>
      <c r="U29" s="32" t="str">
        <f t="shared" si="1"/>
        <v/>
      </c>
      <c r="V29" s="86"/>
    </row>
    <row r="30" spans="2:22" s="6" customFormat="1" ht="36" customHeight="1">
      <c r="B30" s="20"/>
      <c r="D30" s="49" t="s">
        <v>109</v>
      </c>
      <c r="E30" s="49" t="s">
        <v>95</v>
      </c>
      <c r="F30" s="49" t="s">
        <v>98</v>
      </c>
      <c r="G30" s="49" t="s">
        <v>40</v>
      </c>
      <c r="H30" s="49" t="s">
        <v>41</v>
      </c>
      <c r="I30" s="49" t="s">
        <v>110</v>
      </c>
      <c r="J30" s="49"/>
      <c r="K30" s="49" t="s">
        <v>171</v>
      </c>
      <c r="L30" s="49" t="s">
        <v>98</v>
      </c>
      <c r="M30" s="49" t="s">
        <v>40</v>
      </c>
      <c r="N30" s="49" t="s">
        <v>41</v>
      </c>
      <c r="O30" s="49" t="s">
        <v>99</v>
      </c>
      <c r="P30" s="49"/>
      <c r="Q30" s="49"/>
      <c r="R30" s="49"/>
      <c r="S30" s="28"/>
      <c r="U30" s="32" t="str">
        <f t="shared" si="1"/>
        <v/>
      </c>
      <c r="V30" s="86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86"/>
    </row>
    <row r="32" spans="2:22" s="6" customFormat="1" ht="36" customHeight="1">
      <c r="B32" s="1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86"/>
    </row>
    <row r="33" spans="2:22" s="6" customFormat="1" ht="80.099999999999994" customHeight="1">
      <c r="B33" s="18">
        <f>B29+1</f>
        <v>8</v>
      </c>
      <c r="D33" s="36" t="s">
        <v>20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86"/>
    </row>
    <row r="34" spans="2:22" s="6" customFormat="1" ht="36" customHeight="1">
      <c r="B34" s="20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28"/>
      <c r="V34" s="86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86"/>
    </row>
    <row r="36" spans="2:22" s="6" customFormat="1" ht="36" customHeight="1">
      <c r="B36" s="1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17"/>
      <c r="V36" s="86"/>
    </row>
    <row r="37" spans="2:22" s="6" customFormat="1" ht="80.099999999999994" customHeight="1">
      <c r="B37" s="18">
        <f>B33+1</f>
        <v>9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19"/>
      <c r="V37" s="86"/>
    </row>
    <row r="38" spans="2:22" s="6" customFormat="1" ht="36" customHeight="1">
      <c r="B38" s="20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28"/>
      <c r="V38" s="86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86"/>
    </row>
    <row r="40" spans="2:22" s="6" customFormat="1" ht="36" customHeight="1">
      <c r="B40" s="1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17"/>
      <c r="V40" s="86"/>
    </row>
    <row r="41" spans="2:22" s="6" customFormat="1" ht="80.099999999999994" customHeight="1">
      <c r="B41" s="18">
        <f>B37+1</f>
        <v>10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19"/>
      <c r="V41" s="86"/>
    </row>
    <row r="42" spans="2:22" s="6" customFormat="1" ht="36" customHeight="1">
      <c r="B42" s="20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28"/>
      <c r="V42" s="86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86"/>
    </row>
    <row r="44" spans="2:22" s="6" customFormat="1" ht="36" customHeight="1">
      <c r="B44" s="1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86"/>
    </row>
    <row r="45" spans="2:22" s="6" customFormat="1" ht="80.099999999999994" customHeight="1">
      <c r="B45" s="18">
        <f>B41+1</f>
        <v>11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86"/>
    </row>
    <row r="46" spans="2:22" s="6" customFormat="1" ht="36" customHeight="1">
      <c r="B46" s="20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28"/>
      <c r="V46" s="86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86"/>
    </row>
    <row r="48" spans="2:22" s="6" customFormat="1" ht="36" customHeight="1">
      <c r="B48" s="1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17"/>
      <c r="V48" s="86"/>
    </row>
    <row r="49" spans="2:22" s="6" customFormat="1" ht="80.099999999999994" customHeight="1">
      <c r="B49" s="18">
        <f>B45+1</f>
        <v>12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19"/>
      <c r="V49" s="86"/>
    </row>
    <row r="50" spans="2:22" s="6" customFormat="1" ht="36" customHeight="1">
      <c r="B50" s="20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28"/>
      <c r="V50" s="86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86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86"/>
    </row>
    <row r="53" spans="2:22" s="6" customFormat="1" ht="80.099999999999994" customHeight="1">
      <c r="B53" s="18">
        <f>B49+1</f>
        <v>13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86"/>
    </row>
    <row r="54" spans="2:22" s="6" customFormat="1" ht="36" customHeight="1">
      <c r="B54" s="20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28"/>
      <c r="V54" s="86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86"/>
    </row>
    <row r="56" spans="2:22" s="6" customFormat="1" ht="36" customHeight="1">
      <c r="B56" s="1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17"/>
      <c r="V56" s="86"/>
    </row>
    <row r="57" spans="2:22" s="6" customFormat="1" ht="80.099999999999994" customHeight="1">
      <c r="B57" s="18">
        <f>B53+1</f>
        <v>14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19"/>
      <c r="V57" s="86"/>
    </row>
    <row r="58" spans="2:22" s="6" customFormat="1" ht="36" customHeight="1">
      <c r="B58" s="20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28"/>
      <c r="V58" s="86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86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86"/>
    </row>
    <row r="61" spans="2:22" s="6" customFormat="1" ht="80.099999999999994" customHeight="1">
      <c r="B61" s="18">
        <f>B57+1</f>
        <v>15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86"/>
    </row>
    <row r="62" spans="2:22" s="6" customFormat="1" ht="36" customHeight="1">
      <c r="B62" s="20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28"/>
      <c r="V62" s="86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86"/>
    </row>
    <row r="64" spans="2:22" s="6" customFormat="1" ht="36" customHeight="1">
      <c r="B64" s="1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17"/>
      <c r="V64" s="86"/>
    </row>
    <row r="65" spans="2:22" s="6" customFormat="1" ht="80.099999999999994" customHeight="1">
      <c r="B65" s="18">
        <f>B61+1</f>
        <v>16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19"/>
      <c r="V65" s="86"/>
    </row>
    <row r="66" spans="2:22" s="6" customFormat="1" ht="36" customHeight="1">
      <c r="B66" s="20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28"/>
      <c r="V66" s="86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86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6"/>
    </row>
    <row r="69" spans="2:22" s="6" customFormat="1" ht="80.099999999999994" customHeight="1">
      <c r="B69" s="18">
        <f>B65+1</f>
        <v>17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6"/>
    </row>
    <row r="70" spans="2:22" s="6" customFormat="1" ht="36" customHeight="1">
      <c r="B70" s="20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28"/>
      <c r="V70" s="86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86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6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6"/>
    </row>
    <row r="74" spans="2:22" s="6" customFormat="1" ht="36" customHeight="1">
      <c r="B74" s="20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28"/>
      <c r="V74" s="86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86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6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6"/>
    </row>
    <row r="78" spans="2:22" s="6" customFormat="1" ht="36" customHeight="1">
      <c r="B78" s="20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28"/>
      <c r="V78" s="86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86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6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6"/>
    </row>
    <row r="82" spans="2:22" s="6" customFormat="1" ht="36" customHeight="1">
      <c r="B82" s="20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28"/>
      <c r="V82" s="87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51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>
      <c r="B170" s="20"/>
      <c r="C170" s="6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>
      <c r="B174" s="20"/>
      <c r="C174" s="6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>
      <c r="B178" s="20"/>
      <c r="C178" s="6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>
      <c r="B182" s="20"/>
      <c r="C182" s="6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>
      <c r="B186" s="20"/>
      <c r="C186" s="6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>
      <c r="B190" s="20"/>
      <c r="C190" s="6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>
      <c r="B194" s="20"/>
      <c r="C194" s="6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>
      <c r="B198" s="20"/>
      <c r="C198" s="6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>
      <c r="B202" s="20"/>
      <c r="C202" s="6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>
      <c r="B206" s="20"/>
      <c r="C206" s="6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>
      <c r="B210" s="20"/>
      <c r="C210" s="6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51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>
      <c r="B214" s="20"/>
      <c r="C214" s="6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51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>
      <c r="B218" s="20"/>
      <c r="C218" s="6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>
      <c r="B222" s="20"/>
      <c r="C222" s="6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51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>
      <c r="B226" s="20"/>
      <c r="C226" s="6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>
      <c r="B230" s="20"/>
      <c r="C230" s="6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>
      <c r="B234" s="20"/>
      <c r="C234" s="6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>
      <c r="B238" s="20"/>
      <c r="C238" s="6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>
      <c r="B242" s="20"/>
      <c r="C242" s="6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>
      <c r="B246" s="20"/>
      <c r="C246" s="6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>
      <c r="B250" s="20"/>
      <c r="C250" s="6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>
      <c r="B254" s="20"/>
      <c r="C254" s="6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>
      <c r="B258" s="20"/>
      <c r="C258" s="6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>
      <c r="B262" s="20"/>
      <c r="C262" s="6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>
      <c r="B266" s="20"/>
      <c r="C266" s="6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>
      <c r="B270" s="20"/>
      <c r="C270" s="6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>
      <c r="B274" s="20"/>
      <c r="C274" s="6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>
      <c r="B278" s="20"/>
      <c r="C278" s="6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>
      <c r="B282" s="20"/>
      <c r="C282" s="6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>
      <c r="B286" s="20"/>
      <c r="C286" s="6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>
      <c r="B290" s="20"/>
      <c r="C290" s="6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>
      <c r="B294" s="20"/>
      <c r="C294" s="6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>
      <c r="B298" s="20"/>
      <c r="C298" s="6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>
      <c r="B302" s="20"/>
      <c r="C302" s="6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>
      <c r="B306" s="20"/>
      <c r="C306" s="6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>
      <c r="B310" s="20"/>
      <c r="C310" s="6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>
      <c r="B314" s="20"/>
      <c r="C314" s="6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>
      <c r="B318" s="20"/>
      <c r="C318" s="6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>
      <c r="B322" s="20"/>
      <c r="C322" s="6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>
      <c r="B326" s="20"/>
      <c r="C326" s="6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>
      <c r="B330" s="20"/>
      <c r="C330" s="6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>
      <c r="B334" s="20"/>
      <c r="C334" s="6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>
      <c r="B338" s="20"/>
      <c r="C338" s="6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>
      <c r="B342" s="20"/>
      <c r="C342" s="6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>
      <c r="B346" s="20"/>
      <c r="C346" s="6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>
      <c r="B350" s="20"/>
      <c r="C350" s="6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>
      <c r="B354" s="20"/>
      <c r="C354" s="6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>
      <c r="B358" s="20"/>
      <c r="C358" s="6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>
      <c r="B362" s="20"/>
      <c r="C362" s="6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>
      <c r="B366" s="20"/>
      <c r="C366" s="6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>
      <c r="B370" s="20"/>
      <c r="C370" s="6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>
      <c r="B374" s="20"/>
      <c r="C374" s="6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>
      <c r="B378" s="20"/>
      <c r="C378" s="6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>
      <c r="B382" s="20"/>
      <c r="C382" s="6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>
      <c r="B386" s="20"/>
      <c r="C386" s="6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>
      <c r="B390" s="20"/>
      <c r="C390" s="6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>
      <c r="B394" s="20"/>
      <c r="C394" s="6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>
      <c r="B398" s="20"/>
      <c r="C398" s="6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>
      <c r="B402" s="20"/>
      <c r="C402" s="6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>
      <c r="B406" s="20"/>
      <c r="C406" s="6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>
      <c r="B410" s="20"/>
      <c r="C410" s="6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>
      <c r="B414" s="20"/>
      <c r="C414" s="6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>
      <c r="B418" s="20"/>
      <c r="C418" s="6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>
      <c r="B422" s="20"/>
      <c r="C422" s="6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>
      <c r="B426" s="20"/>
      <c r="C426" s="6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>
      <c r="B430" s="20"/>
      <c r="C430" s="6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>
      <c r="B434" s="20"/>
      <c r="C434" s="6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>
      <c r="B438" s="20"/>
      <c r="C438" s="6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>
      <c r="B442" s="20"/>
      <c r="C442" s="6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>
      <c r="B446" s="20"/>
      <c r="C446" s="6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>
      <c r="B450" s="20"/>
      <c r="C450" s="6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>
      <c r="B454" s="20"/>
      <c r="C454" s="6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>
      <c r="B458" s="20"/>
      <c r="C458" s="6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>
      <c r="B462" s="20"/>
      <c r="C462" s="6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>
      <c r="B466" s="20"/>
      <c r="C466" s="6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>
      <c r="B470" s="20"/>
      <c r="C470" s="6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>
      <c r="B474" s="20"/>
      <c r="C474" s="6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>
      <c r="B478" s="20"/>
      <c r="C478" s="6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>
      <c r="B482" s="20"/>
      <c r="C482" s="6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>
      <c r="B486" s="20"/>
      <c r="C486" s="6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>
      <c r="B490" s="20"/>
      <c r="C490" s="6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>
      <c r="B494" s="20"/>
      <c r="C494" s="6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>
      <c r="B498" s="20"/>
      <c r="C498" s="6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>
      <c r="B502" s="20"/>
      <c r="C502" s="6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>
      <c r="B506" s="20"/>
      <c r="C506" s="6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>
      <c r="B510" s="20"/>
      <c r="C510" s="6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>
      <c r="B514" s="20"/>
      <c r="C514" s="6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>
      <c r="B518" s="20"/>
      <c r="C518" s="6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>
      <c r="B522" s="20"/>
      <c r="C522" s="6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>
      <c r="B526" s="20"/>
      <c r="C526" s="6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>
      <c r="B530" s="20"/>
      <c r="C530" s="6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>
      <c r="B534" s="20"/>
      <c r="C534" s="6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>
      <c r="B538" s="20"/>
      <c r="C538" s="6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>
      <c r="B542" s="20"/>
      <c r="C542" s="6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>
      <c r="B546" s="20"/>
      <c r="C546" s="6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>
      <c r="B550" s="20"/>
      <c r="C550" s="6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>
      <c r="B554" s="20"/>
      <c r="C554" s="6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>
      <c r="B558" s="20"/>
      <c r="C558" s="6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>
      <c r="B562" s="20"/>
      <c r="C562" s="6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>
      <c r="B566" s="20"/>
      <c r="C566" s="6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>
      <c r="B570" s="20"/>
      <c r="C570" s="6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>
      <c r="B574" s="20"/>
      <c r="C574" s="6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>
      <c r="B578" s="20"/>
      <c r="C578" s="6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>
      <c r="B582" s="20"/>
      <c r="C582" s="6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>
      <c r="B586" s="20"/>
      <c r="C586" s="6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>
      <c r="B590" s="20"/>
      <c r="C590" s="6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>
      <c r="B594" s="20"/>
      <c r="C594" s="6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>
      <c r="B598" s="20"/>
      <c r="C598" s="6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>
      <c r="B602" s="20"/>
      <c r="C602" s="6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>
      <c r="B606" s="20"/>
      <c r="C606" s="6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>
      <c r="B610" s="20"/>
      <c r="C610" s="6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>
      <c r="B614" s="20"/>
      <c r="C614" s="6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>
      <c r="B618" s="20"/>
      <c r="C618" s="6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>
      <c r="B622" s="20"/>
      <c r="C622" s="6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>
      <c r="B626" s="20"/>
      <c r="C626" s="6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>
      <c r="B630" s="20"/>
      <c r="C630" s="6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>
      <c r="B634" s="20"/>
      <c r="C634" s="6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>
      <c r="B638" s="20"/>
      <c r="C638" s="6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>
      <c r="B642" s="20"/>
      <c r="C642" s="6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>
      <c r="B646" s="20"/>
      <c r="C646" s="6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>
      <c r="B650" s="20"/>
      <c r="C650" s="6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>
      <c r="B654" s="20"/>
      <c r="C654" s="6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>
      <c r="B658" s="20"/>
      <c r="C658" s="6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>
      <c r="B662" s="20"/>
      <c r="C662" s="6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>
      <c r="B666" s="20"/>
      <c r="C666" s="6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>
      <c r="B670" s="20"/>
      <c r="C670" s="6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>
      <c r="B674" s="20"/>
      <c r="C674" s="6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>
      <c r="B678" s="20"/>
      <c r="C678" s="6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>
      <c r="B682" s="20"/>
      <c r="C682" s="6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>
      <c r="B686" s="20"/>
      <c r="C686" s="6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>
      <c r="B690" s="20"/>
      <c r="C690" s="6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>
      <c r="B694" s="20"/>
      <c r="C694" s="6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>
      <c r="B698" s="20"/>
      <c r="C698" s="6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>
      <c r="B702" s="20"/>
      <c r="C702" s="6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>
      <c r="B706" s="20"/>
      <c r="C706" s="6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>
      <c r="B710" s="20"/>
      <c r="C710" s="6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>
      <c r="B714" s="20"/>
      <c r="C714" s="6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>
      <c r="B718" s="20"/>
      <c r="C718" s="6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>
      <c r="B722" s="20"/>
      <c r="C722" s="6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>
      <c r="B726" s="20"/>
      <c r="C726" s="6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>
      <c r="B730" s="20"/>
      <c r="C730" s="6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>
      <c r="B734" s="20"/>
      <c r="C734" s="6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>
      <c r="B738" s="20"/>
      <c r="C738" s="6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>
      <c r="B742" s="20"/>
      <c r="C742" s="6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>
      <c r="B746" s="20"/>
      <c r="C746" s="6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>
      <c r="B750" s="20"/>
      <c r="C750" s="6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>
      <c r="B754" s="20"/>
      <c r="C754" s="6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>
      <c r="B758" s="20"/>
      <c r="C758" s="6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>
      <c r="B762" s="20"/>
      <c r="C762" s="6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>
      <c r="B766" s="20"/>
      <c r="C766" s="6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>
      <c r="B770" s="20"/>
      <c r="C770" s="6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>
      <c r="B774" s="20"/>
      <c r="C774" s="6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>
      <c r="B778" s="20"/>
      <c r="C778" s="6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>
      <c r="B782" s="20"/>
      <c r="C782" s="6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>
      <c r="B786" s="20"/>
      <c r="C786" s="6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>
      <c r="B790" s="20"/>
      <c r="C790" s="6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>
      <c r="B794" s="20"/>
      <c r="C794" s="6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>
      <c r="B798" s="20"/>
      <c r="C798" s="6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>
      <c r="B802" s="20"/>
      <c r="C802" s="6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>
      <c r="B806" s="20"/>
      <c r="C806" s="6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>
      <c r="B810" s="20"/>
      <c r="C810" s="6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>
      <c r="B814" s="20"/>
      <c r="C814" s="6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>
      <c r="B818" s="20"/>
      <c r="C818" s="6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>
      <c r="B822" s="20"/>
      <c r="C822" s="6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>
      <c r="B826" s="20"/>
      <c r="C826" s="6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>
      <c r="B830" s="20"/>
      <c r="C830" s="6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>
      <c r="B834" s="20"/>
      <c r="C834" s="6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>
      <c r="B838" s="20"/>
      <c r="C838" s="6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>
      <c r="B842" s="20"/>
      <c r="C842" s="6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>
      <c r="B846" s="20"/>
      <c r="C846" s="6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>
      <c r="B850" s="20"/>
      <c r="C850" s="6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>
      <c r="B854" s="20"/>
      <c r="C854" s="6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>
      <c r="B858" s="20"/>
      <c r="C858" s="6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>
      <c r="B862" s="20"/>
      <c r="C862" s="6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>
      <c r="B866" s="20"/>
      <c r="C866" s="6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>
      <c r="B870" s="20"/>
      <c r="C870" s="6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>
      <c r="B874" s="20"/>
      <c r="C874" s="6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>
      <c r="B878" s="20"/>
      <c r="C878" s="6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>
      <c r="B882" s="20"/>
      <c r="C882" s="6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>
      <c r="B886" s="20"/>
      <c r="C886" s="6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>
      <c r="B890" s="20"/>
      <c r="C890" s="6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>
      <c r="B894" s="20"/>
      <c r="C894" s="6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>
      <c r="B898" s="20"/>
      <c r="C898" s="6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>
      <c r="B902" s="20"/>
      <c r="C902" s="6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>
      <c r="B906" s="20"/>
      <c r="C906" s="6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>
      <c r="B910" s="20"/>
      <c r="C910" s="6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>
      <c r="B914" s="20"/>
      <c r="C914" s="6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>
      <c r="B918" s="20"/>
      <c r="C918" s="6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>
      <c r="B922" s="20"/>
      <c r="C922" s="6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>
      <c r="B926" s="20"/>
      <c r="C926" s="6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>
      <c r="B930" s="20"/>
      <c r="C930" s="6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>
      <c r="B934" s="20"/>
      <c r="C934" s="6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>
      <c r="B938" s="20"/>
      <c r="C938" s="6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>
      <c r="B942" s="20"/>
      <c r="C942" s="6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>
      <c r="B946" s="20"/>
      <c r="C946" s="6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>
      <c r="B950" s="20"/>
      <c r="C950" s="6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>
      <c r="B954" s="20"/>
      <c r="C954" s="6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>
      <c r="B958" s="20"/>
      <c r="C958" s="6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>
      <c r="B962" s="20"/>
      <c r="C962" s="6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>
      <c r="B966" s="20"/>
      <c r="C966" s="6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>
      <c r="B970" s="20"/>
      <c r="C970" s="6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>
      <c r="B974" s="20"/>
      <c r="C974" s="6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>
      <c r="B978" s="20"/>
      <c r="C978" s="6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>
      <c r="B982" s="20"/>
      <c r="C982" s="6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>
      <c r="B986" s="20"/>
      <c r="C986" s="6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>
      <c r="B990" s="20"/>
      <c r="C990" s="6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>
      <c r="B994" s="20"/>
      <c r="C994" s="6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>
      <c r="B998" s="20"/>
      <c r="C998" s="6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>
      <c r="B1002" s="20"/>
      <c r="C1002" s="6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>
      <c r="B1006" s="20"/>
      <c r="C1006" s="6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>
      <c r="B1010" s="20"/>
      <c r="C1010" s="6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>
      <c r="B1014" s="20"/>
      <c r="C1014" s="6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>
      <c r="B1018" s="20"/>
      <c r="C1018" s="6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>
      <c r="B1022" s="20"/>
      <c r="C1022" s="6"/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>
      <c r="B1026" s="20"/>
      <c r="C1026" s="6"/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>
      <c r="B1030" s="20"/>
      <c r="C1030" s="6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>
      <c r="B1034" s="20"/>
      <c r="C1034" s="6"/>
      <c r="D1034" s="47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>
      <c r="B1038" s="20"/>
      <c r="C1038" s="6"/>
      <c r="D1038" s="47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>
      <c r="B1042" s="20"/>
      <c r="C1042" s="6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>
      <c r="B1046" s="20"/>
      <c r="C1046" s="6"/>
      <c r="D1046" s="47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>
      <c r="B1050" s="20"/>
      <c r="C1050" s="6"/>
      <c r="D1050" s="47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>
      <c r="B1054" s="20"/>
      <c r="C1054" s="6"/>
      <c r="D1054" s="47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>
      <c r="B1058" s="20"/>
      <c r="C1058" s="6"/>
      <c r="D1058" s="47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>
      <c r="B1062" s="20"/>
      <c r="C1062" s="6"/>
      <c r="D1062" s="47"/>
      <c r="E1062" s="47"/>
      <c r="F1062" s="47"/>
      <c r="G1062" s="47"/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>
      <c r="B1066" s="20"/>
      <c r="C1066" s="6"/>
      <c r="D1066" s="47"/>
      <c r="E1066" s="47"/>
      <c r="F1066" s="47"/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>
      <c r="B1070" s="20"/>
      <c r="C1070" s="6"/>
      <c r="D1070" s="47"/>
      <c r="E1070" s="47"/>
      <c r="F1070" s="47"/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>
      <c r="B1074" s="20"/>
      <c r="C1074" s="6"/>
      <c r="D1074" s="47"/>
      <c r="E1074" s="47"/>
      <c r="F1074" s="47"/>
      <c r="G1074" s="47"/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>
      <c r="B1078" s="20"/>
      <c r="C1078" s="6"/>
      <c r="D1078" s="47"/>
      <c r="E1078" s="47"/>
      <c r="F1078" s="47"/>
      <c r="G1078" s="47"/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>
      <c r="B1082" s="20"/>
      <c r="C1082" s="6"/>
      <c r="D1082" s="47"/>
      <c r="E1082" s="47"/>
      <c r="F1082" s="47"/>
      <c r="G1082" s="47"/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>
      <c r="B1086" s="20"/>
      <c r="C1086" s="6"/>
      <c r="D1086" s="47"/>
      <c r="E1086" s="47"/>
      <c r="F1086" s="47"/>
      <c r="G1086" s="47"/>
      <c r="H1086" s="47"/>
      <c r="I1086" s="47"/>
      <c r="J1086" s="47"/>
      <c r="K1086" s="47"/>
      <c r="L1086" s="47"/>
      <c r="M1086" s="47"/>
      <c r="N1086" s="47"/>
      <c r="O1086" s="47"/>
      <c r="P1086" s="47"/>
      <c r="Q1086" s="47"/>
      <c r="R1086" s="47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>
      <c r="B1090" s="20"/>
      <c r="C1090" s="6"/>
      <c r="D1090" s="47"/>
      <c r="E1090" s="47"/>
      <c r="F1090" s="47"/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>
      <c r="B1094" s="20"/>
      <c r="C1094" s="6"/>
      <c r="D1094" s="47"/>
      <c r="E1094" s="47"/>
      <c r="F1094" s="47"/>
      <c r="G1094" s="47"/>
      <c r="H1094" s="47"/>
      <c r="I1094" s="47"/>
      <c r="J1094" s="47"/>
      <c r="K1094" s="47"/>
      <c r="L1094" s="47"/>
      <c r="M1094" s="47"/>
      <c r="N1094" s="47"/>
      <c r="O1094" s="47"/>
      <c r="P1094" s="47"/>
      <c r="Q1094" s="47"/>
      <c r="R1094" s="47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>
      <c r="B1098" s="20"/>
      <c r="C1098" s="6"/>
      <c r="D1098" s="47"/>
      <c r="E1098" s="47"/>
      <c r="F1098" s="47"/>
      <c r="G1098" s="47"/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>
      <c r="B1102" s="20"/>
      <c r="C1102" s="6"/>
      <c r="D1102" s="47"/>
      <c r="E1102" s="47"/>
      <c r="F1102" s="47"/>
      <c r="G1102" s="47"/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>
      <c r="B1106" s="20"/>
      <c r="C1106" s="6"/>
      <c r="D1106" s="47"/>
      <c r="E1106" s="47"/>
      <c r="F1106" s="47"/>
      <c r="G1106" s="47"/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>
      <c r="B1110" s="20"/>
      <c r="C1110" s="6"/>
      <c r="D1110" s="47"/>
      <c r="E1110" s="47"/>
      <c r="F1110" s="47"/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>
      <c r="B1114" s="20"/>
      <c r="C1114" s="6"/>
      <c r="D1114" s="47"/>
      <c r="E1114" s="47"/>
      <c r="F1114" s="47"/>
      <c r="G1114" s="47"/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>
      <c r="B1118" s="20"/>
      <c r="C1118" s="6"/>
      <c r="D1118" s="47"/>
      <c r="E1118" s="47"/>
      <c r="F1118" s="47"/>
      <c r="G1118" s="47"/>
      <c r="H1118" s="47"/>
      <c r="I1118" s="47"/>
      <c r="J1118" s="47"/>
      <c r="K1118" s="47"/>
      <c r="L1118" s="47"/>
      <c r="M1118" s="47"/>
      <c r="N1118" s="47"/>
      <c r="O1118" s="47"/>
      <c r="P1118" s="47"/>
      <c r="Q1118" s="47"/>
      <c r="R1118" s="47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>
      <c r="B1122" s="20"/>
      <c r="C1122" s="6"/>
      <c r="D1122" s="47"/>
      <c r="E1122" s="47"/>
      <c r="F1122" s="47"/>
      <c r="G1122" s="47"/>
      <c r="H1122" s="47"/>
      <c r="I1122" s="47"/>
      <c r="J1122" s="47"/>
      <c r="K1122" s="47"/>
      <c r="L1122" s="47"/>
      <c r="M1122" s="47"/>
      <c r="N1122" s="47"/>
      <c r="O1122" s="47"/>
      <c r="P1122" s="47"/>
      <c r="Q1122" s="47"/>
      <c r="R1122" s="47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>
      <c r="B1126" s="20"/>
      <c r="C1126" s="6"/>
      <c r="D1126" s="47"/>
      <c r="E1126" s="47"/>
      <c r="F1126" s="47"/>
      <c r="G1126" s="47"/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>
      <c r="B1130" s="20"/>
      <c r="C1130" s="6"/>
      <c r="D1130" s="47"/>
      <c r="E1130" s="47"/>
      <c r="F1130" s="47"/>
      <c r="G1130" s="47"/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>
      <c r="B1134" s="20"/>
      <c r="C1134" s="6"/>
      <c r="D1134" s="47"/>
      <c r="E1134" s="47"/>
      <c r="F1134" s="47"/>
      <c r="G1134" s="47"/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>
      <c r="B1138" s="20"/>
      <c r="C1138" s="6"/>
      <c r="D1138" s="47"/>
      <c r="E1138" s="47"/>
      <c r="F1138" s="47"/>
      <c r="G1138" s="47"/>
      <c r="H1138" s="47"/>
      <c r="I1138" s="47"/>
      <c r="J1138" s="47"/>
      <c r="K1138" s="47"/>
      <c r="L1138" s="47"/>
      <c r="M1138" s="47"/>
      <c r="N1138" s="47"/>
      <c r="O1138" s="47"/>
      <c r="P1138" s="47"/>
      <c r="Q1138" s="47"/>
      <c r="R1138" s="47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>
      <c r="B1142" s="20"/>
      <c r="C1142" s="6"/>
      <c r="D1142" s="47"/>
      <c r="E1142" s="47"/>
      <c r="F1142" s="47"/>
      <c r="G1142" s="47"/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>
      <c r="B1146" s="20"/>
      <c r="C1146" s="6"/>
      <c r="D1146" s="47"/>
      <c r="E1146" s="47"/>
      <c r="F1146" s="47"/>
      <c r="G1146" s="47"/>
      <c r="H1146" s="47"/>
      <c r="I1146" s="47"/>
      <c r="J1146" s="47"/>
      <c r="K1146" s="47"/>
      <c r="L1146" s="47"/>
      <c r="M1146" s="47"/>
      <c r="N1146" s="47"/>
      <c r="O1146" s="47"/>
      <c r="P1146" s="47"/>
      <c r="Q1146" s="47"/>
      <c r="R1146" s="47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>
      <c r="B1150" s="20"/>
      <c r="C1150" s="6"/>
      <c r="D1150" s="47"/>
      <c r="E1150" s="47"/>
      <c r="F1150" s="47"/>
      <c r="G1150" s="47"/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>
      <c r="B1154" s="20"/>
      <c r="C1154" s="6"/>
      <c r="D1154" s="47"/>
      <c r="E1154" s="47"/>
      <c r="F1154" s="47"/>
      <c r="G1154" s="47"/>
      <c r="H1154" s="47"/>
      <c r="I1154" s="47"/>
      <c r="J1154" s="47"/>
      <c r="K1154" s="47"/>
      <c r="L1154" s="47"/>
      <c r="M1154" s="47"/>
      <c r="N1154" s="47"/>
      <c r="O1154" s="47"/>
      <c r="P1154" s="47"/>
      <c r="Q1154" s="47"/>
      <c r="R1154" s="47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>
      <c r="B1158" s="20"/>
      <c r="C1158" s="6"/>
      <c r="D1158" s="47"/>
      <c r="E1158" s="47"/>
      <c r="F1158" s="47"/>
      <c r="G1158" s="47"/>
      <c r="H1158" s="47"/>
      <c r="I1158" s="47"/>
      <c r="J1158" s="47"/>
      <c r="K1158" s="47"/>
      <c r="L1158" s="47"/>
      <c r="M1158" s="47"/>
      <c r="N1158" s="47"/>
      <c r="O1158" s="47"/>
      <c r="P1158" s="47"/>
      <c r="Q1158" s="47"/>
      <c r="R1158" s="47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>
      <c r="B1162" s="20"/>
      <c r="C1162" s="6"/>
      <c r="D1162" s="47"/>
      <c r="E1162" s="47"/>
      <c r="F1162" s="47"/>
      <c r="G1162" s="47"/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>
      <c r="B1166" s="20"/>
      <c r="C1166" s="6"/>
      <c r="D1166" s="47"/>
      <c r="E1166" s="47"/>
      <c r="F1166" s="47"/>
      <c r="G1166" s="47"/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R1166" s="47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>
      <c r="B1170" s="20"/>
      <c r="C1170" s="6"/>
      <c r="D1170" s="47"/>
      <c r="E1170" s="47"/>
      <c r="F1170" s="47"/>
      <c r="G1170" s="47"/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47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>
      <c r="B1174" s="20"/>
      <c r="C1174" s="6"/>
      <c r="D1174" s="47"/>
      <c r="E1174" s="47"/>
      <c r="F1174" s="47"/>
      <c r="G1174" s="47"/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>
      <c r="B1178" s="20"/>
      <c r="C1178" s="6"/>
      <c r="D1178" s="47"/>
      <c r="E1178" s="47"/>
      <c r="F1178" s="47"/>
      <c r="G1178" s="47"/>
      <c r="H1178" s="47"/>
      <c r="I1178" s="47"/>
      <c r="J1178" s="47"/>
      <c r="K1178" s="47"/>
      <c r="L1178" s="47"/>
      <c r="M1178" s="47"/>
      <c r="N1178" s="47"/>
      <c r="O1178" s="47"/>
      <c r="P1178" s="47"/>
      <c r="Q1178" s="47"/>
      <c r="R1178" s="47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>
      <c r="B1182" s="20"/>
      <c r="C1182" s="6"/>
      <c r="D1182" s="47"/>
      <c r="E1182" s="47"/>
      <c r="F1182" s="47"/>
      <c r="G1182" s="47"/>
      <c r="H1182" s="47"/>
      <c r="I1182" s="47"/>
      <c r="J1182" s="47"/>
      <c r="K1182" s="47"/>
      <c r="L1182" s="47"/>
      <c r="M1182" s="47"/>
      <c r="N1182" s="47"/>
      <c r="O1182" s="47"/>
      <c r="P1182" s="47"/>
      <c r="Q1182" s="47"/>
      <c r="R1182" s="47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>
      <c r="B1186" s="20"/>
      <c r="C1186" s="6"/>
      <c r="D1186" s="47"/>
      <c r="E1186" s="47"/>
      <c r="F1186" s="47"/>
      <c r="G1186" s="47"/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>
      <c r="B1190" s="20"/>
      <c r="C1190" s="6"/>
      <c r="D1190" s="47"/>
      <c r="E1190" s="47"/>
      <c r="F1190" s="47"/>
      <c r="G1190" s="47"/>
      <c r="H1190" s="47"/>
      <c r="I1190" s="47"/>
      <c r="J1190" s="47"/>
      <c r="K1190" s="47"/>
      <c r="L1190" s="47"/>
      <c r="M1190" s="47"/>
      <c r="N1190" s="47"/>
      <c r="O1190" s="47"/>
      <c r="P1190" s="47"/>
      <c r="Q1190" s="47"/>
      <c r="R1190" s="47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>
      <c r="B1194" s="20"/>
      <c r="C1194" s="6"/>
      <c r="D1194" s="47"/>
      <c r="E1194" s="47"/>
      <c r="F1194" s="47"/>
      <c r="G1194" s="47"/>
      <c r="H1194" s="47"/>
      <c r="I1194" s="47"/>
      <c r="J1194" s="47"/>
      <c r="K1194" s="47"/>
      <c r="L1194" s="47"/>
      <c r="M1194" s="47"/>
      <c r="N1194" s="47"/>
      <c r="O1194" s="47"/>
      <c r="P1194" s="47"/>
      <c r="Q1194" s="47"/>
      <c r="R1194" s="47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>
      <c r="B1198" s="20"/>
      <c r="C1198" s="6"/>
      <c r="D1198" s="47"/>
      <c r="E1198" s="47"/>
      <c r="F1198" s="47"/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>
      <c r="B1202" s="20"/>
      <c r="C1202" s="6"/>
      <c r="D1202" s="47"/>
      <c r="E1202" s="47"/>
      <c r="F1202" s="47"/>
      <c r="G1202" s="47"/>
      <c r="H1202" s="47"/>
      <c r="I1202" s="47"/>
      <c r="J1202" s="47"/>
      <c r="K1202" s="47"/>
      <c r="L1202" s="47"/>
      <c r="M1202" s="47"/>
      <c r="N1202" s="47"/>
      <c r="O1202" s="47"/>
      <c r="P1202" s="47"/>
      <c r="Q1202" s="47"/>
      <c r="R1202" s="47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>
      <c r="B1206" s="20"/>
      <c r="C1206" s="6"/>
      <c r="D1206" s="47"/>
      <c r="E1206" s="47"/>
      <c r="F1206" s="47"/>
      <c r="G1206" s="47"/>
      <c r="H1206" s="47"/>
      <c r="I1206" s="47"/>
      <c r="J1206" s="47"/>
      <c r="K1206" s="47"/>
      <c r="L1206" s="47"/>
      <c r="M1206" s="47"/>
      <c r="N1206" s="47"/>
      <c r="O1206" s="47"/>
      <c r="P1206" s="47"/>
      <c r="Q1206" s="47"/>
      <c r="R1206" s="47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>
      <c r="B1210" s="20"/>
      <c r="C1210" s="6"/>
      <c r="D1210" s="47"/>
      <c r="E1210" s="47"/>
      <c r="F1210" s="47"/>
      <c r="G1210" s="47"/>
      <c r="H1210" s="47"/>
      <c r="I1210" s="47"/>
      <c r="J1210" s="47"/>
      <c r="K1210" s="47"/>
      <c r="L1210" s="47"/>
      <c r="M1210" s="47"/>
      <c r="N1210" s="47"/>
      <c r="O1210" s="47"/>
      <c r="P1210" s="47"/>
      <c r="Q1210" s="47"/>
      <c r="R1210" s="47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>
      <c r="B1214" s="20"/>
      <c r="C1214" s="6"/>
      <c r="D1214" s="47"/>
      <c r="E1214" s="47"/>
      <c r="F1214" s="47"/>
      <c r="G1214" s="47"/>
      <c r="H1214" s="47"/>
      <c r="I1214" s="47"/>
      <c r="J1214" s="47"/>
      <c r="K1214" s="47"/>
      <c r="L1214" s="47"/>
      <c r="M1214" s="47"/>
      <c r="N1214" s="47"/>
      <c r="O1214" s="47"/>
      <c r="P1214" s="47"/>
      <c r="Q1214" s="47"/>
      <c r="R1214" s="47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>
      <c r="B1218" s="20"/>
      <c r="C1218" s="6"/>
      <c r="D1218" s="47"/>
      <c r="E1218" s="47"/>
      <c r="F1218" s="47"/>
      <c r="G1218" s="47"/>
      <c r="H1218" s="47"/>
      <c r="I1218" s="47"/>
      <c r="J1218" s="47"/>
      <c r="K1218" s="47"/>
      <c r="L1218" s="47"/>
      <c r="M1218" s="47"/>
      <c r="N1218" s="47"/>
      <c r="O1218" s="47"/>
      <c r="P1218" s="47"/>
      <c r="Q1218" s="47"/>
      <c r="R1218" s="47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>
      <c r="B1222" s="20"/>
      <c r="C1222" s="6"/>
      <c r="D1222" s="47"/>
      <c r="E1222" s="47"/>
      <c r="F1222" s="47"/>
      <c r="G1222" s="47"/>
      <c r="H1222" s="47"/>
      <c r="I1222" s="47"/>
      <c r="J1222" s="47"/>
      <c r="K1222" s="47"/>
      <c r="L1222" s="47"/>
      <c r="M1222" s="47"/>
      <c r="N1222" s="47"/>
      <c r="O1222" s="47"/>
      <c r="P1222" s="47"/>
      <c r="Q1222" s="47"/>
      <c r="R1222" s="47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>
      <c r="B1226" s="20"/>
      <c r="C1226" s="6"/>
      <c r="D1226" s="47"/>
      <c r="E1226" s="47"/>
      <c r="F1226" s="47"/>
      <c r="G1226" s="47"/>
      <c r="H1226" s="47"/>
      <c r="I1226" s="47"/>
      <c r="J1226" s="47"/>
      <c r="K1226" s="47"/>
      <c r="L1226" s="47"/>
      <c r="M1226" s="47"/>
      <c r="N1226" s="47"/>
      <c r="O1226" s="47"/>
      <c r="P1226" s="47"/>
      <c r="Q1226" s="47"/>
      <c r="R1226" s="47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>
      <c r="B1230" s="20"/>
      <c r="C1230" s="6"/>
      <c r="D1230" s="47"/>
      <c r="E1230" s="47"/>
      <c r="F1230" s="47"/>
      <c r="G1230" s="47"/>
      <c r="H1230" s="47"/>
      <c r="I1230" s="47"/>
      <c r="J1230" s="47"/>
      <c r="K1230" s="47"/>
      <c r="L1230" s="47"/>
      <c r="M1230" s="47"/>
      <c r="N1230" s="47"/>
      <c r="O1230" s="47"/>
      <c r="P1230" s="47"/>
      <c r="Q1230" s="47"/>
      <c r="R1230" s="47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>
      <c r="B1234" s="20"/>
      <c r="C1234" s="6"/>
      <c r="D1234" s="47"/>
      <c r="E1234" s="47"/>
      <c r="F1234" s="47"/>
      <c r="G1234" s="47"/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>
      <c r="B1238" s="20"/>
      <c r="C1238" s="6"/>
      <c r="D1238" s="47"/>
      <c r="E1238" s="47"/>
      <c r="F1238" s="47"/>
      <c r="G1238" s="47"/>
      <c r="H1238" s="47"/>
      <c r="I1238" s="47"/>
      <c r="J1238" s="47"/>
      <c r="K1238" s="47"/>
      <c r="L1238" s="47"/>
      <c r="M1238" s="47"/>
      <c r="N1238" s="47"/>
      <c r="O1238" s="47"/>
      <c r="P1238" s="47"/>
      <c r="Q1238" s="47"/>
      <c r="R1238" s="47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>
      <c r="B1242" s="20"/>
      <c r="C1242" s="6"/>
      <c r="D1242" s="47"/>
      <c r="E1242" s="47"/>
      <c r="F1242" s="47"/>
      <c r="G1242" s="47"/>
      <c r="H1242" s="47"/>
      <c r="I1242" s="47"/>
      <c r="J1242" s="47"/>
      <c r="K1242" s="47"/>
      <c r="L1242" s="47"/>
      <c r="M1242" s="47"/>
      <c r="N1242" s="47"/>
      <c r="O1242" s="47"/>
      <c r="P1242" s="47"/>
      <c r="Q1242" s="47"/>
      <c r="R1242" s="47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>
      <c r="B1246" s="20"/>
      <c r="C1246" s="6"/>
      <c r="D1246" s="47"/>
      <c r="E1246" s="47"/>
      <c r="F1246" s="47"/>
      <c r="G1246" s="47"/>
      <c r="H1246" s="47"/>
      <c r="I1246" s="47"/>
      <c r="J1246" s="47"/>
      <c r="K1246" s="47"/>
      <c r="L1246" s="47"/>
      <c r="M1246" s="47"/>
      <c r="N1246" s="47"/>
      <c r="O1246" s="47"/>
      <c r="P1246" s="47"/>
      <c r="Q1246" s="47"/>
      <c r="R1246" s="47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>
      <c r="B1250" s="20"/>
      <c r="C1250" s="6"/>
      <c r="D1250" s="47"/>
      <c r="E1250" s="47"/>
      <c r="F1250" s="47"/>
      <c r="G1250" s="47"/>
      <c r="H1250" s="47"/>
      <c r="I1250" s="47"/>
      <c r="J1250" s="47"/>
      <c r="K1250" s="47"/>
      <c r="L1250" s="47"/>
      <c r="M1250" s="47"/>
      <c r="N1250" s="47"/>
      <c r="O1250" s="47"/>
      <c r="P1250" s="47"/>
      <c r="Q1250" s="47"/>
      <c r="R1250" s="47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>
      <c r="B1254" s="20"/>
      <c r="C1254" s="6"/>
      <c r="D1254" s="47"/>
      <c r="E1254" s="47"/>
      <c r="F1254" s="47"/>
      <c r="G1254" s="47"/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>
      <c r="B1258" s="20"/>
      <c r="C1258" s="6"/>
      <c r="D1258" s="47"/>
      <c r="E1258" s="47"/>
      <c r="F1258" s="47"/>
      <c r="G1258" s="47"/>
      <c r="H1258" s="47"/>
      <c r="I1258" s="47"/>
      <c r="J1258" s="47"/>
      <c r="K1258" s="47"/>
      <c r="L1258" s="47"/>
      <c r="M1258" s="47"/>
      <c r="N1258" s="47"/>
      <c r="O1258" s="47"/>
      <c r="P1258" s="47"/>
      <c r="Q1258" s="47"/>
      <c r="R1258" s="47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>
      <c r="B1262" s="20"/>
      <c r="C1262" s="6"/>
      <c r="D1262" s="47"/>
      <c r="E1262" s="47"/>
      <c r="F1262" s="47"/>
      <c r="G1262" s="47"/>
      <c r="H1262" s="47"/>
      <c r="I1262" s="47"/>
      <c r="J1262" s="47"/>
      <c r="K1262" s="47"/>
      <c r="L1262" s="47"/>
      <c r="M1262" s="47"/>
      <c r="N1262" s="47"/>
      <c r="O1262" s="47"/>
      <c r="P1262" s="47"/>
      <c r="Q1262" s="47"/>
      <c r="R1262" s="47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>
      <c r="B1266" s="20"/>
      <c r="C1266" s="6"/>
      <c r="D1266" s="47"/>
      <c r="E1266" s="47"/>
      <c r="F1266" s="47"/>
      <c r="G1266" s="47"/>
      <c r="H1266" s="47"/>
      <c r="I1266" s="47"/>
      <c r="J1266" s="47"/>
      <c r="K1266" s="47"/>
      <c r="L1266" s="47"/>
      <c r="M1266" s="47"/>
      <c r="N1266" s="47"/>
      <c r="O1266" s="47"/>
      <c r="P1266" s="47"/>
      <c r="Q1266" s="47"/>
      <c r="R1266" s="47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>
      <c r="B1270" s="20"/>
      <c r="C1270" s="6"/>
      <c r="D1270" s="47"/>
      <c r="E1270" s="47"/>
      <c r="F1270" s="47"/>
      <c r="G1270" s="47"/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>
      <c r="B1274" s="20"/>
      <c r="C1274" s="6"/>
      <c r="D1274" s="47"/>
      <c r="E1274" s="47"/>
      <c r="F1274" s="47"/>
      <c r="G1274" s="47"/>
      <c r="H1274" s="47"/>
      <c r="I1274" s="47"/>
      <c r="J1274" s="47"/>
      <c r="K1274" s="47"/>
      <c r="L1274" s="47"/>
      <c r="M1274" s="47"/>
      <c r="N1274" s="47"/>
      <c r="O1274" s="47"/>
      <c r="P1274" s="47"/>
      <c r="Q1274" s="47"/>
      <c r="R1274" s="47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>
      <c r="B1278" s="20"/>
      <c r="C1278" s="6"/>
      <c r="D1278" s="47"/>
      <c r="E1278" s="47"/>
      <c r="F1278" s="47"/>
      <c r="G1278" s="47"/>
      <c r="H1278" s="47"/>
      <c r="I1278" s="47"/>
      <c r="J1278" s="47"/>
      <c r="K1278" s="47"/>
      <c r="L1278" s="47"/>
      <c r="M1278" s="47"/>
      <c r="N1278" s="47"/>
      <c r="O1278" s="47"/>
      <c r="P1278" s="47"/>
      <c r="Q1278" s="47"/>
      <c r="R1278" s="47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>
      <c r="B1282" s="20"/>
      <c r="C1282" s="6"/>
      <c r="D1282" s="47"/>
      <c r="E1282" s="47"/>
      <c r="F1282" s="47"/>
      <c r="G1282" s="47"/>
      <c r="H1282" s="47"/>
      <c r="I1282" s="47"/>
      <c r="J1282" s="47"/>
      <c r="K1282" s="47"/>
      <c r="L1282" s="47"/>
      <c r="M1282" s="47"/>
      <c r="N1282" s="47"/>
      <c r="O1282" s="47"/>
      <c r="P1282" s="47"/>
      <c r="Q1282" s="47"/>
      <c r="R1282" s="47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>
      <c r="B1286" s="20"/>
      <c r="C1286" s="6"/>
      <c r="D1286" s="47"/>
      <c r="E1286" s="47"/>
      <c r="F1286" s="47"/>
      <c r="G1286" s="47"/>
      <c r="H1286" s="47"/>
      <c r="I1286" s="47"/>
      <c r="J1286" s="47"/>
      <c r="K1286" s="47"/>
      <c r="L1286" s="47"/>
      <c r="M1286" s="47"/>
      <c r="N1286" s="47"/>
      <c r="O1286" s="47"/>
      <c r="P1286" s="47"/>
      <c r="Q1286" s="47"/>
      <c r="R1286" s="47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>
      <c r="B1290" s="20"/>
      <c r="C1290" s="6"/>
      <c r="D1290" s="47"/>
      <c r="E1290" s="47"/>
      <c r="F1290" s="47"/>
      <c r="G1290" s="47"/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>
      <c r="B1294" s="20"/>
      <c r="C1294" s="6"/>
      <c r="D1294" s="47"/>
      <c r="E1294" s="47"/>
      <c r="F1294" s="47"/>
      <c r="G1294" s="47"/>
      <c r="H1294" s="47"/>
      <c r="I1294" s="47"/>
      <c r="J1294" s="47"/>
      <c r="K1294" s="47"/>
      <c r="L1294" s="47"/>
      <c r="M1294" s="47"/>
      <c r="N1294" s="47"/>
      <c r="O1294" s="47"/>
      <c r="P1294" s="47"/>
      <c r="Q1294" s="47"/>
      <c r="R1294" s="47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>
      <c r="B1298" s="20"/>
      <c r="C1298" s="6"/>
      <c r="D1298" s="47"/>
      <c r="E1298" s="47"/>
      <c r="F1298" s="47"/>
      <c r="G1298" s="47"/>
      <c r="H1298" s="47"/>
      <c r="I1298" s="47"/>
      <c r="J1298" s="47"/>
      <c r="K1298" s="47"/>
      <c r="L1298" s="47"/>
      <c r="M1298" s="47"/>
      <c r="N1298" s="47"/>
      <c r="O1298" s="47"/>
      <c r="P1298" s="47"/>
      <c r="Q1298" s="47"/>
      <c r="R1298" s="47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>
      <c r="B1302" s="20"/>
      <c r="C1302" s="6"/>
      <c r="D1302" s="47"/>
      <c r="E1302" s="47"/>
      <c r="F1302" s="47"/>
      <c r="G1302" s="47"/>
      <c r="H1302" s="47"/>
      <c r="I1302" s="47"/>
      <c r="J1302" s="47"/>
      <c r="K1302" s="47"/>
      <c r="L1302" s="47"/>
      <c r="M1302" s="47"/>
      <c r="N1302" s="47"/>
      <c r="O1302" s="47"/>
      <c r="P1302" s="47"/>
      <c r="Q1302" s="47"/>
      <c r="R1302" s="47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>
      <c r="B1306" s="20"/>
      <c r="C1306" s="6"/>
      <c r="D1306" s="47"/>
      <c r="E1306" s="47"/>
      <c r="F1306" s="47"/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>
      <c r="B1310" s="20"/>
      <c r="C1310" s="6"/>
      <c r="D1310" s="47"/>
      <c r="E1310" s="47"/>
      <c r="F1310" s="47"/>
      <c r="G1310" s="47"/>
      <c r="H1310" s="47"/>
      <c r="I1310" s="47"/>
      <c r="J1310" s="47"/>
      <c r="K1310" s="47"/>
      <c r="L1310" s="47"/>
      <c r="M1310" s="47"/>
      <c r="N1310" s="47"/>
      <c r="O1310" s="47"/>
      <c r="P1310" s="47"/>
      <c r="Q1310" s="47"/>
      <c r="R1310" s="47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>
      <c r="B1314" s="20"/>
      <c r="C1314" s="6"/>
      <c r="D1314" s="47"/>
      <c r="E1314" s="47"/>
      <c r="F1314" s="47"/>
      <c r="G1314" s="47"/>
      <c r="H1314" s="47"/>
      <c r="I1314" s="47"/>
      <c r="J1314" s="47"/>
      <c r="K1314" s="47"/>
      <c r="L1314" s="47"/>
      <c r="M1314" s="47"/>
      <c r="N1314" s="47"/>
      <c r="O1314" s="47"/>
      <c r="P1314" s="47"/>
      <c r="Q1314" s="47"/>
      <c r="R1314" s="47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>
      <c r="B1318" s="20"/>
      <c r="C1318" s="6"/>
      <c r="D1318" s="47"/>
      <c r="E1318" s="47"/>
      <c r="F1318" s="47"/>
      <c r="G1318" s="47"/>
      <c r="H1318" s="47"/>
      <c r="I1318" s="47"/>
      <c r="J1318" s="47"/>
      <c r="K1318" s="47"/>
      <c r="L1318" s="47"/>
      <c r="M1318" s="47"/>
      <c r="N1318" s="47"/>
      <c r="O1318" s="47"/>
      <c r="P1318" s="47"/>
      <c r="Q1318" s="47"/>
      <c r="R1318" s="47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>
      <c r="B1322" s="20"/>
      <c r="C1322" s="6"/>
      <c r="D1322" s="47"/>
      <c r="E1322" s="47"/>
      <c r="F1322" s="47"/>
      <c r="G1322" s="47"/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47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>
      <c r="B1326" s="20"/>
      <c r="C1326" s="6"/>
      <c r="D1326" s="47"/>
      <c r="E1326" s="47"/>
      <c r="F1326" s="47"/>
      <c r="G1326" s="47"/>
      <c r="H1326" s="47"/>
      <c r="I1326" s="47"/>
      <c r="J1326" s="47"/>
      <c r="K1326" s="47"/>
      <c r="L1326" s="47"/>
      <c r="M1326" s="47"/>
      <c r="N1326" s="47"/>
      <c r="O1326" s="47"/>
      <c r="P1326" s="47"/>
      <c r="Q1326" s="47"/>
      <c r="R1326" s="47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>
      <c r="B1330" s="20"/>
      <c r="C1330" s="6"/>
      <c r="D1330" s="47"/>
      <c r="E1330" s="47"/>
      <c r="F1330" s="47"/>
      <c r="G1330" s="47"/>
      <c r="H1330" s="47"/>
      <c r="I1330" s="47"/>
      <c r="J1330" s="47"/>
      <c r="K1330" s="47"/>
      <c r="L1330" s="47"/>
      <c r="M1330" s="47"/>
      <c r="N1330" s="47"/>
      <c r="O1330" s="47"/>
      <c r="P1330" s="47"/>
      <c r="Q1330" s="47"/>
      <c r="R1330" s="47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>
      <c r="B1334" s="20"/>
      <c r="C1334" s="6"/>
      <c r="D1334" s="47"/>
      <c r="E1334" s="47"/>
      <c r="F1334" s="47"/>
      <c r="G1334" s="47"/>
      <c r="H1334" s="47"/>
      <c r="I1334" s="47"/>
      <c r="J1334" s="47"/>
      <c r="K1334" s="47"/>
      <c r="L1334" s="47"/>
      <c r="M1334" s="47"/>
      <c r="N1334" s="47"/>
      <c r="O1334" s="47"/>
      <c r="P1334" s="47"/>
      <c r="Q1334" s="47"/>
      <c r="R1334" s="47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>
      <c r="B1338" s="20"/>
      <c r="C1338" s="6"/>
      <c r="D1338" s="47"/>
      <c r="E1338" s="47"/>
      <c r="F1338" s="47"/>
      <c r="G1338" s="47"/>
      <c r="H1338" s="47"/>
      <c r="I1338" s="47"/>
      <c r="J1338" s="47"/>
      <c r="K1338" s="47"/>
      <c r="L1338" s="47"/>
      <c r="M1338" s="47"/>
      <c r="N1338" s="47"/>
      <c r="O1338" s="47"/>
      <c r="P1338" s="47"/>
      <c r="Q1338" s="47"/>
      <c r="R1338" s="47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>
      <c r="B1342" s="20"/>
      <c r="C1342" s="6"/>
      <c r="D1342" s="47"/>
      <c r="E1342" s="47"/>
      <c r="F1342" s="47"/>
      <c r="G1342" s="47"/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>
      <c r="B1346" s="20"/>
      <c r="C1346" s="6"/>
      <c r="D1346" s="47"/>
      <c r="E1346" s="47"/>
      <c r="F1346" s="47"/>
      <c r="G1346" s="47"/>
      <c r="H1346" s="47"/>
      <c r="I1346" s="47"/>
      <c r="J1346" s="47"/>
      <c r="K1346" s="47"/>
      <c r="L1346" s="47"/>
      <c r="M1346" s="47"/>
      <c r="N1346" s="47"/>
      <c r="O1346" s="47"/>
      <c r="P1346" s="47"/>
      <c r="Q1346" s="47"/>
      <c r="R1346" s="47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>
      <c r="B1350" s="20"/>
      <c r="C1350" s="6"/>
      <c r="D1350" s="47"/>
      <c r="E1350" s="47"/>
      <c r="F1350" s="47"/>
      <c r="G1350" s="47"/>
      <c r="H1350" s="47"/>
      <c r="I1350" s="47"/>
      <c r="J1350" s="47"/>
      <c r="K1350" s="47"/>
      <c r="L1350" s="47"/>
      <c r="M1350" s="47"/>
      <c r="N1350" s="47"/>
      <c r="O1350" s="47"/>
      <c r="P1350" s="47"/>
      <c r="Q1350" s="47"/>
      <c r="R1350" s="47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>
      <c r="B1354" s="20"/>
      <c r="C1354" s="6"/>
      <c r="D1354" s="47"/>
      <c r="E1354" s="47"/>
      <c r="F1354" s="47"/>
      <c r="G1354" s="47"/>
      <c r="H1354" s="47"/>
      <c r="I1354" s="47"/>
      <c r="J1354" s="47"/>
      <c r="K1354" s="47"/>
      <c r="L1354" s="47"/>
      <c r="M1354" s="47"/>
      <c r="N1354" s="47"/>
      <c r="O1354" s="47"/>
      <c r="P1354" s="47"/>
      <c r="Q1354" s="47"/>
      <c r="R1354" s="47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>
      <c r="B1358" s="20"/>
      <c r="C1358" s="6"/>
      <c r="D1358" s="47"/>
      <c r="E1358" s="47"/>
      <c r="F1358" s="47"/>
      <c r="G1358" s="47"/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>
      <c r="B1362" s="20"/>
      <c r="C1362" s="6"/>
      <c r="D1362" s="47"/>
      <c r="E1362" s="47"/>
      <c r="F1362" s="47"/>
      <c r="G1362" s="47"/>
      <c r="H1362" s="47"/>
      <c r="I1362" s="47"/>
      <c r="J1362" s="47"/>
      <c r="K1362" s="47"/>
      <c r="L1362" s="47"/>
      <c r="M1362" s="47"/>
      <c r="N1362" s="47"/>
      <c r="O1362" s="47"/>
      <c r="P1362" s="47"/>
      <c r="Q1362" s="47"/>
      <c r="R1362" s="47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>
      <c r="B1366" s="20"/>
      <c r="C1366" s="6"/>
      <c r="D1366" s="47"/>
      <c r="E1366" s="47"/>
      <c r="F1366" s="47"/>
      <c r="G1366" s="47"/>
      <c r="H1366" s="47"/>
      <c r="I1366" s="47"/>
      <c r="J1366" s="47"/>
      <c r="K1366" s="47"/>
      <c r="L1366" s="47"/>
      <c r="M1366" s="47"/>
      <c r="N1366" s="47"/>
      <c r="O1366" s="47"/>
      <c r="P1366" s="47"/>
      <c r="Q1366" s="47"/>
      <c r="R1366" s="47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>
      <c r="B1370" s="20"/>
      <c r="C1370" s="6"/>
      <c r="D1370" s="47"/>
      <c r="E1370" s="47"/>
      <c r="F1370" s="47"/>
      <c r="G1370" s="47"/>
      <c r="H1370" s="47"/>
      <c r="I1370" s="47"/>
      <c r="J1370" s="47"/>
      <c r="K1370" s="47"/>
      <c r="L1370" s="47"/>
      <c r="M1370" s="47"/>
      <c r="N1370" s="47"/>
      <c r="O1370" s="47"/>
      <c r="P1370" s="47"/>
      <c r="Q1370" s="47"/>
      <c r="R1370" s="47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>
      <c r="B1374" s="20"/>
      <c r="C1374" s="6"/>
      <c r="D1374" s="47"/>
      <c r="E1374" s="47"/>
      <c r="F1374" s="47"/>
      <c r="G1374" s="47"/>
      <c r="H1374" s="47"/>
      <c r="I1374" s="47"/>
      <c r="J1374" s="47"/>
      <c r="K1374" s="47"/>
      <c r="L1374" s="47"/>
      <c r="M1374" s="47"/>
      <c r="N1374" s="47"/>
      <c r="O1374" s="47"/>
      <c r="P1374" s="47"/>
      <c r="Q1374" s="47"/>
      <c r="R1374" s="47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>
      <c r="B1378" s="20"/>
      <c r="C1378" s="6"/>
      <c r="D1378" s="47"/>
      <c r="E1378" s="47"/>
      <c r="F1378" s="47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>
      <c r="B1382" s="20"/>
      <c r="C1382" s="6"/>
      <c r="D1382" s="47"/>
      <c r="E1382" s="47"/>
      <c r="F1382" s="47"/>
      <c r="G1382" s="47"/>
      <c r="H1382" s="47"/>
      <c r="I1382" s="47"/>
      <c r="J1382" s="47"/>
      <c r="K1382" s="47"/>
      <c r="L1382" s="47"/>
      <c r="M1382" s="47"/>
      <c r="N1382" s="47"/>
      <c r="O1382" s="47"/>
      <c r="P1382" s="47"/>
      <c r="Q1382" s="47"/>
      <c r="R1382" s="47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>
      <c r="B1386" s="20"/>
      <c r="C1386" s="6"/>
      <c r="D1386" s="47"/>
      <c r="E1386" s="47"/>
      <c r="F1386" s="47"/>
      <c r="G1386" s="47"/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7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>
      <c r="B1390" s="20"/>
      <c r="C1390" s="6"/>
      <c r="D1390" s="47"/>
      <c r="E1390" s="47"/>
      <c r="F1390" s="47"/>
      <c r="G1390" s="47"/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>
      <c r="B1394" s="20"/>
      <c r="C1394" s="6"/>
      <c r="D1394" s="47"/>
      <c r="E1394" s="47"/>
      <c r="F1394" s="47"/>
      <c r="G1394" s="47"/>
      <c r="H1394" s="47"/>
      <c r="I1394" s="47"/>
      <c r="J1394" s="47"/>
      <c r="K1394" s="47"/>
      <c r="L1394" s="47"/>
      <c r="M1394" s="47"/>
      <c r="N1394" s="47"/>
      <c r="O1394" s="47"/>
      <c r="P1394" s="47"/>
      <c r="Q1394" s="47"/>
      <c r="R1394" s="47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>
      <c r="B1398" s="20"/>
      <c r="C1398" s="6"/>
      <c r="D1398" s="47"/>
      <c r="E1398" s="47"/>
      <c r="F1398" s="47"/>
      <c r="G1398" s="47"/>
      <c r="H1398" s="47"/>
      <c r="I1398" s="47"/>
      <c r="J1398" s="47"/>
      <c r="K1398" s="47"/>
      <c r="L1398" s="47"/>
      <c r="M1398" s="47"/>
      <c r="N1398" s="47"/>
      <c r="O1398" s="47"/>
      <c r="P1398" s="47"/>
      <c r="Q1398" s="47"/>
      <c r="R1398" s="47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>
      <c r="B1402" s="20"/>
      <c r="C1402" s="6"/>
      <c r="D1402" s="47"/>
      <c r="E1402" s="47"/>
      <c r="F1402" s="47"/>
      <c r="G1402" s="47"/>
      <c r="H1402" s="47"/>
      <c r="I1402" s="47"/>
      <c r="J1402" s="47"/>
      <c r="K1402" s="47"/>
      <c r="L1402" s="47"/>
      <c r="M1402" s="47"/>
      <c r="N1402" s="47"/>
      <c r="O1402" s="47"/>
      <c r="P1402" s="47"/>
      <c r="Q1402" s="47"/>
      <c r="R1402" s="47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>
      <c r="B1406" s="20"/>
      <c r="C1406" s="6"/>
      <c r="D1406" s="47"/>
      <c r="E1406" s="47"/>
      <c r="F1406" s="47"/>
      <c r="G1406" s="47"/>
      <c r="H1406" s="47"/>
      <c r="I1406" s="47"/>
      <c r="J1406" s="47"/>
      <c r="K1406" s="47"/>
      <c r="L1406" s="47"/>
      <c r="M1406" s="47"/>
      <c r="N1406" s="47"/>
      <c r="O1406" s="47"/>
      <c r="P1406" s="47"/>
      <c r="Q1406" s="47"/>
      <c r="R1406" s="47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>
      <c r="B1410" s="20"/>
      <c r="C1410" s="6"/>
      <c r="D1410" s="47"/>
      <c r="E1410" s="47"/>
      <c r="F1410" s="47"/>
      <c r="G1410" s="47"/>
      <c r="H1410" s="47"/>
      <c r="I1410" s="47"/>
      <c r="J1410" s="47"/>
      <c r="K1410" s="47"/>
      <c r="L1410" s="47"/>
      <c r="M1410" s="47"/>
      <c r="N1410" s="47"/>
      <c r="O1410" s="47"/>
      <c r="P1410" s="47"/>
      <c r="Q1410" s="47"/>
      <c r="R1410" s="47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>
      <c r="B1414" s="20"/>
      <c r="C1414" s="6"/>
      <c r="D1414" s="47"/>
      <c r="E1414" s="47"/>
      <c r="F1414" s="47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>
      <c r="B1418" s="20"/>
      <c r="C1418" s="6"/>
      <c r="D1418" s="47"/>
      <c r="E1418" s="47"/>
      <c r="F1418" s="47"/>
      <c r="G1418" s="47"/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7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>
      <c r="B1422" s="20"/>
      <c r="C1422" s="6"/>
      <c r="D1422" s="47"/>
      <c r="E1422" s="47"/>
      <c r="F1422" s="47"/>
      <c r="G1422" s="47"/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7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>
      <c r="B1426" s="20"/>
      <c r="C1426" s="6"/>
      <c r="D1426" s="47"/>
      <c r="E1426" s="47"/>
      <c r="F1426" s="47"/>
      <c r="G1426" s="47"/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>
      <c r="B1430" s="20"/>
      <c r="C1430" s="6"/>
      <c r="D1430" s="47"/>
      <c r="E1430" s="47"/>
      <c r="F1430" s="47"/>
      <c r="G1430" s="47"/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>
      <c r="B1434" s="20"/>
      <c r="C1434" s="6"/>
      <c r="D1434" s="47"/>
      <c r="E1434" s="47"/>
      <c r="F1434" s="47"/>
      <c r="G1434" s="47"/>
      <c r="H1434" s="47"/>
      <c r="I1434" s="47"/>
      <c r="J1434" s="47"/>
      <c r="K1434" s="47"/>
      <c r="L1434" s="47"/>
      <c r="M1434" s="47"/>
      <c r="N1434" s="47"/>
      <c r="O1434" s="47"/>
      <c r="P1434" s="47"/>
      <c r="Q1434" s="47"/>
      <c r="R1434" s="47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>
      <c r="B1438" s="20"/>
      <c r="C1438" s="6"/>
      <c r="D1438" s="47"/>
      <c r="E1438" s="47"/>
      <c r="F1438" s="47"/>
      <c r="G1438" s="47"/>
      <c r="H1438" s="47"/>
      <c r="I1438" s="47"/>
      <c r="J1438" s="47"/>
      <c r="K1438" s="47"/>
      <c r="L1438" s="47"/>
      <c r="M1438" s="47"/>
      <c r="N1438" s="47"/>
      <c r="O1438" s="47"/>
      <c r="P1438" s="47"/>
      <c r="Q1438" s="47"/>
      <c r="R1438" s="47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>
      <c r="B1442" s="20"/>
      <c r="C1442" s="6"/>
      <c r="D1442" s="47"/>
      <c r="E1442" s="47"/>
      <c r="F1442" s="47"/>
      <c r="G1442" s="47"/>
      <c r="H1442" s="47"/>
      <c r="I1442" s="47"/>
      <c r="J1442" s="47"/>
      <c r="K1442" s="47"/>
      <c r="L1442" s="47"/>
      <c r="M1442" s="47"/>
      <c r="N1442" s="47"/>
      <c r="O1442" s="47"/>
      <c r="P1442" s="47"/>
      <c r="Q1442" s="47"/>
      <c r="R1442" s="47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>
      <c r="B1446" s="20"/>
      <c r="C1446" s="6"/>
      <c r="D1446" s="47"/>
      <c r="E1446" s="47"/>
      <c r="F1446" s="47"/>
      <c r="G1446" s="47"/>
      <c r="H1446" s="47"/>
      <c r="I1446" s="47"/>
      <c r="J1446" s="47"/>
      <c r="K1446" s="47"/>
      <c r="L1446" s="47"/>
      <c r="M1446" s="47"/>
      <c r="N1446" s="47"/>
      <c r="O1446" s="47"/>
      <c r="P1446" s="47"/>
      <c r="Q1446" s="47"/>
      <c r="R1446" s="47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>
      <c r="B1450" s="20"/>
      <c r="C1450" s="6"/>
      <c r="D1450" s="47"/>
      <c r="E1450" s="47"/>
      <c r="F1450" s="47"/>
      <c r="G1450" s="47"/>
      <c r="H1450" s="47"/>
      <c r="I1450" s="47"/>
      <c r="J1450" s="47"/>
      <c r="K1450" s="47"/>
      <c r="L1450" s="47"/>
      <c r="M1450" s="47"/>
      <c r="N1450" s="47"/>
      <c r="O1450" s="47"/>
      <c r="P1450" s="47"/>
      <c r="Q1450" s="47"/>
      <c r="R1450" s="47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>
      <c r="B1454" s="20"/>
      <c r="C1454" s="6"/>
      <c r="D1454" s="47"/>
      <c r="E1454" s="47"/>
      <c r="F1454" s="47"/>
      <c r="G1454" s="47"/>
      <c r="H1454" s="47"/>
      <c r="I1454" s="47"/>
      <c r="J1454" s="47"/>
      <c r="K1454" s="47"/>
      <c r="L1454" s="47"/>
      <c r="M1454" s="47"/>
      <c r="N1454" s="47"/>
      <c r="O1454" s="47"/>
      <c r="P1454" s="47"/>
      <c r="Q1454" s="47"/>
      <c r="R1454" s="47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>
      <c r="B1458" s="20"/>
      <c r="C1458" s="6"/>
      <c r="D1458" s="47"/>
      <c r="E1458" s="47"/>
      <c r="F1458" s="47"/>
      <c r="G1458" s="47"/>
      <c r="H1458" s="47"/>
      <c r="I1458" s="47"/>
      <c r="J1458" s="47"/>
      <c r="K1458" s="47"/>
      <c r="L1458" s="47"/>
      <c r="M1458" s="47"/>
      <c r="N1458" s="47"/>
      <c r="O1458" s="47"/>
      <c r="P1458" s="47"/>
      <c r="Q1458" s="47"/>
      <c r="R1458" s="47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>
      <c r="B1462" s="20"/>
      <c r="C1462" s="6"/>
      <c r="D1462" s="47"/>
      <c r="E1462" s="47"/>
      <c r="F1462" s="47"/>
      <c r="G1462" s="47"/>
      <c r="H1462" s="47"/>
      <c r="I1462" s="47"/>
      <c r="J1462" s="47"/>
      <c r="K1462" s="47"/>
      <c r="L1462" s="47"/>
      <c r="M1462" s="47"/>
      <c r="N1462" s="47"/>
      <c r="O1462" s="47"/>
      <c r="P1462" s="47"/>
      <c r="Q1462" s="47"/>
      <c r="R1462" s="47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>
      <c r="B1466" s="20"/>
      <c r="C1466" s="6"/>
      <c r="D1466" s="47"/>
      <c r="E1466" s="47"/>
      <c r="F1466" s="47"/>
      <c r="G1466" s="47"/>
      <c r="H1466" s="47"/>
      <c r="I1466" s="47"/>
      <c r="J1466" s="47"/>
      <c r="K1466" s="47"/>
      <c r="L1466" s="47"/>
      <c r="M1466" s="47"/>
      <c r="N1466" s="47"/>
      <c r="O1466" s="47"/>
      <c r="P1466" s="47"/>
      <c r="Q1466" s="47"/>
      <c r="R1466" s="47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>
      <c r="B1470" s="20"/>
      <c r="C1470" s="6"/>
      <c r="D1470" s="47"/>
      <c r="E1470" s="47"/>
      <c r="F1470" s="47"/>
      <c r="G1470" s="47"/>
      <c r="H1470" s="47"/>
      <c r="I1470" s="47"/>
      <c r="J1470" s="47"/>
      <c r="K1470" s="47"/>
      <c r="L1470" s="47"/>
      <c r="M1470" s="47"/>
      <c r="N1470" s="47"/>
      <c r="O1470" s="47"/>
      <c r="P1470" s="47"/>
      <c r="Q1470" s="47"/>
      <c r="R1470" s="47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>
      <c r="B1474" s="20"/>
      <c r="C1474" s="6"/>
      <c r="D1474" s="47"/>
      <c r="E1474" s="47"/>
      <c r="F1474" s="47"/>
      <c r="G1474" s="47"/>
      <c r="H1474" s="47"/>
      <c r="I1474" s="47"/>
      <c r="J1474" s="47"/>
      <c r="K1474" s="47"/>
      <c r="L1474" s="47"/>
      <c r="M1474" s="47"/>
      <c r="N1474" s="47"/>
      <c r="O1474" s="47"/>
      <c r="P1474" s="47"/>
      <c r="Q1474" s="47"/>
      <c r="R1474" s="47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>
      <c r="B1478" s="20"/>
      <c r="C1478" s="6"/>
      <c r="D1478" s="47"/>
      <c r="E1478" s="47"/>
      <c r="F1478" s="47"/>
      <c r="G1478" s="47"/>
      <c r="H1478" s="47"/>
      <c r="I1478" s="47"/>
      <c r="J1478" s="47"/>
      <c r="K1478" s="47"/>
      <c r="L1478" s="47"/>
      <c r="M1478" s="47"/>
      <c r="N1478" s="47"/>
      <c r="O1478" s="47"/>
      <c r="P1478" s="47"/>
      <c r="Q1478" s="47"/>
      <c r="R1478" s="47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>
      <c r="B1482" s="20"/>
      <c r="C1482" s="6"/>
      <c r="D1482" s="47"/>
      <c r="E1482" s="47"/>
      <c r="F1482" s="47"/>
      <c r="G1482" s="47"/>
      <c r="H1482" s="47"/>
      <c r="I1482" s="47"/>
      <c r="J1482" s="47"/>
      <c r="K1482" s="47"/>
      <c r="L1482" s="47"/>
      <c r="M1482" s="47"/>
      <c r="N1482" s="47"/>
      <c r="O1482" s="47"/>
      <c r="P1482" s="47"/>
      <c r="Q1482" s="47"/>
      <c r="R1482" s="47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>
      <c r="B1486" s="20"/>
      <c r="C1486" s="6"/>
      <c r="D1486" s="47"/>
      <c r="E1486" s="47"/>
      <c r="F1486" s="47"/>
      <c r="G1486" s="47"/>
      <c r="H1486" s="47"/>
      <c r="I1486" s="47"/>
      <c r="J1486" s="47"/>
      <c r="K1486" s="47"/>
      <c r="L1486" s="47"/>
      <c r="M1486" s="47"/>
      <c r="N1486" s="47"/>
      <c r="O1486" s="47"/>
      <c r="P1486" s="47"/>
      <c r="Q1486" s="47"/>
      <c r="R1486" s="47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>
      <c r="B1490" s="20"/>
      <c r="C1490" s="6"/>
      <c r="D1490" s="47"/>
      <c r="E1490" s="47"/>
      <c r="F1490" s="47"/>
      <c r="G1490" s="47"/>
      <c r="H1490" s="47"/>
      <c r="I1490" s="47"/>
      <c r="J1490" s="47"/>
      <c r="K1490" s="47"/>
      <c r="L1490" s="47"/>
      <c r="M1490" s="47"/>
      <c r="N1490" s="47"/>
      <c r="O1490" s="47"/>
      <c r="P1490" s="47"/>
      <c r="Q1490" s="47"/>
      <c r="R1490" s="47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>
      <c r="B1494" s="20"/>
      <c r="C1494" s="6"/>
      <c r="D1494" s="47"/>
      <c r="E1494" s="47"/>
      <c r="F1494" s="47"/>
      <c r="G1494" s="47"/>
      <c r="H1494" s="47"/>
      <c r="I1494" s="47"/>
      <c r="J1494" s="47"/>
      <c r="K1494" s="47"/>
      <c r="L1494" s="47"/>
      <c r="M1494" s="47"/>
      <c r="N1494" s="47"/>
      <c r="O1494" s="47"/>
      <c r="P1494" s="47"/>
      <c r="Q1494" s="47"/>
      <c r="R1494" s="47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>
      <c r="B1498" s="20"/>
      <c r="C1498" s="6"/>
      <c r="D1498" s="47"/>
      <c r="E1498" s="47"/>
      <c r="F1498" s="47"/>
      <c r="G1498" s="47"/>
      <c r="H1498" s="47"/>
      <c r="I1498" s="47"/>
      <c r="J1498" s="47"/>
      <c r="K1498" s="47"/>
      <c r="L1498" s="47"/>
      <c r="M1498" s="47"/>
      <c r="N1498" s="47"/>
      <c r="O1498" s="47"/>
      <c r="P1498" s="47"/>
      <c r="Q1498" s="47"/>
      <c r="R1498" s="47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>
      <c r="B1502" s="20"/>
      <c r="C1502" s="6"/>
      <c r="D1502" s="47"/>
      <c r="E1502" s="47"/>
      <c r="F1502" s="47"/>
      <c r="G1502" s="47"/>
      <c r="H1502" s="47"/>
      <c r="I1502" s="47"/>
      <c r="J1502" s="47"/>
      <c r="K1502" s="47"/>
      <c r="L1502" s="47"/>
      <c r="M1502" s="47"/>
      <c r="N1502" s="47"/>
      <c r="O1502" s="47"/>
      <c r="P1502" s="47"/>
      <c r="Q1502" s="47"/>
      <c r="R1502" s="47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>
      <c r="B1506" s="20"/>
      <c r="C1506" s="6"/>
      <c r="D1506" s="47"/>
      <c r="E1506" s="47"/>
      <c r="F1506" s="47"/>
      <c r="G1506" s="47"/>
      <c r="H1506" s="47"/>
      <c r="I1506" s="47"/>
      <c r="J1506" s="47"/>
      <c r="K1506" s="47"/>
      <c r="L1506" s="47"/>
      <c r="M1506" s="47"/>
      <c r="N1506" s="47"/>
      <c r="O1506" s="47"/>
      <c r="P1506" s="47"/>
      <c r="Q1506" s="47"/>
      <c r="R1506" s="47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>
      <c r="B1510" s="20"/>
      <c r="C1510" s="6"/>
      <c r="D1510" s="47"/>
      <c r="E1510" s="47"/>
      <c r="F1510" s="47"/>
      <c r="G1510" s="47"/>
      <c r="H1510" s="47"/>
      <c r="I1510" s="47"/>
      <c r="J1510" s="47"/>
      <c r="K1510" s="47"/>
      <c r="L1510" s="47"/>
      <c r="M1510" s="47"/>
      <c r="N1510" s="47"/>
      <c r="O1510" s="47"/>
      <c r="P1510" s="47"/>
      <c r="Q1510" s="47"/>
      <c r="R1510" s="47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>
      <c r="B1514" s="20"/>
      <c r="C1514" s="6"/>
      <c r="D1514" s="47"/>
      <c r="E1514" s="47"/>
      <c r="F1514" s="47"/>
      <c r="G1514" s="47"/>
      <c r="H1514" s="47"/>
      <c r="I1514" s="47"/>
      <c r="J1514" s="47"/>
      <c r="K1514" s="47"/>
      <c r="L1514" s="47"/>
      <c r="M1514" s="47"/>
      <c r="N1514" s="47"/>
      <c r="O1514" s="47"/>
      <c r="P1514" s="47"/>
      <c r="Q1514" s="47"/>
      <c r="R1514" s="47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>
      <c r="B1518" s="20"/>
      <c r="C1518" s="6"/>
      <c r="D1518" s="47"/>
      <c r="E1518" s="47"/>
      <c r="F1518" s="47"/>
      <c r="G1518" s="47"/>
      <c r="H1518" s="47"/>
      <c r="I1518" s="47"/>
      <c r="J1518" s="47"/>
      <c r="K1518" s="47"/>
      <c r="L1518" s="47"/>
      <c r="M1518" s="47"/>
      <c r="N1518" s="47"/>
      <c r="O1518" s="47"/>
      <c r="P1518" s="47"/>
      <c r="Q1518" s="47"/>
      <c r="R1518" s="47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>
      <c r="B1522" s="20"/>
      <c r="C1522" s="6"/>
      <c r="D1522" s="47"/>
      <c r="E1522" s="47"/>
      <c r="F1522" s="47"/>
      <c r="G1522" s="47"/>
      <c r="H1522" s="47"/>
      <c r="I1522" s="47"/>
      <c r="J1522" s="47"/>
      <c r="K1522" s="47"/>
      <c r="L1522" s="47"/>
      <c r="M1522" s="47"/>
      <c r="N1522" s="47"/>
      <c r="O1522" s="47"/>
      <c r="P1522" s="47"/>
      <c r="Q1522" s="47"/>
      <c r="R1522" s="47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>
      <c r="B1526" s="20"/>
      <c r="C1526" s="6"/>
      <c r="D1526" s="47"/>
      <c r="E1526" s="47"/>
      <c r="F1526" s="47"/>
      <c r="G1526" s="47"/>
      <c r="H1526" s="47"/>
      <c r="I1526" s="47"/>
      <c r="J1526" s="47"/>
      <c r="K1526" s="47"/>
      <c r="L1526" s="47"/>
      <c r="M1526" s="47"/>
      <c r="N1526" s="47"/>
      <c r="O1526" s="47"/>
      <c r="P1526" s="47"/>
      <c r="Q1526" s="47"/>
      <c r="R1526" s="47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>
      <c r="B1530" s="20"/>
      <c r="C1530" s="6"/>
      <c r="D1530" s="47"/>
      <c r="E1530" s="47"/>
      <c r="F1530" s="47"/>
      <c r="G1530" s="47"/>
      <c r="H1530" s="47"/>
      <c r="I1530" s="47"/>
      <c r="J1530" s="47"/>
      <c r="K1530" s="47"/>
      <c r="L1530" s="47"/>
      <c r="M1530" s="47"/>
      <c r="N1530" s="47"/>
      <c r="O1530" s="47"/>
      <c r="P1530" s="47"/>
      <c r="Q1530" s="47"/>
      <c r="R1530" s="47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>
      <c r="B1534" s="20"/>
      <c r="C1534" s="6"/>
      <c r="D1534" s="47"/>
      <c r="E1534" s="47"/>
      <c r="F1534" s="47"/>
      <c r="G1534" s="47"/>
      <c r="H1534" s="47"/>
      <c r="I1534" s="47"/>
      <c r="J1534" s="47"/>
      <c r="K1534" s="47"/>
      <c r="L1534" s="47"/>
      <c r="M1534" s="47"/>
      <c r="N1534" s="47"/>
      <c r="O1534" s="47"/>
      <c r="P1534" s="47"/>
      <c r="Q1534" s="47"/>
      <c r="R1534" s="47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>
      <c r="B1538" s="20"/>
      <c r="C1538" s="6"/>
      <c r="D1538" s="47"/>
      <c r="E1538" s="47"/>
      <c r="F1538" s="47"/>
      <c r="G1538" s="47"/>
      <c r="H1538" s="47"/>
      <c r="I1538" s="47"/>
      <c r="J1538" s="47"/>
      <c r="K1538" s="47"/>
      <c r="L1538" s="47"/>
      <c r="M1538" s="47"/>
      <c r="N1538" s="47"/>
      <c r="O1538" s="47"/>
      <c r="P1538" s="47"/>
      <c r="Q1538" s="47"/>
      <c r="R1538" s="47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>
      <c r="B1542" s="20"/>
      <c r="C1542" s="6"/>
      <c r="D1542" s="47"/>
      <c r="E1542" s="47"/>
      <c r="F1542" s="47"/>
      <c r="G1542" s="47"/>
      <c r="H1542" s="47"/>
      <c r="I1542" s="47"/>
      <c r="J1542" s="47"/>
      <c r="K1542" s="47"/>
      <c r="L1542" s="47"/>
      <c r="M1542" s="47"/>
      <c r="N1542" s="47"/>
      <c r="O1542" s="47"/>
      <c r="P1542" s="47"/>
      <c r="Q1542" s="47"/>
      <c r="R1542" s="47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>
      <c r="B1546" s="20"/>
      <c r="C1546" s="6"/>
      <c r="D1546" s="47"/>
      <c r="E1546" s="47"/>
      <c r="F1546" s="47"/>
      <c r="G1546" s="47"/>
      <c r="H1546" s="47"/>
      <c r="I1546" s="47"/>
      <c r="J1546" s="47"/>
      <c r="K1546" s="47"/>
      <c r="L1546" s="47"/>
      <c r="M1546" s="47"/>
      <c r="N1546" s="47"/>
      <c r="O1546" s="47"/>
      <c r="P1546" s="47"/>
      <c r="Q1546" s="47"/>
      <c r="R1546" s="47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>
      <c r="B1550" s="20"/>
      <c r="C1550" s="6"/>
      <c r="D1550" s="47"/>
      <c r="E1550" s="47"/>
      <c r="F1550" s="47"/>
      <c r="G1550" s="47"/>
      <c r="H1550" s="47"/>
      <c r="I1550" s="47"/>
      <c r="J1550" s="47"/>
      <c r="K1550" s="47"/>
      <c r="L1550" s="47"/>
      <c r="M1550" s="47"/>
      <c r="N1550" s="47"/>
      <c r="O1550" s="47"/>
      <c r="P1550" s="47"/>
      <c r="Q1550" s="47"/>
      <c r="R1550" s="47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>
      <c r="B1554" s="20"/>
      <c r="C1554" s="6"/>
      <c r="D1554" s="47"/>
      <c r="E1554" s="47"/>
      <c r="F1554" s="47"/>
      <c r="G1554" s="47"/>
      <c r="H1554" s="47"/>
      <c r="I1554" s="47"/>
      <c r="J1554" s="47"/>
      <c r="K1554" s="47"/>
      <c r="L1554" s="47"/>
      <c r="M1554" s="47"/>
      <c r="N1554" s="47"/>
      <c r="O1554" s="47"/>
      <c r="P1554" s="47"/>
      <c r="Q1554" s="47"/>
      <c r="R1554" s="47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>
      <c r="B1558" s="20"/>
      <c r="C1558" s="6"/>
      <c r="D1558" s="47"/>
      <c r="E1558" s="47"/>
      <c r="F1558" s="47"/>
      <c r="G1558" s="47"/>
      <c r="H1558" s="47"/>
      <c r="I1558" s="47"/>
      <c r="J1558" s="47"/>
      <c r="K1558" s="47"/>
      <c r="L1558" s="47"/>
      <c r="M1558" s="47"/>
      <c r="N1558" s="47"/>
      <c r="O1558" s="47"/>
      <c r="P1558" s="47"/>
      <c r="Q1558" s="47"/>
      <c r="R1558" s="47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>
      <c r="B1562" s="20"/>
      <c r="C1562" s="6"/>
      <c r="D1562" s="47"/>
      <c r="E1562" s="47"/>
      <c r="F1562" s="47"/>
      <c r="G1562" s="47"/>
      <c r="H1562" s="47"/>
      <c r="I1562" s="47"/>
      <c r="J1562" s="47"/>
      <c r="K1562" s="47"/>
      <c r="L1562" s="47"/>
      <c r="M1562" s="47"/>
      <c r="N1562" s="47"/>
      <c r="O1562" s="47"/>
      <c r="P1562" s="47"/>
      <c r="Q1562" s="47"/>
      <c r="R1562" s="47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>
      <c r="B1566" s="20"/>
      <c r="C1566" s="6"/>
      <c r="D1566" s="47"/>
      <c r="E1566" s="47"/>
      <c r="F1566" s="47"/>
      <c r="G1566" s="47"/>
      <c r="H1566" s="47"/>
      <c r="I1566" s="47"/>
      <c r="J1566" s="47"/>
      <c r="K1566" s="47"/>
      <c r="L1566" s="47"/>
      <c r="M1566" s="47"/>
      <c r="N1566" s="47"/>
      <c r="O1566" s="47"/>
      <c r="P1566" s="47"/>
      <c r="Q1566" s="47"/>
      <c r="R1566" s="47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>
      <c r="B1570" s="20"/>
      <c r="C1570" s="6"/>
      <c r="D1570" s="47"/>
      <c r="E1570" s="47"/>
      <c r="F1570" s="47"/>
      <c r="G1570" s="47"/>
      <c r="H1570" s="47"/>
      <c r="I1570" s="47"/>
      <c r="J1570" s="47"/>
      <c r="K1570" s="47"/>
      <c r="L1570" s="47"/>
      <c r="M1570" s="47"/>
      <c r="N1570" s="47"/>
      <c r="O1570" s="47"/>
      <c r="P1570" s="47"/>
      <c r="Q1570" s="47"/>
      <c r="R1570" s="47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>
      <c r="B1574" s="20"/>
      <c r="C1574" s="6"/>
      <c r="D1574" s="47"/>
      <c r="E1574" s="47"/>
      <c r="F1574" s="47"/>
      <c r="G1574" s="47"/>
      <c r="H1574" s="47"/>
      <c r="I1574" s="47"/>
      <c r="J1574" s="47"/>
      <c r="K1574" s="47"/>
      <c r="L1574" s="47"/>
      <c r="M1574" s="47"/>
      <c r="N1574" s="47"/>
      <c r="O1574" s="47"/>
      <c r="P1574" s="47"/>
      <c r="Q1574" s="47"/>
      <c r="R1574" s="47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>
      <c r="B1578" s="20"/>
      <c r="C1578" s="6"/>
      <c r="D1578" s="47"/>
      <c r="E1578" s="47"/>
      <c r="F1578" s="47"/>
      <c r="G1578" s="47"/>
      <c r="H1578" s="47"/>
      <c r="I1578" s="47"/>
      <c r="J1578" s="47"/>
      <c r="K1578" s="47"/>
      <c r="L1578" s="47"/>
      <c r="M1578" s="47"/>
      <c r="N1578" s="47"/>
      <c r="O1578" s="47"/>
      <c r="P1578" s="47"/>
      <c r="Q1578" s="47"/>
      <c r="R1578" s="47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>
      <c r="B1582" s="20"/>
      <c r="C1582" s="6"/>
      <c r="D1582" s="47"/>
      <c r="E1582" s="47"/>
      <c r="F1582" s="47"/>
      <c r="G1582" s="47"/>
      <c r="H1582" s="47"/>
      <c r="I1582" s="47"/>
      <c r="J1582" s="47"/>
      <c r="K1582" s="47"/>
      <c r="L1582" s="47"/>
      <c r="M1582" s="47"/>
      <c r="N1582" s="47"/>
      <c r="O1582" s="47"/>
      <c r="P1582" s="47"/>
      <c r="Q1582" s="47"/>
      <c r="R1582" s="47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>
      <c r="B1586" s="20"/>
      <c r="C1586" s="6"/>
      <c r="D1586" s="47"/>
      <c r="E1586" s="47"/>
      <c r="F1586" s="47"/>
      <c r="G1586" s="47"/>
      <c r="H1586" s="47"/>
      <c r="I1586" s="47"/>
      <c r="J1586" s="47"/>
      <c r="K1586" s="47"/>
      <c r="L1586" s="47"/>
      <c r="M1586" s="47"/>
      <c r="N1586" s="47"/>
      <c r="O1586" s="47"/>
      <c r="P1586" s="47"/>
      <c r="Q1586" s="47"/>
      <c r="R1586" s="47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>
      <c r="B1590" s="20"/>
      <c r="C1590" s="6"/>
      <c r="D1590" s="47"/>
      <c r="E1590" s="47"/>
      <c r="F1590" s="47"/>
      <c r="G1590" s="47"/>
      <c r="H1590" s="47"/>
      <c r="I1590" s="47"/>
      <c r="J1590" s="47"/>
      <c r="K1590" s="47"/>
      <c r="L1590" s="47"/>
      <c r="M1590" s="47"/>
      <c r="N1590" s="47"/>
      <c r="O1590" s="47"/>
      <c r="P1590" s="47"/>
      <c r="Q1590" s="47"/>
      <c r="R1590" s="47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>
      <c r="B1594" s="20"/>
      <c r="C1594" s="6"/>
      <c r="D1594" s="47"/>
      <c r="E1594" s="47"/>
      <c r="F1594" s="47"/>
      <c r="G1594" s="47"/>
      <c r="H1594" s="47"/>
      <c r="I1594" s="47"/>
      <c r="J1594" s="47"/>
      <c r="K1594" s="47"/>
      <c r="L1594" s="47"/>
      <c r="M1594" s="47"/>
      <c r="N1594" s="47"/>
      <c r="O1594" s="47"/>
      <c r="P1594" s="47"/>
      <c r="Q1594" s="47"/>
      <c r="R1594" s="47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>
      <c r="B1598" s="20"/>
      <c r="C1598" s="6"/>
      <c r="D1598" s="47"/>
      <c r="E1598" s="47"/>
      <c r="F1598" s="47"/>
      <c r="G1598" s="47"/>
      <c r="H1598" s="47"/>
      <c r="I1598" s="47"/>
      <c r="J1598" s="47"/>
      <c r="K1598" s="47"/>
      <c r="L1598" s="47"/>
      <c r="M1598" s="47"/>
      <c r="N1598" s="47"/>
      <c r="O1598" s="47"/>
      <c r="P1598" s="47"/>
      <c r="Q1598" s="47"/>
      <c r="R1598" s="47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>
      <c r="B1602" s="20"/>
      <c r="C1602" s="6"/>
      <c r="D1602" s="47"/>
      <c r="E1602" s="47"/>
      <c r="F1602" s="47"/>
      <c r="G1602" s="47"/>
      <c r="H1602" s="47"/>
      <c r="I1602" s="47"/>
      <c r="J1602" s="47"/>
      <c r="K1602" s="47"/>
      <c r="L1602" s="47"/>
      <c r="M1602" s="47"/>
      <c r="N1602" s="47"/>
      <c r="O1602" s="47"/>
      <c r="P1602" s="47"/>
      <c r="Q1602" s="47"/>
      <c r="R1602" s="47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>
      <c r="B1606" s="20"/>
      <c r="C1606" s="6"/>
      <c r="D1606" s="47"/>
      <c r="E1606" s="47"/>
      <c r="F1606" s="47"/>
      <c r="G1606" s="47"/>
      <c r="H1606" s="47"/>
      <c r="I1606" s="47"/>
      <c r="J1606" s="47"/>
      <c r="K1606" s="47"/>
      <c r="L1606" s="47"/>
      <c r="M1606" s="47"/>
      <c r="N1606" s="47"/>
      <c r="O1606" s="47"/>
      <c r="P1606" s="47"/>
      <c r="Q1606" s="47"/>
      <c r="R1606" s="47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>
      <c r="B1610" s="20"/>
      <c r="C1610" s="6"/>
      <c r="D1610" s="47"/>
      <c r="E1610" s="47"/>
      <c r="F1610" s="47"/>
      <c r="G1610" s="47"/>
      <c r="H1610" s="47"/>
      <c r="I1610" s="47"/>
      <c r="J1610" s="47"/>
      <c r="K1610" s="47"/>
      <c r="L1610" s="47"/>
      <c r="M1610" s="47"/>
      <c r="N1610" s="47"/>
      <c r="O1610" s="47"/>
      <c r="P1610" s="47"/>
      <c r="Q1610" s="47"/>
      <c r="R1610" s="47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>
      <c r="B1614" s="20"/>
      <c r="C1614" s="6"/>
      <c r="D1614" s="47"/>
      <c r="E1614" s="47"/>
      <c r="F1614" s="47"/>
      <c r="G1614" s="47"/>
      <c r="H1614" s="47"/>
      <c r="I1614" s="47"/>
      <c r="J1614" s="47"/>
      <c r="K1614" s="47"/>
      <c r="L1614" s="47"/>
      <c r="M1614" s="47"/>
      <c r="N1614" s="47"/>
      <c r="O1614" s="47"/>
      <c r="P1614" s="47"/>
      <c r="Q1614" s="47"/>
      <c r="R1614" s="47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>
      <c r="B1618" s="20"/>
      <c r="C1618" s="6"/>
      <c r="D1618" s="47"/>
      <c r="E1618" s="47"/>
      <c r="F1618" s="47"/>
      <c r="G1618" s="47"/>
      <c r="H1618" s="47"/>
      <c r="I1618" s="47"/>
      <c r="J1618" s="47"/>
      <c r="K1618" s="47"/>
      <c r="L1618" s="47"/>
      <c r="M1618" s="47"/>
      <c r="N1618" s="47"/>
      <c r="O1618" s="47"/>
      <c r="P1618" s="47"/>
      <c r="Q1618" s="47"/>
      <c r="R1618" s="47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>
      <c r="B1622" s="20"/>
      <c r="C1622" s="6"/>
      <c r="D1622" s="47"/>
      <c r="E1622" s="47"/>
      <c r="F1622" s="47"/>
      <c r="G1622" s="47"/>
      <c r="H1622" s="47"/>
      <c r="I1622" s="47"/>
      <c r="J1622" s="47"/>
      <c r="K1622" s="47"/>
      <c r="L1622" s="47"/>
      <c r="M1622" s="47"/>
      <c r="N1622" s="47"/>
      <c r="O1622" s="47"/>
      <c r="P1622" s="47"/>
      <c r="Q1622" s="47"/>
      <c r="R1622" s="47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>
      <c r="B1626" s="20"/>
      <c r="C1626" s="6"/>
      <c r="D1626" s="47"/>
      <c r="E1626" s="47"/>
      <c r="F1626" s="47"/>
      <c r="G1626" s="47"/>
      <c r="H1626" s="47"/>
      <c r="I1626" s="47"/>
      <c r="J1626" s="47"/>
      <c r="K1626" s="47"/>
      <c r="L1626" s="47"/>
      <c r="M1626" s="47"/>
      <c r="N1626" s="47"/>
      <c r="O1626" s="47"/>
      <c r="P1626" s="47"/>
      <c r="Q1626" s="47"/>
      <c r="R1626" s="47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>
      <c r="B1630" s="20"/>
      <c r="C1630" s="6"/>
      <c r="D1630" s="47"/>
      <c r="E1630" s="47"/>
      <c r="F1630" s="47"/>
      <c r="G1630" s="47"/>
      <c r="H1630" s="47"/>
      <c r="I1630" s="47"/>
      <c r="J1630" s="47"/>
      <c r="K1630" s="47"/>
      <c r="L1630" s="47"/>
      <c r="M1630" s="47"/>
      <c r="N1630" s="47"/>
      <c r="O1630" s="47"/>
      <c r="P1630" s="47"/>
      <c r="Q1630" s="47"/>
      <c r="R1630" s="47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>
      <c r="B1634" s="20"/>
      <c r="C1634" s="6"/>
      <c r="D1634" s="47"/>
      <c r="E1634" s="47"/>
      <c r="F1634" s="47"/>
      <c r="G1634" s="47"/>
      <c r="H1634" s="47"/>
      <c r="I1634" s="47"/>
      <c r="J1634" s="47"/>
      <c r="K1634" s="47"/>
      <c r="L1634" s="47"/>
      <c r="M1634" s="47"/>
      <c r="N1634" s="47"/>
      <c r="O1634" s="47"/>
      <c r="P1634" s="47"/>
      <c r="Q1634" s="47"/>
      <c r="R1634" s="47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>
      <c r="B1638" s="20"/>
      <c r="C1638" s="6"/>
      <c r="D1638" s="47"/>
      <c r="E1638" s="47"/>
      <c r="F1638" s="47"/>
      <c r="G1638" s="47"/>
      <c r="H1638" s="47"/>
      <c r="I1638" s="47"/>
      <c r="J1638" s="47"/>
      <c r="K1638" s="47"/>
      <c r="L1638" s="47"/>
      <c r="M1638" s="47"/>
      <c r="N1638" s="47"/>
      <c r="O1638" s="47"/>
      <c r="P1638" s="47"/>
      <c r="Q1638" s="47"/>
      <c r="R1638" s="47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>
      <c r="B1642" s="20"/>
      <c r="C1642" s="6"/>
      <c r="D1642" s="47"/>
      <c r="E1642" s="47"/>
      <c r="F1642" s="47"/>
      <c r="G1642" s="47"/>
      <c r="H1642" s="47"/>
      <c r="I1642" s="47"/>
      <c r="J1642" s="47"/>
      <c r="K1642" s="47"/>
      <c r="L1642" s="47"/>
      <c r="M1642" s="47"/>
      <c r="N1642" s="47"/>
      <c r="O1642" s="47"/>
      <c r="P1642" s="47"/>
      <c r="Q1642" s="47"/>
      <c r="R1642" s="47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>
      <c r="B1646" s="20"/>
      <c r="C1646" s="6"/>
      <c r="D1646" s="47"/>
      <c r="E1646" s="47"/>
      <c r="F1646" s="47"/>
      <c r="G1646" s="47"/>
      <c r="H1646" s="47"/>
      <c r="I1646" s="47"/>
      <c r="J1646" s="47"/>
      <c r="K1646" s="47"/>
      <c r="L1646" s="47"/>
      <c r="M1646" s="47"/>
      <c r="N1646" s="47"/>
      <c r="O1646" s="47"/>
      <c r="P1646" s="47"/>
      <c r="Q1646" s="47"/>
      <c r="R1646" s="47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>
      <c r="B1650" s="20"/>
      <c r="C1650" s="6"/>
      <c r="D1650" s="47"/>
      <c r="E1650" s="47"/>
      <c r="F1650" s="47"/>
      <c r="G1650" s="47"/>
      <c r="H1650" s="47"/>
      <c r="I1650" s="47"/>
      <c r="J1650" s="47"/>
      <c r="K1650" s="47"/>
      <c r="L1650" s="47"/>
      <c r="M1650" s="47"/>
      <c r="N1650" s="47"/>
      <c r="O1650" s="47"/>
      <c r="P1650" s="47"/>
      <c r="Q1650" s="47"/>
      <c r="R1650" s="47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>
      <c r="B1654" s="20"/>
      <c r="C1654" s="6"/>
      <c r="D1654" s="47"/>
      <c r="E1654" s="47"/>
      <c r="F1654" s="47"/>
      <c r="G1654" s="47"/>
      <c r="H1654" s="47"/>
      <c r="I1654" s="47"/>
      <c r="J1654" s="47"/>
      <c r="K1654" s="47"/>
      <c r="L1654" s="47"/>
      <c r="M1654" s="47"/>
      <c r="N1654" s="47"/>
      <c r="O1654" s="47"/>
      <c r="P1654" s="47"/>
      <c r="Q1654" s="47"/>
      <c r="R1654" s="47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>
      <c r="B1658" s="20"/>
      <c r="C1658" s="6"/>
      <c r="D1658" s="47"/>
      <c r="E1658" s="47"/>
      <c r="F1658" s="47"/>
      <c r="G1658" s="47"/>
      <c r="H1658" s="47"/>
      <c r="I1658" s="47"/>
      <c r="J1658" s="47"/>
      <c r="K1658" s="47"/>
      <c r="L1658" s="47"/>
      <c r="M1658" s="47"/>
      <c r="N1658" s="47"/>
      <c r="O1658" s="47"/>
      <c r="P1658" s="47"/>
      <c r="Q1658" s="47"/>
      <c r="R1658" s="47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>
      <c r="B1662" s="20"/>
      <c r="C1662" s="6"/>
      <c r="D1662" s="47"/>
      <c r="E1662" s="47"/>
      <c r="F1662" s="47"/>
      <c r="G1662" s="47"/>
      <c r="H1662" s="47"/>
      <c r="I1662" s="47"/>
      <c r="J1662" s="47"/>
      <c r="K1662" s="47"/>
      <c r="L1662" s="47"/>
      <c r="M1662" s="47"/>
      <c r="N1662" s="47"/>
      <c r="O1662" s="47"/>
      <c r="P1662" s="47"/>
      <c r="Q1662" s="47"/>
      <c r="R1662" s="47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>
      <c r="B1666" s="20"/>
      <c r="C1666" s="6"/>
      <c r="D1666" s="47"/>
      <c r="E1666" s="47"/>
      <c r="F1666" s="47"/>
      <c r="G1666" s="47"/>
      <c r="H1666" s="47"/>
      <c r="I1666" s="47"/>
      <c r="J1666" s="47"/>
      <c r="K1666" s="47"/>
      <c r="L1666" s="47"/>
      <c r="M1666" s="47"/>
      <c r="N1666" s="47"/>
      <c r="O1666" s="47"/>
      <c r="P1666" s="47"/>
      <c r="Q1666" s="47"/>
      <c r="R1666" s="47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>
      <c r="B1670" s="20"/>
      <c r="C1670" s="6"/>
      <c r="D1670" s="47"/>
      <c r="E1670" s="47"/>
      <c r="F1670" s="47"/>
      <c r="G1670" s="47"/>
      <c r="H1670" s="47"/>
      <c r="I1670" s="47"/>
      <c r="J1670" s="47"/>
      <c r="K1670" s="47"/>
      <c r="L1670" s="47"/>
      <c r="M1670" s="47"/>
      <c r="N1670" s="47"/>
      <c r="O1670" s="47"/>
      <c r="P1670" s="47"/>
      <c r="Q1670" s="47"/>
      <c r="R1670" s="47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>
      <c r="B1674" s="20"/>
      <c r="C1674" s="6"/>
      <c r="D1674" s="47"/>
      <c r="E1674" s="47"/>
      <c r="F1674" s="47"/>
      <c r="G1674" s="47"/>
      <c r="H1674" s="47"/>
      <c r="I1674" s="47"/>
      <c r="J1674" s="47"/>
      <c r="K1674" s="47"/>
      <c r="L1674" s="47"/>
      <c r="M1674" s="47"/>
      <c r="N1674" s="47"/>
      <c r="O1674" s="47"/>
      <c r="P1674" s="47"/>
      <c r="Q1674" s="47"/>
      <c r="R1674" s="47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>
      <c r="B1678" s="20"/>
      <c r="C1678" s="6"/>
      <c r="D1678" s="47"/>
      <c r="E1678" s="47"/>
      <c r="F1678" s="47"/>
      <c r="G1678" s="47"/>
      <c r="H1678" s="47"/>
      <c r="I1678" s="47"/>
      <c r="J1678" s="47"/>
      <c r="K1678" s="47"/>
      <c r="L1678" s="47"/>
      <c r="M1678" s="47"/>
      <c r="N1678" s="47"/>
      <c r="O1678" s="47"/>
      <c r="P1678" s="47"/>
      <c r="Q1678" s="47"/>
      <c r="R1678" s="47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>
      <c r="B1682" s="20"/>
      <c r="C1682" s="6"/>
      <c r="D1682" s="47"/>
      <c r="E1682" s="47"/>
      <c r="F1682" s="47"/>
      <c r="G1682" s="47"/>
      <c r="H1682" s="47"/>
      <c r="I1682" s="47"/>
      <c r="J1682" s="47"/>
      <c r="K1682" s="47"/>
      <c r="L1682" s="47"/>
      <c r="M1682" s="47"/>
      <c r="N1682" s="47"/>
      <c r="O1682" s="47"/>
      <c r="P1682" s="47"/>
      <c r="Q1682" s="47"/>
      <c r="R1682" s="47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>
      <c r="B1686" s="20"/>
      <c r="C1686" s="6"/>
      <c r="D1686" s="47"/>
      <c r="E1686" s="47"/>
      <c r="F1686" s="47"/>
      <c r="G1686" s="47"/>
      <c r="H1686" s="47"/>
      <c r="I1686" s="47"/>
      <c r="J1686" s="47"/>
      <c r="K1686" s="47"/>
      <c r="L1686" s="47"/>
      <c r="M1686" s="47"/>
      <c r="N1686" s="47"/>
      <c r="O1686" s="47"/>
      <c r="P1686" s="47"/>
      <c r="Q1686" s="47"/>
      <c r="R1686" s="47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>
      <c r="B1690" s="20"/>
      <c r="C1690" s="6"/>
      <c r="D1690" s="47"/>
      <c r="E1690" s="47"/>
      <c r="F1690" s="47"/>
      <c r="G1690" s="47"/>
      <c r="H1690" s="47"/>
      <c r="I1690" s="47"/>
      <c r="J1690" s="47"/>
      <c r="K1690" s="47"/>
      <c r="L1690" s="47"/>
      <c r="M1690" s="47"/>
      <c r="N1690" s="47"/>
      <c r="O1690" s="47"/>
      <c r="P1690" s="47"/>
      <c r="Q1690" s="47"/>
      <c r="R1690" s="47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>
      <c r="B1694" s="20"/>
      <c r="C1694" s="6"/>
      <c r="D1694" s="47"/>
      <c r="E1694" s="47"/>
      <c r="F1694" s="47"/>
      <c r="G1694" s="47"/>
      <c r="H1694" s="47"/>
      <c r="I1694" s="47"/>
      <c r="J1694" s="47"/>
      <c r="K1694" s="47"/>
      <c r="L1694" s="47"/>
      <c r="M1694" s="47"/>
      <c r="N1694" s="47"/>
      <c r="O1694" s="47"/>
      <c r="P1694" s="47"/>
      <c r="Q1694" s="47"/>
      <c r="R1694" s="47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>
      <c r="B1698" s="20"/>
      <c r="C1698" s="6"/>
      <c r="D1698" s="47"/>
      <c r="E1698" s="47"/>
      <c r="F1698" s="47"/>
      <c r="G1698" s="47"/>
      <c r="H1698" s="47"/>
      <c r="I1698" s="47"/>
      <c r="J1698" s="47"/>
      <c r="K1698" s="47"/>
      <c r="L1698" s="47"/>
      <c r="M1698" s="47"/>
      <c r="N1698" s="47"/>
      <c r="O1698" s="47"/>
      <c r="P1698" s="47"/>
      <c r="Q1698" s="47"/>
      <c r="R1698" s="47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>
      <c r="B1702" s="20"/>
      <c r="C1702" s="6"/>
      <c r="D1702" s="47"/>
      <c r="E1702" s="47"/>
      <c r="F1702" s="47"/>
      <c r="G1702" s="47"/>
      <c r="H1702" s="47"/>
      <c r="I1702" s="47"/>
      <c r="J1702" s="47"/>
      <c r="K1702" s="47"/>
      <c r="L1702" s="47"/>
      <c r="M1702" s="47"/>
      <c r="N1702" s="47"/>
      <c r="O1702" s="47"/>
      <c r="P1702" s="47"/>
      <c r="Q1702" s="47"/>
      <c r="R1702" s="47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>
      <c r="B1706" s="20"/>
      <c r="C1706" s="6"/>
      <c r="D1706" s="47"/>
      <c r="E1706" s="47"/>
      <c r="F1706" s="47"/>
      <c r="G1706" s="47"/>
      <c r="H1706" s="47"/>
      <c r="I1706" s="47"/>
      <c r="J1706" s="47"/>
      <c r="K1706" s="47"/>
      <c r="L1706" s="47"/>
      <c r="M1706" s="47"/>
      <c r="N1706" s="47"/>
      <c r="O1706" s="47"/>
      <c r="P1706" s="47"/>
      <c r="Q1706" s="47"/>
      <c r="R1706" s="47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>
      <c r="B1710" s="20"/>
      <c r="C1710" s="6"/>
      <c r="D1710" s="47"/>
      <c r="E1710" s="47"/>
      <c r="F1710" s="47"/>
      <c r="G1710" s="47"/>
      <c r="H1710" s="47"/>
      <c r="I1710" s="47"/>
      <c r="J1710" s="47"/>
      <c r="K1710" s="47"/>
      <c r="L1710" s="47"/>
      <c r="M1710" s="47"/>
      <c r="N1710" s="47"/>
      <c r="O1710" s="47"/>
      <c r="P1710" s="47"/>
      <c r="Q1710" s="47"/>
      <c r="R1710" s="47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>
      <c r="B1714" s="20"/>
      <c r="C1714" s="6"/>
      <c r="D1714" s="47"/>
      <c r="E1714" s="47"/>
      <c r="F1714" s="47"/>
      <c r="G1714" s="47"/>
      <c r="H1714" s="47"/>
      <c r="I1714" s="47"/>
      <c r="J1714" s="47"/>
      <c r="K1714" s="47"/>
      <c r="L1714" s="47"/>
      <c r="M1714" s="47"/>
      <c r="N1714" s="47"/>
      <c r="O1714" s="47"/>
      <c r="P1714" s="47"/>
      <c r="Q1714" s="47"/>
      <c r="R1714" s="47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>
      <c r="B1718" s="20"/>
      <c r="C1718" s="6"/>
      <c r="D1718" s="47"/>
      <c r="E1718" s="47"/>
      <c r="F1718" s="47"/>
      <c r="G1718" s="47"/>
      <c r="H1718" s="47"/>
      <c r="I1718" s="47"/>
      <c r="J1718" s="47"/>
      <c r="K1718" s="47"/>
      <c r="L1718" s="47"/>
      <c r="M1718" s="47"/>
      <c r="N1718" s="47"/>
      <c r="O1718" s="47"/>
      <c r="P1718" s="47"/>
      <c r="Q1718" s="47"/>
      <c r="R1718" s="47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>
      <c r="B1722" s="20"/>
      <c r="C1722" s="6"/>
      <c r="D1722" s="47"/>
      <c r="E1722" s="47"/>
      <c r="F1722" s="47"/>
      <c r="G1722" s="47"/>
      <c r="H1722" s="47"/>
      <c r="I1722" s="47"/>
      <c r="J1722" s="47"/>
      <c r="K1722" s="47"/>
      <c r="L1722" s="47"/>
      <c r="M1722" s="47"/>
      <c r="N1722" s="47"/>
      <c r="O1722" s="47"/>
      <c r="P1722" s="47"/>
      <c r="Q1722" s="47"/>
      <c r="R1722" s="47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>
      <c r="B1726" s="20"/>
      <c r="C1726" s="6"/>
      <c r="D1726" s="47"/>
      <c r="E1726" s="47"/>
      <c r="F1726" s="47"/>
      <c r="G1726" s="47"/>
      <c r="H1726" s="47"/>
      <c r="I1726" s="47"/>
      <c r="J1726" s="47"/>
      <c r="K1726" s="47"/>
      <c r="L1726" s="47"/>
      <c r="M1726" s="47"/>
      <c r="N1726" s="47"/>
      <c r="O1726" s="47"/>
      <c r="P1726" s="47"/>
      <c r="Q1726" s="47"/>
      <c r="R1726" s="47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>
      <c r="B1730" s="20"/>
      <c r="C1730" s="6"/>
      <c r="D1730" s="47"/>
      <c r="E1730" s="47"/>
      <c r="F1730" s="47"/>
      <c r="G1730" s="47"/>
      <c r="H1730" s="47"/>
      <c r="I1730" s="47"/>
      <c r="J1730" s="47"/>
      <c r="K1730" s="47"/>
      <c r="L1730" s="47"/>
      <c r="M1730" s="47"/>
      <c r="N1730" s="47"/>
      <c r="O1730" s="47"/>
      <c r="P1730" s="47"/>
      <c r="Q1730" s="47"/>
      <c r="R1730" s="47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>
      <c r="B1734" s="20"/>
      <c r="C1734" s="6"/>
      <c r="D1734" s="47"/>
      <c r="E1734" s="47"/>
      <c r="F1734" s="47"/>
      <c r="G1734" s="47"/>
      <c r="H1734" s="47"/>
      <c r="I1734" s="47"/>
      <c r="J1734" s="47"/>
      <c r="K1734" s="47"/>
      <c r="L1734" s="47"/>
      <c r="M1734" s="47"/>
      <c r="N1734" s="47"/>
      <c r="O1734" s="47"/>
      <c r="P1734" s="47"/>
      <c r="Q1734" s="47"/>
      <c r="R1734" s="47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>
      <c r="B1738" s="20"/>
      <c r="C1738" s="6"/>
      <c r="D1738" s="47"/>
      <c r="E1738" s="47"/>
      <c r="F1738" s="47"/>
      <c r="G1738" s="47"/>
      <c r="H1738" s="47"/>
      <c r="I1738" s="47"/>
      <c r="J1738" s="47"/>
      <c r="K1738" s="47"/>
      <c r="L1738" s="47"/>
      <c r="M1738" s="47"/>
      <c r="N1738" s="47"/>
      <c r="O1738" s="47"/>
      <c r="P1738" s="47"/>
      <c r="Q1738" s="47"/>
      <c r="R1738" s="47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>
      <c r="B1742" s="20"/>
      <c r="C1742" s="6"/>
      <c r="D1742" s="47"/>
      <c r="E1742" s="47"/>
      <c r="F1742" s="47"/>
      <c r="G1742" s="47"/>
      <c r="H1742" s="47"/>
      <c r="I1742" s="47"/>
      <c r="J1742" s="47"/>
      <c r="K1742" s="47"/>
      <c r="L1742" s="47"/>
      <c r="M1742" s="47"/>
      <c r="N1742" s="47"/>
      <c r="O1742" s="47"/>
      <c r="P1742" s="47"/>
      <c r="Q1742" s="47"/>
      <c r="R1742" s="47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>
      <c r="B1746" s="20"/>
      <c r="C1746" s="6"/>
      <c r="D1746" s="47"/>
      <c r="E1746" s="47"/>
      <c r="F1746" s="47"/>
      <c r="G1746" s="47"/>
      <c r="H1746" s="47"/>
      <c r="I1746" s="47"/>
      <c r="J1746" s="47"/>
      <c r="K1746" s="47"/>
      <c r="L1746" s="47"/>
      <c r="M1746" s="47"/>
      <c r="N1746" s="47"/>
      <c r="O1746" s="47"/>
      <c r="P1746" s="47"/>
      <c r="Q1746" s="47"/>
      <c r="R1746" s="47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>
      <c r="B1750" s="20"/>
      <c r="C1750" s="6"/>
      <c r="D1750" s="47"/>
      <c r="E1750" s="47"/>
      <c r="F1750" s="47"/>
      <c r="G1750" s="47"/>
      <c r="H1750" s="47"/>
      <c r="I1750" s="47"/>
      <c r="J1750" s="47"/>
      <c r="K1750" s="47"/>
      <c r="L1750" s="47"/>
      <c r="M1750" s="47"/>
      <c r="N1750" s="47"/>
      <c r="O1750" s="47"/>
      <c r="P1750" s="47"/>
      <c r="Q1750" s="47"/>
      <c r="R1750" s="47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>
      <c r="B1754" s="20"/>
      <c r="C1754" s="6"/>
      <c r="D1754" s="47"/>
      <c r="E1754" s="47"/>
      <c r="F1754" s="47"/>
      <c r="G1754" s="47"/>
      <c r="H1754" s="47"/>
      <c r="I1754" s="47"/>
      <c r="J1754" s="47"/>
      <c r="K1754" s="47"/>
      <c r="L1754" s="47"/>
      <c r="M1754" s="47"/>
      <c r="N1754" s="47"/>
      <c r="O1754" s="47"/>
      <c r="P1754" s="47"/>
      <c r="Q1754" s="47"/>
      <c r="R1754" s="47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>
      <c r="B1758" s="20"/>
      <c r="C1758" s="6"/>
      <c r="D1758" s="47"/>
      <c r="E1758" s="47"/>
      <c r="F1758" s="47"/>
      <c r="G1758" s="47"/>
      <c r="H1758" s="47"/>
      <c r="I1758" s="47"/>
      <c r="J1758" s="47"/>
      <c r="K1758" s="47"/>
      <c r="L1758" s="47"/>
      <c r="M1758" s="47"/>
      <c r="N1758" s="47"/>
      <c r="O1758" s="47"/>
      <c r="P1758" s="47"/>
      <c r="Q1758" s="47"/>
      <c r="R1758" s="47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>
      <c r="B1762" s="20"/>
      <c r="C1762" s="6"/>
      <c r="D1762" s="47"/>
      <c r="E1762" s="47"/>
      <c r="F1762" s="47"/>
      <c r="G1762" s="47"/>
      <c r="H1762" s="47"/>
      <c r="I1762" s="47"/>
      <c r="J1762" s="47"/>
      <c r="K1762" s="47"/>
      <c r="L1762" s="47"/>
      <c r="M1762" s="47"/>
      <c r="N1762" s="47"/>
      <c r="O1762" s="47"/>
      <c r="P1762" s="47"/>
      <c r="Q1762" s="47"/>
      <c r="R1762" s="47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>
      <c r="B1766" s="20"/>
      <c r="C1766" s="6"/>
      <c r="D1766" s="47"/>
      <c r="E1766" s="47"/>
      <c r="F1766" s="47"/>
      <c r="G1766" s="47"/>
      <c r="H1766" s="47"/>
      <c r="I1766" s="47"/>
      <c r="J1766" s="47"/>
      <c r="K1766" s="47"/>
      <c r="L1766" s="47"/>
      <c r="M1766" s="47"/>
      <c r="N1766" s="47"/>
      <c r="O1766" s="47"/>
      <c r="P1766" s="47"/>
      <c r="Q1766" s="47"/>
      <c r="R1766" s="47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>
      <c r="B1770" s="20"/>
      <c r="C1770" s="6"/>
      <c r="D1770" s="47"/>
      <c r="E1770" s="47"/>
      <c r="F1770" s="47"/>
      <c r="G1770" s="47"/>
      <c r="H1770" s="47"/>
      <c r="I1770" s="47"/>
      <c r="J1770" s="47"/>
      <c r="K1770" s="47"/>
      <c r="L1770" s="47"/>
      <c r="M1770" s="47"/>
      <c r="N1770" s="47"/>
      <c r="O1770" s="47"/>
      <c r="P1770" s="47"/>
      <c r="Q1770" s="47"/>
      <c r="R1770" s="47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>
      <c r="B1774" s="20"/>
      <c r="C1774" s="6"/>
      <c r="D1774" s="47"/>
      <c r="E1774" s="47"/>
      <c r="F1774" s="47"/>
      <c r="G1774" s="47"/>
      <c r="H1774" s="47"/>
      <c r="I1774" s="47"/>
      <c r="J1774" s="47"/>
      <c r="K1774" s="47"/>
      <c r="L1774" s="47"/>
      <c r="M1774" s="47"/>
      <c r="N1774" s="47"/>
      <c r="O1774" s="47"/>
      <c r="P1774" s="47"/>
      <c r="Q1774" s="47"/>
      <c r="R1774" s="47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>
      <c r="B1778" s="20"/>
      <c r="C1778" s="6"/>
      <c r="D1778" s="47"/>
      <c r="E1778" s="47"/>
      <c r="F1778" s="47"/>
      <c r="G1778" s="47"/>
      <c r="H1778" s="47"/>
      <c r="I1778" s="47"/>
      <c r="J1778" s="47"/>
      <c r="K1778" s="47"/>
      <c r="L1778" s="47"/>
      <c r="M1778" s="47"/>
      <c r="N1778" s="47"/>
      <c r="O1778" s="47"/>
      <c r="P1778" s="47"/>
      <c r="Q1778" s="47"/>
      <c r="R1778" s="47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>
      <c r="B1782" s="20"/>
      <c r="C1782" s="6"/>
      <c r="D1782" s="47"/>
      <c r="E1782" s="47"/>
      <c r="F1782" s="47"/>
      <c r="G1782" s="47"/>
      <c r="H1782" s="47"/>
      <c r="I1782" s="47"/>
      <c r="J1782" s="47"/>
      <c r="K1782" s="47"/>
      <c r="L1782" s="47"/>
      <c r="M1782" s="47"/>
      <c r="N1782" s="47"/>
      <c r="O1782" s="47"/>
      <c r="P1782" s="47"/>
      <c r="Q1782" s="47"/>
      <c r="R1782" s="47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>
      <c r="B1786" s="20"/>
      <c r="C1786" s="6"/>
      <c r="D1786" s="47"/>
      <c r="E1786" s="47"/>
      <c r="F1786" s="47"/>
      <c r="G1786" s="47"/>
      <c r="H1786" s="47"/>
      <c r="I1786" s="47"/>
      <c r="J1786" s="47"/>
      <c r="K1786" s="47"/>
      <c r="L1786" s="47"/>
      <c r="M1786" s="47"/>
      <c r="N1786" s="47"/>
      <c r="O1786" s="47"/>
      <c r="P1786" s="47"/>
      <c r="Q1786" s="47"/>
      <c r="R1786" s="47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>
      <c r="B1790" s="20"/>
      <c r="C1790" s="6"/>
      <c r="D1790" s="47"/>
      <c r="E1790" s="47"/>
      <c r="F1790" s="47"/>
      <c r="G1790" s="47"/>
      <c r="H1790" s="47"/>
      <c r="I1790" s="47"/>
      <c r="J1790" s="47"/>
      <c r="K1790" s="47"/>
      <c r="L1790" s="47"/>
      <c r="M1790" s="47"/>
      <c r="N1790" s="47"/>
      <c r="O1790" s="47"/>
      <c r="P1790" s="47"/>
      <c r="Q1790" s="47"/>
      <c r="R1790" s="47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>
      <c r="B1794" s="20"/>
      <c r="C1794" s="6"/>
      <c r="D1794" s="47"/>
      <c r="E1794" s="47"/>
      <c r="F1794" s="47"/>
      <c r="G1794" s="47"/>
      <c r="H1794" s="47"/>
      <c r="I1794" s="47"/>
      <c r="J1794" s="47"/>
      <c r="K1794" s="47"/>
      <c r="L1794" s="47"/>
      <c r="M1794" s="47"/>
      <c r="N1794" s="47"/>
      <c r="O1794" s="47"/>
      <c r="P1794" s="47"/>
      <c r="Q1794" s="47"/>
      <c r="R1794" s="47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>
      <c r="B1798" s="20"/>
      <c r="C1798" s="6"/>
      <c r="D1798" s="47"/>
      <c r="E1798" s="47"/>
      <c r="F1798" s="47"/>
      <c r="G1798" s="47"/>
      <c r="H1798" s="47"/>
      <c r="I1798" s="47"/>
      <c r="J1798" s="47"/>
      <c r="K1798" s="47"/>
      <c r="L1798" s="47"/>
      <c r="M1798" s="47"/>
      <c r="N1798" s="47"/>
      <c r="O1798" s="47"/>
      <c r="P1798" s="47"/>
      <c r="Q1798" s="47"/>
      <c r="R1798" s="47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>
      <c r="B1802" s="20"/>
      <c r="C1802" s="6"/>
      <c r="D1802" s="47"/>
      <c r="E1802" s="47"/>
      <c r="F1802" s="47"/>
      <c r="G1802" s="47"/>
      <c r="H1802" s="47"/>
      <c r="I1802" s="47"/>
      <c r="J1802" s="47"/>
      <c r="K1802" s="47"/>
      <c r="L1802" s="47"/>
      <c r="M1802" s="47"/>
      <c r="N1802" s="47"/>
      <c r="O1802" s="47"/>
      <c r="P1802" s="47"/>
      <c r="Q1802" s="47"/>
      <c r="R1802" s="47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>
      <c r="B1806" s="20"/>
      <c r="C1806" s="6"/>
      <c r="D1806" s="47"/>
      <c r="E1806" s="47"/>
      <c r="F1806" s="47"/>
      <c r="G1806" s="47"/>
      <c r="H1806" s="47"/>
      <c r="I1806" s="47"/>
      <c r="J1806" s="47"/>
      <c r="K1806" s="47"/>
      <c r="L1806" s="47"/>
      <c r="M1806" s="47"/>
      <c r="N1806" s="47"/>
      <c r="O1806" s="47"/>
      <c r="P1806" s="47"/>
      <c r="Q1806" s="47"/>
      <c r="R1806" s="47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>
      <c r="B1810" s="20"/>
      <c r="C1810" s="6"/>
      <c r="D1810" s="47"/>
      <c r="E1810" s="47"/>
      <c r="F1810" s="47"/>
      <c r="G1810" s="47"/>
      <c r="H1810" s="47"/>
      <c r="I1810" s="47"/>
      <c r="J1810" s="47"/>
      <c r="K1810" s="47"/>
      <c r="L1810" s="47"/>
      <c r="M1810" s="47"/>
      <c r="N1810" s="47"/>
      <c r="O1810" s="47"/>
      <c r="P1810" s="47"/>
      <c r="Q1810" s="47"/>
      <c r="R1810" s="47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>
      <c r="B1814" s="20"/>
      <c r="C1814" s="6"/>
      <c r="D1814" s="47"/>
      <c r="E1814" s="47"/>
      <c r="F1814" s="47"/>
      <c r="G1814" s="47"/>
      <c r="H1814" s="47"/>
      <c r="I1814" s="47"/>
      <c r="J1814" s="47"/>
      <c r="K1814" s="47"/>
      <c r="L1814" s="47"/>
      <c r="M1814" s="47"/>
      <c r="N1814" s="47"/>
      <c r="O1814" s="47"/>
      <c r="P1814" s="47"/>
      <c r="Q1814" s="47"/>
      <c r="R1814" s="47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>
      <c r="B1818" s="20"/>
      <c r="C1818" s="6"/>
      <c r="D1818" s="47"/>
      <c r="E1818" s="47"/>
      <c r="F1818" s="47"/>
      <c r="G1818" s="47"/>
      <c r="H1818" s="47"/>
      <c r="I1818" s="47"/>
      <c r="J1818" s="47"/>
      <c r="K1818" s="47"/>
      <c r="L1818" s="47"/>
      <c r="M1818" s="47"/>
      <c r="N1818" s="47"/>
      <c r="O1818" s="47"/>
      <c r="P1818" s="47"/>
      <c r="Q1818" s="47"/>
      <c r="R1818" s="47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>
      <c r="B1822" s="20"/>
      <c r="C1822" s="6"/>
      <c r="D1822" s="47"/>
      <c r="E1822" s="47"/>
      <c r="F1822" s="47"/>
      <c r="G1822" s="47"/>
      <c r="H1822" s="47"/>
      <c r="I1822" s="47"/>
      <c r="J1822" s="47"/>
      <c r="K1822" s="47"/>
      <c r="L1822" s="47"/>
      <c r="M1822" s="47"/>
      <c r="N1822" s="47"/>
      <c r="O1822" s="47"/>
      <c r="P1822" s="47"/>
      <c r="Q1822" s="47"/>
      <c r="R1822" s="47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>
      <c r="B1826" s="20"/>
      <c r="C1826" s="6"/>
      <c r="D1826" s="47"/>
      <c r="E1826" s="47"/>
      <c r="F1826" s="47"/>
      <c r="G1826" s="47"/>
      <c r="H1826" s="47"/>
      <c r="I1826" s="47"/>
      <c r="J1826" s="47"/>
      <c r="K1826" s="47"/>
      <c r="L1826" s="47"/>
      <c r="M1826" s="47"/>
      <c r="N1826" s="47"/>
      <c r="O1826" s="47"/>
      <c r="P1826" s="47"/>
      <c r="Q1826" s="47"/>
      <c r="R1826" s="47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>
      <c r="B1830" s="20"/>
      <c r="C1830" s="6"/>
      <c r="D1830" s="47"/>
      <c r="E1830" s="47"/>
      <c r="F1830" s="47"/>
      <c r="G1830" s="47"/>
      <c r="H1830" s="47"/>
      <c r="I1830" s="47"/>
      <c r="J1830" s="47"/>
      <c r="K1830" s="47"/>
      <c r="L1830" s="47"/>
      <c r="M1830" s="47"/>
      <c r="N1830" s="47"/>
      <c r="O1830" s="47"/>
      <c r="P1830" s="47"/>
      <c r="Q1830" s="47"/>
      <c r="R1830" s="47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>
      <c r="B1834" s="20"/>
      <c r="C1834" s="6"/>
      <c r="D1834" s="47"/>
      <c r="E1834" s="47"/>
      <c r="F1834" s="47"/>
      <c r="G1834" s="47"/>
      <c r="H1834" s="47"/>
      <c r="I1834" s="47"/>
      <c r="J1834" s="47"/>
      <c r="K1834" s="47"/>
      <c r="L1834" s="47"/>
      <c r="M1834" s="47"/>
      <c r="N1834" s="47"/>
      <c r="O1834" s="47"/>
      <c r="P1834" s="47"/>
      <c r="Q1834" s="47"/>
      <c r="R1834" s="47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>
      <c r="B1838" s="20"/>
      <c r="C1838" s="6"/>
      <c r="D1838" s="47"/>
      <c r="E1838" s="47"/>
      <c r="F1838" s="47"/>
      <c r="G1838" s="47"/>
      <c r="H1838" s="47"/>
      <c r="I1838" s="47"/>
      <c r="J1838" s="47"/>
      <c r="K1838" s="47"/>
      <c r="L1838" s="47"/>
      <c r="M1838" s="47"/>
      <c r="N1838" s="47"/>
      <c r="O1838" s="47"/>
      <c r="P1838" s="47"/>
      <c r="Q1838" s="47"/>
      <c r="R1838" s="47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>
      <c r="B1842" s="20"/>
      <c r="C1842" s="6"/>
      <c r="D1842" s="47"/>
      <c r="E1842" s="47"/>
      <c r="F1842" s="47"/>
      <c r="G1842" s="47"/>
      <c r="H1842" s="47"/>
      <c r="I1842" s="47"/>
      <c r="J1842" s="47"/>
      <c r="K1842" s="47"/>
      <c r="L1842" s="47"/>
      <c r="M1842" s="47"/>
      <c r="N1842" s="47"/>
      <c r="O1842" s="47"/>
      <c r="P1842" s="47"/>
      <c r="Q1842" s="47"/>
      <c r="R1842" s="47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>
      <c r="B1846" s="20"/>
      <c r="C1846" s="6"/>
      <c r="D1846" s="47"/>
      <c r="E1846" s="47"/>
      <c r="F1846" s="47"/>
      <c r="G1846" s="47"/>
      <c r="H1846" s="47"/>
      <c r="I1846" s="47"/>
      <c r="J1846" s="47"/>
      <c r="K1846" s="47"/>
      <c r="L1846" s="47"/>
      <c r="M1846" s="47"/>
      <c r="N1846" s="47"/>
      <c r="O1846" s="47"/>
      <c r="P1846" s="47"/>
      <c r="Q1846" s="47"/>
      <c r="R1846" s="47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>
      <c r="B1850" s="20"/>
      <c r="C1850" s="6"/>
      <c r="D1850" s="47"/>
      <c r="E1850" s="47"/>
      <c r="F1850" s="47"/>
      <c r="G1850" s="47"/>
      <c r="H1850" s="47"/>
      <c r="I1850" s="47"/>
      <c r="J1850" s="47"/>
      <c r="K1850" s="47"/>
      <c r="L1850" s="47"/>
      <c r="M1850" s="47"/>
      <c r="N1850" s="47"/>
      <c r="O1850" s="47"/>
      <c r="P1850" s="47"/>
      <c r="Q1850" s="47"/>
      <c r="R1850" s="47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>
      <c r="B1854" s="20"/>
      <c r="C1854" s="6"/>
      <c r="D1854" s="47"/>
      <c r="E1854" s="47"/>
      <c r="F1854" s="47"/>
      <c r="G1854" s="47"/>
      <c r="H1854" s="47"/>
      <c r="I1854" s="47"/>
      <c r="J1854" s="47"/>
      <c r="K1854" s="47"/>
      <c r="L1854" s="47"/>
      <c r="M1854" s="47"/>
      <c r="N1854" s="47"/>
      <c r="O1854" s="47"/>
      <c r="P1854" s="47"/>
      <c r="Q1854" s="47"/>
      <c r="R1854" s="47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>
      <c r="B1858" s="20"/>
      <c r="C1858" s="6"/>
      <c r="D1858" s="47"/>
      <c r="E1858" s="47"/>
      <c r="F1858" s="47"/>
      <c r="G1858" s="47"/>
      <c r="H1858" s="47"/>
      <c r="I1858" s="47"/>
      <c r="J1858" s="47"/>
      <c r="K1858" s="47"/>
      <c r="L1858" s="47"/>
      <c r="M1858" s="47"/>
      <c r="N1858" s="47"/>
      <c r="O1858" s="47"/>
      <c r="P1858" s="47"/>
      <c r="Q1858" s="47"/>
      <c r="R1858" s="47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>
      <c r="B1862" s="20"/>
      <c r="C1862" s="6"/>
      <c r="D1862" s="47"/>
      <c r="E1862" s="47"/>
      <c r="F1862" s="47"/>
      <c r="G1862" s="47"/>
      <c r="H1862" s="47"/>
      <c r="I1862" s="47"/>
      <c r="J1862" s="47"/>
      <c r="K1862" s="47"/>
      <c r="L1862" s="47"/>
      <c r="M1862" s="47"/>
      <c r="N1862" s="47"/>
      <c r="O1862" s="47"/>
      <c r="P1862" s="47"/>
      <c r="Q1862" s="47"/>
      <c r="R1862" s="47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>
      <c r="B1866" s="20"/>
      <c r="C1866" s="6"/>
      <c r="D1866" s="47"/>
      <c r="E1866" s="47"/>
      <c r="F1866" s="47"/>
      <c r="G1866" s="47"/>
      <c r="H1866" s="47"/>
      <c r="I1866" s="47"/>
      <c r="J1866" s="47"/>
      <c r="K1866" s="47"/>
      <c r="L1866" s="47"/>
      <c r="M1866" s="47"/>
      <c r="N1866" s="47"/>
      <c r="O1866" s="47"/>
      <c r="P1866" s="47"/>
      <c r="Q1866" s="47"/>
      <c r="R1866" s="47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>
      <c r="B1870" s="20"/>
      <c r="C1870" s="6"/>
      <c r="D1870" s="47"/>
      <c r="E1870" s="47"/>
      <c r="F1870" s="47"/>
      <c r="G1870" s="47"/>
      <c r="H1870" s="47"/>
      <c r="I1870" s="47"/>
      <c r="J1870" s="47"/>
      <c r="K1870" s="47"/>
      <c r="L1870" s="47"/>
      <c r="M1870" s="47"/>
      <c r="N1870" s="47"/>
      <c r="O1870" s="47"/>
      <c r="P1870" s="47"/>
      <c r="Q1870" s="47"/>
      <c r="R1870" s="47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>
      <c r="B1874" s="20"/>
      <c r="C1874" s="6"/>
      <c r="D1874" s="47"/>
      <c r="E1874" s="47"/>
      <c r="F1874" s="47"/>
      <c r="G1874" s="47"/>
      <c r="H1874" s="47"/>
      <c r="I1874" s="47"/>
      <c r="J1874" s="47"/>
      <c r="K1874" s="47"/>
      <c r="L1874" s="47"/>
      <c r="M1874" s="47"/>
      <c r="N1874" s="47"/>
      <c r="O1874" s="47"/>
      <c r="P1874" s="47"/>
      <c r="Q1874" s="47"/>
      <c r="R1874" s="47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>
      <c r="B1878" s="20"/>
      <c r="C1878" s="6"/>
      <c r="D1878" s="47"/>
      <c r="E1878" s="47"/>
      <c r="F1878" s="47"/>
      <c r="G1878" s="47"/>
      <c r="H1878" s="47"/>
      <c r="I1878" s="47"/>
      <c r="J1878" s="47"/>
      <c r="K1878" s="47"/>
      <c r="L1878" s="47"/>
      <c r="M1878" s="47"/>
      <c r="N1878" s="47"/>
      <c r="O1878" s="47"/>
      <c r="P1878" s="47"/>
      <c r="Q1878" s="47"/>
      <c r="R1878" s="47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>
      <c r="B1882" s="20"/>
      <c r="C1882" s="6"/>
      <c r="D1882" s="47"/>
      <c r="E1882" s="47"/>
      <c r="F1882" s="47"/>
      <c r="G1882" s="47"/>
      <c r="H1882" s="47"/>
      <c r="I1882" s="47"/>
      <c r="J1882" s="47"/>
      <c r="K1882" s="47"/>
      <c r="L1882" s="47"/>
      <c r="M1882" s="47"/>
      <c r="N1882" s="47"/>
      <c r="O1882" s="47"/>
      <c r="P1882" s="47"/>
      <c r="Q1882" s="47"/>
      <c r="R1882" s="47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>
      <c r="B1886" s="20"/>
      <c r="C1886" s="6"/>
      <c r="D1886" s="47"/>
      <c r="E1886" s="47"/>
      <c r="F1886" s="47"/>
      <c r="G1886" s="47"/>
      <c r="H1886" s="47"/>
      <c r="I1886" s="47"/>
      <c r="J1886" s="47"/>
      <c r="K1886" s="47"/>
      <c r="L1886" s="47"/>
      <c r="M1886" s="47"/>
      <c r="N1886" s="47"/>
      <c r="O1886" s="47"/>
      <c r="P1886" s="47"/>
      <c r="Q1886" s="47"/>
      <c r="R1886" s="47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>
      <c r="B1890" s="20"/>
      <c r="C1890" s="6"/>
      <c r="D1890" s="47"/>
      <c r="E1890" s="47"/>
      <c r="F1890" s="47"/>
      <c r="G1890" s="47"/>
      <c r="H1890" s="47"/>
      <c r="I1890" s="47"/>
      <c r="J1890" s="47"/>
      <c r="K1890" s="47"/>
      <c r="L1890" s="47"/>
      <c r="M1890" s="47"/>
      <c r="N1890" s="47"/>
      <c r="O1890" s="47"/>
      <c r="P1890" s="47"/>
      <c r="Q1890" s="47"/>
      <c r="R1890" s="47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>
      <c r="B1894" s="20"/>
      <c r="C1894" s="6"/>
      <c r="D1894" s="47"/>
      <c r="E1894" s="47"/>
      <c r="F1894" s="47"/>
      <c r="G1894" s="47"/>
      <c r="H1894" s="47"/>
      <c r="I1894" s="47"/>
      <c r="J1894" s="47"/>
      <c r="K1894" s="47"/>
      <c r="L1894" s="47"/>
      <c r="M1894" s="47"/>
      <c r="N1894" s="47"/>
      <c r="O1894" s="47"/>
      <c r="P1894" s="47"/>
      <c r="Q1894" s="47"/>
      <c r="R1894" s="47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>
      <c r="B1898" s="20"/>
      <c r="C1898" s="6"/>
      <c r="D1898" s="47"/>
      <c r="E1898" s="47"/>
      <c r="F1898" s="47"/>
      <c r="G1898" s="47"/>
      <c r="H1898" s="47"/>
      <c r="I1898" s="47"/>
      <c r="J1898" s="47"/>
      <c r="K1898" s="47"/>
      <c r="L1898" s="47"/>
      <c r="M1898" s="47"/>
      <c r="N1898" s="47"/>
      <c r="O1898" s="47"/>
      <c r="P1898" s="47"/>
      <c r="Q1898" s="47"/>
      <c r="R1898" s="47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>
      <c r="B1902" s="20"/>
      <c r="C1902" s="6"/>
      <c r="D1902" s="47"/>
      <c r="E1902" s="47"/>
      <c r="F1902" s="47"/>
      <c r="G1902" s="47"/>
      <c r="H1902" s="47"/>
      <c r="I1902" s="47"/>
      <c r="J1902" s="47"/>
      <c r="K1902" s="47"/>
      <c r="L1902" s="47"/>
      <c r="M1902" s="47"/>
      <c r="N1902" s="47"/>
      <c r="O1902" s="47"/>
      <c r="P1902" s="47"/>
      <c r="Q1902" s="47"/>
      <c r="R1902" s="47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>
      <c r="B1906" s="20"/>
      <c r="C1906" s="6"/>
      <c r="D1906" s="47"/>
      <c r="E1906" s="47"/>
      <c r="F1906" s="47"/>
      <c r="G1906" s="47"/>
      <c r="H1906" s="47"/>
      <c r="I1906" s="47"/>
      <c r="J1906" s="47"/>
      <c r="K1906" s="47"/>
      <c r="L1906" s="47"/>
      <c r="M1906" s="47"/>
      <c r="N1906" s="47"/>
      <c r="O1906" s="47"/>
      <c r="P1906" s="47"/>
      <c r="Q1906" s="47"/>
      <c r="R1906" s="47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>
      <c r="B1910" s="20"/>
      <c r="C1910" s="6"/>
      <c r="D1910" s="47"/>
      <c r="E1910" s="47"/>
      <c r="F1910" s="47"/>
      <c r="G1910" s="47"/>
      <c r="H1910" s="47"/>
      <c r="I1910" s="47"/>
      <c r="J1910" s="47"/>
      <c r="K1910" s="47"/>
      <c r="L1910" s="47"/>
      <c r="M1910" s="47"/>
      <c r="N1910" s="47"/>
      <c r="O1910" s="47"/>
      <c r="P1910" s="47"/>
      <c r="Q1910" s="47"/>
      <c r="R1910" s="47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>
      <c r="B1914" s="20"/>
      <c r="C1914" s="6"/>
      <c r="D1914" s="47"/>
      <c r="E1914" s="47"/>
      <c r="F1914" s="47"/>
      <c r="G1914" s="47"/>
      <c r="H1914" s="47"/>
      <c r="I1914" s="47"/>
      <c r="J1914" s="47"/>
      <c r="K1914" s="47"/>
      <c r="L1914" s="47"/>
      <c r="M1914" s="47"/>
      <c r="N1914" s="47"/>
      <c r="O1914" s="47"/>
      <c r="P1914" s="47"/>
      <c r="Q1914" s="47"/>
      <c r="R1914" s="47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>
      <c r="B1918" s="20"/>
      <c r="C1918" s="6"/>
      <c r="D1918" s="47"/>
      <c r="E1918" s="47"/>
      <c r="F1918" s="47"/>
      <c r="G1918" s="47"/>
      <c r="H1918" s="47"/>
      <c r="I1918" s="47"/>
      <c r="J1918" s="47"/>
      <c r="K1918" s="47"/>
      <c r="L1918" s="47"/>
      <c r="M1918" s="47"/>
      <c r="N1918" s="47"/>
      <c r="O1918" s="47"/>
      <c r="P1918" s="47"/>
      <c r="Q1918" s="47"/>
      <c r="R1918" s="47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>
      <c r="B1922" s="20"/>
      <c r="C1922" s="6"/>
      <c r="D1922" s="47"/>
      <c r="E1922" s="47"/>
      <c r="F1922" s="47"/>
      <c r="G1922" s="47"/>
      <c r="H1922" s="47"/>
      <c r="I1922" s="47"/>
      <c r="J1922" s="47"/>
      <c r="K1922" s="47"/>
      <c r="L1922" s="47"/>
      <c r="M1922" s="47"/>
      <c r="N1922" s="47"/>
      <c r="O1922" s="47"/>
      <c r="P1922" s="47"/>
      <c r="Q1922" s="47"/>
      <c r="R1922" s="47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>
      <c r="B1926" s="20"/>
      <c r="C1926" s="6"/>
      <c r="D1926" s="47"/>
      <c r="E1926" s="47"/>
      <c r="F1926" s="47"/>
      <c r="G1926" s="47"/>
      <c r="H1926" s="47"/>
      <c r="I1926" s="47"/>
      <c r="J1926" s="47"/>
      <c r="K1926" s="47"/>
      <c r="L1926" s="47"/>
      <c r="M1926" s="47"/>
      <c r="N1926" s="47"/>
      <c r="O1926" s="47"/>
      <c r="P1926" s="47"/>
      <c r="Q1926" s="47"/>
      <c r="R1926" s="47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>
      <c r="B1930" s="20"/>
      <c r="C1930" s="6"/>
      <c r="D1930" s="47"/>
      <c r="E1930" s="47"/>
      <c r="F1930" s="47"/>
      <c r="G1930" s="47"/>
      <c r="H1930" s="47"/>
      <c r="I1930" s="47"/>
      <c r="J1930" s="47"/>
      <c r="K1930" s="47"/>
      <c r="L1930" s="47"/>
      <c r="M1930" s="47"/>
      <c r="N1930" s="47"/>
      <c r="O1930" s="47"/>
      <c r="P1930" s="47"/>
      <c r="Q1930" s="47"/>
      <c r="R1930" s="47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>
      <c r="B1934" s="20"/>
      <c r="C1934" s="6"/>
      <c r="D1934" s="47"/>
      <c r="E1934" s="47"/>
      <c r="F1934" s="47"/>
      <c r="G1934" s="47"/>
      <c r="H1934" s="47"/>
      <c r="I1934" s="47"/>
      <c r="J1934" s="47"/>
      <c r="K1934" s="47"/>
      <c r="L1934" s="47"/>
      <c r="M1934" s="47"/>
      <c r="N1934" s="47"/>
      <c r="O1934" s="47"/>
      <c r="P1934" s="47"/>
      <c r="Q1934" s="47"/>
      <c r="R1934" s="47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>
      <c r="B1938" s="20"/>
      <c r="C1938" s="6"/>
      <c r="D1938" s="47"/>
      <c r="E1938" s="47"/>
      <c r="F1938" s="47"/>
      <c r="G1938" s="47"/>
      <c r="H1938" s="47"/>
      <c r="I1938" s="47"/>
      <c r="J1938" s="47"/>
      <c r="K1938" s="47"/>
      <c r="L1938" s="47"/>
      <c r="M1938" s="47"/>
      <c r="N1938" s="47"/>
      <c r="O1938" s="47"/>
      <c r="P1938" s="47"/>
      <c r="Q1938" s="47"/>
      <c r="R1938" s="47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>
      <c r="B1942" s="20"/>
      <c r="C1942" s="6"/>
      <c r="D1942" s="47"/>
      <c r="E1942" s="47"/>
      <c r="F1942" s="47"/>
      <c r="G1942" s="47"/>
      <c r="H1942" s="47"/>
      <c r="I1942" s="47"/>
      <c r="J1942" s="47"/>
      <c r="K1942" s="47"/>
      <c r="L1942" s="47"/>
      <c r="M1942" s="47"/>
      <c r="N1942" s="47"/>
      <c r="O1942" s="47"/>
      <c r="P1942" s="47"/>
      <c r="Q1942" s="47"/>
      <c r="R1942" s="47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>
      <c r="B1946" s="20"/>
      <c r="C1946" s="6"/>
      <c r="D1946" s="47"/>
      <c r="E1946" s="47"/>
      <c r="F1946" s="47"/>
      <c r="G1946" s="47"/>
      <c r="H1946" s="47"/>
      <c r="I1946" s="47"/>
      <c r="J1946" s="47"/>
      <c r="K1946" s="47"/>
      <c r="L1946" s="47"/>
      <c r="M1946" s="47"/>
      <c r="N1946" s="47"/>
      <c r="O1946" s="47"/>
      <c r="P1946" s="47"/>
      <c r="Q1946" s="47"/>
      <c r="R1946" s="47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>
      <c r="B1950" s="20"/>
      <c r="C1950" s="6"/>
      <c r="D1950" s="47"/>
      <c r="E1950" s="47"/>
      <c r="F1950" s="47"/>
      <c r="G1950" s="47"/>
      <c r="H1950" s="47"/>
      <c r="I1950" s="47"/>
      <c r="J1950" s="47"/>
      <c r="K1950" s="47"/>
      <c r="L1950" s="47"/>
      <c r="M1950" s="47"/>
      <c r="N1950" s="47"/>
      <c r="O1950" s="47"/>
      <c r="P1950" s="47"/>
      <c r="Q1950" s="47"/>
      <c r="R1950" s="47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>
      <c r="B1954" s="20"/>
      <c r="C1954" s="6"/>
      <c r="D1954" s="47"/>
      <c r="E1954" s="47"/>
      <c r="F1954" s="47"/>
      <c r="G1954" s="47"/>
      <c r="H1954" s="47"/>
      <c r="I1954" s="47"/>
      <c r="J1954" s="47"/>
      <c r="K1954" s="47"/>
      <c r="L1954" s="47"/>
      <c r="M1954" s="47"/>
      <c r="N1954" s="47"/>
      <c r="O1954" s="47"/>
      <c r="P1954" s="47"/>
      <c r="Q1954" s="47"/>
      <c r="R1954" s="47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>
      <c r="B1958" s="20"/>
      <c r="C1958" s="6"/>
      <c r="D1958" s="47"/>
      <c r="E1958" s="47"/>
      <c r="F1958" s="47"/>
      <c r="G1958" s="47"/>
      <c r="H1958" s="47"/>
      <c r="I1958" s="47"/>
      <c r="J1958" s="47"/>
      <c r="K1958" s="47"/>
      <c r="L1958" s="47"/>
      <c r="M1958" s="47"/>
      <c r="N1958" s="47"/>
      <c r="O1958" s="47"/>
      <c r="P1958" s="47"/>
      <c r="Q1958" s="47"/>
      <c r="R1958" s="47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>
      <c r="B1962" s="20"/>
      <c r="C1962" s="6"/>
      <c r="D1962" s="47"/>
      <c r="E1962" s="47"/>
      <c r="F1962" s="47"/>
      <c r="G1962" s="47"/>
      <c r="H1962" s="47"/>
      <c r="I1962" s="47"/>
      <c r="J1962" s="47"/>
      <c r="K1962" s="47"/>
      <c r="L1962" s="47"/>
      <c r="M1962" s="47"/>
      <c r="N1962" s="47"/>
      <c r="O1962" s="47"/>
      <c r="P1962" s="47"/>
      <c r="Q1962" s="47"/>
      <c r="R1962" s="47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>
      <c r="B1966" s="20"/>
      <c r="C1966" s="6"/>
      <c r="D1966" s="47"/>
      <c r="E1966" s="47"/>
      <c r="F1966" s="47"/>
      <c r="G1966" s="47"/>
      <c r="H1966" s="47"/>
      <c r="I1966" s="47"/>
      <c r="J1966" s="47"/>
      <c r="K1966" s="47"/>
      <c r="L1966" s="47"/>
      <c r="M1966" s="47"/>
      <c r="N1966" s="47"/>
      <c r="O1966" s="47"/>
      <c r="P1966" s="47"/>
      <c r="Q1966" s="47"/>
      <c r="R1966" s="47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>
      <c r="B1970" s="20"/>
      <c r="C1970" s="6"/>
      <c r="D1970" s="47"/>
      <c r="E1970" s="47"/>
      <c r="F1970" s="47"/>
      <c r="G1970" s="47"/>
      <c r="H1970" s="47"/>
      <c r="I1970" s="47"/>
      <c r="J1970" s="47"/>
      <c r="K1970" s="47"/>
      <c r="L1970" s="47"/>
      <c r="M1970" s="47"/>
      <c r="N1970" s="47"/>
      <c r="O1970" s="47"/>
      <c r="P1970" s="47"/>
      <c r="Q1970" s="47"/>
      <c r="R1970" s="47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>
      <c r="B1974" s="20"/>
      <c r="C1974" s="6"/>
      <c r="D1974" s="47"/>
      <c r="E1974" s="47"/>
      <c r="F1974" s="47"/>
      <c r="G1974" s="47"/>
      <c r="H1974" s="47"/>
      <c r="I1974" s="47"/>
      <c r="J1974" s="47"/>
      <c r="K1974" s="47"/>
      <c r="L1974" s="47"/>
      <c r="M1974" s="47"/>
      <c r="N1974" s="47"/>
      <c r="O1974" s="47"/>
      <c r="P1974" s="47"/>
      <c r="Q1974" s="47"/>
      <c r="R1974" s="47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>
      <c r="B1978" s="20"/>
      <c r="C1978" s="6"/>
      <c r="D1978" s="47"/>
      <c r="E1978" s="47"/>
      <c r="F1978" s="47"/>
      <c r="G1978" s="47"/>
      <c r="H1978" s="47"/>
      <c r="I1978" s="47"/>
      <c r="J1978" s="47"/>
      <c r="K1978" s="47"/>
      <c r="L1978" s="47"/>
      <c r="M1978" s="47"/>
      <c r="N1978" s="47"/>
      <c r="O1978" s="47"/>
      <c r="P1978" s="47"/>
      <c r="Q1978" s="47"/>
      <c r="R1978" s="47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>
      <c r="B1982" s="20"/>
      <c r="C1982" s="6"/>
      <c r="D1982" s="47"/>
      <c r="E1982" s="47"/>
      <c r="F1982" s="47"/>
      <c r="G1982" s="47"/>
      <c r="H1982" s="47"/>
      <c r="I1982" s="47"/>
      <c r="J1982" s="47"/>
      <c r="K1982" s="47"/>
      <c r="L1982" s="47"/>
      <c r="M1982" s="47"/>
      <c r="N1982" s="47"/>
      <c r="O1982" s="47"/>
      <c r="P1982" s="47"/>
      <c r="Q1982" s="47"/>
      <c r="R1982" s="47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>
      <c r="B1986" s="20"/>
      <c r="C1986" s="6"/>
      <c r="D1986" s="47"/>
      <c r="E1986" s="47"/>
      <c r="F1986" s="47"/>
      <c r="G1986" s="47"/>
      <c r="H1986" s="47"/>
      <c r="I1986" s="47"/>
      <c r="J1986" s="47"/>
      <c r="K1986" s="47"/>
      <c r="L1986" s="47"/>
      <c r="M1986" s="47"/>
      <c r="N1986" s="47"/>
      <c r="O1986" s="47"/>
      <c r="P1986" s="47"/>
      <c r="Q1986" s="47"/>
      <c r="R1986" s="47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>
      <c r="B1990" s="20"/>
      <c r="C1990" s="6"/>
      <c r="D1990" s="47"/>
      <c r="E1990" s="47"/>
      <c r="F1990" s="47"/>
      <c r="G1990" s="47"/>
      <c r="H1990" s="47"/>
      <c r="I1990" s="47"/>
      <c r="J1990" s="47"/>
      <c r="K1990" s="47"/>
      <c r="L1990" s="47"/>
      <c r="M1990" s="47"/>
      <c r="N1990" s="47"/>
      <c r="O1990" s="47"/>
      <c r="P1990" s="47"/>
      <c r="Q1990" s="47"/>
      <c r="R1990" s="47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>
      <c r="B1994" s="20"/>
      <c r="C1994" s="6"/>
      <c r="D1994" s="47"/>
      <c r="E1994" s="47"/>
      <c r="F1994" s="47"/>
      <c r="G1994" s="47"/>
      <c r="H1994" s="47"/>
      <c r="I1994" s="47"/>
      <c r="J1994" s="47"/>
      <c r="K1994" s="47"/>
      <c r="L1994" s="47"/>
      <c r="M1994" s="47"/>
      <c r="N1994" s="47"/>
      <c r="O1994" s="47"/>
      <c r="P1994" s="47"/>
      <c r="Q1994" s="47"/>
      <c r="R1994" s="47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>
      <c r="B1998" s="20"/>
      <c r="C1998" s="6"/>
      <c r="D1998" s="47"/>
      <c r="E1998" s="47"/>
      <c r="F1998" s="47"/>
      <c r="G1998" s="47"/>
      <c r="H1998" s="47"/>
      <c r="I1998" s="47"/>
      <c r="J1998" s="47"/>
      <c r="K1998" s="47"/>
      <c r="L1998" s="47"/>
      <c r="M1998" s="47"/>
      <c r="N1998" s="47"/>
      <c r="O1998" s="47"/>
      <c r="P1998" s="47"/>
      <c r="Q1998" s="47"/>
      <c r="R1998" s="47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>
      <c r="B2002" s="20"/>
      <c r="C2002" s="6"/>
      <c r="D2002" s="47"/>
      <c r="E2002" s="47"/>
      <c r="F2002" s="47"/>
      <c r="G2002" s="47"/>
      <c r="H2002" s="47"/>
      <c r="I2002" s="47"/>
      <c r="J2002" s="47"/>
      <c r="K2002" s="47"/>
      <c r="L2002" s="47"/>
      <c r="M2002" s="47"/>
      <c r="N2002" s="47"/>
      <c r="O2002" s="47"/>
      <c r="P2002" s="47"/>
      <c r="Q2002" s="47"/>
      <c r="R2002" s="47"/>
    </row>
  </sheetData>
  <mergeCells count="1">
    <mergeCell ref="V3:V82"/>
  </mergeCells>
  <phoneticPr fontId="1" type="noConversion"/>
  <conditionalFormatting sqref="D3:R3 D203:R203">
    <cfRule type="expression" dxfId="7" priority="1">
      <formula>顯示注音輸入</formula>
    </cfRule>
    <cfRule type="expression" dxfId="6" priority="2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">
    <cfRule type="expression" dxfId="5" priority="3">
      <formula>顯示注音輸入</formula>
    </cfRule>
    <cfRule type="expression" dxfId="4" priority="4">
      <formula>"'= TRUE(顯示注音輸入)"</formula>
    </cfRule>
  </conditionalFormatting>
  <conditionalFormatting sqref="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3" priority="5">
      <formula>顯示注音輸入</formula>
    </cfRule>
    <cfRule type="expression" dxfId="2" priority="6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A4D2-B66E-4C95-83DC-9255BE7A4517}">
  <dimension ref="A1:V2002"/>
  <sheetViews>
    <sheetView showGridLines="0" zoomScale="70" zoomScaleNormal="70" workbookViewId="0">
      <pane xSplit="3" ySplit="1" topLeftCell="D13" activePane="bottomRight" state="frozen"/>
      <selection pane="topRight" activeCell="D1" sqref="D1"/>
      <selection pane="bottomLeft" activeCell="A2" sqref="A2"/>
      <selection pane="bottomRight" activeCell="F23" sqref="F2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75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85" t="s">
        <v>111</v>
      </c>
    </row>
    <row r="4" spans="1:22" s="6" customFormat="1" ht="36" customHeight="1">
      <c r="B4" s="16"/>
      <c r="D4" s="46"/>
      <c r="E4" s="46" t="s">
        <v>180</v>
      </c>
      <c r="F4" s="46" t="s">
        <v>182</v>
      </c>
      <c r="G4" s="46" t="s">
        <v>184</v>
      </c>
      <c r="H4" s="46"/>
      <c r="I4" s="46" t="s">
        <v>186</v>
      </c>
      <c r="J4" s="46" t="s">
        <v>188</v>
      </c>
      <c r="K4" s="46" t="s">
        <v>190</v>
      </c>
      <c r="L4" s="46" t="s">
        <v>192</v>
      </c>
      <c r="M4" s="46"/>
      <c r="N4" s="46"/>
      <c r="O4" s="46"/>
      <c r="P4" s="46"/>
      <c r="Q4" s="46"/>
      <c r="R4" s="46"/>
      <c r="S4" s="17"/>
      <c r="V4" s="86"/>
    </row>
    <row r="5" spans="1:22" s="6" customFormat="1" ht="80.099999999999994" customHeight="1">
      <c r="B5" s="18">
        <v>1</v>
      </c>
      <c r="D5" s="36" t="s">
        <v>59</v>
      </c>
      <c r="E5" s="36" t="s">
        <v>60</v>
      </c>
      <c r="F5" s="36" t="s">
        <v>61</v>
      </c>
      <c r="G5" s="36" t="s">
        <v>55</v>
      </c>
      <c r="H5" s="36" t="s">
        <v>19</v>
      </c>
      <c r="I5" s="36" t="s">
        <v>62</v>
      </c>
      <c r="J5" s="36" t="s">
        <v>63</v>
      </c>
      <c r="K5" s="36" t="s">
        <v>64</v>
      </c>
      <c r="L5" s="36" t="s">
        <v>65</v>
      </c>
      <c r="M5" s="36" t="s">
        <v>66</v>
      </c>
      <c r="N5" s="36" t="str">
        <f>CHAR(10)</f>
        <v xml:space="preserve">
</v>
      </c>
      <c r="O5" s="36"/>
      <c r="P5" s="36"/>
      <c r="Q5" s="36"/>
      <c r="R5" s="36"/>
      <c r="S5" s="19"/>
      <c r="V5" s="86"/>
    </row>
    <row r="6" spans="1:22" s="23" customFormat="1" ht="36" customHeight="1">
      <c r="B6" s="20"/>
      <c r="C6" s="21"/>
      <c r="D6" s="81"/>
      <c r="E6" s="81" t="s">
        <v>181</v>
      </c>
      <c r="F6" s="81" t="s">
        <v>183</v>
      </c>
      <c r="G6" s="81" t="s">
        <v>185</v>
      </c>
      <c r="H6" s="81"/>
      <c r="I6" s="81" t="s">
        <v>187</v>
      </c>
      <c r="J6" s="81" t="s">
        <v>189</v>
      </c>
      <c r="K6" s="81" t="s">
        <v>191</v>
      </c>
      <c r="L6" s="81" t="s">
        <v>193</v>
      </c>
      <c r="M6" s="81"/>
      <c r="N6" s="81"/>
      <c r="O6" s="81"/>
      <c r="P6" s="81"/>
      <c r="Q6" s="81"/>
      <c r="R6" s="81"/>
      <c r="S6" s="22"/>
      <c r="V6" s="86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86"/>
    </row>
    <row r="8" spans="1:22" s="6" customFormat="1" ht="36" customHeight="1">
      <c r="B8" s="16"/>
      <c r="D8" s="46" t="s">
        <v>194</v>
      </c>
      <c r="E8" s="46" t="s">
        <v>188</v>
      </c>
      <c r="F8" s="46" t="s">
        <v>196</v>
      </c>
      <c r="G8" s="46" t="s">
        <v>167</v>
      </c>
      <c r="H8" s="46" t="s">
        <v>190</v>
      </c>
      <c r="I8" s="46" t="s">
        <v>199</v>
      </c>
      <c r="J8" s="46"/>
      <c r="K8" s="46" t="s">
        <v>201</v>
      </c>
      <c r="L8" s="46" t="s">
        <v>203</v>
      </c>
      <c r="M8" s="46" t="s">
        <v>170</v>
      </c>
      <c r="N8" s="46"/>
      <c r="O8" s="46" t="s">
        <v>206</v>
      </c>
      <c r="P8" s="46" t="s">
        <v>208</v>
      </c>
      <c r="Q8" s="46" t="s">
        <v>210</v>
      </c>
      <c r="R8" s="46" t="s">
        <v>212</v>
      </c>
      <c r="S8" s="17"/>
      <c r="V8" s="86"/>
    </row>
    <row r="9" spans="1:22" s="6" customFormat="1" ht="80.099999999999994" customHeight="1">
      <c r="B9" s="18">
        <f>B5+1</f>
        <v>2</v>
      </c>
      <c r="D9" s="36" t="s">
        <v>34</v>
      </c>
      <c r="E9" s="36" t="s">
        <v>63</v>
      </c>
      <c r="F9" s="36" t="s">
        <v>67</v>
      </c>
      <c r="G9" s="36" t="s">
        <v>68</v>
      </c>
      <c r="H9" s="36" t="s">
        <v>64</v>
      </c>
      <c r="I9" s="36" t="s">
        <v>69</v>
      </c>
      <c r="J9" s="36" t="s">
        <v>18</v>
      </c>
      <c r="K9" s="36" t="s">
        <v>70</v>
      </c>
      <c r="L9" s="36" t="s">
        <v>30</v>
      </c>
      <c r="M9" s="36" t="s">
        <v>31</v>
      </c>
      <c r="N9" s="36" t="s">
        <v>18</v>
      </c>
      <c r="O9" s="36" t="s">
        <v>33</v>
      </c>
      <c r="P9" s="36" t="s">
        <v>54</v>
      </c>
      <c r="Q9" s="36" t="s">
        <v>32</v>
      </c>
      <c r="R9" s="36" t="s">
        <v>71</v>
      </c>
      <c r="S9" s="19"/>
      <c r="T9" s="15"/>
      <c r="V9" s="86"/>
    </row>
    <row r="10" spans="1:22" s="6" customFormat="1" ht="36" customHeight="1">
      <c r="B10" s="20"/>
      <c r="D10" s="81" t="s">
        <v>195</v>
      </c>
      <c r="E10" s="81" t="s">
        <v>189</v>
      </c>
      <c r="F10" s="81" t="s">
        <v>197</v>
      </c>
      <c r="G10" s="81" t="s">
        <v>198</v>
      </c>
      <c r="H10" s="81" t="s">
        <v>191</v>
      </c>
      <c r="I10" s="81" t="s">
        <v>200</v>
      </c>
      <c r="J10" s="81"/>
      <c r="K10" s="81" t="s">
        <v>202</v>
      </c>
      <c r="L10" s="81" t="s">
        <v>204</v>
      </c>
      <c r="M10" s="81" t="s">
        <v>205</v>
      </c>
      <c r="N10" s="81"/>
      <c r="O10" s="81" t="s">
        <v>207</v>
      </c>
      <c r="P10" s="81" t="s">
        <v>209</v>
      </c>
      <c r="Q10" s="81" t="s">
        <v>211</v>
      </c>
      <c r="R10" s="81" t="s">
        <v>213</v>
      </c>
      <c r="S10" s="28"/>
      <c r="V10" s="86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86"/>
    </row>
    <row r="12" spans="1:22" s="6" customFormat="1" ht="36" customHeight="1">
      <c r="B12" s="16"/>
      <c r="D12" s="46" t="s">
        <v>214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17"/>
      <c r="V12" s="86"/>
    </row>
    <row r="13" spans="1:22" s="6" customFormat="1" ht="80.099999999999994" customHeight="1">
      <c r="B13" s="18">
        <f>B9+1</f>
        <v>3</v>
      </c>
      <c r="D13" s="36" t="s">
        <v>72</v>
      </c>
      <c r="E13" s="36" t="s">
        <v>19</v>
      </c>
      <c r="F13" s="36" t="str">
        <f>CHAR(10)</f>
        <v xml:space="preserve">
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19"/>
      <c r="V13" s="86"/>
    </row>
    <row r="14" spans="1:22" s="6" customFormat="1" ht="36" customHeight="1">
      <c r="B14" s="20"/>
      <c r="D14" s="81" t="s">
        <v>215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28"/>
      <c r="V14" s="86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86"/>
    </row>
    <row r="16" spans="1:22" s="6" customFormat="1" ht="36" customHeight="1">
      <c r="B16" s="16"/>
      <c r="D16" s="46" t="s">
        <v>216</v>
      </c>
      <c r="E16" s="46" t="s">
        <v>218</v>
      </c>
      <c r="F16" s="46" t="s">
        <v>220</v>
      </c>
      <c r="G16" s="46" t="s">
        <v>222</v>
      </c>
      <c r="H16" s="46"/>
      <c r="I16" s="46" t="s">
        <v>201</v>
      </c>
      <c r="J16" s="46" t="s">
        <v>203</v>
      </c>
      <c r="K16" s="46" t="s">
        <v>170</v>
      </c>
      <c r="L16" s="46"/>
      <c r="M16" s="46" t="s">
        <v>206</v>
      </c>
      <c r="N16" s="46" t="s">
        <v>218</v>
      </c>
      <c r="O16" s="46" t="s">
        <v>222</v>
      </c>
      <c r="P16" s="46" t="s">
        <v>210</v>
      </c>
      <c r="Q16" s="46" t="s">
        <v>212</v>
      </c>
      <c r="R16" s="46" t="s">
        <v>214</v>
      </c>
      <c r="S16" s="17"/>
      <c r="V16" s="86"/>
    </row>
    <row r="17" spans="2:22" s="6" customFormat="1" ht="80.099999999999994" customHeight="1">
      <c r="B17" s="18">
        <f>B13+1</f>
        <v>4</v>
      </c>
      <c r="D17" s="36" t="s">
        <v>73</v>
      </c>
      <c r="E17" s="36" t="s">
        <v>74</v>
      </c>
      <c r="F17" s="36" t="s">
        <v>36</v>
      </c>
      <c r="G17" s="36" t="s">
        <v>75</v>
      </c>
      <c r="H17" s="36" t="s">
        <v>18</v>
      </c>
      <c r="I17" s="36" t="s">
        <v>70</v>
      </c>
      <c r="J17" s="36" t="s">
        <v>30</v>
      </c>
      <c r="K17" s="36" t="s">
        <v>31</v>
      </c>
      <c r="L17" s="36" t="s">
        <v>18</v>
      </c>
      <c r="M17" s="36" t="s">
        <v>33</v>
      </c>
      <c r="N17" s="36" t="s">
        <v>74</v>
      </c>
      <c r="O17" s="36" t="s">
        <v>75</v>
      </c>
      <c r="P17" s="36" t="s">
        <v>32</v>
      </c>
      <c r="Q17" s="36" t="s">
        <v>71</v>
      </c>
      <c r="R17" s="36" t="s">
        <v>72</v>
      </c>
      <c r="S17" s="19"/>
      <c r="V17" s="86"/>
    </row>
    <row r="18" spans="2:22" s="6" customFormat="1" ht="36" customHeight="1">
      <c r="B18" s="20"/>
      <c r="D18" s="81" t="s">
        <v>217</v>
      </c>
      <c r="E18" s="81" t="s">
        <v>219</v>
      </c>
      <c r="F18" s="81" t="s">
        <v>221</v>
      </c>
      <c r="G18" s="81" t="s">
        <v>223</v>
      </c>
      <c r="H18" s="81"/>
      <c r="I18" s="81" t="s">
        <v>202</v>
      </c>
      <c r="J18" s="81" t="s">
        <v>204</v>
      </c>
      <c r="K18" s="81" t="s">
        <v>205</v>
      </c>
      <c r="L18" s="81"/>
      <c r="M18" s="81" t="s">
        <v>207</v>
      </c>
      <c r="N18" s="81" t="s">
        <v>219</v>
      </c>
      <c r="O18" s="81" t="s">
        <v>223</v>
      </c>
      <c r="P18" s="81" t="s">
        <v>211</v>
      </c>
      <c r="Q18" s="81" t="s">
        <v>213</v>
      </c>
      <c r="R18" s="81" t="s">
        <v>215</v>
      </c>
      <c r="S18" s="28"/>
      <c r="V18" s="86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86"/>
    </row>
    <row r="20" spans="2:22" s="6" customFormat="1" ht="36" customHeight="1">
      <c r="B20" s="1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17"/>
      <c r="V20" s="86"/>
    </row>
    <row r="21" spans="2:22" s="6" customFormat="1" ht="80.099999999999994" customHeight="1">
      <c r="B21" s="18">
        <f>B17+1</f>
        <v>5</v>
      </c>
      <c r="D21" s="36" t="s">
        <v>19</v>
      </c>
      <c r="E21" s="36" t="str">
        <f>CHAR(10)</f>
        <v xml:space="preserve">
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19"/>
      <c r="V21" s="86"/>
    </row>
    <row r="22" spans="2:22" s="6" customFormat="1" ht="36" customHeight="1">
      <c r="B22" s="20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28"/>
      <c r="V22" s="86"/>
    </row>
    <row r="23" spans="2:22" s="32" customFormat="1" ht="60" customHeight="1">
      <c r="B23" s="12"/>
      <c r="C23" s="31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86"/>
    </row>
    <row r="24" spans="2:22" s="6" customFormat="1" ht="36" customHeight="1">
      <c r="B24" s="16"/>
      <c r="D24" s="46" t="s">
        <v>224</v>
      </c>
      <c r="E24" s="46" t="s">
        <v>226</v>
      </c>
      <c r="F24" s="46" t="s">
        <v>206</v>
      </c>
      <c r="G24" s="46"/>
      <c r="H24" s="46" t="s">
        <v>201</v>
      </c>
      <c r="I24" s="46" t="s">
        <v>203</v>
      </c>
      <c r="J24" s="46" t="s">
        <v>170</v>
      </c>
      <c r="K24" s="46"/>
      <c r="L24" s="46" t="s">
        <v>206</v>
      </c>
      <c r="M24" s="46" t="s">
        <v>228</v>
      </c>
      <c r="N24" s="46" t="s">
        <v>210</v>
      </c>
      <c r="O24" s="46" t="s">
        <v>212</v>
      </c>
      <c r="P24" s="46" t="s">
        <v>214</v>
      </c>
      <c r="Q24" s="46"/>
      <c r="R24" s="46"/>
      <c r="S24" s="17"/>
      <c r="V24" s="86"/>
    </row>
    <row r="25" spans="2:22" s="6" customFormat="1" ht="80.099999999999994" customHeight="1">
      <c r="B25" s="18">
        <f>B21+1</f>
        <v>6</v>
      </c>
      <c r="D25" s="36" t="s">
        <v>76</v>
      </c>
      <c r="E25" s="36" t="s">
        <v>77</v>
      </c>
      <c r="F25" s="36" t="s">
        <v>78</v>
      </c>
      <c r="G25" s="36" t="s">
        <v>18</v>
      </c>
      <c r="H25" s="36" t="s">
        <v>70</v>
      </c>
      <c r="I25" s="36" t="s">
        <v>30</v>
      </c>
      <c r="J25" s="36" t="s">
        <v>31</v>
      </c>
      <c r="K25" s="36" t="s">
        <v>18</v>
      </c>
      <c r="L25" s="36" t="s">
        <v>33</v>
      </c>
      <c r="M25" s="36" t="s">
        <v>52</v>
      </c>
      <c r="N25" s="36" t="s">
        <v>32</v>
      </c>
      <c r="O25" s="36" t="s">
        <v>71</v>
      </c>
      <c r="P25" s="36" t="s">
        <v>72</v>
      </c>
      <c r="Q25" s="36" t="s">
        <v>19</v>
      </c>
      <c r="R25" s="36" t="str">
        <f>CHAR(10)</f>
        <v xml:space="preserve">
</v>
      </c>
      <c r="S25" s="19"/>
      <c r="V25" s="86"/>
    </row>
    <row r="26" spans="2:22" s="6" customFormat="1" ht="36" customHeight="1">
      <c r="B26" s="20"/>
      <c r="D26" s="81" t="s">
        <v>225</v>
      </c>
      <c r="E26" s="81" t="s">
        <v>227</v>
      </c>
      <c r="F26" s="81" t="s">
        <v>207</v>
      </c>
      <c r="G26" s="81"/>
      <c r="H26" s="81" t="s">
        <v>202</v>
      </c>
      <c r="I26" s="81" t="s">
        <v>204</v>
      </c>
      <c r="J26" s="81" t="s">
        <v>205</v>
      </c>
      <c r="K26" s="81"/>
      <c r="L26" s="81" t="s">
        <v>207</v>
      </c>
      <c r="M26" s="81" t="s">
        <v>229</v>
      </c>
      <c r="N26" s="81" t="s">
        <v>211</v>
      </c>
      <c r="O26" s="81" t="s">
        <v>213</v>
      </c>
      <c r="P26" s="81" t="s">
        <v>215</v>
      </c>
      <c r="Q26" s="81"/>
      <c r="R26" s="81"/>
      <c r="S26" s="28"/>
      <c r="V26" s="86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86"/>
    </row>
    <row r="28" spans="2:22" s="6" customFormat="1" ht="36" customHeight="1">
      <c r="B28" s="16"/>
      <c r="D28" s="46" t="s">
        <v>230</v>
      </c>
      <c r="E28" s="46" t="s">
        <v>206</v>
      </c>
      <c r="F28" s="46" t="s">
        <v>210</v>
      </c>
      <c r="G28" s="46" t="s">
        <v>232</v>
      </c>
      <c r="H28" s="46" t="s">
        <v>220</v>
      </c>
      <c r="I28" s="46" t="s">
        <v>234</v>
      </c>
      <c r="J28" s="46"/>
      <c r="K28" s="46" t="s">
        <v>170</v>
      </c>
      <c r="L28" s="46" t="s">
        <v>210</v>
      </c>
      <c r="M28" s="46" t="s">
        <v>232</v>
      </c>
      <c r="N28" s="46" t="s">
        <v>220</v>
      </c>
      <c r="O28" s="46" t="s">
        <v>212</v>
      </c>
      <c r="P28" s="46"/>
      <c r="Q28" s="46"/>
      <c r="R28" s="46"/>
      <c r="S28" s="17"/>
      <c r="U28" s="32" t="str">
        <f t="shared" si="1"/>
        <v/>
      </c>
      <c r="V28" s="86"/>
    </row>
    <row r="29" spans="2:22" s="6" customFormat="1" ht="80.099999999999994" customHeight="1">
      <c r="B29" s="18">
        <f>B25+1</f>
        <v>7</v>
      </c>
      <c r="D29" s="36" t="s">
        <v>79</v>
      </c>
      <c r="E29" s="36" t="s">
        <v>33</v>
      </c>
      <c r="F29" s="36" t="s">
        <v>32</v>
      </c>
      <c r="G29" s="36" t="s">
        <v>35</v>
      </c>
      <c r="H29" s="36" t="s">
        <v>36</v>
      </c>
      <c r="I29" s="36" t="s">
        <v>80</v>
      </c>
      <c r="J29" s="36" t="s">
        <v>18</v>
      </c>
      <c r="K29" s="36" t="s">
        <v>31</v>
      </c>
      <c r="L29" s="36" t="s">
        <v>32</v>
      </c>
      <c r="M29" s="36" t="s">
        <v>35</v>
      </c>
      <c r="N29" s="36" t="s">
        <v>36</v>
      </c>
      <c r="O29" s="36" t="s">
        <v>71</v>
      </c>
      <c r="P29" s="36" t="s">
        <v>172</v>
      </c>
      <c r="Q29" s="36" t="str">
        <f>CHAR(10)</f>
        <v xml:space="preserve">
</v>
      </c>
      <c r="R29" s="36"/>
      <c r="S29" s="19"/>
      <c r="U29" s="32" t="str">
        <f t="shared" si="1"/>
        <v/>
      </c>
      <c r="V29" s="86"/>
    </row>
    <row r="30" spans="2:22" s="6" customFormat="1" ht="36" customHeight="1">
      <c r="B30" s="20"/>
      <c r="D30" s="81" t="s">
        <v>231</v>
      </c>
      <c r="E30" s="81" t="s">
        <v>207</v>
      </c>
      <c r="F30" s="81" t="s">
        <v>211</v>
      </c>
      <c r="G30" s="81" t="s">
        <v>233</v>
      </c>
      <c r="H30" s="81" t="s">
        <v>221</v>
      </c>
      <c r="I30" s="81" t="s">
        <v>235</v>
      </c>
      <c r="J30" s="81"/>
      <c r="K30" s="81" t="s">
        <v>205</v>
      </c>
      <c r="L30" s="81" t="s">
        <v>211</v>
      </c>
      <c r="M30" s="81" t="s">
        <v>233</v>
      </c>
      <c r="N30" s="81" t="s">
        <v>221</v>
      </c>
      <c r="O30" s="81" t="s">
        <v>213</v>
      </c>
      <c r="P30" s="81"/>
      <c r="Q30" s="81"/>
      <c r="R30" s="81"/>
      <c r="S30" s="28"/>
      <c r="U30" s="32" t="str">
        <f t="shared" si="1"/>
        <v/>
      </c>
      <c r="V30" s="86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86"/>
    </row>
    <row r="32" spans="2:22" s="6" customFormat="1" ht="36" customHeight="1">
      <c r="B32" s="1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86"/>
    </row>
    <row r="33" spans="2:22" s="6" customFormat="1" ht="80.099999999999994" customHeight="1">
      <c r="B33" s="18">
        <f>B29+1</f>
        <v>8</v>
      </c>
      <c r="D33" s="36" t="s">
        <v>20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86"/>
    </row>
    <row r="34" spans="2:22" s="6" customFormat="1" ht="36" customHeight="1">
      <c r="B34" s="20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28"/>
      <c r="V34" s="86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86"/>
    </row>
    <row r="36" spans="2:22" s="6" customFormat="1" ht="36" customHeight="1">
      <c r="B36" s="1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17"/>
      <c r="V36" s="86"/>
    </row>
    <row r="37" spans="2:22" s="6" customFormat="1" ht="80.099999999999994" customHeight="1">
      <c r="B37" s="18">
        <f>B33+1</f>
        <v>9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19"/>
      <c r="V37" s="86"/>
    </row>
    <row r="38" spans="2:22" s="6" customFormat="1" ht="36" customHeight="1">
      <c r="B38" s="20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28"/>
      <c r="V38" s="86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86"/>
    </row>
    <row r="40" spans="2:22" s="6" customFormat="1" ht="36" customHeight="1">
      <c r="B40" s="1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17"/>
      <c r="V40" s="86"/>
    </row>
    <row r="41" spans="2:22" s="6" customFormat="1" ht="80.099999999999994" customHeight="1">
      <c r="B41" s="18">
        <f>B37+1</f>
        <v>10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19"/>
      <c r="V41" s="86"/>
    </row>
    <row r="42" spans="2:22" s="6" customFormat="1" ht="36" customHeight="1">
      <c r="B42" s="20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28"/>
      <c r="V42" s="86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86"/>
    </row>
    <row r="44" spans="2:22" s="6" customFormat="1" ht="36" customHeight="1">
      <c r="B44" s="1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86"/>
    </row>
    <row r="45" spans="2:22" s="6" customFormat="1" ht="80.099999999999994" customHeight="1">
      <c r="B45" s="18">
        <f>B41+1</f>
        <v>11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86"/>
    </row>
    <row r="46" spans="2:22" s="6" customFormat="1" ht="36" customHeight="1">
      <c r="B46" s="20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28"/>
      <c r="V46" s="86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86"/>
    </row>
    <row r="48" spans="2:22" s="6" customFormat="1" ht="36" customHeight="1">
      <c r="B48" s="1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17"/>
      <c r="V48" s="86"/>
    </row>
    <row r="49" spans="2:22" s="6" customFormat="1" ht="80.099999999999994" customHeight="1">
      <c r="B49" s="18">
        <f>B45+1</f>
        <v>12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19"/>
      <c r="V49" s="86"/>
    </row>
    <row r="50" spans="2:22" s="6" customFormat="1" ht="36" customHeight="1">
      <c r="B50" s="20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28"/>
      <c r="V50" s="86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86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86"/>
    </row>
    <row r="53" spans="2:22" s="6" customFormat="1" ht="80.099999999999994" customHeight="1">
      <c r="B53" s="18">
        <f>B49+1</f>
        <v>13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86"/>
    </row>
    <row r="54" spans="2:22" s="6" customFormat="1" ht="36" customHeight="1">
      <c r="B54" s="20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28"/>
      <c r="V54" s="86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86"/>
    </row>
    <row r="56" spans="2:22" s="6" customFormat="1" ht="36" customHeight="1">
      <c r="B56" s="1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17"/>
      <c r="V56" s="86"/>
    </row>
    <row r="57" spans="2:22" s="6" customFormat="1" ht="80.099999999999994" customHeight="1">
      <c r="B57" s="18">
        <f>B53+1</f>
        <v>14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19"/>
      <c r="V57" s="86"/>
    </row>
    <row r="58" spans="2:22" s="6" customFormat="1" ht="36" customHeight="1">
      <c r="B58" s="20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28"/>
      <c r="V58" s="86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86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86"/>
    </row>
    <row r="61" spans="2:22" s="6" customFormat="1" ht="80.099999999999994" customHeight="1">
      <c r="B61" s="18">
        <f>B57+1</f>
        <v>15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86"/>
    </row>
    <row r="62" spans="2:22" s="6" customFormat="1" ht="36" customHeight="1">
      <c r="B62" s="20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28"/>
      <c r="V62" s="86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86"/>
    </row>
    <row r="64" spans="2:22" s="6" customFormat="1" ht="36" customHeight="1">
      <c r="B64" s="1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17"/>
      <c r="V64" s="86"/>
    </row>
    <row r="65" spans="2:22" s="6" customFormat="1" ht="80.099999999999994" customHeight="1">
      <c r="B65" s="18">
        <f>B61+1</f>
        <v>16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19"/>
      <c r="V65" s="86"/>
    </row>
    <row r="66" spans="2:22" s="6" customFormat="1" ht="36" customHeight="1">
      <c r="B66" s="20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28"/>
      <c r="V66" s="86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86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6"/>
    </row>
    <row r="69" spans="2:22" s="6" customFormat="1" ht="80.099999999999994" customHeight="1">
      <c r="B69" s="18">
        <f>B65+1</f>
        <v>17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6"/>
    </row>
    <row r="70" spans="2:22" s="6" customFormat="1" ht="36" customHeight="1">
      <c r="B70" s="20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28"/>
      <c r="V70" s="86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86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6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6"/>
    </row>
    <row r="74" spans="2:22" s="6" customFormat="1" ht="36" customHeight="1">
      <c r="B74" s="20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28"/>
      <c r="V74" s="86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86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6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6"/>
    </row>
    <row r="78" spans="2:22" s="6" customFormat="1" ht="36" customHeight="1">
      <c r="B78" s="20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28"/>
      <c r="V78" s="86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86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6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6"/>
    </row>
    <row r="82" spans="2:22" s="6" customFormat="1" ht="36" customHeight="1">
      <c r="B82" s="20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28"/>
      <c r="V82" s="87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 ht="48.75">
      <c r="B170" s="20"/>
      <c r="C170" s="6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 ht="48.75">
      <c r="B174" s="20"/>
      <c r="C174" s="6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 ht="48.75">
      <c r="B178" s="20"/>
      <c r="C178" s="6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 ht="48.75">
      <c r="B182" s="20"/>
      <c r="C182" s="6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 ht="48.75">
      <c r="B186" s="20"/>
      <c r="C186" s="6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 ht="48.75">
      <c r="B190" s="20"/>
      <c r="C190" s="6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 ht="48.75">
      <c r="B194" s="20"/>
      <c r="C194" s="6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 ht="48.75">
      <c r="B198" s="20"/>
      <c r="C198" s="6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 ht="48.75">
      <c r="B202" s="20"/>
      <c r="C202" s="6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 ht="48.75">
      <c r="B206" s="20"/>
      <c r="C206" s="6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 ht="48.75">
      <c r="B210" s="20"/>
      <c r="C210" s="6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 ht="48.75">
      <c r="B214" s="20"/>
      <c r="C214" s="6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 ht="48.75">
      <c r="B218" s="20"/>
      <c r="C218" s="6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 ht="48.75">
      <c r="B222" s="20"/>
      <c r="C222" s="6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 ht="48.75">
      <c r="B226" s="20"/>
      <c r="C226" s="6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 ht="48.75">
      <c r="B230" s="20"/>
      <c r="C230" s="6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 ht="48.75">
      <c r="B234" s="20"/>
      <c r="C234" s="6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 ht="48.75">
      <c r="B238" s="20"/>
      <c r="C238" s="6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 ht="48.75">
      <c r="B242" s="20"/>
      <c r="C242" s="6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 ht="48.75">
      <c r="B250" s="20"/>
      <c r="C250" s="6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 ht="48.75">
      <c r="B254" s="20"/>
      <c r="C254" s="6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 ht="48.75">
      <c r="B258" s="20"/>
      <c r="C258" s="6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 ht="48.75">
      <c r="B262" s="20"/>
      <c r="C262" s="6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 ht="48.75">
      <c r="B266" s="20"/>
      <c r="C266" s="6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 ht="48.75">
      <c r="B270" s="20"/>
      <c r="C270" s="6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 ht="48.75">
      <c r="B274" s="20"/>
      <c r="C274" s="6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 ht="48.75">
      <c r="B278" s="20"/>
      <c r="C278" s="6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 ht="48.75">
      <c r="B282" s="20"/>
      <c r="C282" s="6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 ht="48.75">
      <c r="B286" s="20"/>
      <c r="C286" s="6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 ht="48.75">
      <c r="B290" s="20"/>
      <c r="C290" s="6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 ht="48.75">
      <c r="B294" s="20"/>
      <c r="C294" s="6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 ht="48.75">
      <c r="B298" s="20"/>
      <c r="C298" s="6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 ht="48.75">
      <c r="B302" s="20"/>
      <c r="C302" s="6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 ht="48.75">
      <c r="B306" s="20"/>
      <c r="C306" s="6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 ht="48.75">
      <c r="B310" s="20"/>
      <c r="C310" s="6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 ht="48.75">
      <c r="B314" s="20"/>
      <c r="C314" s="6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 ht="48.75">
      <c r="B318" s="20"/>
      <c r="C318" s="6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 ht="48.75">
      <c r="B322" s="20"/>
      <c r="C322" s="6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 ht="48.75">
      <c r="B326" s="20"/>
      <c r="C326" s="6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 ht="48.75">
      <c r="B330" s="20"/>
      <c r="C330" s="6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 ht="48.75">
      <c r="B334" s="20"/>
      <c r="C334" s="6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 ht="48.75">
      <c r="B338" s="20"/>
      <c r="C338" s="6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 ht="48.75">
      <c r="B342" s="20"/>
      <c r="C342" s="6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 ht="48.75">
      <c r="B346" s="20"/>
      <c r="C346" s="6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 ht="48.75">
      <c r="B350" s="20"/>
      <c r="C350" s="6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 ht="48.75">
      <c r="B354" s="20"/>
      <c r="C354" s="6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 ht="48.75">
      <c r="B358" s="20"/>
      <c r="C358" s="6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81"/>
      <c r="E1414" s="81"/>
      <c r="F1414" s="81"/>
      <c r="G1414" s="81"/>
      <c r="H1414" s="81"/>
      <c r="I1414" s="81"/>
      <c r="J1414" s="81"/>
      <c r="K1414" s="81"/>
      <c r="L1414" s="81"/>
      <c r="M1414" s="81"/>
      <c r="N1414" s="81"/>
      <c r="O1414" s="81"/>
      <c r="P1414" s="81"/>
      <c r="Q1414" s="81"/>
      <c r="R1414" s="81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81"/>
      <c r="E1418" s="81"/>
      <c r="F1418" s="81"/>
      <c r="G1418" s="81"/>
      <c r="H1418" s="81"/>
      <c r="I1418" s="81"/>
      <c r="J1418" s="81"/>
      <c r="K1418" s="81"/>
      <c r="L1418" s="81"/>
      <c r="M1418" s="81"/>
      <c r="N1418" s="81"/>
      <c r="O1418" s="81"/>
      <c r="P1418" s="81"/>
      <c r="Q1418" s="81"/>
      <c r="R1418" s="81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81"/>
      <c r="E1422" s="81"/>
      <c r="F1422" s="81"/>
      <c r="G1422" s="81"/>
      <c r="H1422" s="81"/>
      <c r="I1422" s="81"/>
      <c r="J1422" s="81"/>
      <c r="K1422" s="81"/>
      <c r="L1422" s="81"/>
      <c r="M1422" s="81"/>
      <c r="N1422" s="81"/>
      <c r="O1422" s="81"/>
      <c r="P1422" s="81"/>
      <c r="Q1422" s="81"/>
      <c r="R1422" s="81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81"/>
      <c r="E1426" s="81"/>
      <c r="F1426" s="81"/>
      <c r="G1426" s="81"/>
      <c r="H1426" s="81"/>
      <c r="I1426" s="81"/>
      <c r="J1426" s="81"/>
      <c r="K1426" s="81"/>
      <c r="L1426" s="81"/>
      <c r="M1426" s="81"/>
      <c r="N1426" s="81"/>
      <c r="O1426" s="81"/>
      <c r="P1426" s="81"/>
      <c r="Q1426" s="81"/>
      <c r="R1426" s="81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81"/>
      <c r="E1430" s="81"/>
      <c r="F1430" s="81"/>
      <c r="G1430" s="81"/>
      <c r="H1430" s="81"/>
      <c r="I1430" s="81"/>
      <c r="J1430" s="81"/>
      <c r="K1430" s="81"/>
      <c r="L1430" s="81"/>
      <c r="M1430" s="81"/>
      <c r="N1430" s="81"/>
      <c r="O1430" s="81"/>
      <c r="P1430" s="81"/>
      <c r="Q1430" s="81"/>
      <c r="R1430" s="81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81"/>
      <c r="E1434" s="81"/>
      <c r="F1434" s="81"/>
      <c r="G1434" s="81"/>
      <c r="H1434" s="81"/>
      <c r="I1434" s="81"/>
      <c r="J1434" s="81"/>
      <c r="K1434" s="81"/>
      <c r="L1434" s="81"/>
      <c r="M1434" s="81"/>
      <c r="N1434" s="81"/>
      <c r="O1434" s="81"/>
      <c r="P1434" s="81"/>
      <c r="Q1434" s="81"/>
      <c r="R1434" s="81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81"/>
      <c r="E1438" s="81"/>
      <c r="F1438" s="81"/>
      <c r="G1438" s="81"/>
      <c r="H1438" s="81"/>
      <c r="I1438" s="81"/>
      <c r="J1438" s="81"/>
      <c r="K1438" s="81"/>
      <c r="L1438" s="81"/>
      <c r="M1438" s="81"/>
      <c r="N1438" s="81"/>
      <c r="O1438" s="81"/>
      <c r="P1438" s="81"/>
      <c r="Q1438" s="81"/>
      <c r="R1438" s="81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81"/>
      <c r="E1442" s="81"/>
      <c r="F1442" s="81"/>
      <c r="G1442" s="81"/>
      <c r="H1442" s="81"/>
      <c r="I1442" s="81"/>
      <c r="J1442" s="81"/>
      <c r="K1442" s="81"/>
      <c r="L1442" s="81"/>
      <c r="M1442" s="81"/>
      <c r="N1442" s="81"/>
      <c r="O1442" s="81"/>
      <c r="P1442" s="81"/>
      <c r="Q1442" s="81"/>
      <c r="R1442" s="81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81"/>
      <c r="E1446" s="81"/>
      <c r="F1446" s="81"/>
      <c r="G1446" s="81"/>
      <c r="H1446" s="81"/>
      <c r="I1446" s="81"/>
      <c r="J1446" s="81"/>
      <c r="K1446" s="81"/>
      <c r="L1446" s="81"/>
      <c r="M1446" s="81"/>
      <c r="N1446" s="81"/>
      <c r="O1446" s="81"/>
      <c r="P1446" s="81"/>
      <c r="Q1446" s="81"/>
      <c r="R1446" s="81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81"/>
      <c r="E1450" s="81"/>
      <c r="F1450" s="81"/>
      <c r="G1450" s="81"/>
      <c r="H1450" s="81"/>
      <c r="I1450" s="81"/>
      <c r="J1450" s="81"/>
      <c r="K1450" s="81"/>
      <c r="L1450" s="81"/>
      <c r="M1450" s="81"/>
      <c r="N1450" s="81"/>
      <c r="O1450" s="81"/>
      <c r="P1450" s="81"/>
      <c r="Q1450" s="81"/>
      <c r="R1450" s="81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81"/>
      <c r="E1454" s="81"/>
      <c r="F1454" s="81"/>
      <c r="G1454" s="81"/>
      <c r="H1454" s="81"/>
      <c r="I1454" s="81"/>
      <c r="J1454" s="81"/>
      <c r="K1454" s="81"/>
      <c r="L1454" s="81"/>
      <c r="M1454" s="81"/>
      <c r="N1454" s="81"/>
      <c r="O1454" s="81"/>
      <c r="P1454" s="81"/>
      <c r="Q1454" s="81"/>
      <c r="R1454" s="81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81"/>
      <c r="E1458" s="81"/>
      <c r="F1458" s="81"/>
      <c r="G1458" s="81"/>
      <c r="H1458" s="81"/>
      <c r="I1458" s="81"/>
      <c r="J1458" s="81"/>
      <c r="K1458" s="81"/>
      <c r="L1458" s="81"/>
      <c r="M1458" s="81"/>
      <c r="N1458" s="81"/>
      <c r="O1458" s="81"/>
      <c r="P1458" s="81"/>
      <c r="Q1458" s="81"/>
      <c r="R1458" s="81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81"/>
      <c r="E1462" s="81"/>
      <c r="F1462" s="81"/>
      <c r="G1462" s="81"/>
      <c r="H1462" s="81"/>
      <c r="I1462" s="81"/>
      <c r="J1462" s="81"/>
      <c r="K1462" s="81"/>
      <c r="L1462" s="81"/>
      <c r="M1462" s="81"/>
      <c r="N1462" s="81"/>
      <c r="O1462" s="81"/>
      <c r="P1462" s="81"/>
      <c r="Q1462" s="81"/>
      <c r="R1462" s="81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81"/>
      <c r="E1466" s="81"/>
      <c r="F1466" s="81"/>
      <c r="G1466" s="81"/>
      <c r="H1466" s="81"/>
      <c r="I1466" s="81"/>
      <c r="J1466" s="81"/>
      <c r="K1466" s="81"/>
      <c r="L1466" s="81"/>
      <c r="M1466" s="81"/>
      <c r="N1466" s="81"/>
      <c r="O1466" s="81"/>
      <c r="P1466" s="81"/>
      <c r="Q1466" s="81"/>
      <c r="R1466" s="81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81"/>
      <c r="E1470" s="81"/>
      <c r="F1470" s="81"/>
      <c r="G1470" s="81"/>
      <c r="H1470" s="81"/>
      <c r="I1470" s="81"/>
      <c r="J1470" s="81"/>
      <c r="K1470" s="81"/>
      <c r="L1470" s="81"/>
      <c r="M1470" s="81"/>
      <c r="N1470" s="81"/>
      <c r="O1470" s="81"/>
      <c r="P1470" s="81"/>
      <c r="Q1470" s="81"/>
      <c r="R1470" s="81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81"/>
      <c r="E1474" s="81"/>
      <c r="F1474" s="81"/>
      <c r="G1474" s="81"/>
      <c r="H1474" s="81"/>
      <c r="I1474" s="81"/>
      <c r="J1474" s="81"/>
      <c r="K1474" s="81"/>
      <c r="L1474" s="81"/>
      <c r="M1474" s="81"/>
      <c r="N1474" s="81"/>
      <c r="O1474" s="81"/>
      <c r="P1474" s="81"/>
      <c r="Q1474" s="81"/>
      <c r="R1474" s="81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81"/>
      <c r="E1478" s="81"/>
      <c r="F1478" s="81"/>
      <c r="G1478" s="81"/>
      <c r="H1478" s="81"/>
      <c r="I1478" s="81"/>
      <c r="J1478" s="81"/>
      <c r="K1478" s="81"/>
      <c r="L1478" s="81"/>
      <c r="M1478" s="81"/>
      <c r="N1478" s="81"/>
      <c r="O1478" s="81"/>
      <c r="P1478" s="81"/>
      <c r="Q1478" s="81"/>
      <c r="R1478" s="81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81"/>
      <c r="E1482" s="81"/>
      <c r="F1482" s="81"/>
      <c r="G1482" s="81"/>
      <c r="H1482" s="81"/>
      <c r="I1482" s="81"/>
      <c r="J1482" s="81"/>
      <c r="K1482" s="81"/>
      <c r="L1482" s="81"/>
      <c r="M1482" s="81"/>
      <c r="N1482" s="81"/>
      <c r="O1482" s="81"/>
      <c r="P1482" s="81"/>
      <c r="Q1482" s="81"/>
      <c r="R1482" s="81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81"/>
      <c r="E1486" s="81"/>
      <c r="F1486" s="81"/>
      <c r="G1486" s="81"/>
      <c r="H1486" s="81"/>
      <c r="I1486" s="81"/>
      <c r="J1486" s="81"/>
      <c r="K1486" s="81"/>
      <c r="L1486" s="81"/>
      <c r="M1486" s="81"/>
      <c r="N1486" s="81"/>
      <c r="O1486" s="81"/>
      <c r="P1486" s="81"/>
      <c r="Q1486" s="81"/>
      <c r="R1486" s="81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81"/>
      <c r="E1490" s="81"/>
      <c r="F1490" s="81"/>
      <c r="G1490" s="81"/>
      <c r="H1490" s="81"/>
      <c r="I1490" s="81"/>
      <c r="J1490" s="81"/>
      <c r="K1490" s="81"/>
      <c r="L1490" s="81"/>
      <c r="M1490" s="81"/>
      <c r="N1490" s="81"/>
      <c r="O1490" s="81"/>
      <c r="P1490" s="81"/>
      <c r="Q1490" s="81"/>
      <c r="R1490" s="81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81"/>
      <c r="E1494" s="81"/>
      <c r="F1494" s="81"/>
      <c r="G1494" s="81"/>
      <c r="H1494" s="81"/>
      <c r="I1494" s="81"/>
      <c r="J1494" s="81"/>
      <c r="K1494" s="81"/>
      <c r="L1494" s="81"/>
      <c r="M1494" s="81"/>
      <c r="N1494" s="81"/>
      <c r="O1494" s="81"/>
      <c r="P1494" s="81"/>
      <c r="Q1494" s="81"/>
      <c r="R1494" s="81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81"/>
      <c r="E1498" s="81"/>
      <c r="F1498" s="81"/>
      <c r="G1498" s="81"/>
      <c r="H1498" s="81"/>
      <c r="I1498" s="81"/>
      <c r="J1498" s="81"/>
      <c r="K1498" s="81"/>
      <c r="L1498" s="81"/>
      <c r="M1498" s="81"/>
      <c r="N1498" s="81"/>
      <c r="O1498" s="81"/>
      <c r="P1498" s="81"/>
      <c r="Q1498" s="81"/>
      <c r="R1498" s="81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81"/>
      <c r="E1502" s="81"/>
      <c r="F1502" s="81"/>
      <c r="G1502" s="81"/>
      <c r="H1502" s="81"/>
      <c r="I1502" s="81"/>
      <c r="J1502" s="81"/>
      <c r="K1502" s="81"/>
      <c r="L1502" s="81"/>
      <c r="M1502" s="81"/>
      <c r="N1502" s="81"/>
      <c r="O1502" s="81"/>
      <c r="P1502" s="81"/>
      <c r="Q1502" s="81"/>
      <c r="R1502" s="81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81"/>
      <c r="E1506" s="81"/>
      <c r="F1506" s="81"/>
      <c r="G1506" s="81"/>
      <c r="H1506" s="81"/>
      <c r="I1506" s="81"/>
      <c r="J1506" s="81"/>
      <c r="K1506" s="81"/>
      <c r="L1506" s="81"/>
      <c r="M1506" s="81"/>
      <c r="N1506" s="81"/>
      <c r="O1506" s="81"/>
      <c r="P1506" s="81"/>
      <c r="Q1506" s="81"/>
      <c r="R1506" s="81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81"/>
      <c r="E1510" s="81"/>
      <c r="F1510" s="81"/>
      <c r="G1510" s="81"/>
      <c r="H1510" s="81"/>
      <c r="I1510" s="81"/>
      <c r="J1510" s="81"/>
      <c r="K1510" s="81"/>
      <c r="L1510" s="81"/>
      <c r="M1510" s="81"/>
      <c r="N1510" s="81"/>
      <c r="O1510" s="81"/>
      <c r="P1510" s="81"/>
      <c r="Q1510" s="81"/>
      <c r="R1510" s="81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81"/>
      <c r="E1514" s="81"/>
      <c r="F1514" s="81"/>
      <c r="G1514" s="81"/>
      <c r="H1514" s="81"/>
      <c r="I1514" s="81"/>
      <c r="J1514" s="81"/>
      <c r="K1514" s="81"/>
      <c r="L1514" s="81"/>
      <c r="M1514" s="81"/>
      <c r="N1514" s="81"/>
      <c r="O1514" s="81"/>
      <c r="P1514" s="81"/>
      <c r="Q1514" s="81"/>
      <c r="R1514" s="81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81"/>
      <c r="E1518" s="81"/>
      <c r="F1518" s="81"/>
      <c r="G1518" s="81"/>
      <c r="H1518" s="81"/>
      <c r="I1518" s="81"/>
      <c r="J1518" s="81"/>
      <c r="K1518" s="81"/>
      <c r="L1518" s="81"/>
      <c r="M1518" s="81"/>
      <c r="N1518" s="81"/>
      <c r="O1518" s="81"/>
      <c r="P1518" s="81"/>
      <c r="Q1518" s="81"/>
      <c r="R1518" s="81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81"/>
      <c r="E1522" s="81"/>
      <c r="F1522" s="81"/>
      <c r="G1522" s="81"/>
      <c r="H1522" s="81"/>
      <c r="I1522" s="81"/>
      <c r="J1522" s="81"/>
      <c r="K1522" s="81"/>
      <c r="L1522" s="81"/>
      <c r="M1522" s="81"/>
      <c r="N1522" s="81"/>
      <c r="O1522" s="81"/>
      <c r="P1522" s="81"/>
      <c r="Q1522" s="81"/>
      <c r="R1522" s="81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81"/>
      <c r="E1526" s="81"/>
      <c r="F1526" s="81"/>
      <c r="G1526" s="81"/>
      <c r="H1526" s="81"/>
      <c r="I1526" s="81"/>
      <c r="J1526" s="81"/>
      <c r="K1526" s="81"/>
      <c r="L1526" s="81"/>
      <c r="M1526" s="81"/>
      <c r="N1526" s="81"/>
      <c r="O1526" s="81"/>
      <c r="P1526" s="81"/>
      <c r="Q1526" s="81"/>
      <c r="R1526" s="81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81"/>
      <c r="E1530" s="81"/>
      <c r="F1530" s="81"/>
      <c r="G1530" s="81"/>
      <c r="H1530" s="81"/>
      <c r="I1530" s="81"/>
      <c r="J1530" s="81"/>
      <c r="K1530" s="81"/>
      <c r="L1530" s="81"/>
      <c r="M1530" s="81"/>
      <c r="N1530" s="81"/>
      <c r="O1530" s="81"/>
      <c r="P1530" s="81"/>
      <c r="Q1530" s="81"/>
      <c r="R1530" s="81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81"/>
      <c r="E1534" s="81"/>
      <c r="F1534" s="81"/>
      <c r="G1534" s="81"/>
      <c r="H1534" s="81"/>
      <c r="I1534" s="81"/>
      <c r="J1534" s="81"/>
      <c r="K1534" s="81"/>
      <c r="L1534" s="81"/>
      <c r="M1534" s="81"/>
      <c r="N1534" s="81"/>
      <c r="O1534" s="81"/>
      <c r="P1534" s="81"/>
      <c r="Q1534" s="81"/>
      <c r="R1534" s="81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81"/>
      <c r="E1538" s="81"/>
      <c r="F1538" s="81"/>
      <c r="G1538" s="81"/>
      <c r="H1538" s="81"/>
      <c r="I1538" s="81"/>
      <c r="J1538" s="81"/>
      <c r="K1538" s="81"/>
      <c r="L1538" s="81"/>
      <c r="M1538" s="81"/>
      <c r="N1538" s="81"/>
      <c r="O1538" s="81"/>
      <c r="P1538" s="81"/>
      <c r="Q1538" s="81"/>
      <c r="R1538" s="81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81"/>
      <c r="E1542" s="81"/>
      <c r="F1542" s="81"/>
      <c r="G1542" s="81"/>
      <c r="H1542" s="81"/>
      <c r="I1542" s="81"/>
      <c r="J1542" s="81"/>
      <c r="K1542" s="81"/>
      <c r="L1542" s="81"/>
      <c r="M1542" s="81"/>
      <c r="N1542" s="81"/>
      <c r="O1542" s="81"/>
      <c r="P1542" s="81"/>
      <c r="Q1542" s="81"/>
      <c r="R1542" s="81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81"/>
      <c r="E1546" s="81"/>
      <c r="F1546" s="81"/>
      <c r="G1546" s="81"/>
      <c r="H1546" s="81"/>
      <c r="I1546" s="81"/>
      <c r="J1546" s="81"/>
      <c r="K1546" s="81"/>
      <c r="L1546" s="81"/>
      <c r="M1546" s="81"/>
      <c r="N1546" s="81"/>
      <c r="O1546" s="81"/>
      <c r="P1546" s="81"/>
      <c r="Q1546" s="81"/>
      <c r="R1546" s="81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81"/>
      <c r="E1550" s="81"/>
      <c r="F1550" s="81"/>
      <c r="G1550" s="81"/>
      <c r="H1550" s="81"/>
      <c r="I1550" s="81"/>
      <c r="J1550" s="81"/>
      <c r="K1550" s="81"/>
      <c r="L1550" s="81"/>
      <c r="M1550" s="81"/>
      <c r="N1550" s="81"/>
      <c r="O1550" s="81"/>
      <c r="P1550" s="81"/>
      <c r="Q1550" s="81"/>
      <c r="R1550" s="81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81"/>
      <c r="E1554" s="81"/>
      <c r="F1554" s="81"/>
      <c r="G1554" s="81"/>
      <c r="H1554" s="81"/>
      <c r="I1554" s="81"/>
      <c r="J1554" s="81"/>
      <c r="K1554" s="81"/>
      <c r="L1554" s="81"/>
      <c r="M1554" s="81"/>
      <c r="N1554" s="81"/>
      <c r="O1554" s="81"/>
      <c r="P1554" s="81"/>
      <c r="Q1554" s="81"/>
      <c r="R1554" s="81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81"/>
      <c r="E1558" s="81"/>
      <c r="F1558" s="81"/>
      <c r="G1558" s="81"/>
      <c r="H1558" s="81"/>
      <c r="I1558" s="81"/>
      <c r="J1558" s="81"/>
      <c r="K1558" s="81"/>
      <c r="L1558" s="81"/>
      <c r="M1558" s="81"/>
      <c r="N1558" s="81"/>
      <c r="O1558" s="81"/>
      <c r="P1558" s="81"/>
      <c r="Q1558" s="81"/>
      <c r="R1558" s="81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81"/>
      <c r="E1562" s="81"/>
      <c r="F1562" s="81"/>
      <c r="G1562" s="81"/>
      <c r="H1562" s="81"/>
      <c r="I1562" s="81"/>
      <c r="J1562" s="81"/>
      <c r="K1562" s="81"/>
      <c r="L1562" s="81"/>
      <c r="M1562" s="81"/>
      <c r="N1562" s="81"/>
      <c r="O1562" s="81"/>
      <c r="P1562" s="81"/>
      <c r="Q1562" s="81"/>
      <c r="R1562" s="81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81"/>
      <c r="E1566" s="81"/>
      <c r="F1566" s="81"/>
      <c r="G1566" s="81"/>
      <c r="H1566" s="81"/>
      <c r="I1566" s="81"/>
      <c r="J1566" s="81"/>
      <c r="K1566" s="81"/>
      <c r="L1566" s="81"/>
      <c r="M1566" s="81"/>
      <c r="N1566" s="81"/>
      <c r="O1566" s="81"/>
      <c r="P1566" s="81"/>
      <c r="Q1566" s="81"/>
      <c r="R1566" s="81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81"/>
      <c r="E1570" s="81"/>
      <c r="F1570" s="81"/>
      <c r="G1570" s="81"/>
      <c r="H1570" s="81"/>
      <c r="I1570" s="81"/>
      <c r="J1570" s="81"/>
      <c r="K1570" s="81"/>
      <c r="L1570" s="81"/>
      <c r="M1570" s="81"/>
      <c r="N1570" s="81"/>
      <c r="O1570" s="81"/>
      <c r="P1570" s="81"/>
      <c r="Q1570" s="81"/>
      <c r="R1570" s="81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81"/>
      <c r="E1574" s="81"/>
      <c r="F1574" s="81"/>
      <c r="G1574" s="81"/>
      <c r="H1574" s="81"/>
      <c r="I1574" s="81"/>
      <c r="J1574" s="81"/>
      <c r="K1574" s="81"/>
      <c r="L1574" s="81"/>
      <c r="M1574" s="81"/>
      <c r="N1574" s="81"/>
      <c r="O1574" s="81"/>
      <c r="P1574" s="81"/>
      <c r="Q1574" s="81"/>
      <c r="R1574" s="81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81"/>
      <c r="E1578" s="81"/>
      <c r="F1578" s="81"/>
      <c r="G1578" s="81"/>
      <c r="H1578" s="81"/>
      <c r="I1578" s="81"/>
      <c r="J1578" s="81"/>
      <c r="K1578" s="81"/>
      <c r="L1578" s="81"/>
      <c r="M1578" s="81"/>
      <c r="N1578" s="81"/>
      <c r="O1578" s="81"/>
      <c r="P1578" s="81"/>
      <c r="Q1578" s="81"/>
      <c r="R1578" s="81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81"/>
      <c r="E1582" s="81"/>
      <c r="F1582" s="81"/>
      <c r="G1582" s="81"/>
      <c r="H1582" s="81"/>
      <c r="I1582" s="81"/>
      <c r="J1582" s="81"/>
      <c r="K1582" s="81"/>
      <c r="L1582" s="81"/>
      <c r="M1582" s="81"/>
      <c r="N1582" s="81"/>
      <c r="O1582" s="81"/>
      <c r="P1582" s="81"/>
      <c r="Q1582" s="81"/>
      <c r="R1582" s="81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81"/>
      <c r="E1586" s="81"/>
      <c r="F1586" s="81"/>
      <c r="G1586" s="81"/>
      <c r="H1586" s="81"/>
      <c r="I1586" s="81"/>
      <c r="J1586" s="81"/>
      <c r="K1586" s="81"/>
      <c r="L1586" s="81"/>
      <c r="M1586" s="81"/>
      <c r="N1586" s="81"/>
      <c r="O1586" s="81"/>
      <c r="P1586" s="81"/>
      <c r="Q1586" s="81"/>
      <c r="R1586" s="81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81"/>
      <c r="E1590" s="81"/>
      <c r="F1590" s="81"/>
      <c r="G1590" s="81"/>
      <c r="H1590" s="81"/>
      <c r="I1590" s="81"/>
      <c r="J1590" s="81"/>
      <c r="K1590" s="81"/>
      <c r="L1590" s="81"/>
      <c r="M1590" s="81"/>
      <c r="N1590" s="81"/>
      <c r="O1590" s="81"/>
      <c r="P1590" s="81"/>
      <c r="Q1590" s="81"/>
      <c r="R1590" s="81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81"/>
      <c r="E1594" s="81"/>
      <c r="F1594" s="81"/>
      <c r="G1594" s="81"/>
      <c r="H1594" s="81"/>
      <c r="I1594" s="81"/>
      <c r="J1594" s="81"/>
      <c r="K1594" s="81"/>
      <c r="L1594" s="81"/>
      <c r="M1594" s="81"/>
      <c r="N1594" s="81"/>
      <c r="O1594" s="81"/>
      <c r="P1594" s="81"/>
      <c r="Q1594" s="81"/>
      <c r="R1594" s="81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81"/>
      <c r="E1598" s="81"/>
      <c r="F1598" s="81"/>
      <c r="G1598" s="81"/>
      <c r="H1598" s="81"/>
      <c r="I1598" s="81"/>
      <c r="J1598" s="81"/>
      <c r="K1598" s="81"/>
      <c r="L1598" s="81"/>
      <c r="M1598" s="81"/>
      <c r="N1598" s="81"/>
      <c r="O1598" s="81"/>
      <c r="P1598" s="81"/>
      <c r="Q1598" s="81"/>
      <c r="R1598" s="81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81"/>
      <c r="E1602" s="81"/>
      <c r="F1602" s="81"/>
      <c r="G1602" s="81"/>
      <c r="H1602" s="81"/>
      <c r="I1602" s="81"/>
      <c r="J1602" s="81"/>
      <c r="K1602" s="81"/>
      <c r="L1602" s="81"/>
      <c r="M1602" s="81"/>
      <c r="N1602" s="81"/>
      <c r="O1602" s="81"/>
      <c r="P1602" s="81"/>
      <c r="Q1602" s="81"/>
      <c r="R1602" s="81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81"/>
      <c r="E1606" s="81"/>
      <c r="F1606" s="81"/>
      <c r="G1606" s="81"/>
      <c r="H1606" s="81"/>
      <c r="I1606" s="81"/>
      <c r="J1606" s="81"/>
      <c r="K1606" s="81"/>
      <c r="L1606" s="81"/>
      <c r="M1606" s="81"/>
      <c r="N1606" s="81"/>
      <c r="O1606" s="81"/>
      <c r="P1606" s="81"/>
      <c r="Q1606" s="81"/>
      <c r="R1606" s="81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81"/>
      <c r="E1610" s="81"/>
      <c r="F1610" s="81"/>
      <c r="G1610" s="81"/>
      <c r="H1610" s="81"/>
      <c r="I1610" s="81"/>
      <c r="J1610" s="81"/>
      <c r="K1610" s="81"/>
      <c r="L1610" s="81"/>
      <c r="M1610" s="81"/>
      <c r="N1610" s="81"/>
      <c r="O1610" s="81"/>
      <c r="P1610" s="81"/>
      <c r="Q1610" s="81"/>
      <c r="R1610" s="81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81"/>
      <c r="E1614" s="81"/>
      <c r="F1614" s="81"/>
      <c r="G1614" s="81"/>
      <c r="H1614" s="81"/>
      <c r="I1614" s="81"/>
      <c r="J1614" s="81"/>
      <c r="K1614" s="81"/>
      <c r="L1614" s="81"/>
      <c r="M1614" s="81"/>
      <c r="N1614" s="81"/>
      <c r="O1614" s="81"/>
      <c r="P1614" s="81"/>
      <c r="Q1614" s="81"/>
      <c r="R1614" s="81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81"/>
      <c r="E1618" s="81"/>
      <c r="F1618" s="81"/>
      <c r="G1618" s="81"/>
      <c r="H1618" s="81"/>
      <c r="I1618" s="81"/>
      <c r="J1618" s="81"/>
      <c r="K1618" s="81"/>
      <c r="L1618" s="81"/>
      <c r="M1618" s="81"/>
      <c r="N1618" s="81"/>
      <c r="O1618" s="81"/>
      <c r="P1618" s="81"/>
      <c r="Q1618" s="81"/>
      <c r="R1618" s="81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81"/>
      <c r="E1622" s="81"/>
      <c r="F1622" s="81"/>
      <c r="G1622" s="81"/>
      <c r="H1622" s="81"/>
      <c r="I1622" s="81"/>
      <c r="J1622" s="81"/>
      <c r="K1622" s="81"/>
      <c r="L1622" s="81"/>
      <c r="M1622" s="81"/>
      <c r="N1622" s="81"/>
      <c r="O1622" s="81"/>
      <c r="P1622" s="81"/>
      <c r="Q1622" s="81"/>
      <c r="R1622" s="81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81"/>
      <c r="E1626" s="81"/>
      <c r="F1626" s="81"/>
      <c r="G1626" s="81"/>
      <c r="H1626" s="81"/>
      <c r="I1626" s="81"/>
      <c r="J1626" s="81"/>
      <c r="K1626" s="81"/>
      <c r="L1626" s="81"/>
      <c r="M1626" s="81"/>
      <c r="N1626" s="81"/>
      <c r="O1626" s="81"/>
      <c r="P1626" s="81"/>
      <c r="Q1626" s="81"/>
      <c r="R1626" s="81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81"/>
      <c r="E1630" s="81"/>
      <c r="F1630" s="81"/>
      <c r="G1630" s="81"/>
      <c r="H1630" s="81"/>
      <c r="I1630" s="81"/>
      <c r="J1630" s="81"/>
      <c r="K1630" s="81"/>
      <c r="L1630" s="81"/>
      <c r="M1630" s="81"/>
      <c r="N1630" s="81"/>
      <c r="O1630" s="81"/>
      <c r="P1630" s="81"/>
      <c r="Q1630" s="81"/>
      <c r="R1630" s="81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81"/>
      <c r="E1634" s="81"/>
      <c r="F1634" s="81"/>
      <c r="G1634" s="81"/>
      <c r="H1634" s="81"/>
      <c r="I1634" s="81"/>
      <c r="J1634" s="81"/>
      <c r="K1634" s="81"/>
      <c r="L1634" s="81"/>
      <c r="M1634" s="81"/>
      <c r="N1634" s="81"/>
      <c r="O1634" s="81"/>
      <c r="P1634" s="81"/>
      <c r="Q1634" s="81"/>
      <c r="R1634" s="81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81"/>
      <c r="E1638" s="81"/>
      <c r="F1638" s="81"/>
      <c r="G1638" s="81"/>
      <c r="H1638" s="81"/>
      <c r="I1638" s="81"/>
      <c r="J1638" s="81"/>
      <c r="K1638" s="81"/>
      <c r="L1638" s="81"/>
      <c r="M1638" s="81"/>
      <c r="N1638" s="81"/>
      <c r="O1638" s="81"/>
      <c r="P1638" s="81"/>
      <c r="Q1638" s="81"/>
      <c r="R1638" s="81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81"/>
      <c r="E1642" s="81"/>
      <c r="F1642" s="81"/>
      <c r="G1642" s="81"/>
      <c r="H1642" s="81"/>
      <c r="I1642" s="81"/>
      <c r="J1642" s="81"/>
      <c r="K1642" s="81"/>
      <c r="L1642" s="81"/>
      <c r="M1642" s="81"/>
      <c r="N1642" s="81"/>
      <c r="O1642" s="81"/>
      <c r="P1642" s="81"/>
      <c r="Q1642" s="81"/>
      <c r="R1642" s="81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81"/>
      <c r="E1646" s="81"/>
      <c r="F1646" s="81"/>
      <c r="G1646" s="81"/>
      <c r="H1646" s="81"/>
      <c r="I1646" s="81"/>
      <c r="J1646" s="81"/>
      <c r="K1646" s="81"/>
      <c r="L1646" s="81"/>
      <c r="M1646" s="81"/>
      <c r="N1646" s="81"/>
      <c r="O1646" s="81"/>
      <c r="P1646" s="81"/>
      <c r="Q1646" s="81"/>
      <c r="R1646" s="81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81"/>
      <c r="E1650" s="81"/>
      <c r="F1650" s="81"/>
      <c r="G1650" s="81"/>
      <c r="H1650" s="81"/>
      <c r="I1650" s="81"/>
      <c r="J1650" s="81"/>
      <c r="K1650" s="81"/>
      <c r="L1650" s="81"/>
      <c r="M1650" s="81"/>
      <c r="N1650" s="81"/>
      <c r="O1650" s="81"/>
      <c r="P1650" s="81"/>
      <c r="Q1650" s="81"/>
      <c r="R1650" s="81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81"/>
      <c r="E1654" s="81"/>
      <c r="F1654" s="81"/>
      <c r="G1654" s="81"/>
      <c r="H1654" s="81"/>
      <c r="I1654" s="81"/>
      <c r="J1654" s="81"/>
      <c r="K1654" s="81"/>
      <c r="L1654" s="81"/>
      <c r="M1654" s="81"/>
      <c r="N1654" s="81"/>
      <c r="O1654" s="81"/>
      <c r="P1654" s="81"/>
      <c r="Q1654" s="81"/>
      <c r="R1654" s="81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81"/>
      <c r="E1658" s="81"/>
      <c r="F1658" s="81"/>
      <c r="G1658" s="81"/>
      <c r="H1658" s="81"/>
      <c r="I1658" s="81"/>
      <c r="J1658" s="81"/>
      <c r="K1658" s="81"/>
      <c r="L1658" s="81"/>
      <c r="M1658" s="81"/>
      <c r="N1658" s="81"/>
      <c r="O1658" s="81"/>
      <c r="P1658" s="81"/>
      <c r="Q1658" s="81"/>
      <c r="R1658" s="81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81"/>
      <c r="E1662" s="81"/>
      <c r="F1662" s="81"/>
      <c r="G1662" s="81"/>
      <c r="H1662" s="81"/>
      <c r="I1662" s="81"/>
      <c r="J1662" s="81"/>
      <c r="K1662" s="81"/>
      <c r="L1662" s="81"/>
      <c r="M1662" s="81"/>
      <c r="N1662" s="81"/>
      <c r="O1662" s="81"/>
      <c r="P1662" s="81"/>
      <c r="Q1662" s="81"/>
      <c r="R1662" s="81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81"/>
      <c r="E1666" s="81"/>
      <c r="F1666" s="81"/>
      <c r="G1666" s="81"/>
      <c r="H1666" s="81"/>
      <c r="I1666" s="81"/>
      <c r="J1666" s="81"/>
      <c r="K1666" s="81"/>
      <c r="L1666" s="81"/>
      <c r="M1666" s="81"/>
      <c r="N1666" s="81"/>
      <c r="O1666" s="81"/>
      <c r="P1666" s="81"/>
      <c r="Q1666" s="81"/>
      <c r="R1666" s="81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81"/>
      <c r="E1670" s="81"/>
      <c r="F1670" s="81"/>
      <c r="G1670" s="81"/>
      <c r="H1670" s="81"/>
      <c r="I1670" s="81"/>
      <c r="J1670" s="81"/>
      <c r="K1670" s="81"/>
      <c r="L1670" s="81"/>
      <c r="M1670" s="81"/>
      <c r="N1670" s="81"/>
      <c r="O1670" s="81"/>
      <c r="P1670" s="81"/>
      <c r="Q1670" s="81"/>
      <c r="R1670" s="81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81"/>
      <c r="E1674" s="81"/>
      <c r="F1674" s="81"/>
      <c r="G1674" s="81"/>
      <c r="H1674" s="81"/>
      <c r="I1674" s="81"/>
      <c r="J1674" s="81"/>
      <c r="K1674" s="81"/>
      <c r="L1674" s="81"/>
      <c r="M1674" s="81"/>
      <c r="N1674" s="81"/>
      <c r="O1674" s="81"/>
      <c r="P1674" s="81"/>
      <c r="Q1674" s="81"/>
      <c r="R1674" s="81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81"/>
      <c r="E1678" s="81"/>
      <c r="F1678" s="81"/>
      <c r="G1678" s="81"/>
      <c r="H1678" s="81"/>
      <c r="I1678" s="81"/>
      <c r="J1678" s="81"/>
      <c r="K1678" s="81"/>
      <c r="L1678" s="81"/>
      <c r="M1678" s="81"/>
      <c r="N1678" s="81"/>
      <c r="O1678" s="81"/>
      <c r="P1678" s="81"/>
      <c r="Q1678" s="81"/>
      <c r="R1678" s="81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81"/>
      <c r="E1682" s="81"/>
      <c r="F1682" s="81"/>
      <c r="G1682" s="81"/>
      <c r="H1682" s="81"/>
      <c r="I1682" s="81"/>
      <c r="J1682" s="81"/>
      <c r="K1682" s="81"/>
      <c r="L1682" s="81"/>
      <c r="M1682" s="81"/>
      <c r="N1682" s="81"/>
      <c r="O1682" s="81"/>
      <c r="P1682" s="81"/>
      <c r="Q1682" s="81"/>
      <c r="R1682" s="81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81"/>
      <c r="E1686" s="81"/>
      <c r="F1686" s="81"/>
      <c r="G1686" s="81"/>
      <c r="H1686" s="81"/>
      <c r="I1686" s="81"/>
      <c r="J1686" s="81"/>
      <c r="K1686" s="81"/>
      <c r="L1686" s="81"/>
      <c r="M1686" s="81"/>
      <c r="N1686" s="81"/>
      <c r="O1686" s="81"/>
      <c r="P1686" s="81"/>
      <c r="Q1686" s="81"/>
      <c r="R1686" s="81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81"/>
      <c r="E1690" s="81"/>
      <c r="F1690" s="81"/>
      <c r="G1690" s="81"/>
      <c r="H1690" s="81"/>
      <c r="I1690" s="81"/>
      <c r="J1690" s="81"/>
      <c r="K1690" s="81"/>
      <c r="L1690" s="81"/>
      <c r="M1690" s="81"/>
      <c r="N1690" s="81"/>
      <c r="O1690" s="81"/>
      <c r="P1690" s="81"/>
      <c r="Q1690" s="81"/>
      <c r="R1690" s="81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81"/>
      <c r="E1694" s="81"/>
      <c r="F1694" s="81"/>
      <c r="G1694" s="81"/>
      <c r="H1694" s="81"/>
      <c r="I1694" s="81"/>
      <c r="J1694" s="81"/>
      <c r="K1694" s="81"/>
      <c r="L1694" s="81"/>
      <c r="M1694" s="81"/>
      <c r="N1694" s="81"/>
      <c r="O1694" s="81"/>
      <c r="P1694" s="81"/>
      <c r="Q1694" s="81"/>
      <c r="R1694" s="81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81"/>
      <c r="E1698" s="81"/>
      <c r="F1698" s="81"/>
      <c r="G1698" s="81"/>
      <c r="H1698" s="81"/>
      <c r="I1698" s="81"/>
      <c r="J1698" s="81"/>
      <c r="K1698" s="81"/>
      <c r="L1698" s="81"/>
      <c r="M1698" s="81"/>
      <c r="N1698" s="81"/>
      <c r="O1698" s="81"/>
      <c r="P1698" s="81"/>
      <c r="Q1698" s="81"/>
      <c r="R1698" s="81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81"/>
      <c r="E1702" s="81"/>
      <c r="F1702" s="81"/>
      <c r="G1702" s="81"/>
      <c r="H1702" s="81"/>
      <c r="I1702" s="81"/>
      <c r="J1702" s="81"/>
      <c r="K1702" s="81"/>
      <c r="L1702" s="81"/>
      <c r="M1702" s="81"/>
      <c r="N1702" s="81"/>
      <c r="O1702" s="81"/>
      <c r="P1702" s="81"/>
      <c r="Q1702" s="81"/>
      <c r="R1702" s="81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81"/>
      <c r="E1706" s="81"/>
      <c r="F1706" s="81"/>
      <c r="G1706" s="81"/>
      <c r="H1706" s="81"/>
      <c r="I1706" s="81"/>
      <c r="J1706" s="81"/>
      <c r="K1706" s="81"/>
      <c r="L1706" s="81"/>
      <c r="M1706" s="81"/>
      <c r="N1706" s="81"/>
      <c r="O1706" s="81"/>
      <c r="P1706" s="81"/>
      <c r="Q1706" s="81"/>
      <c r="R1706" s="81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81"/>
      <c r="E1710" s="81"/>
      <c r="F1710" s="81"/>
      <c r="G1710" s="81"/>
      <c r="H1710" s="81"/>
      <c r="I1710" s="81"/>
      <c r="J1710" s="81"/>
      <c r="K1710" s="81"/>
      <c r="L1710" s="81"/>
      <c r="M1710" s="81"/>
      <c r="N1710" s="81"/>
      <c r="O1710" s="81"/>
      <c r="P1710" s="81"/>
      <c r="Q1710" s="81"/>
      <c r="R1710" s="81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81"/>
      <c r="E1714" s="81"/>
      <c r="F1714" s="81"/>
      <c r="G1714" s="81"/>
      <c r="H1714" s="81"/>
      <c r="I1714" s="81"/>
      <c r="J1714" s="81"/>
      <c r="K1714" s="81"/>
      <c r="L1714" s="81"/>
      <c r="M1714" s="81"/>
      <c r="N1714" s="81"/>
      <c r="O1714" s="81"/>
      <c r="P1714" s="81"/>
      <c r="Q1714" s="81"/>
      <c r="R1714" s="81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81"/>
      <c r="E1718" s="81"/>
      <c r="F1718" s="81"/>
      <c r="G1718" s="81"/>
      <c r="H1718" s="81"/>
      <c r="I1718" s="81"/>
      <c r="J1718" s="81"/>
      <c r="K1718" s="81"/>
      <c r="L1718" s="81"/>
      <c r="M1718" s="81"/>
      <c r="N1718" s="81"/>
      <c r="O1718" s="81"/>
      <c r="P1718" s="81"/>
      <c r="Q1718" s="81"/>
      <c r="R1718" s="81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81"/>
      <c r="E1722" s="81"/>
      <c r="F1722" s="81"/>
      <c r="G1722" s="81"/>
      <c r="H1722" s="81"/>
      <c r="I1722" s="81"/>
      <c r="J1722" s="81"/>
      <c r="K1722" s="81"/>
      <c r="L1722" s="81"/>
      <c r="M1722" s="81"/>
      <c r="N1722" s="81"/>
      <c r="O1722" s="81"/>
      <c r="P1722" s="81"/>
      <c r="Q1722" s="81"/>
      <c r="R1722" s="81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81"/>
      <c r="E1726" s="81"/>
      <c r="F1726" s="81"/>
      <c r="G1726" s="81"/>
      <c r="H1726" s="81"/>
      <c r="I1726" s="81"/>
      <c r="J1726" s="81"/>
      <c r="K1726" s="81"/>
      <c r="L1726" s="81"/>
      <c r="M1726" s="81"/>
      <c r="N1726" s="81"/>
      <c r="O1726" s="81"/>
      <c r="P1726" s="81"/>
      <c r="Q1726" s="81"/>
      <c r="R1726" s="81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81"/>
      <c r="E1730" s="81"/>
      <c r="F1730" s="81"/>
      <c r="G1730" s="81"/>
      <c r="H1730" s="81"/>
      <c r="I1730" s="81"/>
      <c r="J1730" s="81"/>
      <c r="K1730" s="81"/>
      <c r="L1730" s="81"/>
      <c r="M1730" s="81"/>
      <c r="N1730" s="81"/>
      <c r="O1730" s="81"/>
      <c r="P1730" s="81"/>
      <c r="Q1730" s="81"/>
      <c r="R1730" s="81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81"/>
      <c r="E1734" s="81"/>
      <c r="F1734" s="81"/>
      <c r="G1734" s="81"/>
      <c r="H1734" s="81"/>
      <c r="I1734" s="81"/>
      <c r="J1734" s="81"/>
      <c r="K1734" s="81"/>
      <c r="L1734" s="81"/>
      <c r="M1734" s="81"/>
      <c r="N1734" s="81"/>
      <c r="O1734" s="81"/>
      <c r="P1734" s="81"/>
      <c r="Q1734" s="81"/>
      <c r="R1734" s="81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81"/>
      <c r="E1738" s="81"/>
      <c r="F1738" s="81"/>
      <c r="G1738" s="81"/>
      <c r="H1738" s="81"/>
      <c r="I1738" s="81"/>
      <c r="J1738" s="81"/>
      <c r="K1738" s="81"/>
      <c r="L1738" s="81"/>
      <c r="M1738" s="81"/>
      <c r="N1738" s="81"/>
      <c r="O1738" s="81"/>
      <c r="P1738" s="81"/>
      <c r="Q1738" s="81"/>
      <c r="R1738" s="81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81"/>
      <c r="E1742" s="81"/>
      <c r="F1742" s="81"/>
      <c r="G1742" s="81"/>
      <c r="H1742" s="81"/>
      <c r="I1742" s="81"/>
      <c r="J1742" s="81"/>
      <c r="K1742" s="81"/>
      <c r="L1742" s="81"/>
      <c r="M1742" s="81"/>
      <c r="N1742" s="81"/>
      <c r="O1742" s="81"/>
      <c r="P1742" s="81"/>
      <c r="Q1742" s="81"/>
      <c r="R1742" s="81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81"/>
      <c r="E1746" s="81"/>
      <c r="F1746" s="81"/>
      <c r="G1746" s="81"/>
      <c r="H1746" s="81"/>
      <c r="I1746" s="81"/>
      <c r="J1746" s="81"/>
      <c r="K1746" s="81"/>
      <c r="L1746" s="81"/>
      <c r="M1746" s="81"/>
      <c r="N1746" s="81"/>
      <c r="O1746" s="81"/>
      <c r="P1746" s="81"/>
      <c r="Q1746" s="81"/>
      <c r="R1746" s="81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81"/>
      <c r="E1750" s="81"/>
      <c r="F1750" s="81"/>
      <c r="G1750" s="81"/>
      <c r="H1750" s="81"/>
      <c r="I1750" s="81"/>
      <c r="J1750" s="81"/>
      <c r="K1750" s="81"/>
      <c r="L1750" s="81"/>
      <c r="M1750" s="81"/>
      <c r="N1750" s="81"/>
      <c r="O1750" s="81"/>
      <c r="P1750" s="81"/>
      <c r="Q1750" s="81"/>
      <c r="R1750" s="81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81"/>
      <c r="E1754" s="81"/>
      <c r="F1754" s="81"/>
      <c r="G1754" s="81"/>
      <c r="H1754" s="81"/>
      <c r="I1754" s="81"/>
      <c r="J1754" s="81"/>
      <c r="K1754" s="81"/>
      <c r="L1754" s="81"/>
      <c r="M1754" s="81"/>
      <c r="N1754" s="81"/>
      <c r="O1754" s="81"/>
      <c r="P1754" s="81"/>
      <c r="Q1754" s="81"/>
      <c r="R1754" s="81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81"/>
      <c r="E1758" s="81"/>
      <c r="F1758" s="81"/>
      <c r="G1758" s="81"/>
      <c r="H1758" s="81"/>
      <c r="I1758" s="81"/>
      <c r="J1758" s="81"/>
      <c r="K1758" s="81"/>
      <c r="L1758" s="81"/>
      <c r="M1758" s="81"/>
      <c r="N1758" s="81"/>
      <c r="O1758" s="81"/>
      <c r="P1758" s="81"/>
      <c r="Q1758" s="81"/>
      <c r="R1758" s="81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81"/>
      <c r="E1762" s="81"/>
      <c r="F1762" s="81"/>
      <c r="G1762" s="81"/>
      <c r="H1762" s="81"/>
      <c r="I1762" s="81"/>
      <c r="J1762" s="81"/>
      <c r="K1762" s="81"/>
      <c r="L1762" s="81"/>
      <c r="M1762" s="81"/>
      <c r="N1762" s="81"/>
      <c r="O1762" s="81"/>
      <c r="P1762" s="81"/>
      <c r="Q1762" s="81"/>
      <c r="R1762" s="81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81"/>
      <c r="E1766" s="81"/>
      <c r="F1766" s="81"/>
      <c r="G1766" s="81"/>
      <c r="H1766" s="81"/>
      <c r="I1766" s="81"/>
      <c r="J1766" s="81"/>
      <c r="K1766" s="81"/>
      <c r="L1766" s="81"/>
      <c r="M1766" s="81"/>
      <c r="N1766" s="81"/>
      <c r="O1766" s="81"/>
      <c r="P1766" s="81"/>
      <c r="Q1766" s="81"/>
      <c r="R1766" s="81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81"/>
      <c r="E1770" s="81"/>
      <c r="F1770" s="81"/>
      <c r="G1770" s="81"/>
      <c r="H1770" s="81"/>
      <c r="I1770" s="81"/>
      <c r="J1770" s="81"/>
      <c r="K1770" s="81"/>
      <c r="L1770" s="81"/>
      <c r="M1770" s="81"/>
      <c r="N1770" s="81"/>
      <c r="O1770" s="81"/>
      <c r="P1770" s="81"/>
      <c r="Q1770" s="81"/>
      <c r="R1770" s="81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81"/>
      <c r="E1774" s="81"/>
      <c r="F1774" s="81"/>
      <c r="G1774" s="81"/>
      <c r="H1774" s="81"/>
      <c r="I1774" s="81"/>
      <c r="J1774" s="81"/>
      <c r="K1774" s="81"/>
      <c r="L1774" s="81"/>
      <c r="M1774" s="81"/>
      <c r="N1774" s="81"/>
      <c r="O1774" s="81"/>
      <c r="P1774" s="81"/>
      <c r="Q1774" s="81"/>
      <c r="R1774" s="81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81"/>
      <c r="E1778" s="81"/>
      <c r="F1778" s="81"/>
      <c r="G1778" s="81"/>
      <c r="H1778" s="81"/>
      <c r="I1778" s="81"/>
      <c r="J1778" s="81"/>
      <c r="K1778" s="81"/>
      <c r="L1778" s="81"/>
      <c r="M1778" s="81"/>
      <c r="N1778" s="81"/>
      <c r="O1778" s="81"/>
      <c r="P1778" s="81"/>
      <c r="Q1778" s="81"/>
      <c r="R1778" s="81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81"/>
      <c r="E1782" s="81"/>
      <c r="F1782" s="81"/>
      <c r="G1782" s="81"/>
      <c r="H1782" s="81"/>
      <c r="I1782" s="81"/>
      <c r="J1782" s="81"/>
      <c r="K1782" s="81"/>
      <c r="L1782" s="81"/>
      <c r="M1782" s="81"/>
      <c r="N1782" s="81"/>
      <c r="O1782" s="81"/>
      <c r="P1782" s="81"/>
      <c r="Q1782" s="81"/>
      <c r="R1782" s="81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81"/>
      <c r="E1786" s="81"/>
      <c r="F1786" s="81"/>
      <c r="G1786" s="81"/>
      <c r="H1786" s="81"/>
      <c r="I1786" s="81"/>
      <c r="J1786" s="81"/>
      <c r="K1786" s="81"/>
      <c r="L1786" s="81"/>
      <c r="M1786" s="81"/>
      <c r="N1786" s="81"/>
      <c r="O1786" s="81"/>
      <c r="P1786" s="81"/>
      <c r="Q1786" s="81"/>
      <c r="R1786" s="81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81"/>
      <c r="E1790" s="81"/>
      <c r="F1790" s="81"/>
      <c r="G1790" s="81"/>
      <c r="H1790" s="81"/>
      <c r="I1790" s="81"/>
      <c r="J1790" s="81"/>
      <c r="K1790" s="81"/>
      <c r="L1790" s="81"/>
      <c r="M1790" s="81"/>
      <c r="N1790" s="81"/>
      <c r="O1790" s="81"/>
      <c r="P1790" s="81"/>
      <c r="Q1790" s="81"/>
      <c r="R1790" s="81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81"/>
      <c r="E1794" s="81"/>
      <c r="F1794" s="81"/>
      <c r="G1794" s="81"/>
      <c r="H1794" s="81"/>
      <c r="I1794" s="81"/>
      <c r="J1794" s="81"/>
      <c r="K1794" s="81"/>
      <c r="L1794" s="81"/>
      <c r="M1794" s="81"/>
      <c r="N1794" s="81"/>
      <c r="O1794" s="81"/>
      <c r="P1794" s="81"/>
      <c r="Q1794" s="81"/>
      <c r="R1794" s="81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81"/>
      <c r="E1798" s="81"/>
      <c r="F1798" s="81"/>
      <c r="G1798" s="81"/>
      <c r="H1798" s="81"/>
      <c r="I1798" s="81"/>
      <c r="J1798" s="81"/>
      <c r="K1798" s="81"/>
      <c r="L1798" s="81"/>
      <c r="M1798" s="81"/>
      <c r="N1798" s="81"/>
      <c r="O1798" s="81"/>
      <c r="P1798" s="81"/>
      <c r="Q1798" s="81"/>
      <c r="R1798" s="81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81"/>
      <c r="E1802" s="81"/>
      <c r="F1802" s="81"/>
      <c r="G1802" s="81"/>
      <c r="H1802" s="81"/>
      <c r="I1802" s="81"/>
      <c r="J1802" s="81"/>
      <c r="K1802" s="81"/>
      <c r="L1802" s="81"/>
      <c r="M1802" s="81"/>
      <c r="N1802" s="81"/>
      <c r="O1802" s="81"/>
      <c r="P1802" s="81"/>
      <c r="Q1802" s="81"/>
      <c r="R1802" s="81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81"/>
      <c r="E1806" s="81"/>
      <c r="F1806" s="81"/>
      <c r="G1806" s="81"/>
      <c r="H1806" s="81"/>
      <c r="I1806" s="81"/>
      <c r="J1806" s="81"/>
      <c r="K1806" s="81"/>
      <c r="L1806" s="81"/>
      <c r="M1806" s="81"/>
      <c r="N1806" s="81"/>
      <c r="O1806" s="81"/>
      <c r="P1806" s="81"/>
      <c r="Q1806" s="81"/>
      <c r="R1806" s="81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81"/>
      <c r="E1810" s="81"/>
      <c r="F1810" s="81"/>
      <c r="G1810" s="81"/>
      <c r="H1810" s="81"/>
      <c r="I1810" s="81"/>
      <c r="J1810" s="81"/>
      <c r="K1810" s="81"/>
      <c r="L1810" s="81"/>
      <c r="M1810" s="81"/>
      <c r="N1810" s="81"/>
      <c r="O1810" s="81"/>
      <c r="P1810" s="81"/>
      <c r="Q1810" s="81"/>
      <c r="R1810" s="81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81"/>
      <c r="E1814" s="81"/>
      <c r="F1814" s="81"/>
      <c r="G1814" s="81"/>
      <c r="H1814" s="81"/>
      <c r="I1814" s="81"/>
      <c r="J1814" s="81"/>
      <c r="K1814" s="81"/>
      <c r="L1814" s="81"/>
      <c r="M1814" s="81"/>
      <c r="N1814" s="81"/>
      <c r="O1814" s="81"/>
      <c r="P1814" s="81"/>
      <c r="Q1814" s="81"/>
      <c r="R1814" s="81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81"/>
      <c r="E1818" s="81"/>
      <c r="F1818" s="81"/>
      <c r="G1818" s="81"/>
      <c r="H1818" s="81"/>
      <c r="I1818" s="81"/>
      <c r="J1818" s="81"/>
      <c r="K1818" s="81"/>
      <c r="L1818" s="81"/>
      <c r="M1818" s="81"/>
      <c r="N1818" s="81"/>
      <c r="O1818" s="81"/>
      <c r="P1818" s="81"/>
      <c r="Q1818" s="81"/>
      <c r="R1818" s="81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81"/>
      <c r="E1822" s="81"/>
      <c r="F1822" s="81"/>
      <c r="G1822" s="81"/>
      <c r="H1822" s="81"/>
      <c r="I1822" s="81"/>
      <c r="J1822" s="81"/>
      <c r="K1822" s="81"/>
      <c r="L1822" s="81"/>
      <c r="M1822" s="81"/>
      <c r="N1822" s="81"/>
      <c r="O1822" s="81"/>
      <c r="P1822" s="81"/>
      <c r="Q1822" s="81"/>
      <c r="R1822" s="81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81"/>
      <c r="E1826" s="81"/>
      <c r="F1826" s="81"/>
      <c r="G1826" s="81"/>
      <c r="H1826" s="81"/>
      <c r="I1826" s="81"/>
      <c r="J1826" s="81"/>
      <c r="K1826" s="81"/>
      <c r="L1826" s="81"/>
      <c r="M1826" s="81"/>
      <c r="N1826" s="81"/>
      <c r="O1826" s="81"/>
      <c r="P1826" s="81"/>
      <c r="Q1826" s="81"/>
      <c r="R1826" s="81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81"/>
      <c r="E1830" s="81"/>
      <c r="F1830" s="81"/>
      <c r="G1830" s="81"/>
      <c r="H1830" s="81"/>
      <c r="I1830" s="81"/>
      <c r="J1830" s="81"/>
      <c r="K1830" s="81"/>
      <c r="L1830" s="81"/>
      <c r="M1830" s="81"/>
      <c r="N1830" s="81"/>
      <c r="O1830" s="81"/>
      <c r="P1830" s="81"/>
      <c r="Q1830" s="81"/>
      <c r="R1830" s="81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81"/>
      <c r="E1834" s="81"/>
      <c r="F1834" s="81"/>
      <c r="G1834" s="81"/>
      <c r="H1834" s="81"/>
      <c r="I1834" s="81"/>
      <c r="J1834" s="81"/>
      <c r="K1834" s="81"/>
      <c r="L1834" s="81"/>
      <c r="M1834" s="81"/>
      <c r="N1834" s="81"/>
      <c r="O1834" s="81"/>
      <c r="P1834" s="81"/>
      <c r="Q1834" s="81"/>
      <c r="R1834" s="81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81"/>
      <c r="E1838" s="81"/>
      <c r="F1838" s="81"/>
      <c r="G1838" s="81"/>
      <c r="H1838" s="81"/>
      <c r="I1838" s="81"/>
      <c r="J1838" s="81"/>
      <c r="K1838" s="81"/>
      <c r="L1838" s="81"/>
      <c r="M1838" s="81"/>
      <c r="N1838" s="81"/>
      <c r="O1838" s="81"/>
      <c r="P1838" s="81"/>
      <c r="Q1838" s="81"/>
      <c r="R1838" s="81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81"/>
      <c r="E1842" s="81"/>
      <c r="F1842" s="81"/>
      <c r="G1842" s="81"/>
      <c r="H1842" s="81"/>
      <c r="I1842" s="81"/>
      <c r="J1842" s="81"/>
      <c r="K1842" s="81"/>
      <c r="L1842" s="81"/>
      <c r="M1842" s="81"/>
      <c r="N1842" s="81"/>
      <c r="O1842" s="81"/>
      <c r="P1842" s="81"/>
      <c r="Q1842" s="81"/>
      <c r="R1842" s="81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81"/>
      <c r="E1846" s="81"/>
      <c r="F1846" s="81"/>
      <c r="G1846" s="81"/>
      <c r="H1846" s="81"/>
      <c r="I1846" s="81"/>
      <c r="J1846" s="81"/>
      <c r="K1846" s="81"/>
      <c r="L1846" s="81"/>
      <c r="M1846" s="81"/>
      <c r="N1846" s="81"/>
      <c r="O1846" s="81"/>
      <c r="P1846" s="81"/>
      <c r="Q1846" s="81"/>
      <c r="R1846" s="81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81"/>
      <c r="E1850" s="81"/>
      <c r="F1850" s="81"/>
      <c r="G1850" s="81"/>
      <c r="H1850" s="81"/>
      <c r="I1850" s="81"/>
      <c r="J1850" s="81"/>
      <c r="K1850" s="81"/>
      <c r="L1850" s="81"/>
      <c r="M1850" s="81"/>
      <c r="N1850" s="81"/>
      <c r="O1850" s="81"/>
      <c r="P1850" s="81"/>
      <c r="Q1850" s="81"/>
      <c r="R1850" s="81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81"/>
      <c r="E1854" s="81"/>
      <c r="F1854" s="81"/>
      <c r="G1854" s="81"/>
      <c r="H1854" s="81"/>
      <c r="I1854" s="81"/>
      <c r="J1854" s="81"/>
      <c r="K1854" s="81"/>
      <c r="L1854" s="81"/>
      <c r="M1854" s="81"/>
      <c r="N1854" s="81"/>
      <c r="O1854" s="81"/>
      <c r="P1854" s="81"/>
      <c r="Q1854" s="81"/>
      <c r="R1854" s="81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81"/>
      <c r="E1858" s="81"/>
      <c r="F1858" s="81"/>
      <c r="G1858" s="81"/>
      <c r="H1858" s="81"/>
      <c r="I1858" s="81"/>
      <c r="J1858" s="81"/>
      <c r="K1858" s="81"/>
      <c r="L1858" s="81"/>
      <c r="M1858" s="81"/>
      <c r="N1858" s="81"/>
      <c r="O1858" s="81"/>
      <c r="P1858" s="81"/>
      <c r="Q1858" s="81"/>
      <c r="R1858" s="81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81"/>
      <c r="E1862" s="81"/>
      <c r="F1862" s="81"/>
      <c r="G1862" s="81"/>
      <c r="H1862" s="81"/>
      <c r="I1862" s="81"/>
      <c r="J1862" s="81"/>
      <c r="K1862" s="81"/>
      <c r="L1862" s="81"/>
      <c r="M1862" s="81"/>
      <c r="N1862" s="81"/>
      <c r="O1862" s="81"/>
      <c r="P1862" s="81"/>
      <c r="Q1862" s="81"/>
      <c r="R1862" s="81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81"/>
      <c r="E1866" s="81"/>
      <c r="F1866" s="81"/>
      <c r="G1866" s="81"/>
      <c r="H1866" s="81"/>
      <c r="I1866" s="81"/>
      <c r="J1866" s="81"/>
      <c r="K1866" s="81"/>
      <c r="L1866" s="81"/>
      <c r="M1866" s="81"/>
      <c r="N1866" s="81"/>
      <c r="O1866" s="81"/>
      <c r="P1866" s="81"/>
      <c r="Q1866" s="81"/>
      <c r="R1866" s="81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81"/>
      <c r="E1870" s="81"/>
      <c r="F1870" s="81"/>
      <c r="G1870" s="81"/>
      <c r="H1870" s="81"/>
      <c r="I1870" s="81"/>
      <c r="J1870" s="81"/>
      <c r="K1870" s="81"/>
      <c r="L1870" s="81"/>
      <c r="M1870" s="81"/>
      <c r="N1870" s="81"/>
      <c r="O1870" s="81"/>
      <c r="P1870" s="81"/>
      <c r="Q1870" s="81"/>
      <c r="R1870" s="81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81"/>
      <c r="E1874" s="81"/>
      <c r="F1874" s="81"/>
      <c r="G1874" s="81"/>
      <c r="H1874" s="81"/>
      <c r="I1874" s="81"/>
      <c r="J1874" s="81"/>
      <c r="K1874" s="81"/>
      <c r="L1874" s="81"/>
      <c r="M1874" s="81"/>
      <c r="N1874" s="81"/>
      <c r="O1874" s="81"/>
      <c r="P1874" s="81"/>
      <c r="Q1874" s="81"/>
      <c r="R1874" s="81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81"/>
      <c r="E1878" s="81"/>
      <c r="F1878" s="81"/>
      <c r="G1878" s="81"/>
      <c r="H1878" s="81"/>
      <c r="I1878" s="81"/>
      <c r="J1878" s="81"/>
      <c r="K1878" s="81"/>
      <c r="L1878" s="81"/>
      <c r="M1878" s="81"/>
      <c r="N1878" s="81"/>
      <c r="O1878" s="81"/>
      <c r="P1878" s="81"/>
      <c r="Q1878" s="81"/>
      <c r="R1878" s="81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81"/>
      <c r="E1882" s="81"/>
      <c r="F1882" s="81"/>
      <c r="G1882" s="81"/>
      <c r="H1882" s="81"/>
      <c r="I1882" s="81"/>
      <c r="J1882" s="81"/>
      <c r="K1882" s="81"/>
      <c r="L1882" s="81"/>
      <c r="M1882" s="81"/>
      <c r="N1882" s="81"/>
      <c r="O1882" s="81"/>
      <c r="P1882" s="81"/>
      <c r="Q1882" s="81"/>
      <c r="R1882" s="81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81"/>
      <c r="E1886" s="81"/>
      <c r="F1886" s="81"/>
      <c r="G1886" s="81"/>
      <c r="H1886" s="81"/>
      <c r="I1886" s="81"/>
      <c r="J1886" s="81"/>
      <c r="K1886" s="81"/>
      <c r="L1886" s="81"/>
      <c r="M1886" s="81"/>
      <c r="N1886" s="81"/>
      <c r="O1886" s="81"/>
      <c r="P1886" s="81"/>
      <c r="Q1886" s="81"/>
      <c r="R1886" s="81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81"/>
      <c r="E1890" s="81"/>
      <c r="F1890" s="81"/>
      <c r="G1890" s="81"/>
      <c r="H1890" s="81"/>
      <c r="I1890" s="81"/>
      <c r="J1890" s="81"/>
      <c r="K1890" s="81"/>
      <c r="L1890" s="81"/>
      <c r="M1890" s="81"/>
      <c r="N1890" s="81"/>
      <c r="O1890" s="81"/>
      <c r="P1890" s="81"/>
      <c r="Q1890" s="81"/>
      <c r="R1890" s="81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81"/>
      <c r="E1894" s="81"/>
      <c r="F1894" s="81"/>
      <c r="G1894" s="81"/>
      <c r="H1894" s="81"/>
      <c r="I1894" s="81"/>
      <c r="J1894" s="81"/>
      <c r="K1894" s="81"/>
      <c r="L1894" s="81"/>
      <c r="M1894" s="81"/>
      <c r="N1894" s="81"/>
      <c r="O1894" s="81"/>
      <c r="P1894" s="81"/>
      <c r="Q1894" s="81"/>
      <c r="R1894" s="81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81"/>
      <c r="E1898" s="81"/>
      <c r="F1898" s="81"/>
      <c r="G1898" s="81"/>
      <c r="H1898" s="81"/>
      <c r="I1898" s="81"/>
      <c r="J1898" s="81"/>
      <c r="K1898" s="81"/>
      <c r="L1898" s="81"/>
      <c r="M1898" s="81"/>
      <c r="N1898" s="81"/>
      <c r="O1898" s="81"/>
      <c r="P1898" s="81"/>
      <c r="Q1898" s="81"/>
      <c r="R1898" s="81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81"/>
      <c r="E1902" s="81"/>
      <c r="F1902" s="81"/>
      <c r="G1902" s="81"/>
      <c r="H1902" s="81"/>
      <c r="I1902" s="81"/>
      <c r="J1902" s="81"/>
      <c r="K1902" s="81"/>
      <c r="L1902" s="81"/>
      <c r="M1902" s="81"/>
      <c r="N1902" s="81"/>
      <c r="O1902" s="81"/>
      <c r="P1902" s="81"/>
      <c r="Q1902" s="81"/>
      <c r="R1902" s="81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81"/>
      <c r="E1906" s="81"/>
      <c r="F1906" s="81"/>
      <c r="G1906" s="81"/>
      <c r="H1906" s="81"/>
      <c r="I1906" s="81"/>
      <c r="J1906" s="81"/>
      <c r="K1906" s="81"/>
      <c r="L1906" s="81"/>
      <c r="M1906" s="81"/>
      <c r="N1906" s="81"/>
      <c r="O1906" s="81"/>
      <c r="P1906" s="81"/>
      <c r="Q1906" s="81"/>
      <c r="R1906" s="81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81"/>
      <c r="E1910" s="81"/>
      <c r="F1910" s="81"/>
      <c r="G1910" s="81"/>
      <c r="H1910" s="81"/>
      <c r="I1910" s="81"/>
      <c r="J1910" s="81"/>
      <c r="K1910" s="81"/>
      <c r="L1910" s="81"/>
      <c r="M1910" s="81"/>
      <c r="N1910" s="81"/>
      <c r="O1910" s="81"/>
      <c r="P1910" s="81"/>
      <c r="Q1910" s="81"/>
      <c r="R1910" s="81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81"/>
      <c r="E1914" s="81"/>
      <c r="F1914" s="81"/>
      <c r="G1914" s="81"/>
      <c r="H1914" s="81"/>
      <c r="I1914" s="81"/>
      <c r="J1914" s="81"/>
      <c r="K1914" s="81"/>
      <c r="L1914" s="81"/>
      <c r="M1914" s="81"/>
      <c r="N1914" s="81"/>
      <c r="O1914" s="81"/>
      <c r="P1914" s="81"/>
      <c r="Q1914" s="81"/>
      <c r="R1914" s="81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81"/>
      <c r="E1918" s="81"/>
      <c r="F1918" s="81"/>
      <c r="G1918" s="81"/>
      <c r="H1918" s="81"/>
      <c r="I1918" s="81"/>
      <c r="J1918" s="81"/>
      <c r="K1918" s="81"/>
      <c r="L1918" s="81"/>
      <c r="M1918" s="81"/>
      <c r="N1918" s="81"/>
      <c r="O1918" s="81"/>
      <c r="P1918" s="81"/>
      <c r="Q1918" s="81"/>
      <c r="R1918" s="81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81"/>
      <c r="E1922" s="81"/>
      <c r="F1922" s="81"/>
      <c r="G1922" s="81"/>
      <c r="H1922" s="81"/>
      <c r="I1922" s="81"/>
      <c r="J1922" s="81"/>
      <c r="K1922" s="81"/>
      <c r="L1922" s="81"/>
      <c r="M1922" s="81"/>
      <c r="N1922" s="81"/>
      <c r="O1922" s="81"/>
      <c r="P1922" s="81"/>
      <c r="Q1922" s="81"/>
      <c r="R1922" s="81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81"/>
      <c r="E1926" s="81"/>
      <c r="F1926" s="81"/>
      <c r="G1926" s="81"/>
      <c r="H1926" s="81"/>
      <c r="I1926" s="81"/>
      <c r="J1926" s="81"/>
      <c r="K1926" s="81"/>
      <c r="L1926" s="81"/>
      <c r="M1926" s="81"/>
      <c r="N1926" s="81"/>
      <c r="O1926" s="81"/>
      <c r="P1926" s="81"/>
      <c r="Q1926" s="81"/>
      <c r="R1926" s="81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81"/>
      <c r="E1930" s="81"/>
      <c r="F1930" s="81"/>
      <c r="G1930" s="81"/>
      <c r="H1930" s="81"/>
      <c r="I1930" s="81"/>
      <c r="J1930" s="81"/>
      <c r="K1930" s="81"/>
      <c r="L1930" s="81"/>
      <c r="M1930" s="81"/>
      <c r="N1930" s="81"/>
      <c r="O1930" s="81"/>
      <c r="P1930" s="81"/>
      <c r="Q1930" s="81"/>
      <c r="R1930" s="81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81"/>
      <c r="E1934" s="81"/>
      <c r="F1934" s="81"/>
      <c r="G1934" s="81"/>
      <c r="H1934" s="81"/>
      <c r="I1934" s="81"/>
      <c r="J1934" s="81"/>
      <c r="K1934" s="81"/>
      <c r="L1934" s="81"/>
      <c r="M1934" s="81"/>
      <c r="N1934" s="81"/>
      <c r="O1934" s="81"/>
      <c r="P1934" s="81"/>
      <c r="Q1934" s="81"/>
      <c r="R1934" s="81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81"/>
      <c r="E1938" s="81"/>
      <c r="F1938" s="81"/>
      <c r="G1938" s="81"/>
      <c r="H1938" s="81"/>
      <c r="I1938" s="81"/>
      <c r="J1938" s="81"/>
      <c r="K1938" s="81"/>
      <c r="L1938" s="81"/>
      <c r="M1938" s="81"/>
      <c r="N1938" s="81"/>
      <c r="O1938" s="81"/>
      <c r="P1938" s="81"/>
      <c r="Q1938" s="81"/>
      <c r="R1938" s="81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81"/>
      <c r="E1942" s="81"/>
      <c r="F1942" s="81"/>
      <c r="G1942" s="81"/>
      <c r="H1942" s="81"/>
      <c r="I1942" s="81"/>
      <c r="J1942" s="81"/>
      <c r="K1942" s="81"/>
      <c r="L1942" s="81"/>
      <c r="M1942" s="81"/>
      <c r="N1942" s="81"/>
      <c r="O1942" s="81"/>
      <c r="P1942" s="81"/>
      <c r="Q1942" s="81"/>
      <c r="R1942" s="81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81"/>
      <c r="E1946" s="81"/>
      <c r="F1946" s="81"/>
      <c r="G1946" s="81"/>
      <c r="H1946" s="81"/>
      <c r="I1946" s="81"/>
      <c r="J1946" s="81"/>
      <c r="K1946" s="81"/>
      <c r="L1946" s="81"/>
      <c r="M1946" s="81"/>
      <c r="N1946" s="81"/>
      <c r="O1946" s="81"/>
      <c r="P1946" s="81"/>
      <c r="Q1946" s="81"/>
      <c r="R1946" s="81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81"/>
      <c r="E1950" s="81"/>
      <c r="F1950" s="81"/>
      <c r="G1950" s="81"/>
      <c r="H1950" s="81"/>
      <c r="I1950" s="81"/>
      <c r="J1950" s="81"/>
      <c r="K1950" s="81"/>
      <c r="L1950" s="81"/>
      <c r="M1950" s="81"/>
      <c r="N1950" s="81"/>
      <c r="O1950" s="81"/>
      <c r="P1950" s="81"/>
      <c r="Q1950" s="81"/>
      <c r="R1950" s="81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81"/>
      <c r="E1954" s="81"/>
      <c r="F1954" s="81"/>
      <c r="G1954" s="81"/>
      <c r="H1954" s="81"/>
      <c r="I1954" s="81"/>
      <c r="J1954" s="81"/>
      <c r="K1954" s="81"/>
      <c r="L1954" s="81"/>
      <c r="M1954" s="81"/>
      <c r="N1954" s="81"/>
      <c r="O1954" s="81"/>
      <c r="P1954" s="81"/>
      <c r="Q1954" s="81"/>
      <c r="R1954" s="81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81"/>
      <c r="E1958" s="81"/>
      <c r="F1958" s="81"/>
      <c r="G1958" s="81"/>
      <c r="H1958" s="81"/>
      <c r="I1958" s="81"/>
      <c r="J1958" s="81"/>
      <c r="K1958" s="81"/>
      <c r="L1958" s="81"/>
      <c r="M1958" s="81"/>
      <c r="N1958" s="81"/>
      <c r="O1958" s="81"/>
      <c r="P1958" s="81"/>
      <c r="Q1958" s="81"/>
      <c r="R1958" s="81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81"/>
      <c r="E1962" s="81"/>
      <c r="F1962" s="81"/>
      <c r="G1962" s="81"/>
      <c r="H1962" s="81"/>
      <c r="I1962" s="81"/>
      <c r="J1962" s="81"/>
      <c r="K1962" s="81"/>
      <c r="L1962" s="81"/>
      <c r="M1962" s="81"/>
      <c r="N1962" s="81"/>
      <c r="O1962" s="81"/>
      <c r="P1962" s="81"/>
      <c r="Q1962" s="81"/>
      <c r="R1962" s="81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81"/>
      <c r="E1966" s="81"/>
      <c r="F1966" s="81"/>
      <c r="G1966" s="81"/>
      <c r="H1966" s="81"/>
      <c r="I1966" s="81"/>
      <c r="J1966" s="81"/>
      <c r="K1966" s="81"/>
      <c r="L1966" s="81"/>
      <c r="M1966" s="81"/>
      <c r="N1966" s="81"/>
      <c r="O1966" s="81"/>
      <c r="P1966" s="81"/>
      <c r="Q1966" s="81"/>
      <c r="R1966" s="81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81"/>
      <c r="E1970" s="81"/>
      <c r="F1970" s="81"/>
      <c r="G1970" s="81"/>
      <c r="H1970" s="81"/>
      <c r="I1970" s="81"/>
      <c r="J1970" s="81"/>
      <c r="K1970" s="81"/>
      <c r="L1970" s="81"/>
      <c r="M1970" s="81"/>
      <c r="N1970" s="81"/>
      <c r="O1970" s="81"/>
      <c r="P1970" s="81"/>
      <c r="Q1970" s="81"/>
      <c r="R1970" s="81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81"/>
      <c r="E1974" s="81"/>
      <c r="F1974" s="81"/>
      <c r="G1974" s="81"/>
      <c r="H1974" s="81"/>
      <c r="I1974" s="81"/>
      <c r="J1974" s="81"/>
      <c r="K1974" s="81"/>
      <c r="L1974" s="81"/>
      <c r="M1974" s="81"/>
      <c r="N1974" s="81"/>
      <c r="O1974" s="81"/>
      <c r="P1974" s="81"/>
      <c r="Q1974" s="81"/>
      <c r="R1974" s="81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81"/>
      <c r="E1978" s="81"/>
      <c r="F1978" s="81"/>
      <c r="G1978" s="81"/>
      <c r="H1978" s="81"/>
      <c r="I1978" s="81"/>
      <c r="J1978" s="81"/>
      <c r="K1978" s="81"/>
      <c r="L1978" s="81"/>
      <c r="M1978" s="81"/>
      <c r="N1978" s="81"/>
      <c r="O1978" s="81"/>
      <c r="P1978" s="81"/>
      <c r="Q1978" s="81"/>
      <c r="R1978" s="81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81"/>
      <c r="E1982" s="81"/>
      <c r="F1982" s="81"/>
      <c r="G1982" s="81"/>
      <c r="H1982" s="81"/>
      <c r="I1982" s="81"/>
      <c r="J1982" s="81"/>
      <c r="K1982" s="81"/>
      <c r="L1982" s="81"/>
      <c r="M1982" s="81"/>
      <c r="N1982" s="81"/>
      <c r="O1982" s="81"/>
      <c r="P1982" s="81"/>
      <c r="Q1982" s="81"/>
      <c r="R1982" s="81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81"/>
      <c r="E1986" s="81"/>
      <c r="F1986" s="81"/>
      <c r="G1986" s="81"/>
      <c r="H1986" s="81"/>
      <c r="I1986" s="81"/>
      <c r="J1986" s="81"/>
      <c r="K1986" s="81"/>
      <c r="L1986" s="81"/>
      <c r="M1986" s="81"/>
      <c r="N1986" s="81"/>
      <c r="O1986" s="81"/>
      <c r="P1986" s="81"/>
      <c r="Q1986" s="81"/>
      <c r="R1986" s="81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81"/>
      <c r="E1990" s="81"/>
      <c r="F1990" s="81"/>
      <c r="G1990" s="81"/>
      <c r="H1990" s="81"/>
      <c r="I1990" s="81"/>
      <c r="J1990" s="81"/>
      <c r="K1990" s="81"/>
      <c r="L1990" s="81"/>
      <c r="M1990" s="81"/>
      <c r="N1990" s="81"/>
      <c r="O1990" s="81"/>
      <c r="P1990" s="81"/>
      <c r="Q1990" s="81"/>
      <c r="R1990" s="81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81"/>
      <c r="E1994" s="81"/>
      <c r="F1994" s="81"/>
      <c r="G1994" s="81"/>
      <c r="H1994" s="81"/>
      <c r="I1994" s="81"/>
      <c r="J1994" s="81"/>
      <c r="K1994" s="81"/>
      <c r="L1994" s="81"/>
      <c r="M1994" s="81"/>
      <c r="N1994" s="81"/>
      <c r="O1994" s="81"/>
      <c r="P1994" s="81"/>
      <c r="Q1994" s="81"/>
      <c r="R1994" s="81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81"/>
      <c r="E1998" s="81"/>
      <c r="F1998" s="81"/>
      <c r="G1998" s="81"/>
      <c r="H1998" s="81"/>
      <c r="I1998" s="81"/>
      <c r="J1998" s="81"/>
      <c r="K1998" s="81"/>
      <c r="L1998" s="81"/>
      <c r="M1998" s="81"/>
      <c r="N1998" s="81"/>
      <c r="O1998" s="81"/>
      <c r="P1998" s="81"/>
      <c r="Q1998" s="81"/>
      <c r="R1998" s="81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81"/>
      <c r="E2002" s="81"/>
      <c r="F2002" s="81"/>
      <c r="G2002" s="81"/>
      <c r="H2002" s="81"/>
      <c r="I2002" s="81"/>
      <c r="J2002" s="81"/>
      <c r="K2002" s="81"/>
      <c r="L2002" s="81"/>
      <c r="M2002" s="81"/>
      <c r="N2002" s="81"/>
      <c r="O2002" s="81"/>
      <c r="P2002" s="81"/>
      <c r="Q2002" s="81"/>
      <c r="R2002" s="81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1" priority="1">
      <formula>顯示注音輸入</formula>
    </cfRule>
    <cfRule type="expression" dxfId="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9C83-244B-450E-989F-5E05F3CCE6DE}">
  <dimension ref="A1:T9"/>
  <sheetViews>
    <sheetView workbookViewId="0">
      <selection activeCell="S1" sqref="S1:T1048576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63" customWidth="1"/>
  </cols>
  <sheetData>
    <row r="1" spans="1:20">
      <c r="B1" s="60"/>
      <c r="F1" s="67" t="s">
        <v>113</v>
      </c>
      <c r="G1" s="67"/>
      <c r="H1" s="67"/>
      <c r="I1" s="67"/>
      <c r="J1" s="67"/>
      <c r="K1" s="67"/>
      <c r="L1" s="61"/>
      <c r="M1" s="61"/>
      <c r="N1" s="61" t="s">
        <v>114</v>
      </c>
      <c r="O1" s="61"/>
      <c r="P1" s="61"/>
    </row>
    <row r="3" spans="1:20" ht="60">
      <c r="A3" s="58" t="s">
        <v>115</v>
      </c>
      <c r="B3" s="58" t="s">
        <v>116</v>
      </c>
      <c r="C3" s="58" t="s">
        <v>117</v>
      </c>
      <c r="D3" s="63" t="s">
        <v>118</v>
      </c>
      <c r="E3" s="63" t="s">
        <v>119</v>
      </c>
      <c r="F3" s="62" t="s">
        <v>120</v>
      </c>
      <c r="G3" s="62" t="s">
        <v>121</v>
      </c>
      <c r="H3" s="62" t="s">
        <v>53</v>
      </c>
      <c r="I3" s="62" t="s">
        <v>122</v>
      </c>
      <c r="J3" s="62" t="s">
        <v>123</v>
      </c>
      <c r="K3" s="62" t="s">
        <v>124</v>
      </c>
      <c r="L3" s="64" t="s">
        <v>125</v>
      </c>
      <c r="M3" s="61" t="s">
        <v>53</v>
      </c>
      <c r="N3" s="61" t="s">
        <v>122</v>
      </c>
      <c r="O3" s="61" t="s">
        <v>123</v>
      </c>
      <c r="P3" s="61" t="s">
        <v>124</v>
      </c>
      <c r="Q3" s="78" t="s">
        <v>56</v>
      </c>
      <c r="R3" s="78" t="s">
        <v>126</v>
      </c>
      <c r="T3" s="78" t="s">
        <v>242</v>
      </c>
    </row>
    <row r="4" spans="1:20" ht="69">
      <c r="A4" s="59">
        <v>1</v>
      </c>
      <c r="B4" s="69" t="s">
        <v>127</v>
      </c>
      <c r="C4" s="71" t="s">
        <v>128</v>
      </c>
      <c r="D4" s="72">
        <v>20</v>
      </c>
      <c r="E4" s="72">
        <v>25</v>
      </c>
      <c r="F4" s="73">
        <v>0</v>
      </c>
      <c r="G4" s="74">
        <v>25000</v>
      </c>
      <c r="H4" s="75" t="s">
        <v>129</v>
      </c>
      <c r="I4" s="75" t="s">
        <v>129</v>
      </c>
      <c r="J4" s="75" t="s">
        <v>130</v>
      </c>
      <c r="K4" s="75" t="s">
        <v>131</v>
      </c>
      <c r="L4" s="66">
        <v>20000</v>
      </c>
      <c r="M4" s="66" t="s">
        <v>129</v>
      </c>
      <c r="N4" s="66" t="s">
        <v>129</v>
      </c>
      <c r="O4" s="66" t="s">
        <v>132</v>
      </c>
      <c r="P4" s="66" t="s">
        <v>131</v>
      </c>
      <c r="Q4" s="57" t="s">
        <v>133</v>
      </c>
      <c r="R4" s="82" t="s">
        <v>134</v>
      </c>
      <c r="T4" s="56" t="str">
        <f xml:space="preserve"> _xlfn.CONCAT(Q4, CHAR(10), R4)</f>
        <v>《道德經。第十一章》
Tō tik king. Tē si̍p it tsiong</v>
      </c>
    </row>
    <row r="5" spans="1:20" ht="103.5">
      <c r="A5" s="59">
        <v>2</v>
      </c>
      <c r="B5" s="70" t="s">
        <v>135</v>
      </c>
      <c r="C5" s="71" t="s">
        <v>136</v>
      </c>
      <c r="D5" s="65">
        <v>2</v>
      </c>
      <c r="E5" s="65">
        <v>5</v>
      </c>
      <c r="F5" s="73">
        <v>25000</v>
      </c>
      <c r="G5" s="74">
        <v>30000</v>
      </c>
      <c r="H5" s="75" t="s">
        <v>129</v>
      </c>
      <c r="I5" s="75" t="s">
        <v>129</v>
      </c>
      <c r="J5" s="75" t="s">
        <v>137</v>
      </c>
      <c r="K5" s="75" t="s">
        <v>131</v>
      </c>
      <c r="L5" s="66">
        <v>27000</v>
      </c>
      <c r="M5" s="66" t="s">
        <v>129</v>
      </c>
      <c r="N5" s="66" t="s">
        <v>129</v>
      </c>
      <c r="O5" s="66" t="s">
        <v>138</v>
      </c>
      <c r="P5" s="66" t="s">
        <v>131</v>
      </c>
      <c r="Q5" s="57" t="s">
        <v>173</v>
      </c>
      <c r="R5" s="82" t="s">
        <v>139</v>
      </c>
      <c r="T5" s="56" t="str">
        <f t="shared" ref="T5:T8" si="0" xml:space="preserve"> _xlfn.CONCAT(Q5, CHAR(10), R5)</f>
        <v>三十輻同一轂，當其無，有車之用也。
Sip hok tâng it kok, tong kî bô, íu ku tsi īong ía.</v>
      </c>
    </row>
    <row r="6" spans="1:20" ht="69">
      <c r="A6" s="59">
        <v>3</v>
      </c>
      <c r="B6" s="70" t="s">
        <v>140</v>
      </c>
      <c r="C6" s="71" t="s">
        <v>141</v>
      </c>
      <c r="D6" s="65">
        <v>2</v>
      </c>
      <c r="E6" s="65">
        <v>5</v>
      </c>
      <c r="F6" s="73">
        <v>30000</v>
      </c>
      <c r="G6" s="74">
        <v>35000</v>
      </c>
      <c r="H6" s="75" t="s">
        <v>129</v>
      </c>
      <c r="I6" s="75" t="s">
        <v>129</v>
      </c>
      <c r="J6" s="75" t="s">
        <v>142</v>
      </c>
      <c r="K6" s="75" t="s">
        <v>131</v>
      </c>
      <c r="L6" s="66">
        <v>32000</v>
      </c>
      <c r="M6" s="66" t="s">
        <v>129</v>
      </c>
      <c r="N6" s="66" t="s">
        <v>129</v>
      </c>
      <c r="O6" s="66" t="s">
        <v>143</v>
      </c>
      <c r="P6" s="66" t="s">
        <v>131</v>
      </c>
      <c r="Q6" s="57" t="s">
        <v>144</v>
      </c>
      <c r="R6" s="82" t="s">
        <v>145</v>
      </c>
      <c r="T6" s="56" t="str">
        <f t="shared" si="0"/>
        <v>埏埴為器，當其無，有埴器之用也。
Îan si̍t ûi khì, tong kî bô, íu si̍t khì tsi īong ía.</v>
      </c>
    </row>
    <row r="7" spans="1:20" ht="69">
      <c r="A7" s="59">
        <v>4</v>
      </c>
      <c r="B7" s="70" t="s">
        <v>146</v>
      </c>
      <c r="C7" s="71" t="s">
        <v>147</v>
      </c>
      <c r="D7" s="65">
        <v>2</v>
      </c>
      <c r="E7" s="65">
        <v>5</v>
      </c>
      <c r="F7" s="73">
        <v>35000</v>
      </c>
      <c r="G7" s="74">
        <v>40000</v>
      </c>
      <c r="H7" s="75" t="s">
        <v>129</v>
      </c>
      <c r="I7" s="75" t="s">
        <v>129</v>
      </c>
      <c r="J7" s="75" t="s">
        <v>148</v>
      </c>
      <c r="K7" s="75" t="s">
        <v>131</v>
      </c>
      <c r="L7" s="66">
        <v>37000</v>
      </c>
      <c r="M7" s="66" t="s">
        <v>129</v>
      </c>
      <c r="N7" s="66" t="s">
        <v>129</v>
      </c>
      <c r="O7" s="66" t="s">
        <v>149</v>
      </c>
      <c r="P7" s="66" t="s">
        <v>131</v>
      </c>
      <c r="Q7" s="57" t="s">
        <v>150</v>
      </c>
      <c r="R7" s="82" t="s">
        <v>174</v>
      </c>
      <c r="T7" s="56" t="str">
        <f t="shared" si="0"/>
        <v>鑿戶牖，當其無，有室之用也。
Tsha̍k hōo iú, tong kî bô, íu sik tsi īong ía.</v>
      </c>
    </row>
    <row r="8" spans="1:20" ht="69">
      <c r="A8" s="59">
        <v>5</v>
      </c>
      <c r="B8" s="70" t="s">
        <v>151</v>
      </c>
      <c r="C8" s="71" t="s">
        <v>152</v>
      </c>
      <c r="D8" s="65">
        <v>2</v>
      </c>
      <c r="E8" s="65">
        <v>5</v>
      </c>
      <c r="F8" s="73">
        <v>40000</v>
      </c>
      <c r="G8" s="74">
        <v>45000</v>
      </c>
      <c r="H8" s="75" t="s">
        <v>129</v>
      </c>
      <c r="I8" s="75" t="s">
        <v>129</v>
      </c>
      <c r="J8" s="75" t="s">
        <v>153</v>
      </c>
      <c r="K8" s="75" t="s">
        <v>131</v>
      </c>
      <c r="L8" s="66">
        <v>42000</v>
      </c>
      <c r="M8" s="66" t="s">
        <v>129</v>
      </c>
      <c r="N8" s="66" t="s">
        <v>129</v>
      </c>
      <c r="O8" s="66" t="s">
        <v>154</v>
      </c>
      <c r="P8" s="66" t="s">
        <v>131</v>
      </c>
      <c r="Q8" s="57" t="s">
        <v>155</v>
      </c>
      <c r="R8" s="82" t="s">
        <v>156</v>
      </c>
      <c r="T8" s="56" t="str">
        <f t="shared" si="0"/>
        <v>故有之以為利，無之以為用。
Kòo íu tsi í ûi lī, bô tsi í ûi īong.</v>
      </c>
    </row>
    <row r="9" spans="1:20" ht="24">
      <c r="A9" s="68" t="s">
        <v>157</v>
      </c>
      <c r="B9" s="79" t="s">
        <v>152</v>
      </c>
      <c r="C9" s="71" t="s">
        <v>158</v>
      </c>
      <c r="D9" s="65">
        <v>2</v>
      </c>
      <c r="E9" s="65">
        <v>5</v>
      </c>
      <c r="F9" s="76">
        <v>42000</v>
      </c>
      <c r="G9" s="74">
        <v>47000</v>
      </c>
      <c r="H9" s="77" t="s">
        <v>129</v>
      </c>
      <c r="I9" s="77" t="s">
        <v>129</v>
      </c>
      <c r="J9" s="77" t="s">
        <v>159</v>
      </c>
      <c r="K9" s="77" t="s">
        <v>131</v>
      </c>
      <c r="L9" s="66">
        <v>44000</v>
      </c>
      <c r="M9" s="66" t="s">
        <v>129</v>
      </c>
      <c r="N9" s="66" t="s">
        <v>129</v>
      </c>
      <c r="O9" s="66" t="s">
        <v>160</v>
      </c>
      <c r="P9" s="66" t="s">
        <v>131</v>
      </c>
      <c r="Q9" s="55"/>
      <c r="R9" s="5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22</vt:i4>
      </vt:variant>
    </vt:vector>
  </HeadingPairs>
  <TitlesOfParts>
    <vt:vector size="34" baseType="lpstr">
      <vt:lpstr>缺字表</vt:lpstr>
      <vt:lpstr>標音字庫</vt:lpstr>
      <vt:lpstr>人工標音字庫</vt:lpstr>
      <vt:lpstr>env</vt:lpstr>
      <vt:lpstr>操作表</vt:lpstr>
      <vt:lpstr>漢字注音</vt:lpstr>
      <vt:lpstr>SRT漢字注音</vt:lpstr>
      <vt:lpstr>SRT漢字注音 (2)</vt:lpstr>
      <vt:lpstr>SRT漢字注音（台語注音二式）</vt:lpstr>
      <vt:lpstr>漢字注音（台語注音二式）</vt:lpstr>
      <vt:lpstr>漢字注音（台羅拼音）</vt:lpstr>
      <vt:lpstr>SRT漢字注音（台羅拼音）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'漢字注音（台語注音二式）'!覩9</vt:lpstr>
      <vt:lpstr>'漢字注音（台羅拼音）'!覩9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2026-09-14T12:30:44Z</dcterms:modified>
</cp:coreProperties>
</file>