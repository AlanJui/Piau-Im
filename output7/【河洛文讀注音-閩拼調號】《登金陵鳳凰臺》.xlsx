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215ADBD3-9697-49C0-A9E5-F88F60DD7664}" xr6:coauthVersionLast="47" xr6:coauthVersionMax="47" xr10:uidLastSave="{00000000-0000-0000-0000-000000000000}"/>
  <bookViews>
    <workbookView xWindow="28680" yWindow="-120" windowWidth="38640" windowHeight="15720" activeTab="4" xr2:uid="{25A76161-EFED-4AC8-8EAA-A42737AE1909}"/>
  </bookViews>
  <sheets>
    <sheet name="env" sheetId="8" r:id="rId1"/>
    <sheet name="缺字表" sheetId="127" r:id="rId2"/>
    <sheet name="標音字庫" sheetId="126" r:id="rId3"/>
    <sheet name="人工標音字庫" sheetId="125" r:id="rId4"/>
    <sheet name="漢字注音" sheetId="9" r:id="rId5"/>
    <sheet name="漢字注音 (2)" sheetId="124" r:id="rId6"/>
    <sheet name="缺字表 (範例)" sheetId="110" r:id="rId7"/>
    <sheet name="標音字庫 (範例)" sheetId="121" r:id="rId8"/>
    <sheet name="漢字注音 (範例)" sheetId="120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5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9" l="1"/>
  <c r="L33" i="9"/>
  <c r="L29" i="9"/>
  <c r="L25" i="9"/>
  <c r="L21" i="9"/>
  <c r="L17" i="9"/>
  <c r="L13" i="9"/>
  <c r="L9" i="9"/>
  <c r="P5" i="9"/>
  <c r="L33" i="124"/>
  <c r="U32" i="124"/>
  <c r="U31" i="124"/>
  <c r="U30" i="124"/>
  <c r="U29" i="124"/>
  <c r="L29" i="124"/>
  <c r="U28" i="124"/>
  <c r="U27" i="124"/>
  <c r="L25" i="124"/>
  <c r="L21" i="124"/>
  <c r="L17" i="124"/>
  <c r="B17" i="124"/>
  <c r="B21" i="124" s="1"/>
  <c r="B25" i="124" s="1"/>
  <c r="B29" i="124" s="1"/>
  <c r="B33" i="124" s="1"/>
  <c r="B37" i="124" s="1"/>
  <c r="B41" i="124" s="1"/>
  <c r="B45" i="124" s="1"/>
  <c r="B49" i="124" s="1"/>
  <c r="B53" i="124" s="1"/>
  <c r="B57" i="124" s="1"/>
  <c r="B61" i="124" s="1"/>
  <c r="B65" i="124" s="1"/>
  <c r="B69" i="124" s="1"/>
  <c r="B73" i="124" s="1"/>
  <c r="B77" i="124" s="1"/>
  <c r="B81" i="124" s="1"/>
  <c r="B85" i="124" s="1"/>
  <c r="B89" i="124" s="1"/>
  <c r="B93" i="124" s="1"/>
  <c r="B97" i="124" s="1"/>
  <c r="B101" i="124" s="1"/>
  <c r="B105" i="124" s="1"/>
  <c r="B109" i="124" s="1"/>
  <c r="B113" i="124" s="1"/>
  <c r="B117" i="124" s="1"/>
  <c r="B121" i="124" s="1"/>
  <c r="B125" i="124" s="1"/>
  <c r="B129" i="124" s="1"/>
  <c r="B133" i="124" s="1"/>
  <c r="B137" i="124" s="1"/>
  <c r="B141" i="124" s="1"/>
  <c r="B145" i="124" s="1"/>
  <c r="B149" i="124" s="1"/>
  <c r="B153" i="124" s="1"/>
  <c r="B157" i="124" s="1"/>
  <c r="B161" i="124" s="1"/>
  <c r="B165" i="124" s="1"/>
  <c r="B169" i="124" s="1"/>
  <c r="B173" i="124" s="1"/>
  <c r="B177" i="124" s="1"/>
  <c r="B181" i="124" s="1"/>
  <c r="B185" i="124" s="1"/>
  <c r="B189" i="124" s="1"/>
  <c r="B193" i="124" s="1"/>
  <c r="B197" i="124" s="1"/>
  <c r="B201" i="124" s="1"/>
  <c r="B205" i="124" s="1"/>
  <c r="B209" i="124" s="1"/>
  <c r="B213" i="124" s="1"/>
  <c r="B217" i="124" s="1"/>
  <c r="B221" i="124" s="1"/>
  <c r="B225" i="124" s="1"/>
  <c r="B229" i="124" s="1"/>
  <c r="B233" i="124" s="1"/>
  <c r="B237" i="124" s="1"/>
  <c r="B241" i="124" s="1"/>
  <c r="B245" i="124" s="1"/>
  <c r="B249" i="124" s="1"/>
  <c r="B253" i="124" s="1"/>
  <c r="B257" i="124" s="1"/>
  <c r="B261" i="124" s="1"/>
  <c r="B265" i="124" s="1"/>
  <c r="B269" i="124" s="1"/>
  <c r="B273" i="124" s="1"/>
  <c r="B277" i="124" s="1"/>
  <c r="B281" i="124" s="1"/>
  <c r="B285" i="124" s="1"/>
  <c r="B289" i="124" s="1"/>
  <c r="B293" i="124" s="1"/>
  <c r="B297" i="124" s="1"/>
  <c r="B301" i="124" s="1"/>
  <c r="B305" i="124" s="1"/>
  <c r="B309" i="124" s="1"/>
  <c r="B313" i="124" s="1"/>
  <c r="B317" i="124" s="1"/>
  <c r="B321" i="124" s="1"/>
  <c r="B325" i="124" s="1"/>
  <c r="B329" i="124" s="1"/>
  <c r="B333" i="124" s="1"/>
  <c r="B337" i="124" s="1"/>
  <c r="B341" i="124" s="1"/>
  <c r="B345" i="124" s="1"/>
  <c r="B349" i="124" s="1"/>
  <c r="B353" i="124" s="1"/>
  <c r="B357" i="124" s="1"/>
  <c r="B361" i="124" s="1"/>
  <c r="B365" i="124" s="1"/>
  <c r="B369" i="124" s="1"/>
  <c r="B373" i="124" s="1"/>
  <c r="B377" i="124" s="1"/>
  <c r="B381" i="124" s="1"/>
  <c r="B385" i="124" s="1"/>
  <c r="B389" i="124" s="1"/>
  <c r="B393" i="124" s="1"/>
  <c r="B397" i="124" s="1"/>
  <c r="B401" i="124" s="1"/>
  <c r="B405" i="124" s="1"/>
  <c r="B409" i="124" s="1"/>
  <c r="B413" i="124" s="1"/>
  <c r="B417" i="124" s="1"/>
  <c r="B421" i="124" s="1"/>
  <c r="B425" i="124" s="1"/>
  <c r="B429" i="124" s="1"/>
  <c r="B433" i="124" s="1"/>
  <c r="B437" i="124" s="1"/>
  <c r="B441" i="124" s="1"/>
  <c r="B445" i="124" s="1"/>
  <c r="B449" i="124" s="1"/>
  <c r="B453" i="124" s="1"/>
  <c r="B457" i="124" s="1"/>
  <c r="B461" i="124" s="1"/>
  <c r="B465" i="124" s="1"/>
  <c r="B469" i="124" s="1"/>
  <c r="B473" i="124" s="1"/>
  <c r="B477" i="124" s="1"/>
  <c r="B481" i="124" s="1"/>
  <c r="B485" i="124" s="1"/>
  <c r="B489" i="124" s="1"/>
  <c r="B493" i="124" s="1"/>
  <c r="B497" i="124" s="1"/>
  <c r="B501" i="124" s="1"/>
  <c r="B505" i="124" s="1"/>
  <c r="B509" i="124" s="1"/>
  <c r="B513" i="124" s="1"/>
  <c r="B517" i="124" s="1"/>
  <c r="B521" i="124" s="1"/>
  <c r="B525" i="124" s="1"/>
  <c r="B529" i="124" s="1"/>
  <c r="B533" i="124" s="1"/>
  <c r="B537" i="124" s="1"/>
  <c r="B541" i="124" s="1"/>
  <c r="B545" i="124" s="1"/>
  <c r="B549" i="124" s="1"/>
  <c r="B553" i="124" s="1"/>
  <c r="B557" i="124" s="1"/>
  <c r="B561" i="124" s="1"/>
  <c r="B565" i="124" s="1"/>
  <c r="B569" i="124" s="1"/>
  <c r="B573" i="124" s="1"/>
  <c r="B577" i="124" s="1"/>
  <c r="B581" i="124" s="1"/>
  <c r="B585" i="124" s="1"/>
  <c r="B589" i="124" s="1"/>
  <c r="B593" i="124" s="1"/>
  <c r="B597" i="124" s="1"/>
  <c r="B601" i="124" s="1"/>
  <c r="B605" i="124" s="1"/>
  <c r="B609" i="124" s="1"/>
  <c r="B613" i="124" s="1"/>
  <c r="B617" i="124" s="1"/>
  <c r="B621" i="124" s="1"/>
  <c r="B625" i="124" s="1"/>
  <c r="B629" i="124" s="1"/>
  <c r="B633" i="124" s="1"/>
  <c r="B637" i="124" s="1"/>
  <c r="B641" i="124" s="1"/>
  <c r="B645" i="124" s="1"/>
  <c r="B649" i="124" s="1"/>
  <c r="B653" i="124" s="1"/>
  <c r="B657" i="124" s="1"/>
  <c r="B661" i="124" s="1"/>
  <c r="B665" i="124" s="1"/>
  <c r="B669" i="124" s="1"/>
  <c r="B673" i="124" s="1"/>
  <c r="B677" i="124" s="1"/>
  <c r="B681" i="124" s="1"/>
  <c r="B685" i="124" s="1"/>
  <c r="B689" i="124" s="1"/>
  <c r="B693" i="124" s="1"/>
  <c r="B697" i="124" s="1"/>
  <c r="B701" i="124" s="1"/>
  <c r="B705" i="124" s="1"/>
  <c r="B709" i="124" s="1"/>
  <c r="B713" i="124" s="1"/>
  <c r="B717" i="124" s="1"/>
  <c r="B721" i="124" s="1"/>
  <c r="B725" i="124" s="1"/>
  <c r="B729" i="124" s="1"/>
  <c r="B733" i="124" s="1"/>
  <c r="B737" i="124" s="1"/>
  <c r="B741" i="124" s="1"/>
  <c r="B745" i="124" s="1"/>
  <c r="B749" i="124" s="1"/>
  <c r="B753" i="124" s="1"/>
  <c r="B757" i="124" s="1"/>
  <c r="B761" i="124" s="1"/>
  <c r="B765" i="124" s="1"/>
  <c r="B769" i="124" s="1"/>
  <c r="B773" i="124" s="1"/>
  <c r="B777" i="124" s="1"/>
  <c r="B781" i="124" s="1"/>
  <c r="B785" i="124" s="1"/>
  <c r="B789" i="124" s="1"/>
  <c r="B793" i="124" s="1"/>
  <c r="B797" i="124" s="1"/>
  <c r="B801" i="124" s="1"/>
  <c r="B805" i="124" s="1"/>
  <c r="B809" i="124" s="1"/>
  <c r="B813" i="124" s="1"/>
  <c r="B817" i="124" s="1"/>
  <c r="B821" i="124" s="1"/>
  <c r="B825" i="124" s="1"/>
  <c r="B829" i="124" s="1"/>
  <c r="B833" i="124" s="1"/>
  <c r="B837" i="124" s="1"/>
  <c r="B841" i="124" s="1"/>
  <c r="B845" i="124" s="1"/>
  <c r="B849" i="124" s="1"/>
  <c r="B853" i="124" s="1"/>
  <c r="B857" i="124" s="1"/>
  <c r="B861" i="124" s="1"/>
  <c r="B865" i="124" s="1"/>
  <c r="B869" i="124" s="1"/>
  <c r="B873" i="124" s="1"/>
  <c r="B877" i="124" s="1"/>
  <c r="B881" i="124" s="1"/>
  <c r="B885" i="124" s="1"/>
  <c r="B889" i="124" s="1"/>
  <c r="B893" i="124" s="1"/>
  <c r="B897" i="124" s="1"/>
  <c r="B901" i="124" s="1"/>
  <c r="B905" i="124" s="1"/>
  <c r="B909" i="124" s="1"/>
  <c r="B913" i="124" s="1"/>
  <c r="B917" i="124" s="1"/>
  <c r="B921" i="124" s="1"/>
  <c r="B925" i="124" s="1"/>
  <c r="B929" i="124" s="1"/>
  <c r="B933" i="124" s="1"/>
  <c r="B937" i="124" s="1"/>
  <c r="B941" i="124" s="1"/>
  <c r="B945" i="124" s="1"/>
  <c r="B949" i="124" s="1"/>
  <c r="B953" i="124" s="1"/>
  <c r="B957" i="124" s="1"/>
  <c r="B961" i="124" s="1"/>
  <c r="B965" i="124" s="1"/>
  <c r="B969" i="124" s="1"/>
  <c r="B973" i="124" s="1"/>
  <c r="B977" i="124" s="1"/>
  <c r="B981" i="124" s="1"/>
  <c r="B985" i="124" s="1"/>
  <c r="B989" i="124" s="1"/>
  <c r="B993" i="124" s="1"/>
  <c r="B997" i="124" s="1"/>
  <c r="B1001" i="124" s="1"/>
  <c r="B1005" i="124" s="1"/>
  <c r="B1009" i="124" s="1"/>
  <c r="B1013" i="124" s="1"/>
  <c r="B1017" i="124" s="1"/>
  <c r="B1021" i="124" s="1"/>
  <c r="B1025" i="124" s="1"/>
  <c r="B1029" i="124" s="1"/>
  <c r="B1033" i="124" s="1"/>
  <c r="B1037" i="124" s="1"/>
  <c r="B1041" i="124" s="1"/>
  <c r="B1045" i="124" s="1"/>
  <c r="B1049" i="124" s="1"/>
  <c r="B1053" i="124" s="1"/>
  <c r="B1057" i="124" s="1"/>
  <c r="B1061" i="124" s="1"/>
  <c r="B1065" i="124" s="1"/>
  <c r="B1069" i="124" s="1"/>
  <c r="B1073" i="124" s="1"/>
  <c r="B1077" i="124" s="1"/>
  <c r="B1081" i="124" s="1"/>
  <c r="B1085" i="124" s="1"/>
  <c r="B1089" i="124" s="1"/>
  <c r="B1093" i="124" s="1"/>
  <c r="B1097" i="124" s="1"/>
  <c r="B1101" i="124" s="1"/>
  <c r="B1105" i="124" s="1"/>
  <c r="B1109" i="124" s="1"/>
  <c r="B1113" i="124" s="1"/>
  <c r="B1117" i="124" s="1"/>
  <c r="B1121" i="124" s="1"/>
  <c r="B1125" i="124" s="1"/>
  <c r="B1129" i="124" s="1"/>
  <c r="B1133" i="124" s="1"/>
  <c r="B1137" i="124" s="1"/>
  <c r="B1141" i="124" s="1"/>
  <c r="B1145" i="124" s="1"/>
  <c r="B1149" i="124" s="1"/>
  <c r="B1153" i="124" s="1"/>
  <c r="B1157" i="124" s="1"/>
  <c r="B1161" i="124" s="1"/>
  <c r="B1165" i="124" s="1"/>
  <c r="B1169" i="124" s="1"/>
  <c r="B1173" i="124" s="1"/>
  <c r="B1177" i="124" s="1"/>
  <c r="B1181" i="124" s="1"/>
  <c r="B1185" i="124" s="1"/>
  <c r="B1189" i="124" s="1"/>
  <c r="B1193" i="124" s="1"/>
  <c r="B1197" i="124" s="1"/>
  <c r="B1201" i="124" s="1"/>
  <c r="B1205" i="124" s="1"/>
  <c r="B1209" i="124" s="1"/>
  <c r="B1213" i="124" s="1"/>
  <c r="B1217" i="124" s="1"/>
  <c r="B1221" i="124" s="1"/>
  <c r="B1225" i="124" s="1"/>
  <c r="B1229" i="124" s="1"/>
  <c r="B1233" i="124" s="1"/>
  <c r="B1237" i="124" s="1"/>
  <c r="B1241" i="124" s="1"/>
  <c r="B1245" i="124" s="1"/>
  <c r="B1249" i="124" s="1"/>
  <c r="B1253" i="124" s="1"/>
  <c r="B1257" i="124" s="1"/>
  <c r="B1261" i="124" s="1"/>
  <c r="B1265" i="124" s="1"/>
  <c r="B1269" i="124" s="1"/>
  <c r="B1273" i="124" s="1"/>
  <c r="B1277" i="124" s="1"/>
  <c r="B1281" i="124" s="1"/>
  <c r="B1285" i="124" s="1"/>
  <c r="B1289" i="124" s="1"/>
  <c r="B1293" i="124" s="1"/>
  <c r="B1297" i="124" s="1"/>
  <c r="B1301" i="124" s="1"/>
  <c r="B1305" i="124" s="1"/>
  <c r="B1309" i="124" s="1"/>
  <c r="B1313" i="124" s="1"/>
  <c r="B1317" i="124" s="1"/>
  <c r="B1321" i="124" s="1"/>
  <c r="B1325" i="124" s="1"/>
  <c r="B1329" i="124" s="1"/>
  <c r="B1333" i="124" s="1"/>
  <c r="B1337" i="124" s="1"/>
  <c r="B1341" i="124" s="1"/>
  <c r="B1345" i="124" s="1"/>
  <c r="B1349" i="124" s="1"/>
  <c r="B1353" i="124" s="1"/>
  <c r="B1357" i="124" s="1"/>
  <c r="B1361" i="124" s="1"/>
  <c r="B1365" i="124" s="1"/>
  <c r="B1369" i="124" s="1"/>
  <c r="B1373" i="124" s="1"/>
  <c r="B1377" i="124" s="1"/>
  <c r="B1381" i="124" s="1"/>
  <c r="B1385" i="124" s="1"/>
  <c r="B1389" i="124" s="1"/>
  <c r="B1393" i="124" s="1"/>
  <c r="B1397" i="124" s="1"/>
  <c r="B1401" i="124" s="1"/>
  <c r="B1405" i="124" s="1"/>
  <c r="B1409" i="124" s="1"/>
  <c r="B1413" i="124" s="1"/>
  <c r="B1417" i="124" s="1"/>
  <c r="B1421" i="124" s="1"/>
  <c r="B1425" i="124" s="1"/>
  <c r="B1429" i="124" s="1"/>
  <c r="B1433" i="124" s="1"/>
  <c r="B1437" i="124" s="1"/>
  <c r="B1441" i="124" s="1"/>
  <c r="B1445" i="124" s="1"/>
  <c r="B1449" i="124" s="1"/>
  <c r="B1453" i="124" s="1"/>
  <c r="B1457" i="124" s="1"/>
  <c r="B1461" i="124" s="1"/>
  <c r="B1465" i="124" s="1"/>
  <c r="B1469" i="124" s="1"/>
  <c r="B1473" i="124" s="1"/>
  <c r="B1477" i="124" s="1"/>
  <c r="B1481" i="124" s="1"/>
  <c r="B1485" i="124" s="1"/>
  <c r="B1489" i="124" s="1"/>
  <c r="B1493" i="124" s="1"/>
  <c r="B1497" i="124" s="1"/>
  <c r="B1501" i="124" s="1"/>
  <c r="B1505" i="124" s="1"/>
  <c r="B1509" i="124" s="1"/>
  <c r="B1513" i="124" s="1"/>
  <c r="B1517" i="124" s="1"/>
  <c r="B1521" i="124" s="1"/>
  <c r="B1525" i="124" s="1"/>
  <c r="B1529" i="124" s="1"/>
  <c r="B1533" i="124" s="1"/>
  <c r="B1537" i="124" s="1"/>
  <c r="B1541" i="124" s="1"/>
  <c r="B1545" i="124" s="1"/>
  <c r="B1549" i="124" s="1"/>
  <c r="B1553" i="124" s="1"/>
  <c r="B1557" i="124" s="1"/>
  <c r="B1561" i="124" s="1"/>
  <c r="B1565" i="124" s="1"/>
  <c r="B1569" i="124" s="1"/>
  <c r="B1573" i="124" s="1"/>
  <c r="B1577" i="124" s="1"/>
  <c r="B1581" i="124" s="1"/>
  <c r="B1585" i="124" s="1"/>
  <c r="B1589" i="124" s="1"/>
  <c r="B1593" i="124" s="1"/>
  <c r="B1597" i="124" s="1"/>
  <c r="B1601" i="124" s="1"/>
  <c r="B1605" i="124" s="1"/>
  <c r="B1609" i="124" s="1"/>
  <c r="B1613" i="124" s="1"/>
  <c r="B1617" i="124" s="1"/>
  <c r="B1621" i="124" s="1"/>
  <c r="B1625" i="124" s="1"/>
  <c r="B1629" i="124" s="1"/>
  <c r="B1633" i="124" s="1"/>
  <c r="B1637" i="124" s="1"/>
  <c r="B1641" i="124" s="1"/>
  <c r="B1645" i="124" s="1"/>
  <c r="B1649" i="124" s="1"/>
  <c r="B1653" i="124" s="1"/>
  <c r="B1657" i="124" s="1"/>
  <c r="B1661" i="124" s="1"/>
  <c r="B1665" i="124" s="1"/>
  <c r="B1669" i="124" s="1"/>
  <c r="B1673" i="124" s="1"/>
  <c r="B1677" i="124" s="1"/>
  <c r="B1681" i="124" s="1"/>
  <c r="B1685" i="124" s="1"/>
  <c r="B1689" i="124" s="1"/>
  <c r="B1693" i="124" s="1"/>
  <c r="B1697" i="124" s="1"/>
  <c r="B1701" i="124" s="1"/>
  <c r="B1705" i="124" s="1"/>
  <c r="B1709" i="124" s="1"/>
  <c r="B1713" i="124" s="1"/>
  <c r="B1717" i="124" s="1"/>
  <c r="B1721" i="124" s="1"/>
  <c r="B1725" i="124" s="1"/>
  <c r="B1729" i="124" s="1"/>
  <c r="B1733" i="124" s="1"/>
  <c r="B1737" i="124" s="1"/>
  <c r="B1741" i="124" s="1"/>
  <c r="B1745" i="124" s="1"/>
  <c r="B1749" i="124" s="1"/>
  <c r="B1753" i="124" s="1"/>
  <c r="B1757" i="124" s="1"/>
  <c r="B1761" i="124" s="1"/>
  <c r="B1765" i="124" s="1"/>
  <c r="B1769" i="124" s="1"/>
  <c r="B1773" i="124" s="1"/>
  <c r="B1777" i="124" s="1"/>
  <c r="B1781" i="124" s="1"/>
  <c r="B1785" i="124" s="1"/>
  <c r="B1789" i="124" s="1"/>
  <c r="B1793" i="124" s="1"/>
  <c r="B1797" i="124" s="1"/>
  <c r="B1801" i="124" s="1"/>
  <c r="B1805" i="124" s="1"/>
  <c r="B1809" i="124" s="1"/>
  <c r="B1813" i="124" s="1"/>
  <c r="B1817" i="124" s="1"/>
  <c r="B1821" i="124" s="1"/>
  <c r="B1825" i="124" s="1"/>
  <c r="B1829" i="124" s="1"/>
  <c r="B1833" i="124" s="1"/>
  <c r="B1837" i="124" s="1"/>
  <c r="B1841" i="124" s="1"/>
  <c r="B1845" i="124" s="1"/>
  <c r="B1849" i="124" s="1"/>
  <c r="B1853" i="124" s="1"/>
  <c r="B1857" i="124" s="1"/>
  <c r="B1861" i="124" s="1"/>
  <c r="B1865" i="124" s="1"/>
  <c r="B1869" i="124" s="1"/>
  <c r="B1873" i="124" s="1"/>
  <c r="B1877" i="124" s="1"/>
  <c r="B1881" i="124" s="1"/>
  <c r="B1885" i="124" s="1"/>
  <c r="B1889" i="124" s="1"/>
  <c r="B1893" i="124" s="1"/>
  <c r="B1897" i="124" s="1"/>
  <c r="B1901" i="124" s="1"/>
  <c r="B1905" i="124" s="1"/>
  <c r="B1909" i="124" s="1"/>
  <c r="B1913" i="124" s="1"/>
  <c r="B1917" i="124" s="1"/>
  <c r="B1921" i="124" s="1"/>
  <c r="B1925" i="124" s="1"/>
  <c r="B1929" i="124" s="1"/>
  <c r="B1933" i="124" s="1"/>
  <c r="B1937" i="124" s="1"/>
  <c r="B1941" i="124" s="1"/>
  <c r="B1945" i="124" s="1"/>
  <c r="B1949" i="124" s="1"/>
  <c r="B1953" i="124" s="1"/>
  <c r="B1957" i="124" s="1"/>
  <c r="B1961" i="124" s="1"/>
  <c r="B1965" i="124" s="1"/>
  <c r="B1969" i="124" s="1"/>
  <c r="B1973" i="124" s="1"/>
  <c r="B1977" i="124" s="1"/>
  <c r="B1981" i="124" s="1"/>
  <c r="B1985" i="124" s="1"/>
  <c r="B1989" i="124" s="1"/>
  <c r="B1993" i="124" s="1"/>
  <c r="B1997" i="124" s="1"/>
  <c r="B2001" i="124" s="1"/>
  <c r="L13" i="124"/>
  <c r="B13" i="124"/>
  <c r="L9" i="124"/>
  <c r="B9" i="124"/>
  <c r="L5" i="124"/>
  <c r="V2" i="124"/>
  <c r="R1" i="124"/>
  <c r="Q1" i="124"/>
  <c r="P1" i="124"/>
  <c r="O1" i="124"/>
  <c r="N1" i="124"/>
  <c r="M1" i="124"/>
  <c r="L1" i="124"/>
  <c r="K1" i="124"/>
  <c r="J1" i="124"/>
  <c r="I1" i="124"/>
  <c r="H1" i="124"/>
  <c r="G1" i="124"/>
  <c r="F1" i="124"/>
  <c r="E1" i="124"/>
  <c r="D1" i="124"/>
  <c r="C1" i="124"/>
  <c r="B1" i="124"/>
  <c r="A1" i="124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D11" i="8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<sst xmlns="http://schemas.openxmlformats.org/spreadsheetml/2006/main" count="2801" uniqueCount="1350">
  <si>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</si>
  <si>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</si>
  <si>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</si>
  <si>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</si>
  <si>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</si>
  <si>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</si>
  <si>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</si>
  <si>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</si>
  <si>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</si>
  <si>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</si>
  <si>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</si>
  <si>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</si>
  <si>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</si>
  <si>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</si>
  <si>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</si>
  <si>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</si>
  <si>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</si>
  <si>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</si>
  <si>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</si>
  <si>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</si>
  <si>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</si>
  <si>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</si>
  <si>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</si>
  <si>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</si>
  <si>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</si>
  <si>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</si>
  <si>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</si>
  <si>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</si>
  <si>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</si>
  <si>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</si>
  <si>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</si>
  <si>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</si>
  <si>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</si>
  <si>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</si>
  <si>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</si>
  <si>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</si>
  <si>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</si>
  <si>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</si>
  <si>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</si>
  <si>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</si>
  <si>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</si>
  <si>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</si>
  <si>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</si>
  <si>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</si>
  <si>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</si>
  <si>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</si>
  <si>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</si>
  <si>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</si>
  <si>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</si>
  <si>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</si>
  <si>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</si>
  <si>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</si>
  <si>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</si>
  <si>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</si>
  <si>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</si>
  <si>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</si>
  <si>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</si>
  <si>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</si>
  <si>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</si>
  <si>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</si>
  <si>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</si>
  <si>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</si>
  <si>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</si>
  <si>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</si>
  <si>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</si>
  <si>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</si>
  <si>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</si>
  <si>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</si>
  <si>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</si>
  <si>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</si>
  <si>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</si>
  <si>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</si>
  <si>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</si>
  <si>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</si>
  <si>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</si>
  <si>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</si>
  <si>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</si>
  <si>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</si>
  <si>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</si>
  <si>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</si>
  <si>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</si>
  <si>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</si>
  <si>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</si>
  <si>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</si>
  <si>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</si>
  <si>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</si>
  <si>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</si>
  <si>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</si>
  <si>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</si>
  <si>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</si>
  <si>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</si>
  <si>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</si>
  <si>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</si>
  <si>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</si>
  <si>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</si>
  <si>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</si>
  <si>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</si>
  <si>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</si>
  <si>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</si>
  <si>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</si>
  <si>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</si>
  <si>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</si>
  <si>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</si>
  <si>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</si>
  <si>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</si>
  <si>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</si>
  <si>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</si>
  <si>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</si>
  <si>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</si>
  <si>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</si>
  <si>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</si>
  <si>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</si>
  <si>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</si>
  <si>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</si>
  <si>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</si>
  <si>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</si>
  <si>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</si>
  <si>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</si>
  <si>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</si>
  <si>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</si>
  <si>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</si>
  <si>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</si>
  <si>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</si>
  <si>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</si>
  <si>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</si>
  <si>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</si>
  <si>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</si>
  <si>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</si>
  <si>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</si>
  <si>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</si>
  <si>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</si>
  <si>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</si>
  <si>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</si>
  <si>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</si>
  <si>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</si>
  <si>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</si>
  <si>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</si>
  <si>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</si>
  <si>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</si>
  <si>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</si>
  <si>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</si>
  <si>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</si>
  <si>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</si>
  <si>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</si>
  <si>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</si>
  <si>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</si>
  <si>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</si>
  <si>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</si>
  <si>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</si>
  <si>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</si>
  <si>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</si>
  <si>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</si>
  <si>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</si>
  <si>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</si>
  <si>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</si>
  <si>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</si>
  <si>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</si>
  <si>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</si>
  <si>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</si>
  <si>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</si>
  <si>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</si>
  <si>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</si>
  <si>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</si>
  <si>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</si>
  <si>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</si>
  <si>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</si>
  <si>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</si>
  <si>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</si>
  <si>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</si>
  <si>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</si>
  <si>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</si>
  <si>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</si>
  <si>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</si>
  <si>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</si>
  <si>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</si>
  <si>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</si>
  <si>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</si>
  <si>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</si>
  <si>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</si>
  <si>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</si>
  <si>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</si>
  <si>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</si>
  <si>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</si>
  <si>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</si>
  <si>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</si>
  <si>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</si>
  <si>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</si>
  <si>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</si>
  <si>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</si>
  <si>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</si>
  <si>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</si>
  <si>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</si>
  <si>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</si>
  <si>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</si>
  <si>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</si>
  <si>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</si>
  <si>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</si>
  <si>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</si>
  <si>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</si>
  <si>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</si>
  <si>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</si>
  <si>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</si>
  <si>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</si>
  <si>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</si>
  <si>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</si>
  <si>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</si>
  <si>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</si>
  <si>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</si>
  <si>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</si>
  <si>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</si>
  <si>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</si>
  <si>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</si>
  <si>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</si>
  <si>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</si>
  <si>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</si>
  <si>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</si>
  <si>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</si>
  <si>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</si>
  <si>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</si>
  <si>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</si>
  <si>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</si>
  <si>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</si>
  <si>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</si>
  <si>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</si>
  <si>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</si>
  <si>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</si>
  <si>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</si>
  <si>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</si>
  <si>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</si>
  <si>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</si>
  <si>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</si>
  <si>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</si>
  <si>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</si>
  <si>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</si>
  <si>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</si>
  <si>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</si>
  <si>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</si>
  <si>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</si>
  <si>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</si>
  <si>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</si>
  <si>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</si>
  <si>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</si>
  <si>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</si>
  <si>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</si>
  <si>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</si>
  <si>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</si>
  <si>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</si>
  <si>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</si>
  <si>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</si>
  <si>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</si>
  <si>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</si>
  <si>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</si>
  <si>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</si>
  <si>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</si>
  <si>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</si>
  <si>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</si>
  <si>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</si>
  <si>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</si>
  <si>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</si>
  <si>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</si>
  <si>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</si>
  <si>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</si>
  <si>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</si>
  <si>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</si>
  <si>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</si>
  <si>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</si>
  <si>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</si>
  <si>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</si>
  <si>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</si>
  <si>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</si>
  <si>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</si>
  <si>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</si>
  <si>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</si>
  <si>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</si>
  <si>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</si>
  <si>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</si>
  <si>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</si>
  <si>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</si>
  <si>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</si>
  <si>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</si>
  <si>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</si>
  <si>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</si>
  <si>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</si>
  <si>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</si>
  <si>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</si>
  <si>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</si>
  <si>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</si>
  <si>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</si>
  <si>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</si>
  <si>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</si>
  <si>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</si>
  <si>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</si>
  <si>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</si>
  <si>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</si>
  <si>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</si>
  <si>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</si>
  <si>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</si>
  <si>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</si>
  <si>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</si>
  <si>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</si>
  <si>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</si>
  <si>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</si>
  <si>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</si>
  <si>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</si>
  <si>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</si>
  <si>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</si>
  <si>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</si>
  <si>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</si>
  <si>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</si>
  <si>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</si>
  <si>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</si>
  <si>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</si>
  <si>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</si>
  <si>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</si>
  <si>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</si>
  <si>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</si>
  <si>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</si>
  <si>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</si>
  <si>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</si>
  <si>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</si>
  <si>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</si>
  <si>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</si>
  <si>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</si>
  <si>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</si>
  <si>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</si>
  <si>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</si>
  <si>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</si>
  <si>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</si>
  <si>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</si>
  <si>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</si>
  <si>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</si>
  <si>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</si>
  <si>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</si>
  <si>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</si>
  <si>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</si>
  <si>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</si>
  <si>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</si>
  <si>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</si>
  <si>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</si>
  <si>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</si>
  <si>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</si>
  <si>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</si>
  <si>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</si>
  <si>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</si>
  <si>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</si>
  <si>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</si>
  <si>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</si>
  <si>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</si>
  <si>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</si>
  <si>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</si>
  <si>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</si>
  <si>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</si>
  <si>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</si>
  <si>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</si>
  <si>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</si>
  <si>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</si>
  <si>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</si>
  <si>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</si>
  <si>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</si>
  <si>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</si>
  <si>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</si>
  <si>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</si>
  <si>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</si>
  <si>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</si>
  <si>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</si>
  <si>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</si>
  <si>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</si>
  <si>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</si>
  <si>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</si>
  <si>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</si>
  <si>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</si>
  <si>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</si>
  <si>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</si>
  <si>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</si>
  <si>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</si>
  <si>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</si>
  <si>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</si>
  <si>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</si>
  <si>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</si>
  <si>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</si>
  <si>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</si>
  <si>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</si>
  <si>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</si>
  <si>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</si>
  <si>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</si>
  <si>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</si>
  <si>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</si>
  <si>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</si>
  <si>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</si>
  <si>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</si>
  <si>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</si>
  <si>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</si>
  <si>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</si>
  <si>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</si>
  <si>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</si>
  <si>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</si>
  <si>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</si>
  <si>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</si>
  <si>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</si>
  <si>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</si>
  <si>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</si>
  <si>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</si>
  <si>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</si>
  <si>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</si>
  <si>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</si>
  <si>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</si>
  <si>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</si>
  <si>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</si>
  <si>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</si>
  <si>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</si>
  <si>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</si>
  <si>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</si>
  <si>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</si>
  <si>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</si>
  <si>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</si>
  <si>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</si>
  <si>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</si>
  <si>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</si>
  <si>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</si>
  <si>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</si>
  <si>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</si>
  <si>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</si>
  <si>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</si>
  <si>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</si>
  <si>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</si>
  <si>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</si>
  <si>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</si>
  <si>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</si>
  <si>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</si>
  <si>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</si>
  <si>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</si>
  <si>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</si>
  <si>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</si>
  <si>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</si>
  <si>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</si>
  <si>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</si>
  <si>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</si>
  <si>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</si>
  <si>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</si>
  <si>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</si>
  <si>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</si>
  <si>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</si>
  <si>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</si>
  <si>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</si>
  <si>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</si>
  <si>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</si>
  <si>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</si>
  <si>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</si>
  <si>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</si>
  <si>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</si>
  <si>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</si>
  <si>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</si>
  <si>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</si>
  <si>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</si>
  <si>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</si>
  <si>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</si>
  <si>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</si>
  <si>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</si>
  <si>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</si>
  <si>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</si>
  <si>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</si>
  <si>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</si>
  <si>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</si>
  <si>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</si>
  <si>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</si>
  <si>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</si>
  <si>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</si>
  <si>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</si>
  <si>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</si>
  <si>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</si>
  <si>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</si>
  <si>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</si>
  <si>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</si>
  <si>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</si>
  <si>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</si>
  <si>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</si>
  <si>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</si>
  <si>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</si>
  <si>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</si>
  <si>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</si>
  <si>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</si>
  <si>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</si>
  <si>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</si>
  <si>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</si>
  <si>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</si>
  <si>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</si>
  <si>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</si>
  <si>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</si>
  <si>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</si>
  <si>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</si>
  <si>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</si>
  <si>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</si>
  <si>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</si>
  <si>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</si>
  <si>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</si>
  <si>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</si>
  <si>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</si>
  <si>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</si>
  <si>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</si>
  <si>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</si>
  <si>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</si>
  <si>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</si>
  <si>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</si>
  <si>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</si>
  <si>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</si>
  <si>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</si>
  <si>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</si>
  <si>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</si>
  <si>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</si>
  <si>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</si>
  <si>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</si>
  <si>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</si>
  <si>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</si>
  <si>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</si>
  <si>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</si>
  <si>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</si>
  <si>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</si>
  <si>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</si>
  <si>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</si>
  <si>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</si>
  <si>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</si>
  <si>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</si>
  <si>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</si>
  <si>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</si>
  <si>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</si>
  <si>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</si>
  <si>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</si>
  <si>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</si>
  <si>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</si>
  <si>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</si>
  <si>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</si>
  <si>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</si>
  <si>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</si>
  <si>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</si>
  <si>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</si>
  <si>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</si>
  <si>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</si>
  <si>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</si>
  <si>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</si>
  <si>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</si>
  <si>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</si>
  <si>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</si>
  <si>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</si>
  <si>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</si>
  <si>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</si>
  <si>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</si>
  <si>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</si>
  <si>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</si>
  <si>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</si>
  <si>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</si>
  <si>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</si>
  <si>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</si>
  <si>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</si>
  <si>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</si>
  <si>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</si>
  <si>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</si>
  <si>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</si>
  <si>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</si>
  <si>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</si>
  <si>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</si>
  <si>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</si>
  <si>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</si>
  <si>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</si>
  <si>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</si>
  <si>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</si>
  <si>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</si>
  <si>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</si>
  <si>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</si>
  <si>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</si>
  <si>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</si>
  <si>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</si>
  <si>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</si>
  <si>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</si>
  <si>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</si>
  <si>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</si>
  <si>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</si>
  <si>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</si>
  <si>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</si>
  <si>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</si>
  <si>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</si>
  <si>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</si>
  <si>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</si>
  <si>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</si>
  <si>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</si>
  <si>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</si>
  <si>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</si>
  <si>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</si>
  <si>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</si>
  <si>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</si>
  <si>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</si>
  <si>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</si>
  <si>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</si>
  <si>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</si>
  <si>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</si>
  <si>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</si>
  <si>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</si>
  <si>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</si>
  <si>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</si>
  <si>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</si>
  <si>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</si>
  <si>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</si>
  <si>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</si>
  <si>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</si>
  <si>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</si>
  <si>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</si>
  <si>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</si>
  <si>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</si>
  <si>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</si>
  <si>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</si>
  <si>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</si>
  <si>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</si>
  <si>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</si>
  <si>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</si>
  <si>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</si>
  <si>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</si>
  <si>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</si>
  <si>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</si>
  <si>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</si>
  <si>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</si>
  <si>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</si>
  <si>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</si>
  <si>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</si>
  <si>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</si>
  <si>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</si>
  <si>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</si>
  <si>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</si>
  <si>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</si>
  <si>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</si>
  <si>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</si>
  <si>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</si>
  <si>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</si>
  <si>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</si>
  <si>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</si>
  <si>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</si>
  <si>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</si>
  <si>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</si>
  <si>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</si>
  <si>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</si>
  <si>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</si>
  <si>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</si>
  <si>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</si>
  <si>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</si>
  <si>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</si>
  <si>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</si>
  <si>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</si>
  <si>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</si>
  <si>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</si>
  <si>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</si>
  <si>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</si>
  <si>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</si>
  <si>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</si>
  <si>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</si>
  <si>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</si>
  <si>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</si>
  <si>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</si>
  <si>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</si>
  <si>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</si>
  <si>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</si>
  <si>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</si>
  <si>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</si>
  <si>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</si>
  <si>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</si>
  <si>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</si>
  <si>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</si>
  <si>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</si>
  <si>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</si>
  <si>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</si>
  <si>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</si>
  <si>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</si>
  <si>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</si>
  <si>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</si>
  <si>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</si>
  <si>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</si>
  <si>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</si>
  <si>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</si>
  <si>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</si>
  <si>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</si>
  <si>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</si>
  <si>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</si>
  <si>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</si>
  <si>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</si>
  <si>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</si>
  <si>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</si>
  <si>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</si>
  <si>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</si>
  <si>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</si>
  <si>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</si>
  <si>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</si>
  <si>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</si>
  <si>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</si>
  <si>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</si>
  <si>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</si>
  <si>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</si>
  <si>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</si>
  <si>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</si>
  <si>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</si>
  <si>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</si>
  <si>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</si>
  <si>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</si>
  <si>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</si>
  <si>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</si>
  <si>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</si>
  <si>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</si>
  <si>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</si>
  <si>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</si>
  <si>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</si>
  <si>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</si>
  <si>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</si>
  <si>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</si>
  <si>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</si>
  <si>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</si>
  <si>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</si>
  <si>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</si>
  <si>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</si>
  <si>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</si>
  <si>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</si>
  <si>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</si>
  <si>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</si>
  <si>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</si>
  <si>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</si>
  <si>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</si>
  <si>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</si>
  <si>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</si>
  <si>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</si>
  <si>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</si>
  <si>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</si>
  <si>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</si>
  <si>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</si>
  <si>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</si>
  <si>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</si>
  <si>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</si>
  <si>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</si>
  <si>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</si>
  <si>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</si>
  <si>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</si>
  <si>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</si>
  <si>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</si>
  <si>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</si>
  <si>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</si>
  <si>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</si>
  <si>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</si>
  <si>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</si>
  <si>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</si>
  <si>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</si>
  <si>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</si>
  <si>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</si>
  <si>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</si>
  <si>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</si>
  <si>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</si>
  <si>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</si>
  <si>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</si>
  <si>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</si>
  <si>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</si>
  <si>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</si>
  <si>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</si>
  <si>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</si>
  <si>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</si>
  <si>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</si>
  <si>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</si>
  <si>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</si>
  <si>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</si>
  <si>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</si>
  <si>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</si>
  <si>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</si>
  <si>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</si>
  <si>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</si>
  <si>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</si>
  <si>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</si>
  <si>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</si>
  <si>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</si>
  <si>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</si>
  <si>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</si>
  <si>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</si>
  <si>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</si>
  <si>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</si>
  <si>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</si>
  <si>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</si>
  <si>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</si>
  <si>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</si>
  <si>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</si>
  <si>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</si>
  <si>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</si>
  <si>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</si>
  <si>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</si>
  <si>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</si>
  <si>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</si>
  <si>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</si>
  <si>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</si>
  <si>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</si>
  <si>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</si>
  <si>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</si>
  <si>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</si>
  <si>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</si>
  <si>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</si>
  <si>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</si>
  <si>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</si>
  <si>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</si>
  <si>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</si>
  <si>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</si>
  <si>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</si>
  <si>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</si>
  <si>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</si>
  <si>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</si>
  <si>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</si>
  <si>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</si>
  <si>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</si>
  <si>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</si>
  <si>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</si>
  <si>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</si>
  <si>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</si>
  <si>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</si>
  <si>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</si>
  <si>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</si>
  <si>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</si>
  <si>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</si>
  <si>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</si>
  <si>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</si>
  <si>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</si>
  <si>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</si>
  <si>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</si>
  <si>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</si>
  <si>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</si>
  <si>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</si>
  <si>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</si>
  <si>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</si>
  <si>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</si>
  <si>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</si>
  <si>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</si>
  <si>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</si>
  <si>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</si>
  <si>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</si>
  <si>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</si>
  <si>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</si>
  <si>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</si>
  <si>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</si>
  <si>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</si>
  <si>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</si>
  <si>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</si>
  <si>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</si>
  <si>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</si>
  <si>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</si>
  <si>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</si>
  <si>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</si>
  <si>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</si>
  <si>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</si>
  <si>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</si>
  <si>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</si>
  <si>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</si>
  <si>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</si>
  <si>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</si>
  <si>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</si>
  <si>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</si>
  <si>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</si>
  <si>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</si>
  <si>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</si>
  <si>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</si>
  <si>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</si>
  <si>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</si>
  <si>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</si>
  <si>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</si>
  <si>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</si>
  <si>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</si>
  <si>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</si>
  <si>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</si>
  <si>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</si>
  <si>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</si>
  <si>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</si>
  <si>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</si>
  <si>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</si>
  <si>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</si>
  <si>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</si>
  <si>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</si>
  <si>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</si>
  <si>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</si>
  <si>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</si>
  <si>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</si>
  <si>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</si>
  <si>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</si>
  <si>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</si>
  <si>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</si>
  <si>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</si>
  <si>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</si>
  <si>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</si>
  <si>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</si>
  <si>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</si>
  <si>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</si>
  <si>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</si>
  <si>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</si>
  <si>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</si>
  <si>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</si>
  <si>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</si>
  <si>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</si>
  <si>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</si>
  <si>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</si>
  <si>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</si>
  <si>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</si>
  <si>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</si>
  <si>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</si>
  <si>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</si>
  <si>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</si>
  <si>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</si>
  <si>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</si>
  <si>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</si>
  <si>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</si>
  <si>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</si>
  <si>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</si>
  <si>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</si>
  <si>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</si>
  <si>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</si>
  <si>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</si>
  <si>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</si>
  <si>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</si>
  <si>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</si>
  <si>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</si>
  <si>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</si>
  <si>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</si>
  <si>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</si>
  <si>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</si>
  <si>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</si>
  <si>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</si>
  <si>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</si>
  <si>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</si>
  <si>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</si>
  <si>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</si>
  <si>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</si>
  <si>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</si>
  <si>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</si>
  <si>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</si>
  <si>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</si>
  <si>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</si>
  <si>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</si>
  <si>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</si>
  <si>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</si>
  <si>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</si>
  <si>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</si>
  <si>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</si>
  <si>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</si>
  <si>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</si>
  <si>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</si>
  <si>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</si>
  <si>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</si>
  <si>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</si>
  <si>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</si>
  <si>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</si>
  <si>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</si>
  <si>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</si>
  <si>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</si>
  <si>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</si>
  <si>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</si>
  <si>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</si>
  <si>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</si>
  <si>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</si>
  <si>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</si>
  <si>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</si>
  <si>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</si>
  <si>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</si>
  <si>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</si>
  <si>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</si>
  <si>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</si>
  <si>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</si>
  <si>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</si>
  <si>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</si>
  <si>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</si>
  <si>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</si>
  <si>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</si>
  <si>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</si>
  <si>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</si>
  <si>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</si>
  <si>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</si>
  <si>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</si>
  <si>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</si>
  <si>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</si>
  <si>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</si>
  <si>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</si>
  <si>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</si>
  <si>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</si>
  <si>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</si>
  <si>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</si>
  <si>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</si>
  <si>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</si>
  <si>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</si>
  <si>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</si>
  <si>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</si>
  <si>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</si>
  <si>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</si>
  <si>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</si>
  <si>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</si>
  <si>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</si>
  <si>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</si>
  <si>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</si>
  <si>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</si>
  <si>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</si>
  <si>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</si>
  <si>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</si>
  <si>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</si>
  <si>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</si>
  <si>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</si>
  <si>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</si>
  <si>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</si>
  <si>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</si>
  <si>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</si>
  <si>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</si>
  <si>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</si>
  <si>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</si>
  <si>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</si>
  <si>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</si>
  <si>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</si>
  <si>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</si>
  <si>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</si>
  <si>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</si>
  <si>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</si>
  <si>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</si>
  <si>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</si>
  <si>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</si>
  <si>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</si>
  <si>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</si>
  <si>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</si>
  <si>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</si>
  <si>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</si>
  <si>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</si>
  <si>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</si>
  <si>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</si>
  <si>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</si>
  <si>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</si>
  <si>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</si>
  <si>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</si>
  <si>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</si>
  <si>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</si>
  <si>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</si>
  <si>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</si>
  <si>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</si>
  <si>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</si>
  <si>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</si>
  <si>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</si>
  <si>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</si>
  <si>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</si>
  <si>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</si>
  <si>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</si>
  <si>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</si>
  <si>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</si>
  <si>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</si>
  <si>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</si>
  <si>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</si>
  <si>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</si>
  <si>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</si>
  <si>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</si>
  <si>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</si>
  <si>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</si>
  <si>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</si>
  <si>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</si>
  <si>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</si>
  <si>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</si>
  <si>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</si>
  <si>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</si>
  <si>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</si>
  <si>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</si>
  <si>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</si>
  <si>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</si>
  <si>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</si>
  <si>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</si>
  <si>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</si>
  <si>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</si>
  <si>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</si>
  <si>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</si>
  <si>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</si>
  <si>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</si>
  <si>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</si>
  <si>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</si>
  <si>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</si>
  <si>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</si>
  <si>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</si>
  <si>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</si>
  <si>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</si>
  <si>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</si>
  <si>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</si>
  <si>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</si>
  <si>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</si>
  <si>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</si>
  <si>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</si>
  <si>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</si>
  <si>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</si>
  <si>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</si>
  <si>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</si>
  <si>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</si>
  <si>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</si>
  <si>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</si>
  <si>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</si>
  <si>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</si>
  <si>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</si>
  <si>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</si>
  <si>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</si>
  <si>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</si>
  <si>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</si>
  <si>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</si>
  <si>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</si>
  <si>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</si>
  <si>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</si>
  <si>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</si>
  <si>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</si>
  <si>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</si>
  <si>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</si>
  <si>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</si>
  <si>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</si>
  <si>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</si>
  <si>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</si>
  <si>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</si>
  <si>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</si>
  <si>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</si>
  <si>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</si>
  <si>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</si>
  <si>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</si>
  <si>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</si>
  <si>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</si>
  <si>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</si>
  <si>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</si>
  <si>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</si>
  <si>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</si>
  <si>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</si>
  <si>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</si>
  <si>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</si>
  <si>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</si>
  <si>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</si>
  <si>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</si>
  <si>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</si>
  <si>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</si>
  <si>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</si>
  <si>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</si>
  <si>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</si>
  <si>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</si>
  <si>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</si>
  <si>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</si>
  <si>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</si>
  <si>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</si>
  <si>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</si>
  <si>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</si>
  <si>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</si>
  <si>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</si>
  <si>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</si>
  <si>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</si>
  <si>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</si>
  <si>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</si>
  <si>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</si>
  <si>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</si>
  <si>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</si>
  <si>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</si>
  <si>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</si>
  <si>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</si>
  <si>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</si>
  <si>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</si>
  <si>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</si>
  <si>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</si>
  <si>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</si>
  <si>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</si>
  <si>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</si>
  <si>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</si>
  <si>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</si>
  <si>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</si>
  <si>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</si>
  <si>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</si>
  <si>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</si>
  <si>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</si>
  <si>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</si>
  <si>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</si>
  <si>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</si>
  <si>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雅俗通</t>
  </si>
  <si>
    <t>方音符號</t>
  </si>
  <si>
    <t>output7</t>
    <phoneticPr fontId="1" type="noConversion"/>
  </si>
  <si>
    <t>鳳</t>
  </si>
  <si>
    <t>凰</t>
  </si>
  <si>
    <t>臺</t>
  </si>
  <si>
    <t>遊</t>
  </si>
  <si>
    <t>自</t>
  </si>
  <si>
    <t>流</t>
  </si>
  <si>
    <t>吳</t>
  </si>
  <si>
    <t>宮</t>
  </si>
  <si>
    <t>花</t>
  </si>
  <si>
    <t>草</t>
  </si>
  <si>
    <t>埋</t>
  </si>
  <si>
    <t>幽</t>
  </si>
  <si>
    <t>徑</t>
  </si>
  <si>
    <t>晉</t>
  </si>
  <si>
    <t>代</t>
  </si>
  <si>
    <t>衣</t>
  </si>
  <si>
    <t>冠</t>
  </si>
  <si>
    <t>成</t>
  </si>
  <si>
    <t>丘</t>
  </si>
  <si>
    <t>三</t>
  </si>
  <si>
    <t>半</t>
  </si>
  <si>
    <t>落</t>
  </si>
  <si>
    <t>外</t>
  </si>
  <si>
    <t>水</t>
  </si>
  <si>
    <t>中</t>
  </si>
  <si>
    <t>分</t>
  </si>
  <si>
    <t>白</t>
  </si>
  <si>
    <t>鷺</t>
  </si>
  <si>
    <t>洲</t>
  </si>
  <si>
    <t>總</t>
  </si>
  <si>
    <t>雲</t>
  </si>
  <si>
    <t>能</t>
  </si>
  <si>
    <t>蔽</t>
  </si>
  <si>
    <t>安</t>
  </si>
  <si>
    <t>見</t>
  </si>
  <si>
    <t>使</t>
  </si>
  <si>
    <t>愁</t>
  </si>
  <si>
    <t xml:space="preserve">鳳凰臺上鳳凰遊，
鳳去臺空江自流。
吳宮花草埋幽徑，
晉代衣冠成古丘。
三山半落青天外，
二水中分白鷺洲。
總為浮雲能蔽日，
長安不見使人愁。
</t>
  </si>
  <si>
    <t>hong7</t>
  </si>
  <si>
    <t>hong5</t>
  </si>
  <si>
    <t>tai5</t>
  </si>
  <si>
    <t>siong2</t>
  </si>
  <si>
    <t>(5, 7)</t>
  </si>
  <si>
    <t>(9, 7)</t>
  </si>
  <si>
    <t>zu7</t>
  </si>
  <si>
    <t>liu5</t>
  </si>
  <si>
    <t>(9, 10)</t>
  </si>
  <si>
    <t>kiong1</t>
  </si>
  <si>
    <t>hua1</t>
  </si>
  <si>
    <t>cau2</t>
  </si>
  <si>
    <t>(13, 7)</t>
  </si>
  <si>
    <t>bai5</t>
  </si>
  <si>
    <t>(13, 8)</t>
  </si>
  <si>
    <t>(13, 9)</t>
  </si>
  <si>
    <t>king3</t>
  </si>
  <si>
    <t>(17, 4)</t>
  </si>
  <si>
    <t>kuan3</t>
  </si>
  <si>
    <t>(17, 7)</t>
  </si>
  <si>
    <t>sing5</t>
  </si>
  <si>
    <t>(17, 8)</t>
  </si>
  <si>
    <t>(17, 9)</t>
  </si>
  <si>
    <t>khiu1</t>
  </si>
  <si>
    <t>(17, 10)</t>
  </si>
  <si>
    <t>sam1</t>
  </si>
  <si>
    <t>(21, 4)</t>
  </si>
  <si>
    <t>(21, 5)</t>
  </si>
  <si>
    <t>puann3</t>
  </si>
  <si>
    <t>(21, 6)</t>
  </si>
  <si>
    <t>lok8</t>
  </si>
  <si>
    <t>(21, 7)</t>
  </si>
  <si>
    <t>cing1</t>
  </si>
  <si>
    <t>(21, 8)</t>
  </si>
  <si>
    <t>(21, 9)</t>
  </si>
  <si>
    <t>gue7</t>
  </si>
  <si>
    <t>(21, 10)</t>
  </si>
  <si>
    <t>(25, 4)</t>
  </si>
  <si>
    <t>sui2</t>
  </si>
  <si>
    <t>(25, 5)</t>
  </si>
  <si>
    <t>(25, 6)</t>
  </si>
  <si>
    <t>hun1</t>
  </si>
  <si>
    <t>(25, 7)</t>
  </si>
  <si>
    <t>pik8</t>
  </si>
  <si>
    <t>(25, 8)</t>
  </si>
  <si>
    <t>loo7</t>
  </si>
  <si>
    <t>(25, 9)</t>
  </si>
  <si>
    <t>ziu1</t>
  </si>
  <si>
    <t>(25, 10)</t>
  </si>
  <si>
    <t>zong2</t>
  </si>
  <si>
    <t>(29, 4)</t>
  </si>
  <si>
    <t>(29, 5)</t>
  </si>
  <si>
    <t>hu5</t>
  </si>
  <si>
    <t>(29, 6)</t>
  </si>
  <si>
    <t>hun5</t>
  </si>
  <si>
    <t>(29, 7)</t>
  </si>
  <si>
    <t>pe3</t>
  </si>
  <si>
    <t>(33, 4)</t>
  </si>
  <si>
    <t>an1</t>
  </si>
  <si>
    <t>(33, 5)</t>
  </si>
  <si>
    <t>(33, 6)</t>
  </si>
  <si>
    <t>kian3</t>
  </si>
  <si>
    <t>su2</t>
  </si>
  <si>
    <t>(33, 8)</t>
  </si>
  <si>
    <t>(33, 9)</t>
  </si>
  <si>
    <t>ciu5</t>
  </si>
  <si>
    <t>(33, 10)</t>
  </si>
  <si>
    <t>hong6</t>
  </si>
  <si>
    <t>hong2</t>
  </si>
  <si>
    <t>dai2</t>
  </si>
  <si>
    <t>siong3</t>
  </si>
  <si>
    <t>ku3</t>
  </si>
  <si>
    <t>gang1</t>
  </si>
  <si>
    <t>zu6</t>
  </si>
  <si>
    <t>liu2</t>
  </si>
  <si>
    <t>ggnoo2</t>
  </si>
  <si>
    <t>giong1</t>
  </si>
  <si>
    <t>cao3</t>
  </si>
  <si>
    <t>bbai2</t>
  </si>
  <si>
    <t>ging5</t>
  </si>
  <si>
    <t>zin5</t>
  </si>
  <si>
    <t>dai6</t>
  </si>
  <si>
    <t>guan5</t>
  </si>
  <si>
    <t>sing2</t>
  </si>
  <si>
    <t>goo3</t>
  </si>
  <si>
    <t>kiu1</t>
  </si>
  <si>
    <t>bnua5</t>
  </si>
  <si>
    <t>tian1</t>
  </si>
  <si>
    <t>ggue6</t>
  </si>
  <si>
    <t>zzi6</t>
  </si>
  <si>
    <t>sui3</t>
  </si>
  <si>
    <t>diong6</t>
  </si>
  <si>
    <t>bik8</t>
  </si>
  <si>
    <t>loo6</t>
  </si>
  <si>
    <t>zong3</t>
  </si>
  <si>
    <t>ui2</t>
  </si>
  <si>
    <t>hu2</t>
  </si>
  <si>
    <t>hun2</t>
  </si>
  <si>
    <t>ling2</t>
  </si>
  <si>
    <t>be5</t>
  </si>
  <si>
    <t>zzit8</t>
  </si>
  <si>
    <t>diong2</t>
  </si>
  <si>
    <t>but7</t>
  </si>
  <si>
    <t>gian5</t>
  </si>
  <si>
    <t>zzin2</t>
  </si>
  <si>
    <t>ciu2</t>
  </si>
  <si>
    <t>登金陵鳳凰臺</t>
    <phoneticPr fontId="1" type="noConversion"/>
  </si>
  <si>
    <t>《</t>
  </si>
  <si>
    <t>》</t>
  </si>
  <si>
    <t>李</t>
  </si>
  <si>
    <t>爲</t>
  </si>
  <si>
    <t xml:space="preserve">《登金陵鳳凰臺》唐：李白
鳳凰臺上鳳凰遊，
鳳去臺空江自流。
吳宮花草埋幽徑，
晉代衣冠成古丘。
三山半落青天外，
二水中分白鷺洲。
總爲浮雲能蔽日，
長安不見使人愁。
</t>
  </si>
  <si>
    <t>ding1</t>
  </si>
  <si>
    <t>gim1</t>
  </si>
  <si>
    <t>dong2</t>
  </si>
  <si>
    <t>li3</t>
  </si>
  <si>
    <t>yu2</t>
  </si>
  <si>
    <t>(5, 9); (9, 5); (9, 9)</t>
  </si>
  <si>
    <t>khu3</t>
  </si>
  <si>
    <t>ku5</t>
  </si>
  <si>
    <t>(5, 8); (9, 4); (9, 8); (13, 4)</t>
  </si>
  <si>
    <t>(5, 10); (9, 6); (13, 6)</t>
  </si>
  <si>
    <t>yu1</t>
  </si>
  <si>
    <t>yi1</t>
  </si>
  <si>
    <t>tiong1</t>
  </si>
  <si>
    <t>diong1</t>
  </si>
  <si>
    <t>(5, 15); (29, 8)</t>
  </si>
  <si>
    <t>ui7</t>
  </si>
  <si>
    <t>wi6</t>
  </si>
  <si>
    <t>tiong2</t>
  </si>
  <si>
    <t>diong3</t>
  </si>
  <si>
    <t>(37, 5)</t>
  </si>
  <si>
    <t>(37, 9)</t>
  </si>
  <si>
    <t>(37, 10)</t>
  </si>
  <si>
    <t>【河洛文讀注音-閩拼調號】《登金陵鳳凰臺》.xlsx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</si>
  <si>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</si>
  <si>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</si>
  <si>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</si>
  <si>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</si>
  <si>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hue1</t>
  </si>
  <si>
    <t>hue1</t>
    <phoneticPr fontId="1" type="noConversion"/>
  </si>
  <si>
    <t>cau2</t>
    <phoneticPr fontId="1" type="noConversion"/>
  </si>
  <si>
    <t>cao3</t>
    <phoneticPr fontId="1" type="noConversion"/>
  </si>
  <si>
    <t>李白登金陵鳳凰臺-16x9.png</t>
    <phoneticPr fontId="1" type="noConversion"/>
  </si>
  <si>
    <t>閩拼調符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</si>
</sst>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  <xf numFmtId="0" fontId="39" fillId="0" borderId="0" xfId="3" applyFont="1" applyFill="1" applyAlignment="1">
      <alignment horizontal="center" vertical="center"/>
    </xf>
    <xf numFmtId="0" fontId="40" fillId="0" borderId="0" xfId="3" applyFont="1" applyFill="1" applyAlignment="1">
      <alignment horizontal="center" vertical="center"/>
    </xf>
    <xf numFmtId="0" fontId="40" fillId="0" borderId="0" xfId="3" applyFont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6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3" zoomScale="80" zoomScaleNormal="80" workbookViewId="0">
      <selection activeCell="C15" sqref="C15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1339</v>
      </c>
    </row>
    <row r="6" spans="2:4">
      <c r="B6" s="4" t="s">
        <v>4</v>
      </c>
      <c r="C6" s="3" t="s">
        <v>1311</v>
      </c>
    </row>
    <row r="7" spans="2:4">
      <c r="B7" s="4" t="s">
        <v>5</v>
      </c>
      <c r="C7" s="53" t="s">
        <v>1348</v>
      </c>
      <c r="D7" s="47"/>
    </row>
    <row r="8" spans="2:4">
      <c r="B8" s="4" t="s">
        <v>6</v>
      </c>
      <c r="C8" s="44" t="s">
        <v>1166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v>10</v>
      </c>
      <c r="D11" s="1">
        <f>每頁總列數*4+5</f>
        <v>45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1349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1164</v>
      </c>
    </row>
    <row r="19" spans="2:3" ht="30">
      <c r="B19" s="40" t="s">
        <v>17</v>
      </c>
      <c r="C19" s="42" t="s">
        <v>1165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0BD4-FE4F-4217-B5DC-B74BE8264919}">
  <dimension ref="A1:D1"/>
  <sheetViews>
    <sheetView workbookViewId="0"/>
  </sheetViews>
  <sheetFormatPr defaultRowHeight="16.5"/>
  <sheetData>
    <row r="1" spans="1:4">
      <c r="A1" t="s">
        <v>1340</v>
      </c>
      <c r="B1" t="s">
        <v>1341</v>
      </c>
      <c r="C1" t="s">
        <v>1342</v>
      </c>
      <c r="D1" t="s">
        <v>1343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1F17-4235-4462-AAD4-F36C2B87E3CD}">
  <dimension ref="A1:D58"/>
  <sheetViews>
    <sheetView workbookViewId="0"/>
  </sheetViews>
  <sheetFormatPr defaultRowHeight="16.5"/>
  <sheetData>
    <row r="1" spans="1:4">
      <c r="A1" t="s">
        <v>1340</v>
      </c>
      <c r="B1" t="s">
        <v>1341</v>
      </c>
      <c r="C1" t="s">
        <v>1342</v>
      </c>
      <c r="D1" t="s">
        <v>1343</v>
      </c>
    </row>
    <row r="2" spans="1:4">
      <c r="A2" t="s">
        <v>197</v>
      </c>
      <c r="B2" t="s">
        <v>410</v>
      </c>
      <c r="C2" t="s">
        <v>499</v>
      </c>
      <c r="D2" t="s">
        <v>919</v>
      </c>
    </row>
    <row r="3" spans="1:4">
      <c r="A3" t="s">
        <v>242</v>
      </c>
      <c r="B3" t="s">
        <v>330</v>
      </c>
      <c r="C3" t="s">
        <v>499</v>
      </c>
      <c r="D3" t="s">
        <v>920</v>
      </c>
    </row>
    <row r="4" spans="1:4">
      <c r="A4" t="s">
        <v>77</v>
      </c>
      <c r="B4" t="s">
        <v>48</v>
      </c>
      <c r="C4" t="s">
        <v>499</v>
      </c>
      <c r="D4" t="s">
        <v>1209</v>
      </c>
    </row>
    <row r="5" spans="1:4">
      <c r="A5" t="s">
        <v>1167</v>
      </c>
      <c r="B5" t="s">
        <v>1205</v>
      </c>
      <c r="C5" t="s">
        <v>499</v>
      </c>
      <c r="D5" t="s">
        <v>1325</v>
      </c>
    </row>
    <row r="6" spans="1:4">
      <c r="A6" t="s">
        <v>1168</v>
      </c>
      <c r="B6" t="s">
        <v>1206</v>
      </c>
      <c r="C6" t="s">
        <v>499</v>
      </c>
      <c r="D6" t="s">
        <v>1322</v>
      </c>
    </row>
    <row r="7" spans="1:4">
      <c r="A7" t="s">
        <v>1169</v>
      </c>
      <c r="B7" t="s">
        <v>1207</v>
      </c>
      <c r="C7" t="s">
        <v>499</v>
      </c>
      <c r="D7" t="s">
        <v>1326</v>
      </c>
    </row>
    <row r="8" spans="1:4">
      <c r="A8" t="s">
        <v>97</v>
      </c>
      <c r="B8" t="s">
        <v>472</v>
      </c>
      <c r="C8" t="s">
        <v>499</v>
      </c>
      <c r="D8" t="s">
        <v>925</v>
      </c>
    </row>
    <row r="9" spans="1:4">
      <c r="A9" t="s">
        <v>1314</v>
      </c>
      <c r="B9" t="s">
        <v>399</v>
      </c>
      <c r="C9" t="s">
        <v>499</v>
      </c>
      <c r="D9" t="s">
        <v>927</v>
      </c>
    </row>
    <row r="10" spans="1:4">
      <c r="A10" t="s">
        <v>1193</v>
      </c>
      <c r="B10" t="s">
        <v>1248</v>
      </c>
      <c r="C10" t="s">
        <v>499</v>
      </c>
      <c r="D10" t="s">
        <v>1331</v>
      </c>
    </row>
    <row r="11" spans="1:4">
      <c r="A11" t="s">
        <v>18</v>
      </c>
      <c r="B11" t="s">
        <v>1208</v>
      </c>
      <c r="C11" t="s">
        <v>499</v>
      </c>
      <c r="D11" t="s">
        <v>1210</v>
      </c>
    </row>
    <row r="12" spans="1:4">
      <c r="A12" t="s">
        <v>1170</v>
      </c>
      <c r="B12" t="s">
        <v>437</v>
      </c>
      <c r="C12" t="s">
        <v>499</v>
      </c>
      <c r="D12" t="s">
        <v>1213</v>
      </c>
    </row>
    <row r="13" spans="1:4">
      <c r="A13" t="s">
        <v>199</v>
      </c>
      <c r="B13" t="s">
        <v>1323</v>
      </c>
      <c r="C13" t="s">
        <v>499</v>
      </c>
      <c r="D13" t="s">
        <v>943</v>
      </c>
    </row>
    <row r="14" spans="1:4">
      <c r="A14" t="s">
        <v>176</v>
      </c>
      <c r="B14" t="s">
        <v>394</v>
      </c>
      <c r="C14" t="s">
        <v>499</v>
      </c>
      <c r="D14" t="s">
        <v>1217</v>
      </c>
    </row>
    <row r="15" spans="1:4">
      <c r="A15" t="s">
        <v>122</v>
      </c>
      <c r="B15" t="s">
        <v>351</v>
      </c>
      <c r="C15" t="s">
        <v>499</v>
      </c>
      <c r="D15" t="s">
        <v>1219</v>
      </c>
    </row>
    <row r="16" spans="1:4">
      <c r="A16" t="s">
        <v>1171</v>
      </c>
      <c r="B16" t="s">
        <v>1211</v>
      </c>
      <c r="C16" t="s">
        <v>499</v>
      </c>
      <c r="D16" t="s">
        <v>1220</v>
      </c>
    </row>
    <row r="17" spans="1:4">
      <c r="A17" t="s">
        <v>1172</v>
      </c>
      <c r="B17" t="s">
        <v>1212</v>
      </c>
      <c r="C17" t="s">
        <v>499</v>
      </c>
      <c r="D17" t="s">
        <v>947</v>
      </c>
    </row>
    <row r="18" spans="1:4">
      <c r="A18" t="s">
        <v>1173</v>
      </c>
      <c r="B18" t="s">
        <v>482</v>
      </c>
      <c r="C18" t="s">
        <v>499</v>
      </c>
      <c r="D18" t="s">
        <v>1222</v>
      </c>
    </row>
    <row r="19" spans="1:4">
      <c r="A19" t="s">
        <v>1174</v>
      </c>
      <c r="B19" t="s">
        <v>1214</v>
      </c>
      <c r="C19" t="s">
        <v>499</v>
      </c>
      <c r="D19" t="s">
        <v>955</v>
      </c>
    </row>
    <row r="20" spans="1:4">
      <c r="A20" t="s">
        <v>1175</v>
      </c>
      <c r="B20" t="s">
        <v>1344</v>
      </c>
      <c r="C20" t="s">
        <v>499</v>
      </c>
      <c r="D20" t="s">
        <v>956</v>
      </c>
    </row>
    <row r="21" spans="1:4">
      <c r="A21" t="s">
        <v>1176</v>
      </c>
      <c r="B21" t="s">
        <v>1216</v>
      </c>
      <c r="C21" t="s">
        <v>499</v>
      </c>
      <c r="D21" t="s">
        <v>1224</v>
      </c>
    </row>
    <row r="22" spans="1:4">
      <c r="A22" t="s">
        <v>1177</v>
      </c>
      <c r="B22" t="s">
        <v>1218</v>
      </c>
      <c r="C22" t="s">
        <v>499</v>
      </c>
      <c r="D22" t="s">
        <v>1226</v>
      </c>
    </row>
    <row r="23" spans="1:4">
      <c r="A23" t="s">
        <v>1178</v>
      </c>
      <c r="B23" t="s">
        <v>416</v>
      </c>
      <c r="C23" t="s">
        <v>499</v>
      </c>
      <c r="D23" t="s">
        <v>1227</v>
      </c>
    </row>
    <row r="24" spans="1:4">
      <c r="A24" t="s">
        <v>1179</v>
      </c>
      <c r="B24" t="s">
        <v>1221</v>
      </c>
      <c r="C24" t="s">
        <v>499</v>
      </c>
      <c r="D24" t="s">
        <v>1229</v>
      </c>
    </row>
    <row r="25" spans="1:4">
      <c r="A25" t="s">
        <v>1180</v>
      </c>
      <c r="B25" t="s">
        <v>474</v>
      </c>
      <c r="C25" t="s">
        <v>499</v>
      </c>
      <c r="D25" t="s">
        <v>1231</v>
      </c>
    </row>
    <row r="26" spans="1:4">
      <c r="A26" t="s">
        <v>1181</v>
      </c>
      <c r="B26" t="s">
        <v>61</v>
      </c>
      <c r="C26" t="s">
        <v>499</v>
      </c>
      <c r="D26" t="s">
        <v>1232</v>
      </c>
    </row>
    <row r="27" spans="1:4">
      <c r="A27" t="s">
        <v>1182</v>
      </c>
      <c r="B27" t="s">
        <v>496</v>
      </c>
      <c r="C27" t="s">
        <v>499</v>
      </c>
      <c r="D27" t="s">
        <v>1234</v>
      </c>
    </row>
    <row r="28" spans="1:4">
      <c r="A28" t="s">
        <v>1183</v>
      </c>
      <c r="B28" t="s">
        <v>1223</v>
      </c>
      <c r="C28" t="s">
        <v>499</v>
      </c>
      <c r="D28" t="s">
        <v>1236</v>
      </c>
    </row>
    <row r="29" spans="1:4">
      <c r="A29" t="s">
        <v>1184</v>
      </c>
      <c r="B29" t="s">
        <v>1225</v>
      </c>
      <c r="C29" t="s">
        <v>499</v>
      </c>
      <c r="D29" t="s">
        <v>1238</v>
      </c>
    </row>
    <row r="30" spans="1:4">
      <c r="A30" t="s">
        <v>270</v>
      </c>
      <c r="B30" t="s">
        <v>467</v>
      </c>
      <c r="C30" t="s">
        <v>499</v>
      </c>
      <c r="D30" t="s">
        <v>1239</v>
      </c>
    </row>
    <row r="31" spans="1:4">
      <c r="A31" t="s">
        <v>1185</v>
      </c>
      <c r="B31" t="s">
        <v>1228</v>
      </c>
      <c r="C31" t="s">
        <v>499</v>
      </c>
      <c r="D31" t="s">
        <v>1241</v>
      </c>
    </row>
    <row r="32" spans="1:4">
      <c r="A32" t="s">
        <v>1186</v>
      </c>
      <c r="B32" t="s">
        <v>1230</v>
      </c>
      <c r="C32" t="s">
        <v>499</v>
      </c>
      <c r="D32" t="s">
        <v>1242</v>
      </c>
    </row>
    <row r="33" spans="1:4">
      <c r="A33" t="s">
        <v>119</v>
      </c>
      <c r="B33" t="s">
        <v>348</v>
      </c>
      <c r="C33" t="s">
        <v>499</v>
      </c>
      <c r="D33" t="s">
        <v>1244</v>
      </c>
    </row>
    <row r="34" spans="1:4">
      <c r="A34" t="s">
        <v>1187</v>
      </c>
      <c r="B34" t="s">
        <v>1233</v>
      </c>
      <c r="C34" t="s">
        <v>499</v>
      </c>
      <c r="D34" t="s">
        <v>1245</v>
      </c>
    </row>
    <row r="35" spans="1:4">
      <c r="A35" t="s">
        <v>1188</v>
      </c>
      <c r="B35" t="s">
        <v>1235</v>
      </c>
      <c r="C35" t="s">
        <v>499</v>
      </c>
      <c r="D35" t="s">
        <v>1247</v>
      </c>
    </row>
    <row r="36" spans="1:4">
      <c r="A36" t="s">
        <v>235</v>
      </c>
      <c r="B36" t="s">
        <v>1237</v>
      </c>
      <c r="C36" t="s">
        <v>499</v>
      </c>
      <c r="D36" t="s">
        <v>1249</v>
      </c>
    </row>
    <row r="37" spans="1:4">
      <c r="A37" t="s">
        <v>218</v>
      </c>
      <c r="B37" t="s">
        <v>428</v>
      </c>
      <c r="C37" t="s">
        <v>499</v>
      </c>
      <c r="D37" t="s">
        <v>1251</v>
      </c>
    </row>
    <row r="38" spans="1:4">
      <c r="A38" t="s">
        <v>1189</v>
      </c>
      <c r="B38" t="s">
        <v>1240</v>
      </c>
      <c r="C38" t="s">
        <v>499</v>
      </c>
      <c r="D38" t="s">
        <v>1253</v>
      </c>
    </row>
    <row r="39" spans="1:4">
      <c r="A39" t="s">
        <v>272</v>
      </c>
      <c r="B39" t="s">
        <v>468</v>
      </c>
      <c r="C39" t="s">
        <v>499</v>
      </c>
      <c r="D39" t="s">
        <v>1255</v>
      </c>
    </row>
    <row r="40" spans="1:4">
      <c r="A40" t="s">
        <v>1190</v>
      </c>
      <c r="B40" t="s">
        <v>1243</v>
      </c>
      <c r="C40" t="s">
        <v>499</v>
      </c>
      <c r="D40" t="s">
        <v>1256</v>
      </c>
    </row>
    <row r="41" spans="1:4">
      <c r="A41" t="s">
        <v>1191</v>
      </c>
      <c r="B41" t="s">
        <v>1329</v>
      </c>
      <c r="C41" t="s">
        <v>499</v>
      </c>
      <c r="D41" t="s">
        <v>1258</v>
      </c>
    </row>
    <row r="42" spans="1:4">
      <c r="A42" t="s">
        <v>1192</v>
      </c>
      <c r="B42" t="s">
        <v>1246</v>
      </c>
      <c r="C42" t="s">
        <v>499</v>
      </c>
      <c r="D42" t="s">
        <v>1260</v>
      </c>
    </row>
    <row r="43" spans="1:4">
      <c r="A43" t="s">
        <v>1194</v>
      </c>
      <c r="B43" t="s">
        <v>1250</v>
      </c>
      <c r="C43" t="s">
        <v>499</v>
      </c>
      <c r="D43" t="s">
        <v>968</v>
      </c>
    </row>
    <row r="44" spans="1:4">
      <c r="A44" t="s">
        <v>1195</v>
      </c>
      <c r="B44" t="s">
        <v>1252</v>
      </c>
      <c r="C44" t="s">
        <v>499</v>
      </c>
      <c r="D44" t="s">
        <v>969</v>
      </c>
    </row>
    <row r="45" spans="1:4">
      <c r="A45" t="s">
        <v>1196</v>
      </c>
      <c r="B45" t="s">
        <v>1254</v>
      </c>
      <c r="C45" t="s">
        <v>499</v>
      </c>
      <c r="D45" t="s">
        <v>1262</v>
      </c>
    </row>
    <row r="46" spans="1:4">
      <c r="A46" t="s">
        <v>1315</v>
      </c>
      <c r="B46" t="s">
        <v>1332</v>
      </c>
      <c r="C46" t="s">
        <v>499</v>
      </c>
      <c r="D46" t="s">
        <v>1264</v>
      </c>
    </row>
    <row r="47" spans="1:4">
      <c r="A47" t="s">
        <v>240</v>
      </c>
      <c r="B47" t="s">
        <v>1257</v>
      </c>
      <c r="C47" t="s">
        <v>499</v>
      </c>
      <c r="D47" t="s">
        <v>1265</v>
      </c>
    </row>
    <row r="48" spans="1:4">
      <c r="A48" t="s">
        <v>1197</v>
      </c>
      <c r="B48" t="s">
        <v>1259</v>
      </c>
      <c r="C48" t="s">
        <v>499</v>
      </c>
      <c r="D48" t="s">
        <v>977</v>
      </c>
    </row>
    <row r="49" spans="1:4">
      <c r="A49" t="s">
        <v>1198</v>
      </c>
      <c r="B49" t="s">
        <v>48</v>
      </c>
      <c r="C49" t="s">
        <v>499</v>
      </c>
      <c r="D49" t="s">
        <v>1268</v>
      </c>
    </row>
    <row r="50" spans="1:4">
      <c r="A50" t="s">
        <v>1199</v>
      </c>
      <c r="B50" t="s">
        <v>1261</v>
      </c>
      <c r="C50" t="s">
        <v>499</v>
      </c>
      <c r="D50" t="s">
        <v>1269</v>
      </c>
    </row>
    <row r="51" spans="1:4">
      <c r="A51" t="s">
        <v>20</v>
      </c>
      <c r="B51" t="s">
        <v>395</v>
      </c>
      <c r="C51" t="s">
        <v>499</v>
      </c>
      <c r="D51" t="s">
        <v>1271</v>
      </c>
    </row>
    <row r="52" spans="1:4">
      <c r="A52" t="s">
        <v>121</v>
      </c>
      <c r="B52" t="s">
        <v>1334</v>
      </c>
      <c r="C52" t="s">
        <v>499</v>
      </c>
      <c r="D52" t="s">
        <v>985</v>
      </c>
    </row>
    <row r="53" spans="1:4">
      <c r="A53" t="s">
        <v>1200</v>
      </c>
      <c r="B53" t="s">
        <v>1263</v>
      </c>
      <c r="C53" t="s">
        <v>499</v>
      </c>
      <c r="D53" t="s">
        <v>1336</v>
      </c>
    </row>
    <row r="54" spans="1:4">
      <c r="A54" t="s">
        <v>168</v>
      </c>
      <c r="B54" t="s">
        <v>387</v>
      </c>
      <c r="C54" t="s">
        <v>499</v>
      </c>
      <c r="D54" t="s">
        <v>986</v>
      </c>
    </row>
    <row r="55" spans="1:4">
      <c r="A55" t="s">
        <v>1201</v>
      </c>
      <c r="B55" t="s">
        <v>1266</v>
      </c>
      <c r="C55" t="s">
        <v>499</v>
      </c>
      <c r="D55" t="s">
        <v>501</v>
      </c>
    </row>
    <row r="56" spans="1:4">
      <c r="A56" t="s">
        <v>1202</v>
      </c>
      <c r="B56" t="s">
        <v>1267</v>
      </c>
      <c r="C56" t="s">
        <v>499</v>
      </c>
      <c r="D56" t="s">
        <v>987</v>
      </c>
    </row>
    <row r="57" spans="1:4">
      <c r="A57" t="s">
        <v>37</v>
      </c>
      <c r="B57" t="s">
        <v>63</v>
      </c>
      <c r="C57" t="s">
        <v>499</v>
      </c>
      <c r="D57" t="s">
        <v>1337</v>
      </c>
    </row>
    <row r="58" spans="1:4">
      <c r="A58" t="s">
        <v>1203</v>
      </c>
      <c r="B58" t="s">
        <v>1270</v>
      </c>
      <c r="C58" t="s">
        <v>499</v>
      </c>
      <c r="D58" t="s">
        <v>1338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F82A-6705-4E6A-A696-B0009E7FFE57}">
  <dimension ref="A1:D1"/>
  <sheetViews>
    <sheetView workbookViewId="0"/>
  </sheetViews>
  <sheetFormatPr defaultRowHeight="16.5"/>
  <sheetData>
    <row r="1" spans="1:4">
      <c r="A1" t="s">
        <v>1340</v>
      </c>
      <c r="B1" t="s">
        <v>1341</v>
      </c>
      <c r="C1" t="s">
        <v>1342</v>
      </c>
      <c r="D1" t="s">
        <v>1343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9" sqref="M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85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1316</v>
      </c>
    </row>
    <row r="4" spans="1:22" s="6" customFormat="1" ht="36" customHeight="1">
      <c r="B4" s="17"/>
      <c r="D4" s="60"/>
      <c r="E4" s="60" t="s">
        <v>410</v>
      </c>
      <c r="F4" s="60" t="s">
        <v>330</v>
      </c>
      <c r="G4" s="60" t="s">
        <v>48</v>
      </c>
      <c r="H4" s="60" t="s">
        <v>1205</v>
      </c>
      <c r="I4" s="60" t="s">
        <v>1206</v>
      </c>
      <c r="J4" s="60" t="s">
        <v>1207</v>
      </c>
      <c r="K4" s="60"/>
      <c r="L4" s="60" t="s">
        <v>472</v>
      </c>
      <c r="M4" s="60"/>
      <c r="N4" s="60" t="s">
        <v>399</v>
      </c>
      <c r="O4" s="60" t="s">
        <v>1248</v>
      </c>
      <c r="P4" s="6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59" t="s">
        <v>1312</v>
      </c>
      <c r="E5" s="59" t="s">
        <v>197</v>
      </c>
      <c r="F5" s="59" t="s">
        <v>242</v>
      </c>
      <c r="G5" s="59" t="s">
        <v>77</v>
      </c>
      <c r="H5" s="59" t="s">
        <v>1167</v>
      </c>
      <c r="I5" s="59" t="s">
        <v>1168</v>
      </c>
      <c r="J5" s="59" t="s">
        <v>1169</v>
      </c>
      <c r="K5" s="59" t="s">
        <v>1313</v>
      </c>
      <c r="L5" s="59" t="s">
        <v>97</v>
      </c>
      <c r="M5" s="59" t="s">
        <v>289</v>
      </c>
      <c r="N5" s="59" t="s">
        <v>1314</v>
      </c>
      <c r="O5" s="59" t="s">
        <v>1193</v>
      </c>
      <c r="P5" s="59" t="str">
        <f>CHAR(10)</f>
        <v xml:space="preserve">
</v>
      </c>
      <c r="Q5" s="39"/>
      <c r="R5" s="39"/>
      <c r="S5" s="20"/>
      <c r="V5" s="55"/>
    </row>
    <row r="6" spans="1:22" s="24" customFormat="1" ht="36" customHeight="1">
      <c r="B6" s="21"/>
      <c r="C6" s="22"/>
      <c r="D6" s="61"/>
      <c r="E6" s="61" t="s">
        <v>1317</v>
      </c>
      <c r="F6" s="61" t="s">
        <v>1318</v>
      </c>
      <c r="G6" s="61" t="s">
        <v>1303</v>
      </c>
      <c r="H6" s="61" t="s">
        <v>1272</v>
      </c>
      <c r="I6" s="61" t="s">
        <v>1273</v>
      </c>
      <c r="J6" s="61" t="s">
        <v>1274</v>
      </c>
      <c r="K6" s="61"/>
      <c r="L6" s="61" t="s">
        <v>1319</v>
      </c>
      <c r="M6" s="61"/>
      <c r="N6" s="61" t="s">
        <v>1320</v>
      </c>
      <c r="O6" s="61" t="s">
        <v>1297</v>
      </c>
      <c r="P6" s="61"/>
      <c r="Q6" s="62"/>
      <c r="R6" s="62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60" t="s">
        <v>1205</v>
      </c>
      <c r="E8" s="60" t="s">
        <v>1206</v>
      </c>
      <c r="F8" s="60" t="s">
        <v>1207</v>
      </c>
      <c r="G8" s="60" t="s">
        <v>1208</v>
      </c>
      <c r="H8" s="60" t="s">
        <v>1205</v>
      </c>
      <c r="I8" s="60" t="s">
        <v>1206</v>
      </c>
      <c r="J8" s="60" t="s">
        <v>437</v>
      </c>
      <c r="K8" s="60"/>
      <c r="L8" s="60"/>
      <c r="M8" s="60"/>
      <c r="N8" s="60"/>
      <c r="O8" s="60"/>
      <c r="P8" s="6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59" t="s">
        <v>1167</v>
      </c>
      <c r="E9" s="59" t="s">
        <v>1168</v>
      </c>
      <c r="F9" s="59" t="s">
        <v>1169</v>
      </c>
      <c r="G9" s="59" t="s">
        <v>18</v>
      </c>
      <c r="H9" s="59" t="s">
        <v>1167</v>
      </c>
      <c r="I9" s="59" t="s">
        <v>1168</v>
      </c>
      <c r="J9" s="59" t="s">
        <v>1170</v>
      </c>
      <c r="K9" s="59" t="s">
        <v>23</v>
      </c>
      <c r="L9" s="59" t="str">
        <f>CHAR(10)</f>
        <v xml:space="preserve">
</v>
      </c>
      <c r="M9" s="59"/>
      <c r="N9" s="59"/>
      <c r="O9" s="59"/>
      <c r="P9" s="59"/>
      <c r="Q9" s="39"/>
      <c r="R9" s="39"/>
      <c r="S9" s="20"/>
      <c r="T9" s="16"/>
      <c r="V9" s="55"/>
    </row>
    <row r="10" spans="1:22" s="6" customFormat="1" ht="36" customHeight="1">
      <c r="B10" s="21"/>
      <c r="D10" s="61" t="s">
        <v>1272</v>
      </c>
      <c r="E10" s="61" t="s">
        <v>1273</v>
      </c>
      <c r="F10" s="61" t="s">
        <v>1274</v>
      </c>
      <c r="G10" s="61" t="s">
        <v>1275</v>
      </c>
      <c r="H10" s="61" t="s">
        <v>1272</v>
      </c>
      <c r="I10" s="61" t="s">
        <v>1273</v>
      </c>
      <c r="J10" s="61" t="s">
        <v>1321</v>
      </c>
      <c r="K10" s="61"/>
      <c r="L10" s="61"/>
      <c r="M10" s="61"/>
      <c r="N10" s="61"/>
      <c r="O10" s="61"/>
      <c r="P10" s="61"/>
      <c r="Q10" s="62"/>
      <c r="R10" s="62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60" t="s">
        <v>1205</v>
      </c>
      <c r="E12" s="60" t="s">
        <v>1323</v>
      </c>
      <c r="F12" s="60" t="s">
        <v>1207</v>
      </c>
      <c r="G12" s="60" t="s">
        <v>394</v>
      </c>
      <c r="H12" s="60" t="s">
        <v>351</v>
      </c>
      <c r="I12" s="60" t="s">
        <v>1211</v>
      </c>
      <c r="J12" s="60" t="s">
        <v>1212</v>
      </c>
      <c r="K12" s="60"/>
      <c r="L12" s="60"/>
      <c r="M12" s="60"/>
      <c r="N12" s="60"/>
      <c r="O12" s="60"/>
      <c r="P12" s="6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59" t="s">
        <v>1167</v>
      </c>
      <c r="E13" s="59" t="s">
        <v>199</v>
      </c>
      <c r="F13" s="59" t="s">
        <v>1169</v>
      </c>
      <c r="G13" s="59" t="s">
        <v>176</v>
      </c>
      <c r="H13" s="59" t="s">
        <v>122</v>
      </c>
      <c r="I13" s="59" t="s">
        <v>1171</v>
      </c>
      <c r="J13" s="59" t="s">
        <v>1172</v>
      </c>
      <c r="K13" s="59" t="s">
        <v>30</v>
      </c>
      <c r="L13" s="59" t="str">
        <f>CHAR(10)</f>
        <v xml:space="preserve">
</v>
      </c>
      <c r="M13" s="59"/>
      <c r="N13" s="59"/>
      <c r="O13" s="59"/>
      <c r="P13" s="59"/>
      <c r="Q13" s="39"/>
      <c r="R13" s="39"/>
      <c r="S13" s="20"/>
      <c r="V13" s="55"/>
    </row>
    <row r="14" spans="1:22" s="6" customFormat="1" ht="36" customHeight="1">
      <c r="B14" s="21"/>
      <c r="D14" s="61" t="s">
        <v>1272</v>
      </c>
      <c r="E14" s="61" t="s">
        <v>1324</v>
      </c>
      <c r="F14" s="61" t="s">
        <v>1274</v>
      </c>
      <c r="G14" s="61" t="s">
        <v>429</v>
      </c>
      <c r="H14" s="61" t="s">
        <v>1277</v>
      </c>
      <c r="I14" s="61" t="s">
        <v>1278</v>
      </c>
      <c r="J14" s="61" t="s">
        <v>1279</v>
      </c>
      <c r="K14" s="61"/>
      <c r="L14" s="61"/>
      <c r="M14" s="61"/>
      <c r="N14" s="61"/>
      <c r="O14" s="61"/>
      <c r="P14" s="61"/>
      <c r="Q14" s="62"/>
      <c r="R14" s="62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60" t="s">
        <v>482</v>
      </c>
      <c r="E16" s="60" t="s">
        <v>1214</v>
      </c>
      <c r="F16" s="60" t="s">
        <v>1345</v>
      </c>
      <c r="G16" s="60" t="s">
        <v>1346</v>
      </c>
      <c r="H16" s="60" t="s">
        <v>1218</v>
      </c>
      <c r="I16" s="60" t="s">
        <v>416</v>
      </c>
      <c r="J16" s="60" t="s">
        <v>1221</v>
      </c>
      <c r="K16" s="60"/>
      <c r="L16" s="60"/>
      <c r="M16" s="60"/>
      <c r="N16" s="60"/>
      <c r="O16" s="60"/>
      <c r="P16" s="6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59" t="s">
        <v>1173</v>
      </c>
      <c r="E17" s="59" t="s">
        <v>1174</v>
      </c>
      <c r="F17" s="59" t="s">
        <v>1175</v>
      </c>
      <c r="G17" s="59" t="s">
        <v>1176</v>
      </c>
      <c r="H17" s="59" t="s">
        <v>1177</v>
      </c>
      <c r="I17" s="59" t="s">
        <v>1178</v>
      </c>
      <c r="J17" s="59" t="s">
        <v>1179</v>
      </c>
      <c r="K17" s="59" t="s">
        <v>23</v>
      </c>
      <c r="L17" s="59" t="str">
        <f>CHAR(10)</f>
        <v xml:space="preserve">
</v>
      </c>
      <c r="M17" s="59"/>
      <c r="N17" s="59"/>
      <c r="O17" s="59"/>
      <c r="P17" s="59"/>
      <c r="Q17" s="39"/>
      <c r="R17" s="39"/>
      <c r="S17" s="20"/>
      <c r="V17" s="55"/>
    </row>
    <row r="18" spans="2:22" s="6" customFormat="1" ht="36" customHeight="1">
      <c r="B18" s="21"/>
      <c r="D18" s="61" t="s">
        <v>1280</v>
      </c>
      <c r="E18" s="61" t="s">
        <v>1281</v>
      </c>
      <c r="F18" s="61" t="s">
        <v>1345</v>
      </c>
      <c r="G18" s="61" t="s">
        <v>1347</v>
      </c>
      <c r="H18" s="61" t="s">
        <v>1283</v>
      </c>
      <c r="I18" s="61" t="s">
        <v>1327</v>
      </c>
      <c r="J18" s="61" t="s">
        <v>1284</v>
      </c>
      <c r="K18" s="61"/>
      <c r="L18" s="61"/>
      <c r="M18" s="61"/>
      <c r="N18" s="61"/>
      <c r="O18" s="61"/>
      <c r="P18" s="61"/>
      <c r="Q18" s="62"/>
      <c r="R18" s="62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60" t="s">
        <v>474</v>
      </c>
      <c r="E20" s="60" t="s">
        <v>61</v>
      </c>
      <c r="F20" s="60" t="s">
        <v>496</v>
      </c>
      <c r="G20" s="60" t="s">
        <v>1223</v>
      </c>
      <c r="H20" s="60" t="s">
        <v>1225</v>
      </c>
      <c r="I20" s="60" t="s">
        <v>467</v>
      </c>
      <c r="J20" s="60" t="s">
        <v>1228</v>
      </c>
      <c r="K20" s="60"/>
      <c r="L20" s="60"/>
      <c r="M20" s="60"/>
      <c r="N20" s="60"/>
      <c r="O20" s="60"/>
      <c r="P20" s="6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59" t="s">
        <v>1180</v>
      </c>
      <c r="E21" s="59" t="s">
        <v>1181</v>
      </c>
      <c r="F21" s="59" t="s">
        <v>1182</v>
      </c>
      <c r="G21" s="59" t="s">
        <v>1183</v>
      </c>
      <c r="H21" s="59" t="s">
        <v>1184</v>
      </c>
      <c r="I21" s="59" t="s">
        <v>270</v>
      </c>
      <c r="J21" s="59" t="s">
        <v>1185</v>
      </c>
      <c r="K21" s="59" t="s">
        <v>30</v>
      </c>
      <c r="L21" s="59" t="str">
        <f>CHAR(10)</f>
        <v xml:space="preserve">
</v>
      </c>
      <c r="M21" s="59"/>
      <c r="N21" s="59"/>
      <c r="O21" s="59"/>
      <c r="P21" s="59"/>
      <c r="Q21" s="39"/>
      <c r="R21" s="39"/>
      <c r="S21" s="20"/>
      <c r="V21" s="55"/>
    </row>
    <row r="22" spans="2:22" s="6" customFormat="1" ht="36" customHeight="1">
      <c r="B22" s="21"/>
      <c r="D22" s="61" t="s">
        <v>1285</v>
      </c>
      <c r="E22" s="61" t="s">
        <v>1286</v>
      </c>
      <c r="F22" s="61" t="s">
        <v>1328</v>
      </c>
      <c r="G22" s="61" t="s">
        <v>1287</v>
      </c>
      <c r="H22" s="61" t="s">
        <v>1288</v>
      </c>
      <c r="I22" s="61" t="s">
        <v>1289</v>
      </c>
      <c r="J22" s="61" t="s">
        <v>1290</v>
      </c>
      <c r="K22" s="61"/>
      <c r="L22" s="61"/>
      <c r="M22" s="61"/>
      <c r="N22" s="61"/>
      <c r="O22" s="61"/>
      <c r="P22" s="61"/>
      <c r="Q22" s="62"/>
      <c r="R22" s="62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60" t="s">
        <v>1230</v>
      </c>
      <c r="E24" s="60" t="s">
        <v>348</v>
      </c>
      <c r="F24" s="60" t="s">
        <v>1233</v>
      </c>
      <c r="G24" s="60" t="s">
        <v>1235</v>
      </c>
      <c r="H24" s="60" t="s">
        <v>1237</v>
      </c>
      <c r="I24" s="60" t="s">
        <v>428</v>
      </c>
      <c r="J24" s="60" t="s">
        <v>1240</v>
      </c>
      <c r="K24" s="60"/>
      <c r="L24" s="60"/>
      <c r="M24" s="60"/>
      <c r="N24" s="60"/>
      <c r="O24" s="60"/>
      <c r="P24" s="60"/>
      <c r="Q24" s="50"/>
      <c r="R24" s="50"/>
      <c r="S24" s="18"/>
      <c r="V24" s="55"/>
    </row>
    <row r="25" spans="2:22" s="6" customFormat="1" ht="80.099999999999994" customHeight="1">
      <c r="B25" s="19">
        <f>B21+1</f>
        <v>6</v>
      </c>
      <c r="D25" s="59" t="s">
        <v>1186</v>
      </c>
      <c r="E25" s="59" t="s">
        <v>119</v>
      </c>
      <c r="F25" s="59" t="s">
        <v>1187</v>
      </c>
      <c r="G25" s="59" t="s">
        <v>1188</v>
      </c>
      <c r="H25" s="59" t="s">
        <v>235</v>
      </c>
      <c r="I25" s="59" t="s">
        <v>218</v>
      </c>
      <c r="J25" s="59" t="s">
        <v>1189</v>
      </c>
      <c r="K25" s="59" t="s">
        <v>23</v>
      </c>
      <c r="L25" s="59" t="str">
        <f>CHAR(10)</f>
        <v xml:space="preserve">
</v>
      </c>
      <c r="M25" s="59"/>
      <c r="N25" s="59"/>
      <c r="O25" s="59"/>
      <c r="P25" s="59"/>
      <c r="Q25" s="39"/>
      <c r="R25" s="39"/>
      <c r="S25" s="20"/>
      <c r="V25" s="55"/>
    </row>
    <row r="26" spans="2:22" s="6" customFormat="1" ht="36" customHeight="1">
      <c r="B26" s="21"/>
      <c r="D26" s="61" t="s">
        <v>1230</v>
      </c>
      <c r="E26" s="61" t="s">
        <v>348</v>
      </c>
      <c r="F26" s="61" t="s">
        <v>1291</v>
      </c>
      <c r="G26" s="61" t="s">
        <v>1235</v>
      </c>
      <c r="H26" s="61" t="s">
        <v>1237</v>
      </c>
      <c r="I26" s="61" t="s">
        <v>1292</v>
      </c>
      <c r="J26" s="61" t="s">
        <v>1293</v>
      </c>
      <c r="K26" s="61"/>
      <c r="L26" s="61"/>
      <c r="M26" s="61"/>
      <c r="N26" s="61"/>
      <c r="O26" s="61"/>
      <c r="P26" s="61"/>
      <c r="Q26" s="62"/>
      <c r="R26" s="62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55"/>
    </row>
    <row r="28" spans="2:22" s="6" customFormat="1" ht="36" customHeight="1">
      <c r="B28" s="17"/>
      <c r="D28" s="60" t="s">
        <v>468</v>
      </c>
      <c r="E28" s="60" t="s">
        <v>1243</v>
      </c>
      <c r="F28" s="60" t="s">
        <v>1329</v>
      </c>
      <c r="G28" s="60" t="s">
        <v>1246</v>
      </c>
      <c r="H28" s="60" t="s">
        <v>1248</v>
      </c>
      <c r="I28" s="60" t="s">
        <v>1250</v>
      </c>
      <c r="J28" s="60" t="s">
        <v>1252</v>
      </c>
      <c r="K28" s="60"/>
      <c r="L28" s="60"/>
      <c r="M28" s="60"/>
      <c r="N28" s="60"/>
      <c r="O28" s="60"/>
      <c r="P28" s="60"/>
      <c r="Q28" s="50"/>
      <c r="R28" s="50"/>
      <c r="S28" s="18"/>
      <c r="U28" s="33" t="str">
        <f t="shared" si="1"/>
        <v/>
      </c>
      <c r="V28" s="55"/>
    </row>
    <row r="29" spans="2:22" s="6" customFormat="1" ht="80.099999999999994" customHeight="1">
      <c r="B29" s="19">
        <f>B25+1</f>
        <v>7</v>
      </c>
      <c r="D29" s="59" t="s">
        <v>272</v>
      </c>
      <c r="E29" s="59" t="s">
        <v>1190</v>
      </c>
      <c r="F29" s="59" t="s">
        <v>1191</v>
      </c>
      <c r="G29" s="59" t="s">
        <v>1192</v>
      </c>
      <c r="H29" s="59" t="s">
        <v>1193</v>
      </c>
      <c r="I29" s="59" t="s">
        <v>1194</v>
      </c>
      <c r="J29" s="59" t="s">
        <v>1195</v>
      </c>
      <c r="K29" s="59" t="s">
        <v>30</v>
      </c>
      <c r="L29" s="59" t="str">
        <f>CHAR(10)</f>
        <v xml:space="preserve">
</v>
      </c>
      <c r="M29" s="59"/>
      <c r="N29" s="59"/>
      <c r="O29" s="59"/>
      <c r="P29" s="59"/>
      <c r="Q29" s="39"/>
      <c r="R29" s="39"/>
      <c r="S29" s="20"/>
      <c r="U29" s="33" t="str">
        <f t="shared" si="1"/>
        <v/>
      </c>
      <c r="V29" s="55"/>
    </row>
    <row r="30" spans="2:22" s="6" customFormat="1" ht="36" customHeight="1">
      <c r="B30" s="21"/>
      <c r="D30" s="61" t="s">
        <v>1294</v>
      </c>
      <c r="E30" s="61" t="s">
        <v>1295</v>
      </c>
      <c r="F30" s="61" t="s">
        <v>1330</v>
      </c>
      <c r="G30" s="61" t="s">
        <v>1246</v>
      </c>
      <c r="H30" s="61" t="s">
        <v>1297</v>
      </c>
      <c r="I30" s="61" t="s">
        <v>1298</v>
      </c>
      <c r="J30" s="61" t="s">
        <v>1252</v>
      </c>
      <c r="K30" s="61"/>
      <c r="L30" s="61"/>
      <c r="M30" s="61"/>
      <c r="N30" s="61"/>
      <c r="O30" s="61"/>
      <c r="P30" s="61"/>
      <c r="Q30" s="62"/>
      <c r="R30" s="62"/>
      <c r="S30" s="29"/>
      <c r="U30" s="33" t="str">
        <f t="shared" si="1"/>
        <v/>
      </c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55"/>
    </row>
    <row r="32" spans="2:22" s="6" customFormat="1" ht="36" customHeight="1">
      <c r="B32" s="17"/>
      <c r="D32" s="60" t="s">
        <v>1254</v>
      </c>
      <c r="E32" s="60" t="s">
        <v>1332</v>
      </c>
      <c r="F32" s="60" t="s">
        <v>1257</v>
      </c>
      <c r="G32" s="60" t="s">
        <v>1259</v>
      </c>
      <c r="H32" s="60" t="s">
        <v>48</v>
      </c>
      <c r="I32" s="60" t="s">
        <v>1261</v>
      </c>
      <c r="J32" s="60" t="s">
        <v>395</v>
      </c>
      <c r="K32" s="60"/>
      <c r="L32" s="60"/>
      <c r="M32" s="60"/>
      <c r="N32" s="60"/>
      <c r="O32" s="60"/>
      <c r="P32" s="60"/>
      <c r="Q32" s="50"/>
      <c r="R32" s="50"/>
      <c r="S32" s="18"/>
      <c r="U32" s="33" t="str">
        <f t="shared" si="1"/>
        <v/>
      </c>
      <c r="V32" s="55"/>
    </row>
    <row r="33" spans="2:22" s="6" customFormat="1" ht="80.099999999999994" customHeight="1">
      <c r="B33" s="19">
        <f>B29+1</f>
        <v>8</v>
      </c>
      <c r="D33" s="59" t="s">
        <v>1196</v>
      </c>
      <c r="E33" s="59" t="s">
        <v>1315</v>
      </c>
      <c r="F33" s="59" t="s">
        <v>240</v>
      </c>
      <c r="G33" s="59" t="s">
        <v>1197</v>
      </c>
      <c r="H33" s="59" t="s">
        <v>1198</v>
      </c>
      <c r="I33" s="59" t="s">
        <v>1199</v>
      </c>
      <c r="J33" s="59" t="s">
        <v>20</v>
      </c>
      <c r="K33" s="59" t="s">
        <v>23</v>
      </c>
      <c r="L33" s="59" t="str">
        <f>CHAR(10)</f>
        <v xml:space="preserve">
</v>
      </c>
      <c r="M33" s="59"/>
      <c r="N33" s="59"/>
      <c r="O33" s="59"/>
      <c r="P33" s="59"/>
      <c r="Q33" s="39"/>
      <c r="R33" s="39"/>
      <c r="S33" s="20"/>
      <c r="V33" s="55"/>
    </row>
    <row r="34" spans="2:22" s="6" customFormat="1" ht="36" customHeight="1">
      <c r="B34" s="21"/>
      <c r="D34" s="61" t="s">
        <v>1299</v>
      </c>
      <c r="E34" s="61" t="s">
        <v>1333</v>
      </c>
      <c r="F34" s="61" t="s">
        <v>1301</v>
      </c>
      <c r="G34" s="61" t="s">
        <v>1302</v>
      </c>
      <c r="H34" s="61" t="s">
        <v>1303</v>
      </c>
      <c r="I34" s="61" t="s">
        <v>1304</v>
      </c>
      <c r="J34" s="61" t="s">
        <v>1305</v>
      </c>
      <c r="K34" s="61"/>
      <c r="L34" s="61"/>
      <c r="M34" s="61"/>
      <c r="N34" s="61"/>
      <c r="O34" s="61"/>
      <c r="P34" s="61"/>
      <c r="Q34" s="62"/>
      <c r="R34" s="62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60" t="s">
        <v>1334</v>
      </c>
      <c r="E36" s="60" t="s">
        <v>1263</v>
      </c>
      <c r="F36" s="60" t="s">
        <v>387</v>
      </c>
      <c r="G36" s="60" t="s">
        <v>1266</v>
      </c>
      <c r="H36" s="60" t="s">
        <v>1267</v>
      </c>
      <c r="I36" s="60" t="s">
        <v>63</v>
      </c>
      <c r="J36" s="60" t="s">
        <v>1270</v>
      </c>
      <c r="K36" s="60"/>
      <c r="L36" s="60"/>
      <c r="M36" s="60"/>
      <c r="N36" s="60"/>
      <c r="O36" s="60"/>
      <c r="P36" s="6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59" t="s">
        <v>121</v>
      </c>
      <c r="E37" s="59" t="s">
        <v>1200</v>
      </c>
      <c r="F37" s="59" t="s">
        <v>168</v>
      </c>
      <c r="G37" s="59" t="s">
        <v>1201</v>
      </c>
      <c r="H37" s="59" t="s">
        <v>1202</v>
      </c>
      <c r="I37" s="59" t="s">
        <v>37</v>
      </c>
      <c r="J37" s="59" t="s">
        <v>1203</v>
      </c>
      <c r="K37" s="59" t="s">
        <v>30</v>
      </c>
      <c r="L37" s="59" t="str">
        <f>CHAR(10)</f>
        <v xml:space="preserve">
</v>
      </c>
      <c r="M37" s="59"/>
      <c r="N37" s="59"/>
      <c r="O37" s="59"/>
      <c r="P37" s="59"/>
      <c r="Q37" s="39"/>
      <c r="R37" s="39"/>
      <c r="S37" s="20"/>
      <c r="V37" s="55"/>
    </row>
    <row r="38" spans="2:22" s="6" customFormat="1" ht="36" customHeight="1">
      <c r="B38" s="21"/>
      <c r="D38" s="61" t="s">
        <v>1335</v>
      </c>
      <c r="E38" s="61" t="s">
        <v>1263</v>
      </c>
      <c r="F38" s="61" t="s">
        <v>1307</v>
      </c>
      <c r="G38" s="61" t="s">
        <v>1308</v>
      </c>
      <c r="H38" s="61" t="s">
        <v>51</v>
      </c>
      <c r="I38" s="61" t="s">
        <v>1309</v>
      </c>
      <c r="J38" s="61" t="s">
        <v>1310</v>
      </c>
      <c r="K38" s="61"/>
      <c r="L38" s="61"/>
      <c r="M38" s="61"/>
      <c r="N38" s="61"/>
      <c r="O38" s="61"/>
      <c r="P38" s="61"/>
      <c r="Q38" s="62"/>
      <c r="R38" s="62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50"/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59" t="s">
        <v>38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39"/>
      <c r="R41" s="39"/>
      <c r="S41" s="20"/>
      <c r="V41" s="55"/>
    </row>
    <row r="42" spans="2:22" s="6" customFormat="1" ht="36" customHeight="1">
      <c r="B42" s="2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2"/>
      <c r="R42" s="62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39"/>
      <c r="R45" s="39"/>
      <c r="S45" s="20"/>
      <c r="V45" s="55"/>
    </row>
    <row r="46" spans="2:22" s="6" customFormat="1" ht="36" customHeight="1">
      <c r="B46" s="2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2"/>
      <c r="R46" s="62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39"/>
      <c r="R49" s="39"/>
      <c r="S49" s="20"/>
      <c r="V49" s="55"/>
    </row>
    <row r="50" spans="2:22" s="6" customFormat="1" ht="36" customHeight="1">
      <c r="B50" s="2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2"/>
      <c r="R50" s="62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39"/>
      <c r="R53" s="39"/>
      <c r="S53" s="20"/>
      <c r="V53" s="55"/>
    </row>
    <row r="54" spans="2:22" s="6" customFormat="1" ht="36" customHeight="1">
      <c r="B54" s="2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2"/>
      <c r="R54" s="62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39"/>
      <c r="R57" s="39"/>
      <c r="S57" s="20"/>
      <c r="V57" s="55"/>
    </row>
    <row r="58" spans="2:22" s="6" customFormat="1" ht="36" customHeight="1">
      <c r="B58" s="2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2"/>
      <c r="R58" s="62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39"/>
      <c r="R61" s="39"/>
      <c r="S61" s="20"/>
      <c r="V61" s="55"/>
    </row>
    <row r="62" spans="2:22" s="6" customFormat="1" ht="36" customHeight="1">
      <c r="B62" s="2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2"/>
      <c r="R62" s="62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39"/>
      <c r="R65" s="39"/>
      <c r="S65" s="20"/>
      <c r="V65" s="55"/>
    </row>
    <row r="66" spans="2:22" s="6" customFormat="1" ht="36" customHeight="1">
      <c r="B66" s="2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2"/>
      <c r="R66" s="62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39"/>
      <c r="R69" s="39"/>
      <c r="S69" s="20"/>
      <c r="V69" s="55"/>
    </row>
    <row r="70" spans="2:22" s="6" customFormat="1" ht="36" customHeight="1">
      <c r="B70" s="2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2"/>
      <c r="R70" s="62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39"/>
      <c r="R73" s="39"/>
      <c r="S73" s="20"/>
      <c r="V73" s="55"/>
    </row>
    <row r="74" spans="2:22" s="6" customFormat="1" ht="36" customHeight="1">
      <c r="B74" s="2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2"/>
      <c r="R74" s="62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39"/>
      <c r="R77" s="39"/>
      <c r="S77" s="20"/>
      <c r="V77" s="55"/>
    </row>
    <row r="78" spans="2:22" s="6" customFormat="1" ht="36" customHeight="1">
      <c r="B78" s="2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2"/>
      <c r="R78" s="62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39"/>
      <c r="R81" s="39"/>
      <c r="S81" s="20"/>
      <c r="V81" s="55"/>
    </row>
    <row r="82" spans="2:22" s="6" customFormat="1" ht="36" customHeight="1">
      <c r="B82" s="2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2"/>
      <c r="R82" s="62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39"/>
      <c r="R85" s="39"/>
      <c r="S85" s="20"/>
      <c r="V85" s="7"/>
    </row>
    <row r="86" spans="2:22" s="6" customFormat="1" ht="36" customHeight="1">
      <c r="B86" s="2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2"/>
      <c r="R86" s="62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39"/>
      <c r="R89" s="39"/>
      <c r="S89" s="20"/>
      <c r="V89" s="7"/>
    </row>
    <row r="90" spans="2:22" s="6" customFormat="1" ht="36" customHeight="1">
      <c r="B90" s="2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2"/>
      <c r="R90" s="62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39"/>
      <c r="R93" s="39"/>
      <c r="S93" s="20"/>
      <c r="V93" s="7"/>
    </row>
    <row r="94" spans="2:22" s="6" customFormat="1" ht="36" customHeight="1">
      <c r="B94" s="2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2"/>
      <c r="R94" s="62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50"/>
      <c r="R96" s="50"/>
    </row>
    <row r="97" spans="2:18" s="6" customFormat="1" ht="80.099999999999994" customHeight="1">
      <c r="B97" s="19">
        <f>B93+1</f>
        <v>24</v>
      </c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39"/>
      <c r="R97" s="39"/>
    </row>
    <row r="98" spans="2:18" s="6" customFormat="1" ht="36" customHeight="1">
      <c r="B98" s="2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2"/>
      <c r="R98" s="62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50"/>
      <c r="R100" s="50"/>
    </row>
    <row r="101" spans="2:18" s="6" customFormat="1" ht="80.099999999999994" customHeight="1">
      <c r="B101" s="19">
        <f>B97+1</f>
        <v>25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39"/>
      <c r="R101" s="39"/>
    </row>
    <row r="102" spans="2:18" s="6" customFormat="1" ht="36" customHeight="1">
      <c r="B102" s="2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2"/>
      <c r="R102" s="62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50"/>
      <c r="R104" s="50"/>
    </row>
    <row r="105" spans="2:18" s="6" customFormat="1" ht="80.099999999999994" customHeight="1">
      <c r="B105" s="19">
        <f>B101+1</f>
        <v>26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39"/>
      <c r="R105" s="39"/>
    </row>
    <row r="106" spans="2:18" s="6" customFormat="1" ht="36" customHeight="1">
      <c r="B106" s="2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2"/>
      <c r="R106" s="62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50"/>
      <c r="R108" s="50"/>
    </row>
    <row r="109" spans="2:18" s="6" customFormat="1" ht="80.099999999999994" customHeight="1">
      <c r="B109" s="19">
        <f>B105+1</f>
        <v>27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39"/>
      <c r="R109" s="39"/>
    </row>
    <row r="110" spans="2:18" s="6" customFormat="1" ht="36" customHeight="1">
      <c r="B110" s="2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2"/>
      <c r="R110" s="62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50"/>
      <c r="R112" s="50"/>
    </row>
    <row r="113" spans="2:18" s="6" customFormat="1" ht="80.099999999999994" customHeight="1">
      <c r="B113" s="19">
        <f t="shared" ref="B113" si="2">B109+1</f>
        <v>28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39"/>
      <c r="R113" s="39"/>
    </row>
    <row r="114" spans="2:18" s="6" customFormat="1" ht="36" customHeight="1">
      <c r="B114" s="2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2"/>
      <c r="R114" s="62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50"/>
      <c r="R116" s="50"/>
    </row>
    <row r="117" spans="2:18" s="6" customFormat="1" ht="80.099999999999994" customHeight="1">
      <c r="B117" s="19">
        <f t="shared" ref="B117" si="3">B113+1</f>
        <v>29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39"/>
      <c r="R117" s="39"/>
    </row>
    <row r="118" spans="2:18" s="6" customFormat="1" ht="36" customHeight="1">
      <c r="B118" s="2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2"/>
      <c r="R118" s="62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50"/>
      <c r="R120" s="50"/>
    </row>
    <row r="121" spans="2:18" s="6" customFormat="1" ht="80.099999999999994" customHeight="1">
      <c r="B121" s="19">
        <f t="shared" ref="B121" si="4">B117+1</f>
        <v>30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39"/>
      <c r="R121" s="39"/>
    </row>
    <row r="122" spans="2:18" s="6" customFormat="1" ht="36" customHeight="1">
      <c r="B122" s="2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2"/>
      <c r="R122" s="62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50"/>
      <c r="R124" s="50"/>
    </row>
    <row r="125" spans="2:18" s="6" customFormat="1" ht="80.099999999999994" customHeight="1">
      <c r="B125" s="19">
        <f t="shared" ref="B125" si="5">B121+1</f>
        <v>31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39"/>
      <c r="R125" s="39"/>
    </row>
    <row r="126" spans="2:18" s="6" customFormat="1" ht="36" customHeight="1">
      <c r="B126" s="2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2"/>
      <c r="R126" s="62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50"/>
      <c r="R128" s="50"/>
    </row>
    <row r="129" spans="2:18" s="6" customFormat="1" ht="80.099999999999994" customHeight="1">
      <c r="B129" s="19">
        <f t="shared" ref="B129" si="6">B125+1</f>
        <v>32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39"/>
      <c r="R129" s="39"/>
    </row>
    <row r="130" spans="2:18" s="6" customFormat="1" ht="36" customHeight="1">
      <c r="B130" s="2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2"/>
      <c r="R130" s="62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50"/>
      <c r="R132" s="50"/>
    </row>
    <row r="133" spans="2:18" s="6" customFormat="1" ht="80.099999999999994" customHeight="1">
      <c r="B133" s="19">
        <f t="shared" ref="B133" si="7">B129+1</f>
        <v>33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39"/>
      <c r="R133" s="39"/>
    </row>
    <row r="134" spans="2:18" s="6" customFormat="1" ht="36" customHeight="1">
      <c r="B134" s="2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2"/>
      <c r="R134" s="62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50"/>
      <c r="R136" s="50"/>
    </row>
    <row r="137" spans="2:18" s="6" customFormat="1" ht="80.099999999999994" customHeight="1">
      <c r="B137" s="19">
        <f t="shared" ref="B137" si="8">B133+1</f>
        <v>34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39"/>
      <c r="R137" s="39"/>
    </row>
    <row r="138" spans="2:18" s="6" customFormat="1" ht="36" customHeight="1">
      <c r="B138" s="2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2"/>
      <c r="R138" s="62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50"/>
      <c r="R140" s="50"/>
    </row>
    <row r="141" spans="2:18" s="6" customFormat="1" ht="80.099999999999994" customHeight="1">
      <c r="B141" s="19">
        <f t="shared" ref="B141" si="9">B137+1</f>
        <v>35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39"/>
      <c r="R141" s="39"/>
    </row>
    <row r="142" spans="2:18" s="6" customFormat="1" ht="36" customHeight="1">
      <c r="B142" s="2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2"/>
      <c r="R142" s="62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50"/>
      <c r="R144" s="50"/>
    </row>
    <row r="145" spans="2:18" s="6" customFormat="1" ht="80.099999999999994" customHeight="1">
      <c r="B145" s="19">
        <f t="shared" ref="B145" si="10">B141+1</f>
        <v>36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39"/>
      <c r="R145" s="39"/>
    </row>
    <row r="146" spans="2:18" s="6" customFormat="1" ht="36" customHeight="1">
      <c r="B146" s="2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2"/>
      <c r="R146" s="62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50"/>
      <c r="R148" s="50"/>
    </row>
    <row r="149" spans="2:18" s="6" customFormat="1" ht="80.099999999999994" customHeight="1">
      <c r="B149" s="19">
        <f t="shared" ref="B149" si="11">B145+1</f>
        <v>37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39"/>
      <c r="R149" s="39"/>
    </row>
    <row r="150" spans="2:18" s="6" customFormat="1" ht="36" customHeight="1">
      <c r="B150" s="2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2"/>
      <c r="R150" s="62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50"/>
      <c r="R152" s="50"/>
    </row>
    <row r="153" spans="2:18" s="6" customFormat="1" ht="80.099999999999994" customHeight="1">
      <c r="B153" s="19">
        <f t="shared" ref="B153" si="12">B149+1</f>
        <v>38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39"/>
      <c r="R153" s="39"/>
    </row>
    <row r="154" spans="2:18" s="6" customFormat="1" ht="36" customHeight="1">
      <c r="B154" s="2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2"/>
      <c r="R154" s="62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50"/>
      <c r="R156" s="50"/>
    </row>
    <row r="157" spans="2:18" s="6" customFormat="1" ht="80.099999999999994" customHeight="1">
      <c r="B157" s="19">
        <f t="shared" ref="B157" si="13">B153+1</f>
        <v>39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39"/>
      <c r="R157" s="39"/>
    </row>
    <row r="158" spans="2:18" s="6" customFormat="1" ht="36" customHeight="1">
      <c r="B158" s="2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2"/>
      <c r="R158" s="62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50"/>
      <c r="R160" s="50"/>
    </row>
    <row r="161" spans="2:18" s="6" customFormat="1" ht="80.099999999999994" customHeight="1">
      <c r="B161" s="19">
        <f t="shared" ref="B161" si="14">B157+1</f>
        <v>40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39"/>
      <c r="R161" s="39"/>
    </row>
    <row r="162" spans="2:18" s="6" customFormat="1" ht="36" customHeight="1">
      <c r="B162" s="2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2"/>
      <c r="R162" s="62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50"/>
      <c r="R164" s="50"/>
    </row>
    <row r="165" spans="2:18" s="6" customFormat="1" ht="80.099999999999994" customHeight="1">
      <c r="B165" s="19">
        <f t="shared" ref="B165" si="15">B161+1</f>
        <v>41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39"/>
      <c r="R165" s="39"/>
    </row>
    <row r="166" spans="2:18" s="6" customFormat="1" ht="36" customHeight="1">
      <c r="B166" s="2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2"/>
      <c r="R166" s="62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50"/>
      <c r="R168" s="50"/>
    </row>
    <row r="169" spans="2:18" ht="58.5">
      <c r="B169" s="19">
        <f t="shared" ref="B169" si="16">B165+1</f>
        <v>42</v>
      </c>
      <c r="C169" s="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39"/>
      <c r="R169" s="39"/>
    </row>
    <row r="170" spans="2:18">
      <c r="B170" s="21"/>
      <c r="C170" s="6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2"/>
      <c r="R170" s="62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50"/>
      <c r="R172" s="50"/>
    </row>
    <row r="173" spans="2:18" ht="58.5">
      <c r="B173" s="19">
        <f t="shared" ref="B173" si="17">B169+1</f>
        <v>43</v>
      </c>
      <c r="C173" s="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39"/>
      <c r="R173" s="39"/>
    </row>
    <row r="174" spans="2:18">
      <c r="B174" s="21"/>
      <c r="C174" s="6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2"/>
      <c r="R174" s="62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50"/>
      <c r="R176" s="50"/>
    </row>
    <row r="177" spans="2:18" ht="58.5">
      <c r="B177" s="19">
        <f t="shared" ref="B177" si="18">B173+1</f>
        <v>44</v>
      </c>
      <c r="C177" s="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39"/>
      <c r="R177" s="39"/>
    </row>
    <row r="178" spans="2:18">
      <c r="B178" s="21"/>
      <c r="C178" s="6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2"/>
      <c r="R178" s="62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50"/>
      <c r="R180" s="50"/>
    </row>
    <row r="181" spans="2:18" ht="58.5">
      <c r="B181" s="19">
        <f t="shared" ref="B181" si="19">B177+1</f>
        <v>45</v>
      </c>
      <c r="C181" s="6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39"/>
      <c r="R181" s="39"/>
    </row>
    <row r="182" spans="2:18">
      <c r="B182" s="21"/>
      <c r="C182" s="6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2"/>
      <c r="R182" s="62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50"/>
      <c r="R184" s="50"/>
    </row>
    <row r="185" spans="2:18" ht="58.5">
      <c r="B185" s="19">
        <f t="shared" ref="B185" si="20">B181+1</f>
        <v>46</v>
      </c>
      <c r="C185" s="6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39"/>
      <c r="R185" s="39"/>
    </row>
    <row r="186" spans="2:18">
      <c r="B186" s="21"/>
      <c r="C186" s="6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2"/>
      <c r="R186" s="62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50"/>
      <c r="R188" s="50"/>
    </row>
    <row r="189" spans="2:18" ht="58.5">
      <c r="B189" s="19">
        <f t="shared" ref="B189" si="21">B185+1</f>
        <v>47</v>
      </c>
      <c r="C189" s="6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39"/>
      <c r="R189" s="39"/>
    </row>
    <row r="190" spans="2:18">
      <c r="B190" s="21"/>
      <c r="C190" s="6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2"/>
      <c r="R190" s="62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50"/>
      <c r="R192" s="50"/>
    </row>
    <row r="193" spans="2:18" ht="58.5">
      <c r="B193" s="19">
        <f t="shared" ref="B193" si="22">B189+1</f>
        <v>48</v>
      </c>
      <c r="C193" s="6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39"/>
      <c r="R193" s="39"/>
    </row>
    <row r="194" spans="2:18">
      <c r="B194" s="21"/>
      <c r="C194" s="6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2"/>
      <c r="R194" s="62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50"/>
      <c r="R196" s="50"/>
    </row>
    <row r="197" spans="2:18" ht="58.5">
      <c r="B197" s="19">
        <f t="shared" ref="B197" si="23">B193+1</f>
        <v>49</v>
      </c>
      <c r="C197" s="6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39"/>
      <c r="R197" s="39"/>
    </row>
    <row r="198" spans="2:18">
      <c r="B198" s="21"/>
      <c r="C198" s="6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2"/>
      <c r="R198" s="62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50"/>
      <c r="R200" s="50"/>
    </row>
    <row r="201" spans="2:18" ht="58.5">
      <c r="B201" s="19">
        <f t="shared" ref="B201" si="24">B197+1</f>
        <v>50</v>
      </c>
      <c r="C201" s="6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39"/>
      <c r="R201" s="39"/>
    </row>
    <row r="202" spans="2:18">
      <c r="B202" s="21"/>
      <c r="C202" s="6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2"/>
      <c r="R202" s="62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50"/>
      <c r="R204" s="50"/>
    </row>
    <row r="205" spans="2:18" ht="58.5">
      <c r="B205" s="19">
        <f>B201+1</f>
        <v>51</v>
      </c>
      <c r="C205" s="6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39"/>
      <c r="R205" s="39"/>
    </row>
    <row r="206" spans="2:18">
      <c r="B206" s="21"/>
      <c r="C206" s="6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2"/>
      <c r="R206" s="62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50"/>
      <c r="R208" s="50"/>
    </row>
    <row r="209" spans="2:18" ht="58.5">
      <c r="B209" s="19">
        <f>B205+1</f>
        <v>52</v>
      </c>
      <c r="C209" s="6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39"/>
      <c r="R209" s="39"/>
    </row>
    <row r="210" spans="2:18">
      <c r="B210" s="21"/>
      <c r="C210" s="6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2"/>
      <c r="R210" s="62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50"/>
      <c r="R212" s="50"/>
    </row>
    <row r="213" spans="2:18" ht="58.5">
      <c r="B213" s="19">
        <f>B209+1</f>
        <v>53</v>
      </c>
      <c r="C213" s="6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39"/>
      <c r="R213" s="39"/>
    </row>
    <row r="214" spans="2:18">
      <c r="B214" s="21"/>
      <c r="C214" s="6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2"/>
      <c r="R214" s="62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50"/>
      <c r="R216" s="50"/>
    </row>
    <row r="217" spans="2:18" ht="58.5">
      <c r="B217" s="19">
        <f>B213+1</f>
        <v>54</v>
      </c>
      <c r="C217" s="6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39"/>
      <c r="R217" s="39"/>
    </row>
    <row r="218" spans="2:18">
      <c r="B218" s="21"/>
      <c r="C218" s="6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2"/>
      <c r="R218" s="62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50"/>
      <c r="R220" s="50"/>
    </row>
    <row r="221" spans="2:18" ht="58.5">
      <c r="B221" s="19">
        <f>B217+1</f>
        <v>55</v>
      </c>
      <c r="C221" s="6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39"/>
      <c r="R221" s="39"/>
    </row>
    <row r="222" spans="2:18">
      <c r="B222" s="21"/>
      <c r="C222" s="6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2"/>
      <c r="R222" s="62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50"/>
      <c r="R224" s="50"/>
    </row>
    <row r="225" spans="2:18" ht="58.5">
      <c r="B225" s="19">
        <f>B221+1</f>
        <v>56</v>
      </c>
      <c r="C225" s="6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39"/>
      <c r="R225" s="39"/>
    </row>
    <row r="226" spans="2:18">
      <c r="B226" s="21"/>
      <c r="C226" s="6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2"/>
      <c r="R226" s="62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50"/>
      <c r="R228" s="50"/>
    </row>
    <row r="229" spans="2:18" ht="58.5">
      <c r="B229" s="19">
        <f>B225+1</f>
        <v>57</v>
      </c>
      <c r="C229" s="6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39"/>
      <c r="R229" s="39"/>
    </row>
    <row r="230" spans="2:18">
      <c r="B230" s="21"/>
      <c r="C230" s="6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2"/>
      <c r="R230" s="62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50"/>
      <c r="R232" s="50"/>
    </row>
    <row r="233" spans="2:18" ht="58.5">
      <c r="B233" s="19">
        <f>B229+1</f>
        <v>58</v>
      </c>
      <c r="C233" s="6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39"/>
      <c r="R233" s="39"/>
    </row>
    <row r="234" spans="2:18">
      <c r="B234" s="21"/>
      <c r="C234" s="6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2"/>
      <c r="R234" s="62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50"/>
      <c r="R236" s="50"/>
    </row>
    <row r="237" spans="2:18" ht="58.5">
      <c r="B237" s="19">
        <f>B233+1</f>
        <v>59</v>
      </c>
      <c r="C237" s="6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39"/>
      <c r="R237" s="39"/>
    </row>
    <row r="238" spans="2:18">
      <c r="B238" s="21"/>
      <c r="C238" s="6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2"/>
      <c r="R238" s="62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50"/>
      <c r="R240" s="50"/>
    </row>
    <row r="241" spans="2:18" ht="58.5">
      <c r="B241" s="19">
        <f>B237+1</f>
        <v>60</v>
      </c>
      <c r="C241" s="6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39"/>
      <c r="R241" s="39"/>
    </row>
    <row r="242" spans="2:18">
      <c r="B242" s="21"/>
      <c r="C242" s="6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2"/>
      <c r="R242" s="62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50"/>
      <c r="R244" s="50"/>
    </row>
    <row r="245" spans="2:18" ht="58.5">
      <c r="B245" s="19">
        <f>B241+1</f>
        <v>61</v>
      </c>
      <c r="C245" s="6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39"/>
      <c r="R245" s="39"/>
    </row>
    <row r="246" spans="2:18">
      <c r="B246" s="21"/>
      <c r="C246" s="6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2"/>
      <c r="R246" s="62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50"/>
      <c r="R248" s="50"/>
    </row>
    <row r="249" spans="2:18" ht="58.5">
      <c r="B249" s="19">
        <f>B245+1</f>
        <v>62</v>
      </c>
      <c r="C249" s="6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39"/>
      <c r="R249" s="39"/>
    </row>
    <row r="250" spans="2:18">
      <c r="B250" s="21"/>
      <c r="C250" s="6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2"/>
      <c r="R250" s="62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50"/>
      <c r="R252" s="50"/>
    </row>
    <row r="253" spans="2:18" ht="58.5">
      <c r="B253" s="19">
        <f>B249+1</f>
        <v>63</v>
      </c>
      <c r="C253" s="6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39"/>
      <c r="R253" s="39"/>
    </row>
    <row r="254" spans="2:18">
      <c r="B254" s="21"/>
      <c r="C254" s="6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2"/>
      <c r="R254" s="62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50"/>
      <c r="R256" s="50"/>
    </row>
    <row r="257" spans="2:18" ht="58.5">
      <c r="B257" s="19">
        <f>B253+1</f>
        <v>64</v>
      </c>
      <c r="C257" s="6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39"/>
      <c r="R257" s="39"/>
    </row>
    <row r="258" spans="2:18">
      <c r="B258" s="21"/>
      <c r="C258" s="6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2"/>
      <c r="R258" s="62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50"/>
      <c r="R260" s="50"/>
    </row>
    <row r="261" spans="2:18" ht="58.5">
      <c r="B261" s="19">
        <f>B257+1</f>
        <v>65</v>
      </c>
      <c r="C261" s="6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39"/>
      <c r="R261" s="39"/>
    </row>
    <row r="262" spans="2:18">
      <c r="B262" s="21"/>
      <c r="C262" s="6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2"/>
      <c r="R262" s="62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50"/>
      <c r="R264" s="50"/>
    </row>
    <row r="265" spans="2:18" ht="58.5">
      <c r="B265" s="19">
        <f>B261+1</f>
        <v>66</v>
      </c>
      <c r="C265" s="6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39"/>
      <c r="R265" s="39"/>
    </row>
    <row r="266" spans="2:18">
      <c r="B266" s="21"/>
      <c r="C266" s="6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2"/>
      <c r="R266" s="62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50"/>
      <c r="R268" s="50"/>
    </row>
    <row r="269" spans="2:18" ht="58.5">
      <c r="B269" s="19">
        <f>B265+1</f>
        <v>67</v>
      </c>
      <c r="C269" s="6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39"/>
      <c r="R269" s="39"/>
    </row>
    <row r="270" spans="2:18">
      <c r="B270" s="21"/>
      <c r="C270" s="6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2"/>
      <c r="R270" s="62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50"/>
      <c r="R272" s="50"/>
    </row>
    <row r="273" spans="2:18" ht="58.5">
      <c r="B273" s="19">
        <f>B269+1</f>
        <v>68</v>
      </c>
      <c r="C273" s="6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39"/>
      <c r="R273" s="39"/>
    </row>
    <row r="274" spans="2:18">
      <c r="B274" s="21"/>
      <c r="C274" s="6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2"/>
      <c r="R274" s="62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50"/>
      <c r="R276" s="50"/>
    </row>
    <row r="277" spans="2:18" ht="58.5">
      <c r="B277" s="19">
        <f>B273+1</f>
        <v>69</v>
      </c>
      <c r="C277" s="6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39"/>
      <c r="R277" s="39"/>
    </row>
    <row r="278" spans="2:18">
      <c r="B278" s="21"/>
      <c r="C278" s="6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2"/>
      <c r="R278" s="62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50"/>
      <c r="R280" s="50"/>
    </row>
    <row r="281" spans="2:18" ht="58.5">
      <c r="B281" s="19">
        <f>B277+1</f>
        <v>70</v>
      </c>
      <c r="C281" s="6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39"/>
      <c r="R281" s="39"/>
    </row>
    <row r="282" spans="2:18">
      <c r="B282" s="21"/>
      <c r="C282" s="6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2"/>
      <c r="R282" s="62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50"/>
      <c r="R284" s="50"/>
    </row>
    <row r="285" spans="2:18" ht="58.5">
      <c r="B285" s="19">
        <f>B281+1</f>
        <v>71</v>
      </c>
      <c r="C285" s="6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39"/>
      <c r="R285" s="39"/>
    </row>
    <row r="286" spans="2:18">
      <c r="B286" s="21"/>
      <c r="C286" s="6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2"/>
      <c r="R286" s="62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50"/>
      <c r="R288" s="50"/>
    </row>
    <row r="289" spans="2:18" ht="58.5">
      <c r="B289" s="19">
        <f>B285+1</f>
        <v>72</v>
      </c>
      <c r="C289" s="6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39"/>
      <c r="R289" s="39"/>
    </row>
    <row r="290" spans="2:18">
      <c r="B290" s="21"/>
      <c r="C290" s="6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2"/>
      <c r="R290" s="62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50"/>
      <c r="R292" s="50"/>
    </row>
    <row r="293" spans="2:18" ht="58.5">
      <c r="B293" s="19">
        <f>B289+1</f>
        <v>73</v>
      </c>
      <c r="C293" s="6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39"/>
      <c r="R293" s="39"/>
    </row>
    <row r="294" spans="2:18">
      <c r="B294" s="21"/>
      <c r="C294" s="6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2"/>
      <c r="R294" s="62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50"/>
      <c r="R296" s="50"/>
    </row>
    <row r="297" spans="2:18" ht="58.5">
      <c r="B297" s="19">
        <f>B293+1</f>
        <v>74</v>
      </c>
      <c r="C297" s="6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39"/>
      <c r="R297" s="39"/>
    </row>
    <row r="298" spans="2:18">
      <c r="B298" s="21"/>
      <c r="C298" s="6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2"/>
      <c r="R298" s="62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50"/>
      <c r="R300" s="50"/>
    </row>
    <row r="301" spans="2:18" ht="58.5">
      <c r="B301" s="19">
        <f>B297+1</f>
        <v>75</v>
      </c>
      <c r="C301" s="6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39"/>
      <c r="R301" s="39"/>
    </row>
    <row r="302" spans="2:18">
      <c r="B302" s="21"/>
      <c r="C302" s="6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2"/>
      <c r="R302" s="62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50"/>
      <c r="R304" s="50"/>
    </row>
    <row r="305" spans="2:18" ht="58.5">
      <c r="B305" s="19">
        <f>B301+1</f>
        <v>76</v>
      </c>
      <c r="C305" s="6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39"/>
      <c r="R305" s="39"/>
    </row>
    <row r="306" spans="2:18">
      <c r="B306" s="21"/>
      <c r="C306" s="6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2"/>
      <c r="R306" s="62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50"/>
      <c r="R308" s="50"/>
    </row>
    <row r="309" spans="2:18" ht="58.5">
      <c r="B309" s="19">
        <f>B305+1</f>
        <v>77</v>
      </c>
      <c r="C309" s="6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39"/>
      <c r="R309" s="39"/>
    </row>
    <row r="310" spans="2:18">
      <c r="B310" s="21"/>
      <c r="C310" s="6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2"/>
      <c r="R310" s="62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50"/>
      <c r="R312" s="50"/>
    </row>
    <row r="313" spans="2:18" ht="58.5">
      <c r="B313" s="19">
        <f t="shared" ref="B313" si="25">B309+1</f>
        <v>78</v>
      </c>
      <c r="C313" s="6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39"/>
      <c r="R313" s="39"/>
    </row>
    <row r="314" spans="2:18">
      <c r="B314" s="21"/>
      <c r="C314" s="6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2"/>
      <c r="R314" s="62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50"/>
      <c r="R316" s="50"/>
    </row>
    <row r="317" spans="2:18" ht="58.5">
      <c r="B317" s="19">
        <f t="shared" ref="B317" si="26">B313+1</f>
        <v>79</v>
      </c>
      <c r="C317" s="6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39"/>
      <c r="R317" s="39"/>
    </row>
    <row r="318" spans="2:18">
      <c r="B318" s="21"/>
      <c r="C318" s="6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2"/>
      <c r="R318" s="62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50"/>
      <c r="R320" s="50"/>
    </row>
    <row r="321" spans="2:18" ht="58.5">
      <c r="B321" s="19">
        <f t="shared" ref="B321" si="27">B317+1</f>
        <v>80</v>
      </c>
      <c r="C321" s="6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39"/>
      <c r="R321" s="39"/>
    </row>
    <row r="322" spans="2:18">
      <c r="B322" s="21"/>
      <c r="C322" s="6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2"/>
      <c r="R322" s="62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50"/>
      <c r="R324" s="50"/>
    </row>
    <row r="325" spans="2:18" ht="58.5">
      <c r="B325" s="19">
        <f t="shared" ref="B325" si="28">B321+1</f>
        <v>81</v>
      </c>
      <c r="C325" s="6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39"/>
      <c r="R325" s="39"/>
    </row>
    <row r="326" spans="2:18">
      <c r="B326" s="21"/>
      <c r="C326" s="6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2"/>
      <c r="R326" s="62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50"/>
      <c r="R328" s="50"/>
    </row>
    <row r="329" spans="2:18" ht="58.5">
      <c r="B329" s="19">
        <f t="shared" ref="B329" si="29">B325+1</f>
        <v>82</v>
      </c>
      <c r="C329" s="6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39"/>
      <c r="R329" s="39"/>
    </row>
    <row r="330" spans="2:18">
      <c r="B330" s="21"/>
      <c r="C330" s="6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2"/>
      <c r="R330" s="62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50"/>
      <c r="R332" s="50"/>
    </row>
    <row r="333" spans="2:18" ht="58.5">
      <c r="B333" s="19">
        <f t="shared" ref="B333" si="30">B329+1</f>
        <v>83</v>
      </c>
      <c r="C333" s="6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39"/>
      <c r="R333" s="39"/>
    </row>
    <row r="334" spans="2:18">
      <c r="B334" s="21"/>
      <c r="C334" s="6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2"/>
      <c r="R334" s="62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50"/>
      <c r="R336" s="50"/>
    </row>
    <row r="337" spans="2:18" ht="58.5">
      <c r="B337" s="19">
        <f t="shared" ref="B337" si="31">B333+1</f>
        <v>84</v>
      </c>
      <c r="C337" s="6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39"/>
      <c r="R337" s="39"/>
    </row>
    <row r="338" spans="2:18">
      <c r="B338" s="21"/>
      <c r="C338" s="6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2"/>
      <c r="R338" s="62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50"/>
      <c r="R340" s="50"/>
    </row>
    <row r="341" spans="2:18" ht="58.5">
      <c r="B341" s="19">
        <f t="shared" ref="B341" si="32">B337+1</f>
        <v>85</v>
      </c>
      <c r="C341" s="6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39"/>
      <c r="R341" s="39"/>
    </row>
    <row r="342" spans="2:18">
      <c r="B342" s="21"/>
      <c r="C342" s="6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2"/>
      <c r="R342" s="62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50"/>
      <c r="R344" s="50"/>
    </row>
    <row r="345" spans="2:18" ht="58.5">
      <c r="B345" s="19">
        <f t="shared" ref="B345" si="33">B341+1</f>
        <v>86</v>
      </c>
      <c r="C345" s="6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39"/>
      <c r="R345" s="39"/>
    </row>
    <row r="346" spans="2:18">
      <c r="B346" s="21"/>
      <c r="C346" s="6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2"/>
      <c r="R346" s="62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50"/>
      <c r="R348" s="50"/>
    </row>
    <row r="349" spans="2:18" ht="58.5">
      <c r="B349" s="19">
        <f t="shared" ref="B349" si="34">B345+1</f>
        <v>87</v>
      </c>
      <c r="C349" s="6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39"/>
      <c r="R349" s="39"/>
    </row>
    <row r="350" spans="2:18">
      <c r="B350" s="21"/>
      <c r="C350" s="6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2"/>
      <c r="R350" s="62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50"/>
      <c r="R352" s="50"/>
    </row>
    <row r="353" spans="2:18" ht="58.5">
      <c r="B353" s="19">
        <f t="shared" ref="B353" si="35">B349+1</f>
        <v>88</v>
      </c>
      <c r="C353" s="6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39"/>
      <c r="R353" s="39"/>
    </row>
    <row r="354" spans="2:18">
      <c r="B354" s="21"/>
      <c r="C354" s="6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2"/>
      <c r="R354" s="62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50"/>
      <c r="R356" s="50"/>
    </row>
    <row r="357" spans="2:18" ht="58.5">
      <c r="B357" s="19">
        <f t="shared" ref="B357" si="36">B353+1</f>
        <v>89</v>
      </c>
      <c r="C357" s="6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39"/>
      <c r="R357" s="39"/>
    </row>
    <row r="358" spans="2:18">
      <c r="B358" s="21"/>
      <c r="C358" s="6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2"/>
      <c r="R358" s="62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50"/>
      <c r="R360" s="50"/>
    </row>
    <row r="361" spans="2:18" ht="58.5">
      <c r="B361" s="19">
        <f t="shared" ref="B361" si="37">B357+1</f>
        <v>90</v>
      </c>
      <c r="C361" s="6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39"/>
      <c r="R361" s="39"/>
    </row>
    <row r="362" spans="2:18">
      <c r="B362" s="21"/>
      <c r="C362" s="6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2"/>
      <c r="R362" s="62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50"/>
      <c r="R364" s="50"/>
    </row>
    <row r="365" spans="2:18" ht="58.5">
      <c r="B365" s="19">
        <f t="shared" ref="B365" si="38">B361+1</f>
        <v>91</v>
      </c>
      <c r="C365" s="6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39"/>
      <c r="R365" s="39"/>
    </row>
    <row r="366" spans="2:18">
      <c r="B366" s="21"/>
      <c r="C366" s="6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2"/>
      <c r="R366" s="62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50"/>
      <c r="R368" s="50"/>
    </row>
    <row r="369" spans="2:18" ht="58.5">
      <c r="B369" s="19">
        <f t="shared" ref="B369" si="39">B365+1</f>
        <v>92</v>
      </c>
      <c r="C369" s="6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39"/>
      <c r="R369" s="39"/>
    </row>
    <row r="370" spans="2:18">
      <c r="B370" s="21"/>
      <c r="C370" s="6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2"/>
      <c r="R370" s="62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50"/>
      <c r="R372" s="50"/>
    </row>
    <row r="373" spans="2:18" ht="58.5">
      <c r="B373" s="19">
        <f t="shared" ref="B373" si="40">B369+1</f>
        <v>93</v>
      </c>
      <c r="C373" s="6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39"/>
      <c r="R373" s="39"/>
    </row>
    <row r="374" spans="2:18">
      <c r="B374" s="21"/>
      <c r="C374" s="6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2"/>
      <c r="R374" s="62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50"/>
      <c r="R376" s="50"/>
    </row>
    <row r="377" spans="2:18" ht="58.5">
      <c r="B377" s="19">
        <f t="shared" ref="B377" si="41">B373+1</f>
        <v>94</v>
      </c>
      <c r="C377" s="6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39"/>
      <c r="R377" s="39"/>
    </row>
    <row r="378" spans="2:18">
      <c r="B378" s="21"/>
      <c r="C378" s="6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2"/>
      <c r="R378" s="62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50"/>
      <c r="R380" s="50"/>
    </row>
    <row r="381" spans="2:18" ht="58.5">
      <c r="B381" s="19">
        <f t="shared" ref="B381" si="42">B377+1</f>
        <v>95</v>
      </c>
      <c r="C381" s="6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39"/>
      <c r="R381" s="39"/>
    </row>
    <row r="382" spans="2:18">
      <c r="B382" s="21"/>
      <c r="C382" s="6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2"/>
      <c r="R382" s="62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50"/>
      <c r="R384" s="50"/>
    </row>
    <row r="385" spans="2:18" ht="58.5">
      <c r="B385" s="19">
        <f t="shared" ref="B385" si="43">B381+1</f>
        <v>96</v>
      </c>
      <c r="C385" s="6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39"/>
      <c r="R385" s="39"/>
    </row>
    <row r="386" spans="2:18">
      <c r="B386" s="21"/>
      <c r="C386" s="6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2"/>
      <c r="R386" s="62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50"/>
      <c r="R388" s="50"/>
    </row>
    <row r="389" spans="2:18" ht="58.5">
      <c r="B389" s="19">
        <f t="shared" ref="B389" si="44">B385+1</f>
        <v>97</v>
      </c>
      <c r="C389" s="6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39"/>
      <c r="R389" s="39"/>
    </row>
    <row r="390" spans="2:18">
      <c r="B390" s="21"/>
      <c r="C390" s="6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2"/>
      <c r="R390" s="62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50"/>
      <c r="R392" s="50"/>
    </row>
    <row r="393" spans="2:18" ht="58.5">
      <c r="B393" s="19">
        <f t="shared" ref="B393" si="45">B389+1</f>
        <v>98</v>
      </c>
      <c r="C393" s="6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39"/>
      <c r="R393" s="39"/>
    </row>
    <row r="394" spans="2:18">
      <c r="B394" s="21"/>
      <c r="C394" s="6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2"/>
      <c r="R394" s="62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50"/>
      <c r="R396" s="50"/>
    </row>
    <row r="397" spans="2:18" ht="58.5">
      <c r="B397" s="19">
        <f t="shared" ref="B397" si="46">B393+1</f>
        <v>99</v>
      </c>
      <c r="C397" s="6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39"/>
      <c r="R397" s="39"/>
    </row>
    <row r="398" spans="2:18">
      <c r="B398" s="21"/>
      <c r="C398" s="6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2"/>
      <c r="R398" s="62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50"/>
      <c r="R400" s="50"/>
    </row>
    <row r="401" spans="2:18" ht="58.5">
      <c r="B401" s="19">
        <f t="shared" ref="B401" si="47">B397+1</f>
        <v>100</v>
      </c>
      <c r="C401" s="6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39"/>
      <c r="R401" s="39"/>
    </row>
    <row r="402" spans="2:18">
      <c r="B402" s="21"/>
      <c r="C402" s="6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2"/>
      <c r="R402" s="62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8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9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50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1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2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3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4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5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6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7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8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9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60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1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2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3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4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5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6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7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8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9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70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1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2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3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4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5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6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7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8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9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80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1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2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3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4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5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6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7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8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9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90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1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2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3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4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5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6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7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8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9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100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1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2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3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4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5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6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7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8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9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10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1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2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3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4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5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6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7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8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9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20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1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2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3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4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5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6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7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8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9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30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1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2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3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4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5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6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7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8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9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40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1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2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3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4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5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6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7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8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9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50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1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2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3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4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5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6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7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8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9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60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1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2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3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4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5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6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7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8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9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70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1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2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3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4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5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6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7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8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9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80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1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2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3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4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5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6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7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8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9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90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1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2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3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4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5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6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7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8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9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200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1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2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3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4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5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6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7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8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9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10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1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2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3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4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5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6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7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8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9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20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1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2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3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4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5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6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7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8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9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30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1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2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3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4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67" priority="101">
      <formula>顯示注音輸入</formula>
    </cfRule>
    <cfRule type="expression" dxfId="166" priority="102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21" priority="4">
      <formula>"'= TRUE(顯示注音輸入)"</formula>
    </cfRule>
    <cfRule type="expression" dxfId="120" priority="3">
      <formula>顯示注音輸入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2F3A-91DD-4ABF-81FF-3CC8A96BFFAD}">
  <dimension ref="A1:V2002"/>
  <sheetViews>
    <sheetView showGridLines="0" zoomScale="50" zoomScaleNormal="5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D41" sqref="D4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72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1204</v>
      </c>
    </row>
    <row r="4" spans="1:22" s="6" customFormat="1" ht="36" customHeight="1">
      <c r="B4" s="17"/>
      <c r="D4" s="50" t="s">
        <v>1205</v>
      </c>
      <c r="E4" s="50" t="s">
        <v>1206</v>
      </c>
      <c r="F4" s="50" t="s">
        <v>1207</v>
      </c>
      <c r="G4" s="50" t="s">
        <v>1208</v>
      </c>
      <c r="H4" s="50" t="s">
        <v>1205</v>
      </c>
      <c r="I4" s="50" t="s">
        <v>1206</v>
      </c>
      <c r="J4" s="50" t="s">
        <v>437</v>
      </c>
      <c r="K4" s="50"/>
      <c r="L4" s="50"/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39" t="s">
        <v>1167</v>
      </c>
      <c r="E5" s="39" t="s">
        <v>1168</v>
      </c>
      <c r="F5" s="39" t="s">
        <v>1169</v>
      </c>
      <c r="G5" s="39" t="s">
        <v>18</v>
      </c>
      <c r="H5" s="39" t="s">
        <v>1167</v>
      </c>
      <c r="I5" s="39" t="s">
        <v>1168</v>
      </c>
      <c r="J5" s="39" t="s">
        <v>1170</v>
      </c>
      <c r="K5" s="39" t="s">
        <v>23</v>
      </c>
      <c r="L5" s="39" t="str">
        <f>CHAR(10)</f>
        <v xml:space="preserve">
</v>
      </c>
      <c r="M5" s="39"/>
      <c r="N5" s="39"/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 t="s">
        <v>1272</v>
      </c>
      <c r="E6" s="51" t="s">
        <v>1273</v>
      </c>
      <c r="F6" s="51" t="s">
        <v>1274</v>
      </c>
      <c r="G6" s="51" t="s">
        <v>1275</v>
      </c>
      <c r="H6" s="51" t="s">
        <v>1272</v>
      </c>
      <c r="I6" s="51" t="s">
        <v>1273</v>
      </c>
      <c r="J6" s="51" t="s">
        <v>411</v>
      </c>
      <c r="K6" s="51"/>
      <c r="L6" s="51"/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0" t="s">
        <v>1205</v>
      </c>
      <c r="E8" s="50" t="s">
        <v>412</v>
      </c>
      <c r="F8" s="50" t="s">
        <v>1207</v>
      </c>
      <c r="G8" s="50" t="s">
        <v>394</v>
      </c>
      <c r="H8" s="50" t="s">
        <v>351</v>
      </c>
      <c r="I8" s="50" t="s">
        <v>1211</v>
      </c>
      <c r="J8" s="50" t="s">
        <v>1212</v>
      </c>
      <c r="K8" s="50"/>
      <c r="L8" s="50"/>
      <c r="M8" s="50"/>
      <c r="N8" s="50"/>
      <c r="O8" s="50"/>
      <c r="P8" s="5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39" t="s">
        <v>1167</v>
      </c>
      <c r="E9" s="39" t="s">
        <v>199</v>
      </c>
      <c r="F9" s="39" t="s">
        <v>1169</v>
      </c>
      <c r="G9" s="39" t="s">
        <v>176</v>
      </c>
      <c r="H9" s="39" t="s">
        <v>122</v>
      </c>
      <c r="I9" s="39" t="s">
        <v>1171</v>
      </c>
      <c r="J9" s="39" t="s">
        <v>1172</v>
      </c>
      <c r="K9" s="39" t="s">
        <v>30</v>
      </c>
      <c r="L9" s="39" t="str">
        <f>CHAR(10)</f>
        <v xml:space="preserve">
</v>
      </c>
      <c r="M9" s="39"/>
      <c r="N9" s="39"/>
      <c r="O9" s="39"/>
      <c r="P9" s="39"/>
      <c r="Q9" s="39"/>
      <c r="R9" s="39"/>
      <c r="S9" s="20"/>
      <c r="T9" s="16"/>
      <c r="V9" s="55"/>
    </row>
    <row r="10" spans="1:22" s="6" customFormat="1" ht="36" customHeight="1">
      <c r="B10" s="21"/>
      <c r="D10" s="51" t="s">
        <v>1272</v>
      </c>
      <c r="E10" s="51" t="s">
        <v>1276</v>
      </c>
      <c r="F10" s="51" t="s">
        <v>1274</v>
      </c>
      <c r="G10" s="51" t="s">
        <v>429</v>
      </c>
      <c r="H10" s="51" t="s">
        <v>1277</v>
      </c>
      <c r="I10" s="51" t="s">
        <v>1278</v>
      </c>
      <c r="J10" s="51" t="s">
        <v>1279</v>
      </c>
      <c r="K10" s="51"/>
      <c r="L10" s="51"/>
      <c r="M10" s="51"/>
      <c r="N10" s="51"/>
      <c r="O10" s="51"/>
      <c r="P10" s="51"/>
      <c r="Q10" s="51"/>
      <c r="R10" s="51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0" t="s">
        <v>482</v>
      </c>
      <c r="E12" s="50" t="s">
        <v>1214</v>
      </c>
      <c r="F12" s="50" t="s">
        <v>1215</v>
      </c>
      <c r="G12" s="50" t="s">
        <v>1216</v>
      </c>
      <c r="H12" s="50" t="s">
        <v>1218</v>
      </c>
      <c r="I12" s="50" t="s">
        <v>416</v>
      </c>
      <c r="J12" s="50" t="s">
        <v>1221</v>
      </c>
      <c r="K12" s="50"/>
      <c r="L12" s="50"/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39" t="s">
        <v>1173</v>
      </c>
      <c r="E13" s="39" t="s">
        <v>1174</v>
      </c>
      <c r="F13" s="39" t="s">
        <v>1175</v>
      </c>
      <c r="G13" s="39" t="s">
        <v>1176</v>
      </c>
      <c r="H13" s="39" t="s">
        <v>1177</v>
      </c>
      <c r="I13" s="39" t="s">
        <v>1178</v>
      </c>
      <c r="J13" s="39" t="s">
        <v>1179</v>
      </c>
      <c r="K13" s="39" t="s">
        <v>23</v>
      </c>
      <c r="L13" s="39" t="str">
        <f>CHAR(10)</f>
        <v xml:space="preserve">
</v>
      </c>
      <c r="M13" s="39"/>
      <c r="N13" s="39"/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1280</v>
      </c>
      <c r="E14" s="51" t="s">
        <v>1281</v>
      </c>
      <c r="F14" s="51" t="s">
        <v>1215</v>
      </c>
      <c r="G14" s="51" t="s">
        <v>1282</v>
      </c>
      <c r="H14" s="51" t="s">
        <v>1283</v>
      </c>
      <c r="I14" s="51" t="s">
        <v>416</v>
      </c>
      <c r="J14" s="51" t="s">
        <v>1284</v>
      </c>
      <c r="K14" s="51"/>
      <c r="L14" s="51"/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50" t="s">
        <v>474</v>
      </c>
      <c r="E16" s="50" t="s">
        <v>61</v>
      </c>
      <c r="F16" s="50" t="s">
        <v>496</v>
      </c>
      <c r="G16" s="50" t="s">
        <v>1223</v>
      </c>
      <c r="H16" s="50" t="s">
        <v>1225</v>
      </c>
      <c r="I16" s="50" t="s">
        <v>467</v>
      </c>
      <c r="J16" s="50" t="s">
        <v>1228</v>
      </c>
      <c r="K16" s="50"/>
      <c r="L16" s="50"/>
      <c r="M16" s="50"/>
      <c r="N16" s="50"/>
      <c r="O16" s="50"/>
      <c r="P16" s="5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39" t="s">
        <v>1180</v>
      </c>
      <c r="E17" s="39" t="s">
        <v>1181</v>
      </c>
      <c r="F17" s="39" t="s">
        <v>1182</v>
      </c>
      <c r="G17" s="39" t="s">
        <v>1183</v>
      </c>
      <c r="H17" s="39" t="s">
        <v>1184</v>
      </c>
      <c r="I17" s="39" t="s">
        <v>270</v>
      </c>
      <c r="J17" s="39" t="s">
        <v>1185</v>
      </c>
      <c r="K17" s="39" t="s">
        <v>30</v>
      </c>
      <c r="L17" s="39" t="str">
        <f>CHAR(10)</f>
        <v xml:space="preserve">
</v>
      </c>
      <c r="M17" s="39"/>
      <c r="N17" s="39"/>
      <c r="O17" s="39"/>
      <c r="P17" s="39"/>
      <c r="Q17" s="39"/>
      <c r="R17" s="39"/>
      <c r="S17" s="20"/>
      <c r="V17" s="55"/>
    </row>
    <row r="18" spans="2:22" s="6" customFormat="1" ht="36" customHeight="1">
      <c r="B18" s="21"/>
      <c r="D18" s="51" t="s">
        <v>1285</v>
      </c>
      <c r="E18" s="51" t="s">
        <v>1286</v>
      </c>
      <c r="F18" s="51" t="s">
        <v>496</v>
      </c>
      <c r="G18" s="51" t="s">
        <v>1287</v>
      </c>
      <c r="H18" s="51" t="s">
        <v>1288</v>
      </c>
      <c r="I18" s="51" t="s">
        <v>1289</v>
      </c>
      <c r="J18" s="51" t="s">
        <v>1290</v>
      </c>
      <c r="K18" s="51"/>
      <c r="L18" s="51"/>
      <c r="M18" s="51"/>
      <c r="N18" s="51"/>
      <c r="O18" s="51"/>
      <c r="P18" s="51"/>
      <c r="Q18" s="51"/>
      <c r="R18" s="51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0" t="s">
        <v>1230</v>
      </c>
      <c r="E20" s="50" t="s">
        <v>348</v>
      </c>
      <c r="F20" s="50" t="s">
        <v>1233</v>
      </c>
      <c r="G20" s="50" t="s">
        <v>1235</v>
      </c>
      <c r="H20" s="50" t="s">
        <v>1237</v>
      </c>
      <c r="I20" s="50" t="s">
        <v>428</v>
      </c>
      <c r="J20" s="50" t="s">
        <v>1240</v>
      </c>
      <c r="K20" s="50"/>
      <c r="L20" s="50"/>
      <c r="M20" s="50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39" t="s">
        <v>1186</v>
      </c>
      <c r="E21" s="39" t="s">
        <v>119</v>
      </c>
      <c r="F21" s="39" t="s">
        <v>1187</v>
      </c>
      <c r="G21" s="39" t="s">
        <v>1188</v>
      </c>
      <c r="H21" s="39" t="s">
        <v>235</v>
      </c>
      <c r="I21" s="39" t="s">
        <v>218</v>
      </c>
      <c r="J21" s="39" t="s">
        <v>1189</v>
      </c>
      <c r="K21" s="39" t="s">
        <v>23</v>
      </c>
      <c r="L21" s="39" t="str">
        <f>CHAR(10)</f>
        <v xml:space="preserve">
</v>
      </c>
      <c r="M21" s="39"/>
      <c r="N21" s="39"/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1230</v>
      </c>
      <c r="E22" s="51" t="s">
        <v>348</v>
      </c>
      <c r="F22" s="51" t="s">
        <v>1291</v>
      </c>
      <c r="G22" s="51" t="s">
        <v>1235</v>
      </c>
      <c r="H22" s="51" t="s">
        <v>1237</v>
      </c>
      <c r="I22" s="51" t="s">
        <v>1292</v>
      </c>
      <c r="J22" s="51" t="s">
        <v>1293</v>
      </c>
      <c r="K22" s="51"/>
      <c r="L22" s="51"/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50" t="s">
        <v>468</v>
      </c>
      <c r="E24" s="50" t="s">
        <v>1243</v>
      </c>
      <c r="F24" s="50" t="s">
        <v>319</v>
      </c>
      <c r="G24" s="50" t="s">
        <v>1246</v>
      </c>
      <c r="H24" s="50" t="s">
        <v>1248</v>
      </c>
      <c r="I24" s="50" t="s">
        <v>1250</v>
      </c>
      <c r="J24" s="50" t="s">
        <v>1252</v>
      </c>
      <c r="K24" s="50"/>
      <c r="L24" s="50"/>
      <c r="M24" s="50"/>
      <c r="N24" s="50"/>
      <c r="O24" s="50"/>
      <c r="P24" s="50"/>
      <c r="Q24" s="50"/>
      <c r="R24" s="50"/>
      <c r="S24" s="18"/>
      <c r="V24" s="55"/>
    </row>
    <row r="25" spans="2:22" s="6" customFormat="1" ht="80.099999999999994" customHeight="1">
      <c r="B25" s="19">
        <f>B21+1</f>
        <v>6</v>
      </c>
      <c r="D25" s="39" t="s">
        <v>272</v>
      </c>
      <c r="E25" s="39" t="s">
        <v>1190</v>
      </c>
      <c r="F25" s="39" t="s">
        <v>1191</v>
      </c>
      <c r="G25" s="39" t="s">
        <v>1192</v>
      </c>
      <c r="H25" s="39" t="s">
        <v>1193</v>
      </c>
      <c r="I25" s="39" t="s">
        <v>1194</v>
      </c>
      <c r="J25" s="39" t="s">
        <v>1195</v>
      </c>
      <c r="K25" s="39" t="s">
        <v>30</v>
      </c>
      <c r="L25" s="39" t="str">
        <f>CHAR(10)</f>
        <v xml:space="preserve">
</v>
      </c>
      <c r="M25" s="39"/>
      <c r="N25" s="39"/>
      <c r="O25" s="39"/>
      <c r="P25" s="39"/>
      <c r="Q25" s="39"/>
      <c r="R25" s="39"/>
      <c r="S25" s="20"/>
      <c r="V25" s="55"/>
    </row>
    <row r="26" spans="2:22" s="6" customFormat="1" ht="36" customHeight="1">
      <c r="B26" s="21"/>
      <c r="D26" s="51" t="s">
        <v>1294</v>
      </c>
      <c r="E26" s="51" t="s">
        <v>1295</v>
      </c>
      <c r="F26" s="51" t="s">
        <v>1296</v>
      </c>
      <c r="G26" s="51" t="s">
        <v>1246</v>
      </c>
      <c r="H26" s="51" t="s">
        <v>1297</v>
      </c>
      <c r="I26" s="51" t="s">
        <v>1298</v>
      </c>
      <c r="J26" s="51" t="s">
        <v>1252</v>
      </c>
      <c r="K26" s="51"/>
      <c r="L26" s="51"/>
      <c r="M26" s="51"/>
      <c r="N26" s="51"/>
      <c r="O26" s="51"/>
      <c r="P26" s="51"/>
      <c r="Q26" s="51"/>
      <c r="R26" s="51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55"/>
    </row>
    <row r="28" spans="2:22" s="6" customFormat="1" ht="36" customHeight="1">
      <c r="B28" s="17"/>
      <c r="D28" s="50" t="s">
        <v>1254</v>
      </c>
      <c r="E28" s="50" t="s">
        <v>52</v>
      </c>
      <c r="F28" s="50" t="s">
        <v>1257</v>
      </c>
      <c r="G28" s="50" t="s">
        <v>1259</v>
      </c>
      <c r="H28" s="50" t="s">
        <v>48</v>
      </c>
      <c r="I28" s="50" t="s">
        <v>1261</v>
      </c>
      <c r="J28" s="50" t="s">
        <v>395</v>
      </c>
      <c r="K28" s="50"/>
      <c r="L28" s="50"/>
      <c r="M28" s="50"/>
      <c r="N28" s="50"/>
      <c r="O28" s="50"/>
      <c r="P28" s="50"/>
      <c r="Q28" s="50"/>
      <c r="R28" s="50"/>
      <c r="S28" s="18"/>
      <c r="U28" s="33" t="str">
        <f t="shared" si="1"/>
        <v/>
      </c>
      <c r="V28" s="55"/>
    </row>
    <row r="29" spans="2:22" s="6" customFormat="1" ht="80.099999999999994" customHeight="1">
      <c r="B29" s="19">
        <f>B25+1</f>
        <v>7</v>
      </c>
      <c r="D29" s="39" t="s">
        <v>1196</v>
      </c>
      <c r="E29" s="39" t="s">
        <v>273</v>
      </c>
      <c r="F29" s="39" t="s">
        <v>240</v>
      </c>
      <c r="G29" s="39" t="s">
        <v>1197</v>
      </c>
      <c r="H29" s="39" t="s">
        <v>1198</v>
      </c>
      <c r="I29" s="39" t="s">
        <v>1199</v>
      </c>
      <c r="J29" s="39" t="s">
        <v>20</v>
      </c>
      <c r="K29" s="39" t="s">
        <v>23</v>
      </c>
      <c r="L29" s="39" t="str">
        <f>CHAR(10)</f>
        <v xml:space="preserve">
</v>
      </c>
      <c r="M29" s="39"/>
      <c r="N29" s="39"/>
      <c r="O29" s="39"/>
      <c r="P29" s="39"/>
      <c r="Q29" s="39"/>
      <c r="R29" s="39"/>
      <c r="S29" s="20"/>
      <c r="U29" s="33" t="str">
        <f t="shared" si="1"/>
        <v/>
      </c>
      <c r="V29" s="55"/>
    </row>
    <row r="30" spans="2:22" s="6" customFormat="1" ht="36" customHeight="1">
      <c r="B30" s="21"/>
      <c r="D30" s="51" t="s">
        <v>1299</v>
      </c>
      <c r="E30" s="51" t="s">
        <v>1300</v>
      </c>
      <c r="F30" s="51" t="s">
        <v>1301</v>
      </c>
      <c r="G30" s="51" t="s">
        <v>1302</v>
      </c>
      <c r="H30" s="51" t="s">
        <v>1303</v>
      </c>
      <c r="I30" s="51" t="s">
        <v>1304</v>
      </c>
      <c r="J30" s="51" t="s">
        <v>1305</v>
      </c>
      <c r="K30" s="51"/>
      <c r="L30" s="51"/>
      <c r="M30" s="51"/>
      <c r="N30" s="51"/>
      <c r="O30" s="51"/>
      <c r="P30" s="51"/>
      <c r="Q30" s="51"/>
      <c r="R30" s="51"/>
      <c r="S30" s="29"/>
      <c r="U30" s="33" t="str">
        <f t="shared" si="1"/>
        <v/>
      </c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55"/>
    </row>
    <row r="32" spans="2:22" s="6" customFormat="1" ht="36" customHeight="1">
      <c r="B32" s="17"/>
      <c r="D32" s="50" t="s">
        <v>350</v>
      </c>
      <c r="E32" s="50" t="s">
        <v>1263</v>
      </c>
      <c r="F32" s="50" t="s">
        <v>387</v>
      </c>
      <c r="G32" s="50" t="s">
        <v>1266</v>
      </c>
      <c r="H32" s="50" t="s">
        <v>1267</v>
      </c>
      <c r="I32" s="50" t="s">
        <v>63</v>
      </c>
      <c r="J32" s="50" t="s">
        <v>1270</v>
      </c>
      <c r="K32" s="50"/>
      <c r="L32" s="50"/>
      <c r="M32" s="50"/>
      <c r="N32" s="50"/>
      <c r="O32" s="50"/>
      <c r="P32" s="50"/>
      <c r="Q32" s="50"/>
      <c r="R32" s="50"/>
      <c r="S32" s="18"/>
      <c r="U32" s="33" t="str">
        <f t="shared" si="1"/>
        <v/>
      </c>
      <c r="V32" s="55"/>
    </row>
    <row r="33" spans="2:22" s="6" customFormat="1" ht="80.099999999999994" customHeight="1">
      <c r="B33" s="19">
        <f>B29+1</f>
        <v>8</v>
      </c>
      <c r="D33" s="39" t="s">
        <v>121</v>
      </c>
      <c r="E33" s="39" t="s">
        <v>1200</v>
      </c>
      <c r="F33" s="39" t="s">
        <v>168</v>
      </c>
      <c r="G33" s="39" t="s">
        <v>1201</v>
      </c>
      <c r="H33" s="39" t="s">
        <v>1202</v>
      </c>
      <c r="I33" s="39" t="s">
        <v>37</v>
      </c>
      <c r="J33" s="39" t="s">
        <v>1203</v>
      </c>
      <c r="K33" s="39" t="s">
        <v>30</v>
      </c>
      <c r="L33" s="39" t="str">
        <f>CHAR(10)</f>
        <v xml:space="preserve">
</v>
      </c>
      <c r="M33" s="39"/>
      <c r="N33" s="39"/>
      <c r="O33" s="39"/>
      <c r="P33" s="39"/>
      <c r="Q33" s="39"/>
      <c r="R33" s="39"/>
      <c r="S33" s="20"/>
      <c r="V33" s="55"/>
    </row>
    <row r="34" spans="2:22" s="6" customFormat="1" ht="36" customHeight="1">
      <c r="B34" s="21"/>
      <c r="D34" s="51" t="s">
        <v>1306</v>
      </c>
      <c r="E34" s="51" t="s">
        <v>1263</v>
      </c>
      <c r="F34" s="51" t="s">
        <v>1307</v>
      </c>
      <c r="G34" s="51" t="s">
        <v>1308</v>
      </c>
      <c r="H34" s="51" t="s">
        <v>51</v>
      </c>
      <c r="I34" s="51" t="s">
        <v>1309</v>
      </c>
      <c r="J34" s="51" t="s">
        <v>1310</v>
      </c>
      <c r="K34" s="51"/>
      <c r="L34" s="51"/>
      <c r="M34" s="51"/>
      <c r="N34" s="51"/>
      <c r="O34" s="51"/>
      <c r="P34" s="51"/>
      <c r="Q34" s="51"/>
      <c r="R34" s="51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39" t="s">
        <v>38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5"/>
    </row>
    <row r="38" spans="2:22" s="6" customFormat="1" ht="36" customHeight="1">
      <c r="B38" s="2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20"/>
      <c r="V41" s="55"/>
    </row>
    <row r="42" spans="2:22" s="6" customFormat="1" ht="36" customHeight="1">
      <c r="B42" s="2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5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5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2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3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4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5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6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7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8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9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10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1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2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3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4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5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6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7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8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9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20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1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2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3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4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5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6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7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8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9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30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1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2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3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4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5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6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7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8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9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40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1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2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3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4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5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6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7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8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9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50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1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2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3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4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5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6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7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8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9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60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1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2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3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4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5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6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7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8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9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70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1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2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3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4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5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6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7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8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9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80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1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2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3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4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5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6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7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8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9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90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1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2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3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4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5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6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7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8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9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100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1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2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3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4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5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6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7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8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9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10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1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2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3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4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5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6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7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8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9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20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1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2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3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4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5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6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7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8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9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30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1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2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3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4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5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6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7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8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9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40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1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2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3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4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5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6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7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8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9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50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1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2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3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4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5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6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7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8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9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60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1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2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3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4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5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6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7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8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9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70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1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2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3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4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5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6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7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8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9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80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1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2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3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4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5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6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7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8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9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90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1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2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3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4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5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6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7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8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9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200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1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2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3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4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5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6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7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8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9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10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1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2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3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4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5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6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7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8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9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20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1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2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3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4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5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6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7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8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9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30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1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2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3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4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49" priority="47">
      <formula>顯示注音輸入</formula>
    </cfRule>
    <cfRule type="expression" dxfId="48" priority="48">
      <formula>"'= TRUE(顯示注音輸入)"</formula>
    </cfRule>
  </conditionalFormatting>
  <conditionalFormatting sqref="D7:R7">
    <cfRule type="expression" dxfId="46" priority="45">
      <formula>顯示注音輸入</formula>
    </cfRule>
    <cfRule type="expression" dxfId="47" priority="46">
      <formula>"'= TRUE(顯示注音輸入)"</formula>
    </cfRule>
  </conditionalFormatting>
  <conditionalFormatting sqref="D11:R11">
    <cfRule type="expression" dxfId="44" priority="43">
      <formula>顯示注音輸入</formula>
    </cfRule>
    <cfRule type="expression" dxfId="45" priority="44">
      <formula>"'= TRUE(顯示注音輸入)"</formula>
    </cfRule>
  </conditionalFormatting>
  <conditionalFormatting sqref="D15:R15">
    <cfRule type="expression" dxfId="42" priority="41">
      <formula>顯示注音輸入</formula>
    </cfRule>
    <cfRule type="expression" dxfId="43" priority="42">
      <formula>"'= TRUE(顯示注音輸入)"</formula>
    </cfRule>
  </conditionalFormatting>
  <conditionalFormatting sqref="D19:R19">
    <cfRule type="expression" dxfId="40" priority="39">
      <formula>顯示注音輸入</formula>
    </cfRule>
    <cfRule type="expression" dxfId="41" priority="40">
      <formula>"'= TRUE(顯示注音輸入)"</formula>
    </cfRule>
  </conditionalFormatting>
  <conditionalFormatting sqref="D23:R23">
    <cfRule type="expression" dxfId="38" priority="37">
      <formula>顯示注音輸入</formula>
    </cfRule>
    <cfRule type="expression" dxfId="39" priority="38">
      <formula>"'= TRUE(顯示注音輸入)"</formula>
    </cfRule>
  </conditionalFormatting>
  <conditionalFormatting sqref="D27:R27">
    <cfRule type="expression" dxfId="36" priority="35">
      <formula>顯示注音輸入</formula>
    </cfRule>
    <cfRule type="expression" dxfId="37" priority="36">
      <formula>"'= TRUE(顯示注音輸入)"</formula>
    </cfRule>
  </conditionalFormatting>
  <conditionalFormatting sqref="D31:R31">
    <cfRule type="expression" dxfId="34" priority="33">
      <formula>顯示注音輸入</formula>
    </cfRule>
    <cfRule type="expression" dxfId="35" priority="34">
      <formula>"'= TRUE(顯示注音輸入)"</formula>
    </cfRule>
  </conditionalFormatting>
  <conditionalFormatting sqref="D35:R35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9:R39">
    <cfRule type="expression" dxfId="30" priority="29">
      <formula>顯示注音輸入</formula>
    </cfRule>
    <cfRule type="expression" dxfId="31" priority="30">
      <formula>"'= TRUE(顯示注音輸入)"</formula>
    </cfRule>
  </conditionalFormatting>
  <conditionalFormatting sqref="D43:R43">
    <cfRule type="expression" dxfId="28" priority="27">
      <formula>顯示注音輸入</formula>
    </cfRule>
    <cfRule type="expression" dxfId="29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4" priority="23">
      <formula>顯示注音輸入</formula>
    </cfRule>
    <cfRule type="expression" dxfId="25" priority="24">
      <formula>"'= TRUE(顯示注音輸入)"</formula>
    </cfRule>
  </conditionalFormatting>
  <conditionalFormatting sqref="D55:R55">
    <cfRule type="expression" dxfId="22" priority="21">
      <formula>顯示注音輸入</formula>
    </cfRule>
    <cfRule type="expression" dxfId="23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8" priority="17">
      <formula>顯示注音輸入</formula>
    </cfRule>
    <cfRule type="expression" dxfId="19" priority="18">
      <formula>"'= TRUE(顯示注音輸入)"</formula>
    </cfRule>
  </conditionalFormatting>
  <conditionalFormatting sqref="D67:R67">
    <cfRule type="expression" dxfId="16" priority="15">
      <formula>顯示注音輸入</formula>
    </cfRule>
    <cfRule type="expression" dxfId="17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2" priority="11">
      <formula>顯示注音輸入</formula>
    </cfRule>
    <cfRule type="expression" dxfId="13" priority="12">
      <formula>"'= TRUE(顯示注音輸入)"</formula>
    </cfRule>
  </conditionalFormatting>
  <conditionalFormatting sqref="D79:R79">
    <cfRule type="expression" dxfId="10" priority="9">
      <formula>顯示注音輸入</formula>
    </cfRule>
    <cfRule type="expression" dxfId="11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87:R87">
    <cfRule type="expression" dxfId="6" priority="5">
      <formula>顯示注音輸入</formula>
    </cfRule>
    <cfRule type="expression" dxfId="7" priority="6">
      <formula>"'= TRUE(顯示注音輸入)"</formula>
    </cfRule>
  </conditionalFormatting>
  <conditionalFormatting sqref="D91:R91">
    <cfRule type="expression" dxfId="4" priority="3">
      <formula>顯示注音輸入</formula>
    </cfRule>
    <cfRule type="expression" dxfId="5" priority="4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2" priority="1">
      <formula>顯示注音輸入</formula>
    </cfRule>
    <cfRule type="expression" dxfId="3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119" priority="60">
      <formula>"'= TRUE(顯示注音輸入)"</formula>
    </cfRule>
    <cfRule type="expression" dxfId="118" priority="59">
      <formula>顯示注音輸入</formula>
    </cfRule>
  </conditionalFormatting>
  <conditionalFormatting sqref="D7:R7">
    <cfRule type="expression" dxfId="117" priority="57">
      <formula>顯示注音輸入</formula>
    </cfRule>
    <cfRule type="expression" dxfId="116" priority="58">
      <formula>"'= TRUE(顯示注音輸入)"</formula>
    </cfRule>
  </conditionalFormatting>
  <conditionalFormatting sqref="D11:R11">
    <cfRule type="expression" dxfId="115" priority="55">
      <formula>顯示注音輸入</formula>
    </cfRule>
    <cfRule type="expression" dxfId="114" priority="56">
      <formula>"'= TRUE(顯示注音輸入)"</formula>
    </cfRule>
  </conditionalFormatting>
  <conditionalFormatting sqref="D15:R15">
    <cfRule type="expression" dxfId="113" priority="54">
      <formula>"'= TRUE(顯示注音輸入)"</formula>
    </cfRule>
    <cfRule type="expression" dxfId="112" priority="53">
      <formula>顯示注音輸入</formula>
    </cfRule>
  </conditionalFormatting>
  <conditionalFormatting sqref="D19:R19">
    <cfRule type="expression" dxfId="111" priority="52">
      <formula>"'= TRUE(顯示注音輸入)"</formula>
    </cfRule>
    <cfRule type="expression" dxfId="110" priority="51">
      <formula>顯示注音輸入</formula>
    </cfRule>
  </conditionalFormatting>
  <conditionalFormatting sqref="D23:R23">
    <cfRule type="expression" dxfId="109" priority="49">
      <formula>顯示注音輸入</formula>
    </cfRule>
    <cfRule type="expression" dxfId="108" priority="50">
      <formula>"'= TRUE(顯示注音輸入)"</formula>
    </cfRule>
  </conditionalFormatting>
  <conditionalFormatting sqref="D27:R27">
    <cfRule type="expression" dxfId="107" priority="48">
      <formula>"'= TRUE(顯示注音輸入)"</formula>
    </cfRule>
    <cfRule type="expression" dxfId="106" priority="47">
      <formula>顯示注音輸入</formula>
    </cfRule>
  </conditionalFormatting>
  <conditionalFormatting sqref="D31:R31">
    <cfRule type="expression" dxfId="105" priority="46">
      <formula>"'= TRUE(顯示注音輸入)"</formula>
    </cfRule>
    <cfRule type="expression" dxfId="104" priority="45">
      <formula>顯示注音輸入</formula>
    </cfRule>
  </conditionalFormatting>
  <conditionalFormatting sqref="D35:R35">
    <cfRule type="expression" dxfId="103" priority="43">
      <formula>顯示注音輸入</formula>
    </cfRule>
    <cfRule type="expression" dxfId="102" priority="44">
      <formula>"'= TRUE(顯示注音輸入)"</formula>
    </cfRule>
  </conditionalFormatting>
  <conditionalFormatting sqref="D39:R39">
    <cfRule type="expression" dxfId="101" priority="42">
      <formula>"'= TRUE(顯示注音輸入)"</formula>
    </cfRule>
    <cfRule type="expression" dxfId="100" priority="41">
      <formula>顯示注音輸入</formula>
    </cfRule>
  </conditionalFormatting>
  <conditionalFormatting sqref="D43:R43">
    <cfRule type="expression" dxfId="99" priority="40">
      <formula>"'= TRUE(顯示注音輸入)"</formula>
    </cfRule>
    <cfRule type="expression" dxfId="98" priority="39">
      <formula>顯示注音輸入</formula>
    </cfRule>
  </conditionalFormatting>
  <conditionalFormatting sqref="D47:R47">
    <cfRule type="expression" dxfId="97" priority="37">
      <formula>顯示注音輸入</formula>
    </cfRule>
    <cfRule type="expression" dxfId="96" priority="38">
      <formula>"'= TRUE(顯示注音輸入)"</formula>
    </cfRule>
  </conditionalFormatting>
  <conditionalFormatting sqref="D51:R51">
    <cfRule type="expression" dxfId="95" priority="35">
      <formula>顯示注音輸入</formula>
    </cfRule>
    <cfRule type="expression" dxfId="94" priority="36">
      <formula>"'= TRUE(顯示注音輸入)"</formula>
    </cfRule>
  </conditionalFormatting>
  <conditionalFormatting sqref="D55:R55">
    <cfRule type="expression" dxfId="93" priority="34">
      <formula>"'= TRUE(顯示注音輸入)"</formula>
    </cfRule>
    <cfRule type="expression" dxfId="92" priority="33">
      <formula>顯示注音輸入</formula>
    </cfRule>
  </conditionalFormatting>
  <conditionalFormatting sqref="D59:R59">
    <cfRule type="expression" dxfId="91" priority="31">
      <formula>顯示注音輸入</formula>
    </cfRule>
    <cfRule type="expression" dxfId="90" priority="32">
      <formula>"'= TRUE(顯示注音輸入)"</formula>
    </cfRule>
  </conditionalFormatting>
  <conditionalFormatting sqref="D63:R63">
    <cfRule type="expression" dxfId="89" priority="30">
      <formula>"'= TRUE(顯示注音輸入)"</formula>
    </cfRule>
    <cfRule type="expression" dxfId="88" priority="29">
      <formula>顯示注音輸入</formula>
    </cfRule>
  </conditionalFormatting>
  <conditionalFormatting sqref="D67:R67">
    <cfRule type="expression" dxfId="87" priority="27">
      <formula>顯示注音輸入</formula>
    </cfRule>
    <cfRule type="expression" dxfId="86" priority="28">
      <formula>"'= TRUE(顯示注音輸入)"</formula>
    </cfRule>
  </conditionalFormatting>
  <conditionalFormatting sqref="D71:R71">
    <cfRule type="expression" dxfId="85" priority="25">
      <formula>顯示注音輸入</formula>
    </cfRule>
    <cfRule type="expression" dxfId="84" priority="26">
      <formula>"'= TRUE(顯示注音輸入)"</formula>
    </cfRule>
  </conditionalFormatting>
  <conditionalFormatting sqref="D75:R75">
    <cfRule type="expression" dxfId="83" priority="24">
      <formula>"'= TRUE(顯示注音輸入)"</formula>
    </cfRule>
    <cfRule type="expression" dxfId="82" priority="23">
      <formula>顯示注音輸入</formula>
    </cfRule>
  </conditionalFormatting>
  <conditionalFormatting sqref="D79:R79">
    <cfRule type="expression" dxfId="81" priority="22">
      <formula>"'= TRUE(顯示注音輸入)"</formula>
    </cfRule>
    <cfRule type="expression" dxfId="80" priority="21">
      <formula>顯示注音輸入</formula>
    </cfRule>
  </conditionalFormatting>
  <conditionalFormatting sqref="D83:R83">
    <cfRule type="expression" dxfId="79" priority="19">
      <formula>顯示注音輸入</formula>
    </cfRule>
    <cfRule type="expression" dxfId="78" priority="20">
      <formula>"'= TRUE(顯示注音輸入)"</formula>
    </cfRule>
  </conditionalFormatting>
  <conditionalFormatting sqref="D87:R87">
    <cfRule type="expression" dxfId="77" priority="17">
      <formula>顯示注音輸入</formula>
    </cfRule>
    <cfRule type="expression" dxfId="76" priority="18">
      <formula>"'= TRUE(顯示注音輸入)"</formula>
    </cfRule>
  </conditionalFormatting>
  <conditionalFormatting sqref="D91:R91">
    <cfRule type="expression" dxfId="75" priority="16">
      <formula>"'= TRUE(顯示注音輸入)"</formula>
    </cfRule>
    <cfRule type="expression" dxfId="74" priority="15">
      <formula>顯示注音輸入</formula>
    </cfRule>
  </conditionalFormatting>
  <conditionalFormatting sqref="D95:R95">
    <cfRule type="expression" dxfId="73" priority="13">
      <formula>顯示注音輸入</formula>
    </cfRule>
    <cfRule type="expression" dxfId="72" priority="14">
      <formula>"'= TRUE(顯示注音輸入)"</formula>
    </cfRule>
  </conditionalFormatting>
  <conditionalFormatting sqref="D99:R99">
    <cfRule type="expression" dxfId="71" priority="12">
      <formula>"'= TRUE(顯示注音輸入)"</formula>
    </cfRule>
    <cfRule type="expression" dxfId="70" priority="11">
      <formula>顯示注音輸入</formula>
    </cfRule>
  </conditionalFormatting>
  <conditionalFormatting sqref="D103:R103">
    <cfRule type="expression" dxfId="69" priority="10">
      <formula>"'= TRUE(顯示注音輸入)"</formula>
    </cfRule>
    <cfRule type="expression" dxfId="68" priority="9">
      <formula>顯示注音輸入</formula>
    </cfRule>
  </conditionalFormatting>
  <conditionalFormatting sqref="D107:R107">
    <cfRule type="expression" dxfId="67" priority="8">
      <formula>"'= TRUE(顯示注音輸入)"</formula>
    </cfRule>
    <cfRule type="expression" dxfId="66" priority="7">
      <formula>顯示注音輸入</formula>
    </cfRule>
  </conditionalFormatting>
  <conditionalFormatting sqref="D111:R111">
    <cfRule type="expression" dxfId="65" priority="6">
      <formula>"'= TRUE(顯示注音輸入)"</formula>
    </cfRule>
    <cfRule type="expression" dxfId="64" priority="5">
      <formula>顯示注音輸入</formula>
    </cfRule>
  </conditionalFormatting>
  <conditionalFormatting sqref="D115:R115">
    <cfRule type="expression" dxfId="63" priority="4">
      <formula>"'= TRUE(顯示注音輸入)"</formula>
    </cfRule>
    <cfRule type="expression" dxfId="62" priority="3">
      <formula>顯示注音輸入</formula>
    </cfRule>
  </conditionalFormatting>
  <conditionalFormatting sqref="D119:R119">
    <cfRule type="expression" dxfId="61" priority="1">
      <formula>顯示注音輸入</formula>
    </cfRule>
    <cfRule type="expression" dxfId="60" priority="2">
      <formula>"'= TRUE(顯示注音輸入)"</formula>
    </cfRule>
  </conditionalFormatting>
  <conditionalFormatting sqref="D123:R123 D127:R127 D131:R131 D135:R135 D139:R139 D143:R143">
    <cfRule type="expression" dxfId="59" priority="61">
      <formula>顯示注音輸入</formula>
    </cfRule>
    <cfRule type="expression" dxfId="58" priority="62">
      <formula>"'= TRUE(顯示注音輸入)"</formula>
    </cfRule>
  </conditionalFormatting>
  <conditionalFormatting sqref="D147:R147 D151:R151 D155:R155 D159:R159 D163:R163">
    <cfRule type="expression" dxfId="57" priority="109">
      <formula>顯示注音輸入</formula>
    </cfRule>
    <cfRule type="expression" dxfId="56" priority="110">
      <formula>"'= TRUE(顯示注音輸入)"</formula>
    </cfRule>
  </conditionalFormatting>
  <conditionalFormatting sqref="D167:R167 D171:R171 D175:R175 D179:R179 D183:R183 D187:R187 D191:R191 D195:R195 D199:R199">
    <cfRule type="expression" dxfId="55" priority="107">
      <formula>顯示注音輸入</formula>
    </cfRule>
    <cfRule type="expression" dxfId="54" priority="108">
      <formula>"'= TRUE(顯示注音輸入)"</formula>
    </cfRule>
  </conditionalFormatting>
  <conditionalFormatting sqref="D203:R203">
    <cfRule type="expression" dxfId="53" priority="105">
      <formula>顯示注音輸入</formula>
    </cfRule>
    <cfRule type="expression" dxfId="52" priority="106">
      <formula>"'= TRUE(顯示注音輸入)"</formula>
    </cfRule>
  </conditionalFormatting>
  <conditionalFormatting sqref="D207:R207 D211:R211 D215:R215 D219:R219 D223:R223 D227:R227 D231:R231 D235:R235 D239:R239">
    <cfRule type="expression" dxfId="51" priority="103">
      <formula>顯示注音輸入</formula>
    </cfRule>
    <cfRule type="expression" dxfId="5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21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(2)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2026-06-25T04:30:57Z</dcterms:modified>
</cp:coreProperties>
</file>