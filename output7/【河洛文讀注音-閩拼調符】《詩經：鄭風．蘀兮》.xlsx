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8_{E2D6A1FC-ED73-43E2-A57C-81D069DF6C37}" xr6:coauthVersionLast="47" xr6:coauthVersionMax="47" xr10:uidLastSave="{00000000-0000-0000-0000-000000000000}"/>
  <bookViews>
    <workbookView xWindow="28680" yWindow="-120" windowWidth="38640" windowHeight="15720" activeTab="4" xr2:uid="{25A76161-EFED-4AC8-8EAA-A42737AE1909}"/>
  </bookViews>
  <sheets>
    <sheet name="env" sheetId="8" r:id="rId1"/>
    <sheet name="缺字表" sheetId="130" r:id="rId2"/>
    <sheet name="標音字庫" sheetId="129" r:id="rId3"/>
    <sheet name="人工標音字庫" sheetId="128" r:id="rId4"/>
    <sheet name="漢字注音" sheetId="9" r:id="rId5"/>
    <sheet name="缺字表 (範例)" sheetId="110" r:id="rId6"/>
    <sheet name="標音字庫 (範例)" sheetId="121" r:id="rId7"/>
    <sheet name="漢字注音 (範例)" sheetId="120" r:id="rId8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9" l="1"/>
  <c r="N17" i="9"/>
  <c r="N13" i="9"/>
  <c r="N9" i="9"/>
  <c r="N5" i="9"/>
  <c r="B1605" i="9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1205" i="9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805" i="9"/>
  <c r="B809" i="9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409" i="9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213" i="9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209" i="9"/>
  <c r="B117" i="9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113" i="9"/>
  <c r="B109" i="9"/>
  <c r="B97" i="9"/>
  <c r="D11" i="8"/>
  <c r="A1" i="9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101" i="9" s="1"/>
  <c r="B105" i="9" s="1"/>
  <c r="B205" i="9" s="1"/>
  <c r="V2" i="9"/>
  <c r="B405" i="9" l="1"/>
</calcChain>
</file>

<file path=xl/sharedStrings.xml><?xml version="1.0" encoding="utf-8"?>
<sst xmlns="http://schemas.openxmlformats.org/spreadsheetml/2006/main" count="2384" uniqueCount="1228">
  <si>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</si>
  <si>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</si>
  <si>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</si>
  <si>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</si>
  <si>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</si>
  <si>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</si>
  <si>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</si>
  <si>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</si>
  <si>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</si>
  <si>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</si>
  <si>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</si>
  <si>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</si>
  <si>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</si>
  <si>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</si>
  <si>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</si>
  <si>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</si>
  <si>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</si>
  <si>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</si>
  <si>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</si>
  <si>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</si>
  <si>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</si>
  <si>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</si>
  <si>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</si>
  <si>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</si>
  <si>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</si>
  <si>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</si>
  <si>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</si>
  <si>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</si>
  <si>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</si>
  <si>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</si>
  <si>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</si>
  <si>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</si>
  <si>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</si>
  <si>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</si>
  <si>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</si>
  <si>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</si>
  <si>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</si>
  <si>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</si>
  <si>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</si>
  <si>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</si>
  <si>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</si>
  <si>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</si>
  <si>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</si>
  <si>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</si>
  <si>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</si>
  <si>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</si>
  <si>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</si>
  <si>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</si>
  <si>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</si>
  <si>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</si>
  <si>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</si>
  <si>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</si>
  <si>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</si>
  <si>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</si>
  <si>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</si>
  <si>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</si>
  <si>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</si>
  <si>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</si>
  <si>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</si>
  <si>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</si>
  <si>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</si>
  <si>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</si>
  <si>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</si>
  <si>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</si>
  <si>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</si>
  <si>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</si>
  <si>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</si>
  <si>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</si>
  <si>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</si>
  <si>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</si>
  <si>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</si>
  <si>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</si>
  <si>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</si>
  <si>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</si>
  <si>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</si>
  <si>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</si>
  <si>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</si>
  <si>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</si>
  <si>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</si>
  <si>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</si>
  <si>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</si>
  <si>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</si>
  <si>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</si>
  <si>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</si>
  <si>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</si>
  <si>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</si>
  <si>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</si>
  <si>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</si>
  <si>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</si>
  <si>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</si>
  <si>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</si>
  <si>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</si>
  <si>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</si>
  <si>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</si>
  <si>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</si>
  <si>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</si>
  <si>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</si>
  <si>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</si>
  <si>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</si>
  <si>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</si>
  <si>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</si>
  <si>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</si>
  <si>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</si>
  <si>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</si>
  <si>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</si>
  <si>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</si>
  <si>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</si>
  <si>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</si>
  <si>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</si>
  <si>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</si>
  <si>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</si>
  <si>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</si>
  <si>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</si>
  <si>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</si>
  <si>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</si>
  <si>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</si>
  <si>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</si>
  <si>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</si>
  <si>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</si>
  <si>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</si>
  <si>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</si>
  <si>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</si>
  <si>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</si>
  <si>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</si>
  <si>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</si>
  <si>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</si>
  <si>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</si>
  <si>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</si>
  <si>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</si>
  <si>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</si>
  <si>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</si>
  <si>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</si>
  <si>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</si>
  <si>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</si>
  <si>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</si>
  <si>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</si>
  <si>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</si>
  <si>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</si>
  <si>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</si>
  <si>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</si>
  <si>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</si>
  <si>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</si>
  <si>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</si>
  <si>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</si>
  <si>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</si>
  <si>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</si>
  <si>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</si>
  <si>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</si>
  <si>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</si>
  <si>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</si>
  <si>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</si>
  <si>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</si>
  <si>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</si>
  <si>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</si>
  <si>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</si>
  <si>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</si>
  <si>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</si>
  <si>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</si>
  <si>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</si>
  <si>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</si>
  <si>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</si>
  <si>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</si>
  <si>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</si>
  <si>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</si>
  <si>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</si>
  <si>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</si>
  <si>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</si>
  <si>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</si>
  <si>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</si>
  <si>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</si>
  <si>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</si>
  <si>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</si>
  <si>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</si>
  <si>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</si>
  <si>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</si>
  <si>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</si>
  <si>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</si>
  <si>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</si>
  <si>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</si>
  <si>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</si>
  <si>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</si>
  <si>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</si>
  <si>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</si>
  <si>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</si>
  <si>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</si>
  <si>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</si>
  <si>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</si>
  <si>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</si>
  <si>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</si>
  <si>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</si>
  <si>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</si>
  <si>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</si>
  <si>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</si>
  <si>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</si>
  <si>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</si>
  <si>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</si>
  <si>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</si>
  <si>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</si>
  <si>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</si>
  <si>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</si>
  <si>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</si>
  <si>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</si>
  <si>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</si>
  <si>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</si>
  <si>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</si>
  <si>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</si>
  <si>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</si>
  <si>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</si>
  <si>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</si>
  <si>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</si>
  <si>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</si>
  <si>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</si>
  <si>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</si>
  <si>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</si>
  <si>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</si>
  <si>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</si>
  <si>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</si>
  <si>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</si>
  <si>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</si>
  <si>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</si>
  <si>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</si>
  <si>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</si>
  <si>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</si>
  <si>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</si>
  <si>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</si>
  <si>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</si>
  <si>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</si>
  <si>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</si>
  <si>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</si>
  <si>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</si>
  <si>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</si>
  <si>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</si>
  <si>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</si>
  <si>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</si>
  <si>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</si>
  <si>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</si>
  <si>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</si>
  <si>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</si>
  <si>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</si>
  <si>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</si>
  <si>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</si>
  <si>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</si>
  <si>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</si>
  <si>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</si>
  <si>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</si>
  <si>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</si>
  <si>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</si>
  <si>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</si>
  <si>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</si>
  <si>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</si>
  <si>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</si>
  <si>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</si>
  <si>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</si>
  <si>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</si>
  <si>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</si>
  <si>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</si>
  <si>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</si>
  <si>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</si>
  <si>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</si>
  <si>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</si>
  <si>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</si>
  <si>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</si>
  <si>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</si>
  <si>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</si>
  <si>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</si>
  <si>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</si>
  <si>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</si>
  <si>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</si>
  <si>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</si>
  <si>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</si>
  <si>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</si>
  <si>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</si>
  <si>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</si>
  <si>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</si>
  <si>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</si>
  <si>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</si>
  <si>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</si>
  <si>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</si>
  <si>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</si>
  <si>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</si>
  <si>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</si>
  <si>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</si>
  <si>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</si>
  <si>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</si>
  <si>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</si>
  <si>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</si>
  <si>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</si>
  <si>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</si>
  <si>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</si>
  <si>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</si>
  <si>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</si>
  <si>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</si>
  <si>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</si>
  <si>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</si>
  <si>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</si>
  <si>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</si>
  <si>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</si>
  <si>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</si>
  <si>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</si>
  <si>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</si>
  <si>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</si>
  <si>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</si>
  <si>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</si>
  <si>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</si>
  <si>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</si>
  <si>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</si>
  <si>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</si>
  <si>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</si>
  <si>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</si>
  <si>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</si>
  <si>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</si>
  <si>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</si>
  <si>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</si>
  <si>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</si>
  <si>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</si>
  <si>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</si>
  <si>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</si>
  <si>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</si>
  <si>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</si>
  <si>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</si>
  <si>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</si>
  <si>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</si>
  <si>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</si>
  <si>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</si>
  <si>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</si>
  <si>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</si>
  <si>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</si>
  <si>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</si>
  <si>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</si>
  <si>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</si>
  <si>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</si>
  <si>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</si>
  <si>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</si>
  <si>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</si>
  <si>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</si>
  <si>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</si>
  <si>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</si>
  <si>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</si>
  <si>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</si>
  <si>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</si>
  <si>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</si>
  <si>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</si>
  <si>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</si>
  <si>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</si>
  <si>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</si>
  <si>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</si>
  <si>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</si>
  <si>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</si>
  <si>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</si>
  <si>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</si>
  <si>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</si>
  <si>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</si>
  <si>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</si>
  <si>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</si>
  <si>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</si>
  <si>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</si>
  <si>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</si>
  <si>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</si>
  <si>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</si>
  <si>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</si>
  <si>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</si>
  <si>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</si>
  <si>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</si>
  <si>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</si>
  <si>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</si>
  <si>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</si>
  <si>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</si>
  <si>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</si>
  <si>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</si>
  <si>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</si>
  <si>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</si>
  <si>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</si>
  <si>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</si>
  <si>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</si>
  <si>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</si>
  <si>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</si>
  <si>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</si>
  <si>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</si>
  <si>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</si>
  <si>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</si>
  <si>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</si>
  <si>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</si>
  <si>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</si>
  <si>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</si>
  <si>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</si>
  <si>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</si>
  <si>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</si>
  <si>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</si>
  <si>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</si>
  <si>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</si>
  <si>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</si>
  <si>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</si>
  <si>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</si>
  <si>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</si>
  <si>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</si>
  <si>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</si>
  <si>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</si>
  <si>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</si>
  <si>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</si>
  <si>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</si>
  <si>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</si>
  <si>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</si>
  <si>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</si>
  <si>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</si>
  <si>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</si>
  <si>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</si>
  <si>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</si>
  <si>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</si>
  <si>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</si>
  <si>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</si>
  <si>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</si>
  <si>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</si>
  <si>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</si>
  <si>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</si>
  <si>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</si>
  <si>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</si>
  <si>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</si>
  <si>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</si>
  <si>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</si>
  <si>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</si>
  <si>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</si>
  <si>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</si>
  <si>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</si>
  <si>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</si>
  <si>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</si>
  <si>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</si>
  <si>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</si>
  <si>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</si>
  <si>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</si>
  <si>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</si>
  <si>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</si>
  <si>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</si>
  <si>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</si>
  <si>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</si>
  <si>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</si>
  <si>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</si>
  <si>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</si>
  <si>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</si>
  <si>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</si>
  <si>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</si>
  <si>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</si>
  <si>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</si>
  <si>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</si>
  <si>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</si>
  <si>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</si>
  <si>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</si>
  <si>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</si>
  <si>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</si>
  <si>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</si>
  <si>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</si>
  <si>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</si>
  <si>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</si>
  <si>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</si>
  <si>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</si>
  <si>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</si>
  <si>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</si>
  <si>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</si>
  <si>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</si>
  <si>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</si>
  <si>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</si>
  <si>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</si>
  <si>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</si>
  <si>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</si>
  <si>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</si>
  <si>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</si>
  <si>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</si>
  <si>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</si>
  <si>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</si>
  <si>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</si>
  <si>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</si>
  <si>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</si>
  <si>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</si>
  <si>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</si>
  <si>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</si>
  <si>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</si>
  <si>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</si>
  <si>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</si>
  <si>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</si>
  <si>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</si>
  <si>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</si>
  <si>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</si>
  <si>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</si>
  <si>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</si>
  <si>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</si>
  <si>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</si>
  <si>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</si>
  <si>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</si>
  <si>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</si>
  <si>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</si>
  <si>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</si>
  <si>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</si>
  <si>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</si>
  <si>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</si>
  <si>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</si>
  <si>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</si>
  <si>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</si>
  <si>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</si>
  <si>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</si>
  <si>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</si>
  <si>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</si>
  <si>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</si>
  <si>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</si>
  <si>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</si>
  <si>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</si>
  <si>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</si>
  <si>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</si>
  <si>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</si>
  <si>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</si>
  <si>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</si>
  <si>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</si>
  <si>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</si>
  <si>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</si>
  <si>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</si>
  <si>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</si>
  <si>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</si>
  <si>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</si>
  <si>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</si>
  <si>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</si>
  <si>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</si>
  <si>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</si>
  <si>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</si>
  <si>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</si>
  <si>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</si>
  <si>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</si>
  <si>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</si>
  <si>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</si>
  <si>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</si>
  <si>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</si>
  <si>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</si>
  <si>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</si>
  <si>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</si>
  <si>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</si>
  <si>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</si>
  <si>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</si>
  <si>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</si>
  <si>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</si>
  <si>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</si>
  <si>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</si>
  <si>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</si>
  <si>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</si>
  <si>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</si>
  <si>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</si>
  <si>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</si>
  <si>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</si>
  <si>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</si>
  <si>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</si>
  <si>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</si>
  <si>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</si>
  <si>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</si>
  <si>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</si>
  <si>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</si>
  <si>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</si>
  <si>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</si>
  <si>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</si>
  <si>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</si>
  <si>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</si>
  <si>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</si>
  <si>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</si>
  <si>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</si>
  <si>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</si>
  <si>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</si>
  <si>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</si>
  <si>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</si>
  <si>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</si>
  <si>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</si>
  <si>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</si>
  <si>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</si>
  <si>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</si>
  <si>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</si>
  <si>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</si>
  <si>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</si>
  <si>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</si>
  <si>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</si>
  <si>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</si>
  <si>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</si>
  <si>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</si>
  <si>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</si>
  <si>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</si>
  <si>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</si>
  <si>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</si>
  <si>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</si>
  <si>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</si>
  <si>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</si>
  <si>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</si>
  <si>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</si>
  <si>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</si>
  <si>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</si>
  <si>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</si>
  <si>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</si>
  <si>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</si>
  <si>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</si>
  <si>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</si>
  <si>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</si>
  <si>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</si>
  <si>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</si>
  <si>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</si>
  <si>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</si>
  <si>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</si>
  <si>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</si>
  <si>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</si>
  <si>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</si>
  <si>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</si>
  <si>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</si>
  <si>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</si>
  <si>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</si>
  <si>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</si>
  <si>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</si>
  <si>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</si>
  <si>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</si>
  <si>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</si>
  <si>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</si>
  <si>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</si>
  <si>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</si>
  <si>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</si>
  <si>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</si>
  <si>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</si>
  <si>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</si>
  <si>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</si>
  <si>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</si>
  <si>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</si>
  <si>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</si>
  <si>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</si>
  <si>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</si>
  <si>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</si>
  <si>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</si>
  <si>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</si>
  <si>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</si>
  <si>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</si>
  <si>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</si>
  <si>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</si>
  <si>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</si>
  <si>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</si>
  <si>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</si>
  <si>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</si>
  <si>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</si>
  <si>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</si>
  <si>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</si>
  <si>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</si>
  <si>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</si>
  <si>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</si>
  <si>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</si>
  <si>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</si>
  <si>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</si>
  <si>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</si>
  <si>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</si>
  <si>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</si>
  <si>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</si>
  <si>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</si>
  <si>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</si>
  <si>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</si>
  <si>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</si>
  <si>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</si>
  <si>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</si>
  <si>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</si>
  <si>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</si>
  <si>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</si>
  <si>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</si>
  <si>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</si>
  <si>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</si>
  <si>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</si>
  <si>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</si>
  <si>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</si>
  <si>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</si>
  <si>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</si>
  <si>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</si>
  <si>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</si>
  <si>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</si>
  <si>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</si>
  <si>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</si>
  <si>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</si>
  <si>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</si>
  <si>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</si>
  <si>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</si>
  <si>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</si>
  <si>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</si>
  <si>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</si>
  <si>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</si>
  <si>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</si>
  <si>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</si>
  <si>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</si>
  <si>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</si>
  <si>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</si>
  <si>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</si>
  <si>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</si>
  <si>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</si>
  <si>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</si>
  <si>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</si>
  <si>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</si>
  <si>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</si>
  <si>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</si>
  <si>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</si>
  <si>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</si>
  <si>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</si>
  <si>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</si>
  <si>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</si>
  <si>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</si>
  <si>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</si>
  <si>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</si>
  <si>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</si>
  <si>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</si>
  <si>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</si>
  <si>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</si>
  <si>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</si>
  <si>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</si>
  <si>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</si>
  <si>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</si>
  <si>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</si>
  <si>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</si>
  <si>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</si>
  <si>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</si>
  <si>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</si>
  <si>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</si>
  <si>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</si>
  <si>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</si>
  <si>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</si>
  <si>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</si>
  <si>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</si>
  <si>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</si>
  <si>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</si>
  <si>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</si>
  <si>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</si>
  <si>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</si>
  <si>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</si>
  <si>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</si>
  <si>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</si>
  <si>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</si>
  <si>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</si>
  <si>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</si>
  <si>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</si>
  <si>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</si>
  <si>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</si>
  <si>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</si>
  <si>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</si>
  <si>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</si>
  <si>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</si>
  <si>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</si>
  <si>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</si>
  <si>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</si>
  <si>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</si>
  <si>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</si>
  <si>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</si>
  <si>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</si>
  <si>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</si>
  <si>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</si>
  <si>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</si>
  <si>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</si>
  <si>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</si>
  <si>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</si>
  <si>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</si>
  <si>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</si>
  <si>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</si>
  <si>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</si>
  <si>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</si>
  <si>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</si>
  <si>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</si>
  <si>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</si>
  <si>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</si>
  <si>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</si>
  <si>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</si>
  <si>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</si>
  <si>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</si>
  <si>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</si>
  <si>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</si>
  <si>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</si>
  <si>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</si>
  <si>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</si>
  <si>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</si>
  <si>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</si>
  <si>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</si>
  <si>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</si>
  <si>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</si>
  <si>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</si>
  <si>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</si>
  <si>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</si>
  <si>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</si>
  <si>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</si>
  <si>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</si>
  <si>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</si>
  <si>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</si>
  <si>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</si>
  <si>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</si>
  <si>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</si>
  <si>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</si>
  <si>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</si>
  <si>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</si>
  <si>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</si>
  <si>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</si>
  <si>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</si>
  <si>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</si>
  <si>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</si>
  <si>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</si>
  <si>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</si>
  <si>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</si>
  <si>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</si>
  <si>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</si>
  <si>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</si>
  <si>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</si>
  <si>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</si>
  <si>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</si>
  <si>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</si>
  <si>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</si>
  <si>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</si>
  <si>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</si>
  <si>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</si>
  <si>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</si>
  <si>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</si>
  <si>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</si>
  <si>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</si>
  <si>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</si>
  <si>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</si>
  <si>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</si>
  <si>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</si>
  <si>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</si>
  <si>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</si>
  <si>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</si>
  <si>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</si>
  <si>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</si>
  <si>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</si>
  <si>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</si>
  <si>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</si>
  <si>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</si>
  <si>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</si>
  <si>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</si>
  <si>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</si>
  <si>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</si>
  <si>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</si>
  <si>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</si>
  <si>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</si>
  <si>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</si>
  <si>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</si>
  <si>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</si>
  <si>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</si>
  <si>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</si>
  <si>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</si>
  <si>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</si>
  <si>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</si>
  <si>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</si>
  <si>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</si>
  <si>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</si>
  <si>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</si>
  <si>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</si>
  <si>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</si>
  <si>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</si>
  <si>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</si>
  <si>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</si>
  <si>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</si>
  <si>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</si>
  <si>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</si>
  <si>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</si>
  <si>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</si>
  <si>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</si>
  <si>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</si>
  <si>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</si>
  <si>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</si>
  <si>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</si>
  <si>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</si>
  <si>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</si>
  <si>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</si>
  <si>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</si>
  <si>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</si>
  <si>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</si>
  <si>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</si>
  <si>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</si>
  <si>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</si>
  <si>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</si>
  <si>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</si>
  <si>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</si>
  <si>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</si>
  <si>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</si>
  <si>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</si>
  <si>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</si>
  <si>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</si>
  <si>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</si>
  <si>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</si>
  <si>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</si>
  <si>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</si>
  <si>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</si>
  <si>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</si>
  <si>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</si>
  <si>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</si>
  <si>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</si>
  <si>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</si>
  <si>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</si>
  <si>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</si>
  <si>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</si>
  <si>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</si>
  <si>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</si>
  <si>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</si>
  <si>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</si>
  <si>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</si>
  <si>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</si>
  <si>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</si>
  <si>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</si>
  <si>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</si>
  <si>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</si>
  <si>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</si>
  <si>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</si>
  <si>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</si>
  <si>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</si>
  <si>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</si>
  <si>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</si>
  <si>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</si>
  <si>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</si>
  <si>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</si>
  <si>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</si>
  <si>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</si>
  <si>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</si>
  <si>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</si>
  <si>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</si>
  <si>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</si>
  <si>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</si>
  <si>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</si>
  <si>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</si>
  <si>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</si>
  <si>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</si>
  <si>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</si>
  <si>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</si>
  <si>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</si>
  <si>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</si>
  <si>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</si>
  <si>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</si>
  <si>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</si>
  <si>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</si>
  <si>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</si>
  <si>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</si>
  <si>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</si>
  <si>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</si>
  <si>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</si>
  <si>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</si>
  <si>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</si>
  <si>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</si>
  <si>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</si>
  <si>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</si>
  <si>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</si>
  <si>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</si>
  <si>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</si>
  <si>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</si>
  <si>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</si>
  <si>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</si>
  <si>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</si>
  <si>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</si>
  <si>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</si>
  <si>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</si>
  <si>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</si>
  <si>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</si>
  <si>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</si>
  <si>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</si>
  <si>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</si>
  <si>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</si>
  <si>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</si>
  <si>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</si>
  <si>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</si>
  <si>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</si>
  <si>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</si>
  <si>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</si>
  <si>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</si>
  <si>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</si>
  <si>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</si>
  <si>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</si>
  <si>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</si>
  <si>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</si>
  <si>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</si>
  <si>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</si>
  <si>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</si>
  <si>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</si>
  <si>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</si>
  <si>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</si>
  <si>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</si>
  <si>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</si>
  <si>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</si>
  <si>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</si>
  <si>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</si>
  <si>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</si>
  <si>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</si>
  <si>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</si>
  <si>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</si>
  <si>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</si>
  <si>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</si>
  <si>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</si>
  <si>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</si>
  <si>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</si>
  <si>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</si>
  <si>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</si>
  <si>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</si>
  <si>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</si>
  <si>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</si>
  <si>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</si>
  <si>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</si>
  <si>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</si>
  <si>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</si>
  <si>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</si>
  <si>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</si>
  <si>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</si>
  <si>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</si>
  <si>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</si>
  <si>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</si>
  <si>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</si>
  <si>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</si>
  <si>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</si>
  <si>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</si>
  <si>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</si>
  <si>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</si>
  <si>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</si>
  <si>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</si>
  <si>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</si>
  <si>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</si>
  <si>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</si>
  <si>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</si>
  <si>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</si>
  <si>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</si>
  <si>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</si>
  <si>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</si>
  <si>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</si>
  <si>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</si>
  <si>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</si>
  <si>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</si>
  <si>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</si>
  <si>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</si>
  <si>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</si>
  <si>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</si>
  <si>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</si>
  <si>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</si>
  <si>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</si>
  <si>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</si>
  <si>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</si>
  <si>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</si>
  <si>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</si>
  <si>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</si>
  <si>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</si>
  <si>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</si>
  <si>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</si>
  <si>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</si>
  <si>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</si>
  <si>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</si>
  <si>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</si>
  <si>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</si>
  <si>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</si>
  <si>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</si>
  <si>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</si>
  <si>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</si>
  <si>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</si>
  <si>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</si>
  <si>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</si>
  <si>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</si>
  <si>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</si>
  <si>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</si>
  <si>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</si>
  <si>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</si>
  <si>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</si>
  <si>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</si>
  <si>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</si>
  <si>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</si>
  <si>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</si>
  <si>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</si>
  <si>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</si>
  <si>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</si>
  <si>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</si>
  <si>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</si>
  <si>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</si>
  <si>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</si>
  <si>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</si>
  <si>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</si>
  <si>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</si>
  <si>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</si>
  <si>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</si>
  <si>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</si>
  <si>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</si>
  <si>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</si>
  <si>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</si>
  <si>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</si>
  <si>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</si>
  <si>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</si>
  <si>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</si>
  <si>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</si>
  <si>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</si>
  <si>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</si>
  <si>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</si>
  <si>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</si>
  <si>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</si>
  <si>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</si>
  <si>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</si>
  <si>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</si>
  <si>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</si>
  <si>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</si>
  <si>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</si>
  <si>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</si>
  <si>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</si>
  <si>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</si>
  <si>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</si>
  <si>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</si>
  <si>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</si>
  <si>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</si>
  <si>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</si>
  <si>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</si>
  <si>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</si>
  <si>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</si>
  <si>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</si>
  <si>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</si>
  <si>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</si>
  <si>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</si>
  <si>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</si>
  <si>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</si>
  <si>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</si>
  <si>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</si>
  <si>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</si>
  <si>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</si>
  <si>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</si>
  <si>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</si>
  <si>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</si>
  <si>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</si>
  <si>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</si>
  <si>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</si>
  <si>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</si>
  <si>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</si>
  <si>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</si>
  <si>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</si>
  <si>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</si>
  <si>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</si>
  <si>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</si>
  <si>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</si>
  <si>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</si>
  <si>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</si>
  <si>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</si>
  <si>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</si>
  <si>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</si>
  <si>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</si>
  <si>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</si>
  <si>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</si>
  <si>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</si>
  <si>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</si>
  <si>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</si>
  <si>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</si>
  <si>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</si>
  <si>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</si>
  <si>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</si>
  <si>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</si>
  <si>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</si>
  <si>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</si>
  <si>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</si>
  <si>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</si>
  <si>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</si>
  <si>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</si>
  <si>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</si>
  <si>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</si>
  <si>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</si>
  <si>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</si>
  <si>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</si>
  <si>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</si>
  <si>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</si>
  <si>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</si>
  <si>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</si>
  <si>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</si>
  <si>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</si>
  <si>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</si>
  <si>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</si>
  <si>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</si>
  <si>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</si>
  <si>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</si>
  <si>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</si>
  <si>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</si>
  <si>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</si>
  <si>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河洛話</t>
  </si>
  <si>
    <t>無預設</t>
  </si>
  <si>
    <t>上及右</t>
  </si>
  <si>
    <t>方音符號</t>
  </si>
  <si>
    <t>output7</t>
    <phoneticPr fontId="1" type="noConversion"/>
  </si>
  <si>
    <t>《</t>
  </si>
  <si>
    <t>》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</si>
  <si>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</si>
  <si>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</si>
  <si>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</si>
  <si>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</si>
  <si>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閩拼調符</t>
  </si>
  <si>
    <t>經</t>
  </si>
  <si>
    <t>鄭</t>
  </si>
  <si>
    <t>．</t>
  </si>
  <si>
    <t>蘀</t>
  </si>
  <si>
    <t>兮</t>
  </si>
  <si>
    <t>吹</t>
  </si>
  <si>
    <t>女</t>
  </si>
  <si>
    <t>叔</t>
  </si>
  <si>
    <t>伯</t>
  </si>
  <si>
    <t>倡</t>
  </si>
  <si>
    <t>漂</t>
  </si>
  <si>
    <t>要</t>
  </si>
  <si>
    <t xml:space="preserve">《詩經：鄭風．蘀兮》
蘀兮蘀兮，風其吹女！
叔兮伯兮，倡予和女！
蘀兮蘀兮，風其漂女！
叔兮伯兮，倡予要女！
</t>
  </si>
  <si>
    <t>詩經：鄭風．蘀兮</t>
    <phoneticPr fontId="1" type="noConversion"/>
  </si>
  <si>
    <t>he5</t>
  </si>
  <si>
    <t>(5, 8)</t>
  </si>
  <si>
    <t>lu2</t>
  </si>
  <si>
    <t>(9, 11)</t>
  </si>
  <si>
    <t>siok4</t>
  </si>
  <si>
    <t>ciong1</t>
  </si>
  <si>
    <t>u5</t>
  </si>
  <si>
    <t>(13, 11)</t>
  </si>
  <si>
    <t>phiau1</t>
  </si>
  <si>
    <t>(5, 9); (9, 9); (17, 9)</t>
  </si>
  <si>
    <t>(9, 10); (17, 10)</t>
  </si>
  <si>
    <t>(5, 11); (9, 4); (9, 6); (17, 4); (17, 6)</t>
  </si>
  <si>
    <t>iau1</t>
  </si>
  <si>
    <t>(5, 12); (9, 5); (9, 7); (13, 5); (13, 7); (17, 5); (17, 7); (21, 5); (21, 7)</t>
  </si>
  <si>
    <t>(9, 12); (13, 12); (17, 12); (21, 12)</t>
  </si>
  <si>
    <t>(13, 4); (21, 4)</t>
  </si>
  <si>
    <t>(13, 6); (21, 6)</t>
  </si>
  <si>
    <t>(13, 9); (21, 9)</t>
  </si>
  <si>
    <t>(13, 10); (21, 10)</t>
  </si>
  <si>
    <t>(21, 11)</t>
  </si>
  <si>
    <t>【河洛文讀注音-閩拼調符】《詩經：鄭風．蘀兮》.xlsx</t>
    <phoneticPr fontId="1" type="noConversion"/>
  </si>
  <si>
    <t>thok4</t>
  </si>
  <si>
    <t>ting7</t>
  </si>
  <si>
    <t>ting7</t>
    <phoneticPr fontId="1" type="noConversion"/>
  </si>
  <si>
    <t>sī</t>
    <phoneticPr fontId="1" type="noConversion"/>
  </si>
  <si>
    <t>gīng</t>
    <phoneticPr fontId="1" type="noConversion"/>
  </si>
  <si>
    <t>hōng</t>
    <phoneticPr fontId="1" type="noConversion"/>
  </si>
  <si>
    <t>tōk</t>
    <phoneticPr fontId="1" type="noConversion"/>
  </si>
  <si>
    <t>hé</t>
    <phoneticPr fontId="1" type="noConversion"/>
  </si>
  <si>
    <t>gí</t>
    <phoneticPr fontId="1" type="noConversion"/>
  </si>
  <si>
    <t>cūi</t>
    <phoneticPr fontId="1" type="noConversion"/>
  </si>
  <si>
    <t>lǔ</t>
    <phoneticPr fontId="1" type="noConversion"/>
  </si>
  <si>
    <t>siōk</t>
    <phoneticPr fontId="1" type="noConversion"/>
  </si>
  <si>
    <t>bīk</t>
    <phoneticPr fontId="1" type="noConversion"/>
  </si>
  <si>
    <t>ciōng</t>
    <phoneticPr fontId="1" type="noConversion"/>
  </si>
  <si>
    <t>wú</t>
    <phoneticPr fontId="1" type="noConversion"/>
  </si>
  <si>
    <t>hó</t>
    <phoneticPr fontId="1" type="noConversion"/>
  </si>
  <si>
    <t>piāo</t>
    <phoneticPr fontId="1" type="noConversion"/>
  </si>
  <si>
    <t>yāo</t>
    <phoneticPr fontId="1" type="noConversion"/>
  </si>
  <si>
    <t>dîng</t>
    <phoneticPr fontId="1" type="noConversion"/>
  </si>
  <si>
    <t>詩經_鄭風_蘀兮.png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</si>
</sst>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6"/>
      <color rgb="FF009900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1" fillId="0" borderId="0" applyNumberForma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/>
    </xf>
    <xf numFmtId="0" fontId="19" fillId="0" borderId="4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3" fillId="0" borderId="0" xfId="3" applyFont="1" applyAlignment="1">
      <alignment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shrinkToFit="1" readingOrder="1"/>
    </xf>
    <xf numFmtId="0" fontId="26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7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0" fillId="0" borderId="0" xfId="3" applyFont="1" applyAlignment="1">
      <alignment horizontal="center"/>
    </xf>
    <xf numFmtId="0" fontId="32" fillId="0" borderId="0" xfId="3" applyFont="1" applyAlignment="1">
      <alignment horizontal="center"/>
    </xf>
    <xf numFmtId="0" fontId="20" fillId="0" borderId="0" xfId="3" applyFont="1" applyAlignment="1">
      <alignment horizontal="center" vertical="center"/>
    </xf>
    <xf numFmtId="0" fontId="33" fillId="0" borderId="0" xfId="1" applyFont="1">
      <alignment vertical="center"/>
    </xf>
    <xf numFmtId="0" fontId="34" fillId="0" borderId="0" xfId="3" applyFont="1" applyAlignment="1">
      <alignment horizontal="left" vertical="center"/>
    </xf>
    <xf numFmtId="0" fontId="35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37" fillId="3" borderId="0" xfId="1" applyFont="1" applyFill="1">
      <alignment vertical="center"/>
    </xf>
    <xf numFmtId="0" fontId="35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29" fillId="0" borderId="0" xfId="3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38" fillId="2" borderId="3" xfId="3" applyFont="1" applyFill="1" applyBorder="1" applyAlignment="1" applyProtection="1">
      <alignment horizontal="center" vertical="center" wrapText="1" readingOrder="1"/>
      <protection locked="0"/>
    </xf>
    <xf numFmtId="0" fontId="31" fillId="4" borderId="0" xfId="4" applyFill="1" applyAlignment="1">
      <alignment vertical="center" readingOrder="1"/>
    </xf>
    <xf numFmtId="0" fontId="40" fillId="0" borderId="0" xfId="3" applyFont="1" applyAlignment="1">
      <alignment horizontal="center" vertical="center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20" fillId="0" borderId="0" xfId="3" applyFont="1" applyFill="1" applyAlignment="1">
      <alignment horizontal="center" vertical="center"/>
    </xf>
    <xf numFmtId="0" fontId="39" fillId="0" borderId="0" xfId="3" applyFont="1" applyFill="1" applyAlignment="1">
      <alignment horizontal="center" vertical="center"/>
    </xf>
    <xf numFmtId="0" fontId="40" fillId="0" borderId="0" xfId="3" applyFont="1" applyFill="1" applyAlignment="1">
      <alignment horizontal="center" vertical="center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76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0"/>
  <sheetViews>
    <sheetView topLeftCell="A3" zoomScale="80" zoomScaleNormal="80" workbookViewId="0">
      <selection activeCell="C8" sqref="C8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5" t="s">
        <v>0</v>
      </c>
      <c r="C1" s="45" t="s">
        <v>1</v>
      </c>
    </row>
    <row r="2" spans="2:4" ht="30">
      <c r="B2" s="40" t="s">
        <v>1157</v>
      </c>
      <c r="C2" s="43">
        <v>1</v>
      </c>
    </row>
    <row r="3" spans="2:4" ht="30">
      <c r="B3" s="40" t="s">
        <v>1158</v>
      </c>
      <c r="C3" s="48" t="s">
        <v>1159</v>
      </c>
    </row>
    <row r="4" spans="2:4">
      <c r="B4" s="4" t="s">
        <v>2</v>
      </c>
      <c r="C4" s="2"/>
    </row>
    <row r="5" spans="2:4">
      <c r="B5" s="4" t="s">
        <v>3</v>
      </c>
      <c r="C5" s="2" t="s">
        <v>1207</v>
      </c>
    </row>
    <row r="6" spans="2:4">
      <c r="B6" s="4" t="s">
        <v>4</v>
      </c>
      <c r="C6" s="3" t="s">
        <v>1186</v>
      </c>
    </row>
    <row r="7" spans="2:4">
      <c r="B7" s="4" t="s">
        <v>5</v>
      </c>
      <c r="C7" s="53" t="s">
        <v>1227</v>
      </c>
      <c r="D7" s="47"/>
    </row>
    <row r="8" spans="2:4">
      <c r="B8" s="4" t="s">
        <v>6</v>
      </c>
      <c r="C8" s="44" t="s">
        <v>1165</v>
      </c>
    </row>
    <row r="9" spans="2:4" ht="30">
      <c r="B9" s="40" t="s">
        <v>7</v>
      </c>
      <c r="C9" s="43"/>
    </row>
    <row r="10" spans="2:4">
      <c r="B10" s="41" t="s">
        <v>8</v>
      </c>
      <c r="C10" s="43" t="b">
        <v>1</v>
      </c>
    </row>
    <row r="11" spans="2:4" ht="30">
      <c r="B11" s="40" t="s">
        <v>9</v>
      </c>
      <c r="C11" s="43">
        <v>6</v>
      </c>
      <c r="D11" s="1">
        <f>每頁總列數*4+5</f>
        <v>29</v>
      </c>
    </row>
    <row r="12" spans="2:4" ht="30">
      <c r="B12" s="40" t="s">
        <v>10</v>
      </c>
      <c r="C12" s="43">
        <v>15</v>
      </c>
    </row>
    <row r="13" spans="2:4" ht="30">
      <c r="B13" s="40" t="s">
        <v>11</v>
      </c>
      <c r="C13" s="42" t="s">
        <v>1160</v>
      </c>
    </row>
    <row r="14" spans="2:4" ht="30">
      <c r="B14" s="40" t="s">
        <v>12</v>
      </c>
      <c r="C14" s="42" t="s">
        <v>1161</v>
      </c>
    </row>
    <row r="15" spans="2:4" ht="30">
      <c r="B15" s="40" t="s">
        <v>13</v>
      </c>
      <c r="C15" s="42" t="s">
        <v>1172</v>
      </c>
    </row>
    <row r="16" spans="2:4" ht="30">
      <c r="B16" s="40" t="s">
        <v>14</v>
      </c>
      <c r="C16" s="42" t="s">
        <v>1162</v>
      </c>
    </row>
    <row r="17" spans="2:3" ht="30">
      <c r="B17" s="40" t="s">
        <v>15</v>
      </c>
      <c r="C17" s="42" t="s">
        <v>1163</v>
      </c>
    </row>
    <row r="18" spans="2:3" ht="30">
      <c r="B18" s="40" t="s">
        <v>16</v>
      </c>
      <c r="C18" s="42" t="s">
        <v>1172</v>
      </c>
    </row>
    <row r="19" spans="2:3" ht="30">
      <c r="B19" s="40" t="s">
        <v>17</v>
      </c>
      <c r="C19" s="42" t="s">
        <v>1164</v>
      </c>
    </row>
    <row r="20" spans="2:3" ht="30">
      <c r="B20" s="40" t="s">
        <v>1156</v>
      </c>
      <c r="C20" s="46">
        <v>0</v>
      </c>
    </row>
  </sheetData>
  <phoneticPr fontId="1" type="noConversion"/>
  <dataValidations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D5D3E041-FB0A-4D86-8833-54CE1BCA04EC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25272-BCC8-4E02-A140-6C35FD0DED10}">
  <dimension ref="A1:D2"/>
  <sheetViews>
    <sheetView workbookViewId="0">
      <selection activeCell="C3" sqref="C3"/>
    </sheetView>
  </sheetViews>
  <sheetFormatPr defaultRowHeight="16.5"/>
  <sheetData>
    <row r="1" spans="1:4">
      <c r="A1" t="s">
        <v>1168</v>
      </c>
      <c r="B1" t="s">
        <v>1169</v>
      </c>
      <c r="C1" t="s">
        <v>1170</v>
      </c>
      <c r="D1" t="s">
        <v>1171</v>
      </c>
    </row>
    <row r="2" spans="1:4">
      <c r="A2" t="s">
        <v>1176</v>
      </c>
      <c r="B2" t="s">
        <v>499</v>
      </c>
      <c r="C2" t="s">
        <v>1208</v>
      </c>
      <c r="D2" t="s">
        <v>1198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EB5C-BFB1-416E-8B5C-C87139338D16}">
  <dimension ref="A1:D16"/>
  <sheetViews>
    <sheetView workbookViewId="0">
      <selection activeCell="K15" sqref="K15"/>
    </sheetView>
  </sheetViews>
  <sheetFormatPr defaultRowHeight="16.5"/>
  <sheetData>
    <row r="1" spans="1:4">
      <c r="A1" t="s">
        <v>1168</v>
      </c>
      <c r="B1" t="s">
        <v>1169</v>
      </c>
      <c r="C1" t="s">
        <v>1170</v>
      </c>
      <c r="D1" t="s">
        <v>1171</v>
      </c>
    </row>
    <row r="2" spans="1:4">
      <c r="A2" t="s">
        <v>100</v>
      </c>
      <c r="B2" t="s">
        <v>331</v>
      </c>
      <c r="C2" t="s">
        <v>499</v>
      </c>
      <c r="D2" t="s">
        <v>919</v>
      </c>
    </row>
    <row r="3" spans="1:4">
      <c r="A3" t="s">
        <v>1173</v>
      </c>
      <c r="B3" t="s">
        <v>426</v>
      </c>
      <c r="C3" t="s">
        <v>499</v>
      </c>
      <c r="D3" t="s">
        <v>920</v>
      </c>
    </row>
    <row r="4" spans="1:4">
      <c r="A4" t="s">
        <v>170</v>
      </c>
      <c r="B4" t="s">
        <v>389</v>
      </c>
      <c r="C4" t="s">
        <v>499</v>
      </c>
      <c r="D4" t="s">
        <v>1196</v>
      </c>
    </row>
    <row r="5" spans="1:4">
      <c r="A5" t="s">
        <v>1177</v>
      </c>
      <c r="B5" t="s">
        <v>1187</v>
      </c>
      <c r="C5" t="s">
        <v>499</v>
      </c>
      <c r="D5" t="s">
        <v>1200</v>
      </c>
    </row>
    <row r="6" spans="1:4">
      <c r="A6" t="s">
        <v>93</v>
      </c>
      <c r="B6" t="s">
        <v>45</v>
      </c>
      <c r="C6" t="s">
        <v>499</v>
      </c>
      <c r="D6" t="s">
        <v>1197</v>
      </c>
    </row>
    <row r="7" spans="1:4">
      <c r="A7" t="s">
        <v>1178</v>
      </c>
      <c r="B7" t="s">
        <v>403</v>
      </c>
      <c r="C7" t="s">
        <v>499</v>
      </c>
      <c r="D7" t="s">
        <v>1190</v>
      </c>
    </row>
    <row r="8" spans="1:4">
      <c r="A8" t="s">
        <v>1179</v>
      </c>
      <c r="B8" t="s">
        <v>1189</v>
      </c>
      <c r="C8" t="s">
        <v>499</v>
      </c>
      <c r="D8" t="s">
        <v>1201</v>
      </c>
    </row>
    <row r="9" spans="1:4">
      <c r="A9" t="s">
        <v>1180</v>
      </c>
      <c r="B9" t="s">
        <v>1191</v>
      </c>
      <c r="C9" t="s">
        <v>499</v>
      </c>
      <c r="D9" t="s">
        <v>1202</v>
      </c>
    </row>
    <row r="10" spans="1:4">
      <c r="A10" t="s">
        <v>1181</v>
      </c>
      <c r="B10" t="s">
        <v>315</v>
      </c>
      <c r="C10" t="s">
        <v>499</v>
      </c>
      <c r="D10" t="s">
        <v>1203</v>
      </c>
    </row>
    <row r="11" spans="1:4">
      <c r="A11" t="s">
        <v>1182</v>
      </c>
      <c r="B11" t="s">
        <v>1192</v>
      </c>
      <c r="C11" t="s">
        <v>499</v>
      </c>
      <c r="D11" t="s">
        <v>1204</v>
      </c>
    </row>
    <row r="12" spans="1:4">
      <c r="A12" t="s">
        <v>36</v>
      </c>
      <c r="B12" t="s">
        <v>1193</v>
      </c>
      <c r="C12" t="s">
        <v>499</v>
      </c>
      <c r="D12" t="s">
        <v>1205</v>
      </c>
    </row>
    <row r="13" spans="1:4">
      <c r="A13" t="s">
        <v>29</v>
      </c>
      <c r="B13" t="s">
        <v>40</v>
      </c>
      <c r="C13" t="s">
        <v>499</v>
      </c>
      <c r="D13" t="s">
        <v>1194</v>
      </c>
    </row>
    <row r="14" spans="1:4">
      <c r="A14" t="s">
        <v>1183</v>
      </c>
      <c r="B14" t="s">
        <v>1195</v>
      </c>
      <c r="C14" t="s">
        <v>499</v>
      </c>
      <c r="D14" t="s">
        <v>959</v>
      </c>
    </row>
    <row r="15" spans="1:4">
      <c r="A15" t="s">
        <v>1184</v>
      </c>
      <c r="B15" t="s">
        <v>1199</v>
      </c>
      <c r="C15" t="s">
        <v>499</v>
      </c>
      <c r="D15" t="s">
        <v>1206</v>
      </c>
    </row>
    <row r="16" spans="1:4">
      <c r="A16" t="s">
        <v>1176</v>
      </c>
      <c r="B16" t="s">
        <v>1208</v>
      </c>
      <c r="C16" t="s">
        <v>499</v>
      </c>
      <c r="D16" t="s">
        <v>1198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03AF-40D0-43ED-A8F1-5F10613BDBB5}">
  <dimension ref="A1:D2"/>
  <sheetViews>
    <sheetView workbookViewId="0"/>
  </sheetViews>
  <sheetFormatPr defaultRowHeight="16.5"/>
  <sheetData>
    <row r="1" spans="1:4">
      <c r="A1" t="s">
        <v>1168</v>
      </c>
      <c r="B1" t="s">
        <v>1169</v>
      </c>
      <c r="C1" t="s">
        <v>1170</v>
      </c>
      <c r="D1" t="s">
        <v>1171</v>
      </c>
    </row>
    <row r="2" spans="1:4">
      <c r="A2" t="s">
        <v>1174</v>
      </c>
      <c r="B2" t="s">
        <v>1209</v>
      </c>
      <c r="C2" t="s">
        <v>1209</v>
      </c>
      <c r="D2" t="s">
        <v>1188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tabSelected="1" zoomScale="50" zoomScaleNormal="50" workbookViewId="0">
      <pane xSplit="3" ySplit="1" topLeftCell="D15" activePane="bottomRight" state="frozen"/>
      <selection pane="topRight" activeCell="D1" sqref="D1"/>
      <selection pane="bottomLeft" activeCell="A2" sqref="A2"/>
      <selection pane="bottomRight" activeCell="D25" sqref="D25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55</v>
      </c>
    </row>
    <row r="3" spans="1:22" s="15" customFormat="1" ht="60" customHeight="1">
      <c r="B3" s="12"/>
      <c r="C3" s="13"/>
      <c r="D3" s="52"/>
      <c r="E3" s="52"/>
      <c r="F3" s="52"/>
      <c r="G3" s="52"/>
      <c r="H3" s="52" t="s">
        <v>1210</v>
      </c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55" t="s">
        <v>1185</v>
      </c>
    </row>
    <row r="4" spans="1:22" s="6" customFormat="1" ht="36" customHeight="1">
      <c r="B4" s="17"/>
      <c r="D4" s="61"/>
      <c r="E4" s="61" t="s">
        <v>331</v>
      </c>
      <c r="F4" s="61" t="s">
        <v>426</v>
      </c>
      <c r="G4" s="61"/>
      <c r="H4" s="61" t="s">
        <v>1210</v>
      </c>
      <c r="I4" s="61" t="s">
        <v>389</v>
      </c>
      <c r="J4" s="61"/>
      <c r="K4" s="61" t="s">
        <v>1208</v>
      </c>
      <c r="L4" s="61" t="s">
        <v>1187</v>
      </c>
      <c r="M4" s="61"/>
      <c r="N4" s="61"/>
      <c r="O4" s="50"/>
      <c r="P4" s="50"/>
      <c r="Q4" s="50"/>
      <c r="R4" s="50"/>
      <c r="S4" s="18"/>
      <c r="V4" s="56"/>
    </row>
    <row r="5" spans="1:22" s="6" customFormat="1" ht="80.099999999999994" customHeight="1">
      <c r="B5" s="19">
        <v>1</v>
      </c>
      <c r="D5" s="60" t="s">
        <v>1166</v>
      </c>
      <c r="E5" s="60" t="s">
        <v>100</v>
      </c>
      <c r="F5" s="60" t="s">
        <v>1173</v>
      </c>
      <c r="G5" s="60" t="s">
        <v>289</v>
      </c>
      <c r="H5" s="60" t="s">
        <v>1174</v>
      </c>
      <c r="I5" s="60" t="s">
        <v>170</v>
      </c>
      <c r="J5" s="60" t="s">
        <v>1175</v>
      </c>
      <c r="K5" s="60" t="s">
        <v>1176</v>
      </c>
      <c r="L5" s="60" t="s">
        <v>1177</v>
      </c>
      <c r="M5" s="60" t="s">
        <v>1167</v>
      </c>
      <c r="N5" s="60" t="str">
        <f>CHAR(10)</f>
        <v xml:space="preserve">
</v>
      </c>
      <c r="O5" s="39"/>
      <c r="P5" s="39"/>
      <c r="Q5" s="39"/>
      <c r="R5" s="39"/>
      <c r="S5" s="20"/>
      <c r="V5" s="56"/>
    </row>
    <row r="6" spans="1:22" s="24" customFormat="1" ht="36" customHeight="1">
      <c r="B6" s="21"/>
      <c r="C6" s="22"/>
      <c r="D6" s="62"/>
      <c r="E6" s="62" t="s">
        <v>1211</v>
      </c>
      <c r="F6" s="62" t="s">
        <v>1212</v>
      </c>
      <c r="G6" s="62"/>
      <c r="H6" s="62" t="s">
        <v>1226</v>
      </c>
      <c r="I6" s="62" t="s">
        <v>1213</v>
      </c>
      <c r="J6" s="62"/>
      <c r="K6" s="62" t="s">
        <v>1214</v>
      </c>
      <c r="L6" s="62" t="s">
        <v>1215</v>
      </c>
      <c r="M6" s="62"/>
      <c r="N6" s="62"/>
      <c r="O6" s="54"/>
      <c r="P6" s="54"/>
      <c r="Q6" s="54"/>
      <c r="R6" s="54"/>
      <c r="S6" s="23"/>
      <c r="V6" s="56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56"/>
    </row>
    <row r="8" spans="1:22" s="6" customFormat="1" ht="36" customHeight="1">
      <c r="B8" s="17"/>
      <c r="D8" s="61" t="s">
        <v>1208</v>
      </c>
      <c r="E8" s="61" t="s">
        <v>1187</v>
      </c>
      <c r="F8" s="61" t="s">
        <v>1208</v>
      </c>
      <c r="G8" s="61" t="s">
        <v>1187</v>
      </c>
      <c r="H8" s="61"/>
      <c r="I8" s="61" t="s">
        <v>389</v>
      </c>
      <c r="J8" s="61" t="s">
        <v>45</v>
      </c>
      <c r="K8" s="61" t="s">
        <v>403</v>
      </c>
      <c r="L8" s="61" t="s">
        <v>1189</v>
      </c>
      <c r="M8" s="61"/>
      <c r="N8" s="61"/>
      <c r="O8" s="50"/>
      <c r="P8" s="50"/>
      <c r="Q8" s="50"/>
      <c r="R8" s="50"/>
      <c r="S8" s="18"/>
      <c r="V8" s="56"/>
    </row>
    <row r="9" spans="1:22" s="6" customFormat="1" ht="80.099999999999994" customHeight="1">
      <c r="B9" s="19">
        <f>B5+1</f>
        <v>2</v>
      </c>
      <c r="D9" s="60" t="s">
        <v>1176</v>
      </c>
      <c r="E9" s="60" t="s">
        <v>1177</v>
      </c>
      <c r="F9" s="60" t="s">
        <v>1176</v>
      </c>
      <c r="G9" s="60" t="s">
        <v>1177</v>
      </c>
      <c r="H9" s="60" t="s">
        <v>23</v>
      </c>
      <c r="I9" s="60" t="s">
        <v>170</v>
      </c>
      <c r="J9" s="60" t="s">
        <v>93</v>
      </c>
      <c r="K9" s="60" t="s">
        <v>1178</v>
      </c>
      <c r="L9" s="60" t="s">
        <v>1179</v>
      </c>
      <c r="M9" s="60" t="s">
        <v>267</v>
      </c>
      <c r="N9" s="60" t="str">
        <f>CHAR(10)</f>
        <v xml:space="preserve">
</v>
      </c>
      <c r="O9" s="39"/>
      <c r="P9" s="39"/>
      <c r="Q9" s="39"/>
      <c r="R9" s="39"/>
      <c r="S9" s="20"/>
      <c r="T9" s="16"/>
      <c r="V9" s="56"/>
    </row>
    <row r="10" spans="1:22" s="6" customFormat="1" ht="36" customHeight="1">
      <c r="B10" s="21"/>
      <c r="D10" s="62" t="s">
        <v>1214</v>
      </c>
      <c r="E10" s="62" t="s">
        <v>1215</v>
      </c>
      <c r="F10" s="62" t="s">
        <v>1214</v>
      </c>
      <c r="G10" s="62" t="s">
        <v>1215</v>
      </c>
      <c r="H10" s="62"/>
      <c r="I10" s="62" t="s">
        <v>1213</v>
      </c>
      <c r="J10" s="62" t="s">
        <v>1216</v>
      </c>
      <c r="K10" s="62" t="s">
        <v>1217</v>
      </c>
      <c r="L10" s="62" t="s">
        <v>1218</v>
      </c>
      <c r="M10" s="62"/>
      <c r="N10" s="62"/>
      <c r="O10" s="54"/>
      <c r="P10" s="54"/>
      <c r="Q10" s="54"/>
      <c r="R10" s="54"/>
      <c r="S10" s="29"/>
      <c r="V10" s="56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6"/>
    </row>
    <row r="12" spans="1:22" s="6" customFormat="1" ht="36" customHeight="1">
      <c r="B12" s="17"/>
      <c r="D12" s="61" t="s">
        <v>1191</v>
      </c>
      <c r="E12" s="61" t="s">
        <v>1187</v>
      </c>
      <c r="F12" s="61" t="s">
        <v>315</v>
      </c>
      <c r="G12" s="61" t="s">
        <v>1187</v>
      </c>
      <c r="H12" s="61"/>
      <c r="I12" s="61" t="s">
        <v>1192</v>
      </c>
      <c r="J12" s="61" t="s">
        <v>1193</v>
      </c>
      <c r="K12" s="61" t="s">
        <v>40</v>
      </c>
      <c r="L12" s="61" t="s">
        <v>1189</v>
      </c>
      <c r="M12" s="61"/>
      <c r="N12" s="61"/>
      <c r="O12" s="50"/>
      <c r="P12" s="50"/>
      <c r="Q12" s="50"/>
      <c r="R12" s="50"/>
      <c r="S12" s="18"/>
      <c r="V12" s="56"/>
    </row>
    <row r="13" spans="1:22" s="6" customFormat="1" ht="80.099999999999994" customHeight="1">
      <c r="B13" s="19">
        <f>B9+1</f>
        <v>3</v>
      </c>
      <c r="D13" s="60" t="s">
        <v>1180</v>
      </c>
      <c r="E13" s="60" t="s">
        <v>1177</v>
      </c>
      <c r="F13" s="60" t="s">
        <v>1181</v>
      </c>
      <c r="G13" s="60" t="s">
        <v>1177</v>
      </c>
      <c r="H13" s="60" t="s">
        <v>23</v>
      </c>
      <c r="I13" s="60" t="s">
        <v>1182</v>
      </c>
      <c r="J13" s="60" t="s">
        <v>36</v>
      </c>
      <c r="K13" s="60" t="s">
        <v>29</v>
      </c>
      <c r="L13" s="60" t="s">
        <v>1179</v>
      </c>
      <c r="M13" s="60" t="s">
        <v>267</v>
      </c>
      <c r="N13" s="60" t="str">
        <f>CHAR(10)</f>
        <v xml:space="preserve">
</v>
      </c>
      <c r="O13" s="39"/>
      <c r="P13" s="39"/>
      <c r="Q13" s="39"/>
      <c r="R13" s="39"/>
      <c r="S13" s="20"/>
      <c r="V13" s="56"/>
    </row>
    <row r="14" spans="1:22" s="6" customFormat="1" ht="36" customHeight="1">
      <c r="B14" s="21"/>
      <c r="D14" s="62" t="s">
        <v>1219</v>
      </c>
      <c r="E14" s="62" t="s">
        <v>1215</v>
      </c>
      <c r="F14" s="62" t="s">
        <v>1220</v>
      </c>
      <c r="G14" s="62" t="s">
        <v>1215</v>
      </c>
      <c r="H14" s="62"/>
      <c r="I14" s="62" t="s">
        <v>1221</v>
      </c>
      <c r="J14" s="62" t="s">
        <v>1222</v>
      </c>
      <c r="K14" s="62" t="s">
        <v>1223</v>
      </c>
      <c r="L14" s="62" t="s">
        <v>1218</v>
      </c>
      <c r="M14" s="62"/>
      <c r="N14" s="62"/>
      <c r="O14" s="54"/>
      <c r="P14" s="54"/>
      <c r="Q14" s="54"/>
      <c r="R14" s="54"/>
      <c r="S14" s="29"/>
      <c r="V14" s="56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6"/>
    </row>
    <row r="16" spans="1:22" s="6" customFormat="1" ht="36" customHeight="1">
      <c r="B16" s="17"/>
      <c r="D16" s="61" t="s">
        <v>1208</v>
      </c>
      <c r="E16" s="61" t="s">
        <v>1187</v>
      </c>
      <c r="F16" s="61" t="s">
        <v>1208</v>
      </c>
      <c r="G16" s="61" t="s">
        <v>1187</v>
      </c>
      <c r="H16" s="61"/>
      <c r="I16" s="61" t="s">
        <v>389</v>
      </c>
      <c r="J16" s="61" t="s">
        <v>45</v>
      </c>
      <c r="K16" s="61" t="s">
        <v>1195</v>
      </c>
      <c r="L16" s="61" t="s">
        <v>1189</v>
      </c>
      <c r="M16" s="61"/>
      <c r="N16" s="61"/>
      <c r="O16" s="50"/>
      <c r="P16" s="50"/>
      <c r="Q16" s="50"/>
      <c r="R16" s="50"/>
      <c r="S16" s="18"/>
      <c r="V16" s="56"/>
    </row>
    <row r="17" spans="2:22" s="6" customFormat="1" ht="80.099999999999994" customHeight="1">
      <c r="B17" s="19">
        <f>B13+1</f>
        <v>4</v>
      </c>
      <c r="D17" s="60" t="s">
        <v>1176</v>
      </c>
      <c r="E17" s="60" t="s">
        <v>1177</v>
      </c>
      <c r="F17" s="60" t="s">
        <v>1176</v>
      </c>
      <c r="G17" s="60" t="s">
        <v>1177</v>
      </c>
      <c r="H17" s="60" t="s">
        <v>23</v>
      </c>
      <c r="I17" s="60" t="s">
        <v>170</v>
      </c>
      <c r="J17" s="60" t="s">
        <v>93</v>
      </c>
      <c r="K17" s="60" t="s">
        <v>1183</v>
      </c>
      <c r="L17" s="60" t="s">
        <v>1179</v>
      </c>
      <c r="M17" s="60" t="s">
        <v>267</v>
      </c>
      <c r="N17" s="60" t="str">
        <f>CHAR(10)</f>
        <v xml:space="preserve">
</v>
      </c>
      <c r="O17" s="39"/>
      <c r="P17" s="39"/>
      <c r="Q17" s="39"/>
      <c r="R17" s="39"/>
      <c r="S17" s="20"/>
      <c r="V17" s="56"/>
    </row>
    <row r="18" spans="2:22" s="6" customFormat="1" ht="36" customHeight="1">
      <c r="B18" s="21"/>
      <c r="D18" s="62" t="s">
        <v>1214</v>
      </c>
      <c r="E18" s="62" t="s">
        <v>1215</v>
      </c>
      <c r="F18" s="62" t="s">
        <v>1214</v>
      </c>
      <c r="G18" s="62" t="s">
        <v>1215</v>
      </c>
      <c r="H18" s="62"/>
      <c r="I18" s="62" t="s">
        <v>1213</v>
      </c>
      <c r="J18" s="62" t="s">
        <v>1216</v>
      </c>
      <c r="K18" s="62" t="s">
        <v>1224</v>
      </c>
      <c r="L18" s="62" t="s">
        <v>1218</v>
      </c>
      <c r="M18" s="62"/>
      <c r="N18" s="62"/>
      <c r="O18" s="54"/>
      <c r="P18" s="54"/>
      <c r="Q18" s="54"/>
      <c r="R18" s="54"/>
      <c r="S18" s="29"/>
      <c r="V18" s="56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56"/>
    </row>
    <row r="20" spans="2:22" s="6" customFormat="1" ht="36" customHeight="1">
      <c r="B20" s="17"/>
      <c r="D20" s="61" t="s">
        <v>1191</v>
      </c>
      <c r="E20" s="61" t="s">
        <v>1187</v>
      </c>
      <c r="F20" s="61" t="s">
        <v>315</v>
      </c>
      <c r="G20" s="61" t="s">
        <v>1187</v>
      </c>
      <c r="H20" s="61"/>
      <c r="I20" s="61" t="s">
        <v>1192</v>
      </c>
      <c r="J20" s="61" t="s">
        <v>1193</v>
      </c>
      <c r="K20" s="61" t="s">
        <v>1199</v>
      </c>
      <c r="L20" s="61" t="s">
        <v>1189</v>
      </c>
      <c r="M20" s="61"/>
      <c r="N20" s="61"/>
      <c r="O20" s="50"/>
      <c r="P20" s="50"/>
      <c r="Q20" s="50"/>
      <c r="R20" s="50"/>
      <c r="S20" s="18"/>
      <c r="V20" s="56"/>
    </row>
    <row r="21" spans="2:22" s="6" customFormat="1" ht="80.099999999999994" customHeight="1">
      <c r="B21" s="19">
        <f>B17+1</f>
        <v>5</v>
      </c>
      <c r="D21" s="60" t="s">
        <v>1180</v>
      </c>
      <c r="E21" s="60" t="s">
        <v>1177</v>
      </c>
      <c r="F21" s="60" t="s">
        <v>1181</v>
      </c>
      <c r="G21" s="60" t="s">
        <v>1177</v>
      </c>
      <c r="H21" s="60" t="s">
        <v>23</v>
      </c>
      <c r="I21" s="60" t="s">
        <v>1182</v>
      </c>
      <c r="J21" s="60" t="s">
        <v>36</v>
      </c>
      <c r="K21" s="60" t="s">
        <v>1184</v>
      </c>
      <c r="L21" s="60" t="s">
        <v>1179</v>
      </c>
      <c r="M21" s="60" t="s">
        <v>267</v>
      </c>
      <c r="N21" s="60" t="str">
        <f>CHAR(10)</f>
        <v xml:space="preserve">
</v>
      </c>
      <c r="O21" s="39"/>
      <c r="P21" s="39"/>
      <c r="Q21" s="39"/>
      <c r="R21" s="39"/>
      <c r="S21" s="20"/>
      <c r="V21" s="56"/>
    </row>
    <row r="22" spans="2:22" s="6" customFormat="1" ht="36" customHeight="1">
      <c r="B22" s="21"/>
      <c r="D22" s="62" t="s">
        <v>1219</v>
      </c>
      <c r="E22" s="62" t="s">
        <v>1215</v>
      </c>
      <c r="F22" s="62" t="s">
        <v>1220</v>
      </c>
      <c r="G22" s="62" t="s">
        <v>1215</v>
      </c>
      <c r="H22" s="62"/>
      <c r="I22" s="62" t="s">
        <v>1221</v>
      </c>
      <c r="J22" s="62" t="s">
        <v>1222</v>
      </c>
      <c r="K22" s="62" t="s">
        <v>1225</v>
      </c>
      <c r="L22" s="62" t="s">
        <v>1218</v>
      </c>
      <c r="M22" s="62"/>
      <c r="N22" s="62"/>
      <c r="O22" s="54"/>
      <c r="P22" s="54"/>
      <c r="Q22" s="54"/>
      <c r="R22" s="54"/>
      <c r="S22" s="29"/>
      <c r="V22" s="56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56"/>
    </row>
    <row r="24" spans="2:22" s="6" customFormat="1" ht="36" customHeight="1">
      <c r="B24" s="17"/>
      <c r="D24" s="61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18"/>
      <c r="V24" s="56"/>
    </row>
    <row r="25" spans="2:22" s="6" customFormat="1" ht="80.099999999999994" customHeight="1">
      <c r="B25" s="19">
        <f>B21+1</f>
        <v>6</v>
      </c>
      <c r="D25" s="60" t="s">
        <v>38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56"/>
    </row>
    <row r="26" spans="2:22" s="6" customFormat="1" ht="36" customHeight="1">
      <c r="B26" s="21"/>
      <c r="D26" s="62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29"/>
      <c r="V26" s="56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33" t="str">
        <f t="shared" ref="U27:U32" si="1" xml:space="preserve"> MID($N$26,4,1)</f>
        <v/>
      </c>
      <c r="V27" s="56"/>
    </row>
    <row r="28" spans="2:22" s="6" customFormat="1" ht="36" customHeight="1">
      <c r="B28" s="17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18"/>
      <c r="U28" s="33" t="str">
        <f t="shared" si="1"/>
        <v/>
      </c>
      <c r="V28" s="56"/>
    </row>
    <row r="29" spans="2:22" s="6" customFormat="1" ht="80.099999999999994" customHeight="1">
      <c r="B29" s="19">
        <f>B25+1</f>
        <v>7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20"/>
      <c r="U29" s="33" t="str">
        <f t="shared" si="1"/>
        <v/>
      </c>
      <c r="V29" s="56"/>
    </row>
    <row r="30" spans="2:22" s="6" customFormat="1" ht="36" customHeight="1">
      <c r="B30" s="21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29"/>
      <c r="U30" s="33" t="str">
        <f t="shared" si="1"/>
        <v/>
      </c>
      <c r="V30" s="56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33" t="str">
        <f t="shared" si="1"/>
        <v/>
      </c>
      <c r="V31" s="56"/>
    </row>
    <row r="32" spans="2:22" s="6" customFormat="1" ht="36" customHeight="1">
      <c r="B32" s="17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18"/>
      <c r="U32" s="33" t="str">
        <f t="shared" si="1"/>
        <v/>
      </c>
      <c r="V32" s="56"/>
    </row>
    <row r="33" spans="2:22" s="6" customFormat="1" ht="80.099999999999994" customHeight="1">
      <c r="B33" s="19">
        <f>B29+1</f>
        <v>8</v>
      </c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20"/>
      <c r="V33" s="56"/>
    </row>
    <row r="34" spans="2:22" s="6" customFormat="1" ht="36" customHeight="1">
      <c r="B34" s="21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29"/>
      <c r="V34" s="56"/>
    </row>
    <row r="35" spans="2:22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56"/>
    </row>
    <row r="36" spans="2:22" s="6" customFormat="1" ht="36" customHeight="1">
      <c r="B36" s="17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18"/>
      <c r="V36" s="56"/>
    </row>
    <row r="37" spans="2:22" s="6" customFormat="1" ht="80.099999999999994" customHeight="1">
      <c r="B37" s="19">
        <f>B33+1</f>
        <v>9</v>
      </c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20"/>
      <c r="V37" s="56"/>
    </row>
    <row r="38" spans="2:22" s="6" customFormat="1" ht="36" customHeight="1">
      <c r="B38" s="21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29"/>
      <c r="V38" s="56"/>
    </row>
    <row r="39" spans="2:22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V39" s="56"/>
    </row>
    <row r="40" spans="2:22" s="6" customFormat="1" ht="36" customHeight="1">
      <c r="B40" s="17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18"/>
      <c r="V40" s="56"/>
    </row>
    <row r="41" spans="2:22" s="6" customFormat="1" ht="80.099999999999994" customHeight="1">
      <c r="B41" s="19">
        <f>B37+1</f>
        <v>10</v>
      </c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20"/>
      <c r="V41" s="56"/>
    </row>
    <row r="42" spans="2:22" s="6" customFormat="1" ht="36" customHeight="1">
      <c r="B42" s="21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29"/>
      <c r="V42" s="56"/>
    </row>
    <row r="43" spans="2:22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V43" s="56"/>
    </row>
    <row r="44" spans="2:22" s="6" customFormat="1" ht="36" customHeight="1">
      <c r="B44" s="17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18"/>
      <c r="V44" s="56"/>
    </row>
    <row r="45" spans="2:22" s="6" customFormat="1" ht="80.099999999999994" customHeight="1">
      <c r="B45" s="19">
        <f>B41+1</f>
        <v>11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20"/>
      <c r="V45" s="56"/>
    </row>
    <row r="46" spans="2:22" s="6" customFormat="1" ht="36" customHeight="1">
      <c r="B46" s="21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29"/>
      <c r="V46" s="56"/>
    </row>
    <row r="47" spans="2:22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56"/>
    </row>
    <row r="48" spans="2:22" s="6" customFormat="1" ht="36" customHeight="1">
      <c r="B48" s="17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18"/>
      <c r="V48" s="56"/>
    </row>
    <row r="49" spans="2:22" s="6" customFormat="1" ht="80.099999999999994" customHeight="1">
      <c r="B49" s="19">
        <f>B45+1</f>
        <v>12</v>
      </c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20"/>
      <c r="V49" s="56"/>
    </row>
    <row r="50" spans="2:22" s="6" customFormat="1" ht="36" customHeight="1">
      <c r="B50" s="21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29"/>
      <c r="V50" s="56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56"/>
    </row>
    <row r="52" spans="2:22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18"/>
      <c r="V52" s="56"/>
    </row>
    <row r="53" spans="2:22" s="6" customFormat="1" ht="80.099999999999994" customHeight="1">
      <c r="B53" s="19">
        <f>B49+1</f>
        <v>13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56"/>
    </row>
    <row r="54" spans="2:22" s="6" customFormat="1" ht="36" customHeight="1">
      <c r="B54" s="21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29"/>
      <c r="V54" s="56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56"/>
    </row>
    <row r="56" spans="2:22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18"/>
      <c r="V56" s="56"/>
    </row>
    <row r="57" spans="2:22" s="6" customFormat="1" ht="80.099999999999994" customHeight="1">
      <c r="B57" s="19">
        <f>B53+1</f>
        <v>14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56"/>
    </row>
    <row r="58" spans="2:22" s="6" customFormat="1" ht="36" customHeight="1">
      <c r="B58" s="21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29"/>
      <c r="V58" s="56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56"/>
    </row>
    <row r="60" spans="2:22" s="6" customFormat="1" ht="36" customHeight="1">
      <c r="B60" s="17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18"/>
      <c r="V60" s="56"/>
    </row>
    <row r="61" spans="2:22" s="6" customFormat="1" ht="80.099999999999994" customHeight="1">
      <c r="B61" s="19">
        <f>B57+1</f>
        <v>15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56"/>
    </row>
    <row r="62" spans="2:22" s="6" customFormat="1" ht="36" customHeight="1">
      <c r="B62" s="21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29"/>
      <c r="V62" s="56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56"/>
    </row>
    <row r="64" spans="2:22" s="6" customFormat="1" ht="36" customHeight="1">
      <c r="B64" s="17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18"/>
      <c r="V64" s="56"/>
    </row>
    <row r="65" spans="2:22" s="6" customFormat="1" ht="80.099999999999994" customHeight="1">
      <c r="B65" s="19">
        <f>B61+1</f>
        <v>16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20"/>
      <c r="V65" s="56"/>
    </row>
    <row r="66" spans="2:22" s="6" customFormat="1" ht="36" customHeight="1">
      <c r="B66" s="21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29"/>
      <c r="V66" s="56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56"/>
    </row>
    <row r="68" spans="2:22" s="6" customFormat="1" ht="36" customHeight="1">
      <c r="B68" s="17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18"/>
      <c r="V68" s="56"/>
    </row>
    <row r="69" spans="2:22" s="6" customFormat="1" ht="80.099999999999994" customHeight="1">
      <c r="B69" s="19">
        <f>B65+1</f>
        <v>17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20"/>
      <c r="V69" s="56"/>
    </row>
    <row r="70" spans="2:22" s="6" customFormat="1" ht="36" customHeight="1">
      <c r="B70" s="21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29"/>
      <c r="V70" s="56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56"/>
    </row>
    <row r="72" spans="2:22" s="6" customFormat="1" ht="36" customHeight="1">
      <c r="B72" s="17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18"/>
      <c r="V72" s="56"/>
    </row>
    <row r="73" spans="2:22" s="6" customFormat="1" ht="80.099999999999994" customHeight="1">
      <c r="B73" s="19">
        <f>B69+1</f>
        <v>18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20"/>
      <c r="V73" s="56"/>
    </row>
    <row r="74" spans="2:22" s="6" customFormat="1" ht="36" customHeight="1">
      <c r="B74" s="21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29"/>
      <c r="V74" s="56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56"/>
    </row>
    <row r="76" spans="2:22" s="6" customFormat="1" ht="36" customHeight="1">
      <c r="B76" s="17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18"/>
      <c r="V76" s="56"/>
    </row>
    <row r="77" spans="2:22" s="6" customFormat="1" ht="80.099999999999994" customHeight="1">
      <c r="B77" s="19">
        <f>B73+1</f>
        <v>19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20"/>
      <c r="V77" s="56"/>
    </row>
    <row r="78" spans="2:22" s="6" customFormat="1" ht="36" customHeight="1">
      <c r="B78" s="21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29"/>
      <c r="V78" s="56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56"/>
    </row>
    <row r="80" spans="2:22" s="6" customFormat="1" ht="36" customHeight="1">
      <c r="B80" s="17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18"/>
      <c r="V80" s="56"/>
    </row>
    <row r="81" spans="2:22" s="6" customFormat="1" ht="80.099999999999994" customHeight="1">
      <c r="B81" s="19">
        <f>B77+1</f>
        <v>20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20"/>
      <c r="V81" s="56"/>
    </row>
    <row r="82" spans="2:22" s="6" customFormat="1" ht="36" customHeight="1">
      <c r="B82" s="21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29"/>
      <c r="V82" s="57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2:18" s="6" customFormat="1" ht="80.099999999999994" customHeight="1">
      <c r="B97" s="19">
        <f>B93+1</f>
        <v>24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2:18" s="6" customFormat="1" ht="36" customHeight="1">
      <c r="B98" s="21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2:18" s="6" customFormat="1" ht="80.099999999999994" customHeight="1">
      <c r="B101" s="19">
        <f>B97+1</f>
        <v>25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2:18" s="6" customFormat="1" ht="36" customHeight="1">
      <c r="B102" s="21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2:18" s="6" customFormat="1" ht="80.099999999999994" customHeight="1">
      <c r="B105" s="19">
        <f>B101+1</f>
        <v>26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2:18" s="6" customFormat="1" ht="36" customHeight="1">
      <c r="B106" s="21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2:18" s="6" customFormat="1" ht="80.099999999999994" customHeight="1">
      <c r="B109" s="19">
        <f>B105+1</f>
        <v>27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2:18" s="6" customFormat="1" ht="36" customHeight="1">
      <c r="B110" s="21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2:18" s="6" customFormat="1" ht="80.099999999999994" customHeight="1">
      <c r="B113" s="19">
        <f t="shared" ref="B113" si="2">B109+1</f>
        <v>28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2:18" s="6" customFormat="1" ht="36" customHeight="1">
      <c r="B114" s="21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 t="shared" ref="B117" si="3">B113+1</f>
        <v>29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</row>
    <row r="121" spans="2:18" s="6" customFormat="1" ht="80.099999999999994" customHeight="1">
      <c r="B121" s="19">
        <f t="shared" ref="B121" si="4">B117+1</f>
        <v>30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2:18" s="6" customFormat="1" ht="36" customHeight="1">
      <c r="B122" s="21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2:18" s="6" customFormat="1" ht="80.099999999999994" customHeight="1">
      <c r="B125" s="19">
        <f t="shared" ref="B125" si="5">B121+1</f>
        <v>31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  <row r="126" spans="2:18" s="6" customFormat="1" ht="36" customHeight="1">
      <c r="B126" s="21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2:18" s="6" customFormat="1" ht="80.099999999999994" customHeight="1">
      <c r="B129" s="19">
        <f t="shared" ref="B129" si="6">B125+1</f>
        <v>32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</row>
    <row r="130" spans="2:18" s="6" customFormat="1" ht="36" customHeight="1">
      <c r="B130" s="21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</row>
    <row r="133" spans="2:18" s="6" customFormat="1" ht="80.099999999999994" customHeight="1">
      <c r="B133" s="19">
        <f t="shared" ref="B133" si="7">B129+1</f>
        <v>33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</row>
    <row r="134" spans="2:18" s="6" customFormat="1" ht="36" customHeight="1">
      <c r="B134" s="21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2:18" s="6" customFormat="1" ht="80.099999999999994" customHeight="1">
      <c r="B137" s="19">
        <f t="shared" ref="B137" si="8"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</row>
    <row r="138" spans="2:18" s="6" customFormat="1" ht="36" customHeight="1">
      <c r="B138" s="21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2:18" s="6" customFormat="1" ht="80.099999999999994" customHeight="1">
      <c r="B141" s="19">
        <f t="shared" ref="B141" si="9">B137+1</f>
        <v>35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</row>
    <row r="142" spans="2:18" s="6" customFormat="1" ht="36" customHeight="1">
      <c r="B142" s="21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</row>
    <row r="145" spans="2:18" s="6" customFormat="1" ht="80.099999999999994" customHeight="1">
      <c r="B145" s="19">
        <f t="shared" ref="B145" si="10"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</row>
    <row r="146" spans="2:18" s="6" customFormat="1" ht="36" customHeight="1">
      <c r="B146" s="21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2:18" s="6" customFormat="1" ht="80.099999999999994" customHeight="1">
      <c r="B149" s="19">
        <f t="shared" ref="B149" si="11"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2:18" s="6" customFormat="1" ht="80.099999999999994" customHeight="1">
      <c r="B153" s="19">
        <f t="shared" ref="B153" si="12"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</row>
    <row r="157" spans="2:18" s="6" customFormat="1" ht="80.099999999999994" customHeight="1">
      <c r="B157" s="19">
        <f t="shared" ref="B157" si="13"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58" spans="2:18" s="6" customFormat="1" ht="36" customHeight="1">
      <c r="B158" s="21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2:18" s="6" customFormat="1" ht="80.099999999999994" customHeight="1">
      <c r="B161" s="19">
        <f t="shared" ref="B161" si="14"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</row>
    <row r="162" spans="2:18" s="6" customFormat="1" ht="36" customHeight="1">
      <c r="B162" s="21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2:18" s="6" customFormat="1" ht="80.099999999999994" customHeight="1">
      <c r="B165" s="19">
        <f t="shared" ref="B165" si="15"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</row>
    <row r="166" spans="2:18" s="6" customFormat="1" ht="36" customHeight="1">
      <c r="B166" s="21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18" ht="58.5">
      <c r="B169" s="19">
        <f t="shared" ref="B169" si="16"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18">
      <c r="B170" s="21"/>
      <c r="C170" s="6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18" ht="58.5">
      <c r="B173" s="19">
        <f t="shared" ref="B173" si="17"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18">
      <c r="B174" s="21"/>
      <c r="C174" s="6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9">
        <f t="shared" ref="B177" si="18"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9">
        <f t="shared" ref="B181" si="19"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9">
        <f t="shared" ref="B185" si="20"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9">
        <f t="shared" ref="B189" si="21"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9">
        <f t="shared" ref="B193" si="22"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9">
        <f t="shared" ref="B197" si="23"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9">
        <f t="shared" ref="B201" si="24"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9">
        <f t="shared" ref="B313" si="25"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9">
        <f t="shared" ref="B317" si="26"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9">
        <f t="shared" ref="B321" si="27"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9">
        <f t="shared" ref="B325" si="28"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9">
        <f t="shared" ref="B329" si="29"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9">
        <f t="shared" ref="B333" si="30"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9">
        <f t="shared" ref="B337" si="31"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9">
        <f t="shared" ref="B341" si="32"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9">
        <f t="shared" ref="B345" si="33"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9">
        <f t="shared" ref="B349" si="34"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9">
        <f t="shared" ref="B353" si="35"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9">
        <f t="shared" ref="B357" si="36"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9">
        <f t="shared" ref="B361" si="37"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9">
        <f t="shared" ref="B365" si="38"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9">
        <f t="shared" ref="B369" si="39"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9">
        <f t="shared" ref="B373" si="40"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9">
        <f t="shared" ref="B377" si="41"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9">
        <f t="shared" ref="B381" si="42"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9">
        <f t="shared" ref="B385" si="43"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9">
        <f t="shared" ref="B389" si="44"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9">
        <f t="shared" ref="B393" si="45"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9">
        <f t="shared" ref="B397" si="46"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9">
        <f t="shared" ref="B401" si="47"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 t="shared" ref="B513" si="48"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 t="shared" ref="B517" si="49"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 t="shared" ref="B521" si="50"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 t="shared" ref="B525" si="51"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 t="shared" ref="B529" si="52"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 t="shared" ref="B533" si="53"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 t="shared" ref="B537" si="54"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 t="shared" ref="B541" si="55"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 t="shared" ref="B545" si="56"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 t="shared" ref="B549" si="57"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 t="shared" ref="B553" si="58"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 t="shared" ref="B557" si="59"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 t="shared" ref="B561" si="60"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 t="shared" ref="B565" si="61"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 t="shared" ref="B569" si="62"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 t="shared" ref="B573" si="63"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 t="shared" ref="B577" si="64"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 t="shared" ref="B581" si="65"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 t="shared" ref="B585" si="66"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 t="shared" ref="B589" si="67"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 t="shared" ref="B593" si="68"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 t="shared" ref="B597" si="69"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 t="shared" ref="B601" si="70"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 t="shared" ref="B713" si="71"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 t="shared" ref="B717" si="72"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 t="shared" ref="B721" si="73"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 t="shared" ref="B725" si="74"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 t="shared" ref="B729" si="75"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 t="shared" ref="B733" si="76"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 t="shared" ref="B737" si="77"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 t="shared" ref="B741" si="78"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 t="shared" ref="B745" si="79"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 t="shared" ref="B749" si="80"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 t="shared" ref="B753" si="81"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 t="shared" ref="B757" si="82"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 t="shared" ref="B761" si="83"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 t="shared" ref="B765" si="84"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 t="shared" ref="B769" si="85"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 t="shared" ref="B773" si="86"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 t="shared" ref="B777" si="87"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 t="shared" ref="B781" si="88"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 t="shared" ref="B785" si="89"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 t="shared" ref="B789" si="90"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 t="shared" ref="B793" si="91"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 t="shared" ref="B797" si="92"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 t="shared" ref="B801" si="93"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 t="shared" ref="B805" si="94"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 t="shared" ref="B913" si="95"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 t="shared" ref="B917" si="96"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 t="shared" ref="B921" si="97"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 t="shared" ref="B925" si="98"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 t="shared" ref="B929" si="99"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 t="shared" ref="B933" si="100"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 t="shared" ref="B937" si="101"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 t="shared" ref="B941" si="102"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 t="shared" ref="B945" si="103"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 t="shared" ref="B949" si="104"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 t="shared" ref="B953" si="105"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 t="shared" ref="B957" si="106"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 t="shared" ref="B961" si="107"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 t="shared" ref="B965" si="108"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 t="shared" ref="B969" si="109"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 t="shared" ref="B973" si="110"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 t="shared" ref="B977" si="111"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 t="shared" ref="B981" si="112"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 t="shared" ref="B985" si="113"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 t="shared" ref="B989" si="114"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 t="shared" ref="B993" si="115"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 t="shared" ref="B997" si="116"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 t="shared" ref="B1001" si="117"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 t="shared" ref="B1113" si="118"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 t="shared" ref="B1117" si="119"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 t="shared" ref="B1121" si="120"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 t="shared" ref="B1125" si="121"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 t="shared" ref="B1129" si="122"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 t="shared" ref="B1133" si="123"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 t="shared" ref="B1137" si="124"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 t="shared" ref="B1141" si="125"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 t="shared" ref="B1145" si="126"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 t="shared" ref="B1149" si="127"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 t="shared" ref="B1153" si="128"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 t="shared" ref="B1157" si="129"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 t="shared" ref="B1161" si="130"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 t="shared" ref="B1165" si="131"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 t="shared" ref="B1169" si="132"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 t="shared" ref="B1173" si="133"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 t="shared" ref="B1177" si="134"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 t="shared" ref="B1181" si="135"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 t="shared" ref="B1185" si="136"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 t="shared" ref="B1189" si="137"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 t="shared" ref="B1193" si="138"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 t="shared" ref="B1197" si="139"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 t="shared" ref="B1201" si="140"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 t="shared" ref="B1205" si="141"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 t="shared" ref="B1313" si="142"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 t="shared" ref="B1317" si="143"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 t="shared" ref="B1321" si="144"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 t="shared" ref="B1325" si="145"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 t="shared" ref="B1329" si="146"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 t="shared" ref="B1333" si="147"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 t="shared" ref="B1337" si="148"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 t="shared" ref="B1341" si="149"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 t="shared" ref="B1345" si="150"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 t="shared" ref="B1349" si="151"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 t="shared" ref="B1353" si="152"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 t="shared" ref="B1357" si="153"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 t="shared" ref="B1361" si="154"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 t="shared" ref="B1365" si="155"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 t="shared" ref="B1369" si="156"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 t="shared" ref="B1373" si="157"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 t="shared" ref="B1377" si="158"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 t="shared" ref="B1381" si="159"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 t="shared" ref="B1385" si="160"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 t="shared" ref="B1389" si="161"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 t="shared" ref="B1393" si="162"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 t="shared" ref="B1397" si="163"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 t="shared" ref="B1401" si="164"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 t="shared" ref="B1513" si="165"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 t="shared" ref="B1517" si="166"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 t="shared" ref="B1521" si="167"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 t="shared" ref="B1525" si="168"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 t="shared" ref="B1529" si="169"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 t="shared" ref="B1533" si="170"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 t="shared" ref="B1537" si="171"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 t="shared" ref="B1541" si="172"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 t="shared" ref="B1545" si="173"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 t="shared" ref="B1549" si="174"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 t="shared" ref="B1553" si="175"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 t="shared" ref="B1557" si="176"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 t="shared" ref="B1561" si="177"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 t="shared" ref="B1565" si="178"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 t="shared" ref="B1569" si="179"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 t="shared" ref="B1573" si="180"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 t="shared" ref="B1577" si="181"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 t="shared" ref="B1581" si="182"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 t="shared" ref="B1585" si="183"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 t="shared" ref="B1589" si="184"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 t="shared" ref="B1593" si="185"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 t="shared" ref="B1597" si="186"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 t="shared" ref="B1601" si="187"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 t="shared" ref="B1605" si="188"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 t="shared" ref="B1713" si="189"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 t="shared" ref="B1717" si="190"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 t="shared" ref="B1721" si="191"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 t="shared" ref="B1725" si="192"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 t="shared" ref="B1729" si="193"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 t="shared" ref="B1733" si="194"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 t="shared" ref="B1737" si="195"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 t="shared" ref="B1741" si="196"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 t="shared" ref="B1745" si="197"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 t="shared" ref="B1749" si="198"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 t="shared" ref="B1753" si="199"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 t="shared" ref="B1757" si="200"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 t="shared" ref="B1761" si="201"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 t="shared" ref="B1765" si="202"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 t="shared" ref="B1769" si="203"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 t="shared" ref="B1773" si="204"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 t="shared" ref="B1777" si="205"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 t="shared" ref="B1781" si="206"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 t="shared" ref="B1785" si="207"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 t="shared" ref="B1789" si="208"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 t="shared" ref="B1793" si="209"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 t="shared" ref="B1797" si="210"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 t="shared" ref="B1801" si="211"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 t="shared" ref="B1913" si="212"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 t="shared" ref="B1917" si="213"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 t="shared" ref="B1921" si="214"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 t="shared" ref="B1925" si="215"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 t="shared" ref="B1929" si="216"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 t="shared" ref="B1933" si="217"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 t="shared" ref="B1937" si="218"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 t="shared" ref="B1941" si="219"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 t="shared" ref="B1945" si="220"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 t="shared" ref="B1949" si="221"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 t="shared" ref="B1953" si="222"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 t="shared" ref="B1957" si="223"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 t="shared" ref="B1961" si="224"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 t="shared" ref="B1965" si="225"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 t="shared" ref="B1969" si="226"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 t="shared" ref="B1973" si="227"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 t="shared" ref="B1977" si="228"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 t="shared" ref="B1981" si="229"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 t="shared" ref="B1985" si="230"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 t="shared" ref="B1989" si="231"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 t="shared" ref="B1993" si="232"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 t="shared" ref="B1997" si="233"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 t="shared" ref="B2001" si="234"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mergeCells count="1">
    <mergeCell ref="V3:V82"/>
  </mergeCells>
  <phoneticPr fontId="1" type="noConversion"/>
  <conditionalFormatting sqref="D3:R3">
    <cfRule type="expression" dxfId="75" priority="101">
      <formula>顯示注音輸入</formula>
    </cfRule>
    <cfRule type="expression" dxfId="74" priority="102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">
    <cfRule type="expression" dxfId="73" priority="1">
      <formula>顯示注音輸入</formula>
    </cfRule>
    <cfRule type="expression" dxfId="72" priority="2">
      <formula>"'= TRUE(顯示注音輸入)"</formula>
    </cfRule>
  </conditionalFormatting>
  <conditionalFormatting sqref="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71" priority="3">
      <formula>顯示注音輸入</formula>
    </cfRule>
    <cfRule type="expression" dxfId="70" priority="4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N27" sqref="N27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1"/>
  <sheetViews>
    <sheetView showGridLines="0" zoomScale="50" zoomScaleNormal="50" workbookViewId="0">
      <selection activeCell="D3" sqref="D3:R146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55" t="s">
        <v>66</v>
      </c>
    </row>
    <row r="4" spans="1:22" s="6" customFormat="1" ht="36" customHeight="1">
      <c r="B4" s="17"/>
      <c r="D4" s="50" t="s">
        <v>508</v>
      </c>
      <c r="E4" s="50" t="s">
        <v>510</v>
      </c>
      <c r="F4" s="50" t="s">
        <v>512</v>
      </c>
      <c r="G4" s="50" t="s">
        <v>44</v>
      </c>
      <c r="H4" s="50" t="s">
        <v>515</v>
      </c>
      <c r="I4" s="50"/>
      <c r="J4" s="50" t="s">
        <v>517</v>
      </c>
      <c r="K4" s="50" t="s">
        <v>519</v>
      </c>
      <c r="L4" s="50" t="s">
        <v>521</v>
      </c>
      <c r="M4" s="50" t="s">
        <v>523</v>
      </c>
      <c r="N4" s="50" t="s">
        <v>525</v>
      </c>
      <c r="O4" s="50" t="s">
        <v>527</v>
      </c>
      <c r="P4" s="50" t="s">
        <v>529</v>
      </c>
      <c r="Q4" s="50" t="s">
        <v>531</v>
      </c>
      <c r="R4" s="50"/>
      <c r="S4" s="18"/>
      <c r="V4" s="58"/>
    </row>
    <row r="5" spans="1:22" s="6" customFormat="1" ht="80.099999999999994" customHeight="1">
      <c r="B5" s="19">
        <v>1</v>
      </c>
      <c r="D5" s="39" t="s">
        <v>67</v>
      </c>
      <c r="E5" s="39" t="s">
        <v>68</v>
      </c>
      <c r="F5" s="39" t="s">
        <v>69</v>
      </c>
      <c r="G5" s="39" t="s">
        <v>70</v>
      </c>
      <c r="H5" s="39" t="s">
        <v>71</v>
      </c>
      <c r="I5" s="39" t="s">
        <v>23</v>
      </c>
      <c r="J5" s="39" t="s">
        <v>72</v>
      </c>
      <c r="K5" s="39" t="s">
        <v>32</v>
      </c>
      <c r="L5" s="39" t="s">
        <v>73</v>
      </c>
      <c r="M5" s="39" t="s">
        <v>74</v>
      </c>
      <c r="N5" s="39" t="s">
        <v>75</v>
      </c>
      <c r="O5" s="39" t="s">
        <v>76</v>
      </c>
      <c r="P5" s="39" t="s">
        <v>77</v>
      </c>
      <c r="Q5" s="39" t="s">
        <v>78</v>
      </c>
      <c r="R5" s="39" t="s">
        <v>30</v>
      </c>
      <c r="S5" s="20"/>
      <c r="V5" s="58"/>
    </row>
    <row r="6" spans="1:22" s="24" customFormat="1" ht="36" customHeight="1">
      <c r="B6" s="21"/>
      <c r="C6" s="22"/>
      <c r="D6" s="51" t="s">
        <v>509</v>
      </c>
      <c r="E6" s="51" t="s">
        <v>511</v>
      </c>
      <c r="F6" s="51" t="s">
        <v>513</v>
      </c>
      <c r="G6" s="51" t="s">
        <v>514</v>
      </c>
      <c r="H6" s="51" t="s">
        <v>516</v>
      </c>
      <c r="I6" s="51"/>
      <c r="J6" s="51" t="s">
        <v>518</v>
      </c>
      <c r="K6" s="51" t="s">
        <v>520</v>
      </c>
      <c r="L6" s="51" t="s">
        <v>522</v>
      </c>
      <c r="M6" s="51" t="s">
        <v>524</v>
      </c>
      <c r="N6" s="51" t="s">
        <v>526</v>
      </c>
      <c r="O6" s="51" t="s">
        <v>528</v>
      </c>
      <c r="P6" s="51" t="s">
        <v>530</v>
      </c>
      <c r="Q6" s="51" t="s">
        <v>532</v>
      </c>
      <c r="R6" s="51"/>
      <c r="S6" s="23"/>
      <c r="V6" s="58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58"/>
    </row>
    <row r="8" spans="1:22" s="6" customFormat="1" ht="36" customHeight="1">
      <c r="B8" s="17"/>
      <c r="D8" s="50" t="s">
        <v>533</v>
      </c>
      <c r="E8" s="50" t="s">
        <v>535</v>
      </c>
      <c r="F8" s="50" t="s">
        <v>44</v>
      </c>
      <c r="G8" s="50"/>
      <c r="H8" s="50" t="s">
        <v>537</v>
      </c>
      <c r="I8" s="50" t="s">
        <v>539</v>
      </c>
      <c r="J8" s="50" t="s">
        <v>541</v>
      </c>
      <c r="K8" s="50" t="s">
        <v>543</v>
      </c>
      <c r="L8" s="50"/>
      <c r="M8" s="50" t="s">
        <v>545</v>
      </c>
      <c r="N8" s="50" t="s">
        <v>547</v>
      </c>
      <c r="O8" s="50" t="s">
        <v>549</v>
      </c>
      <c r="P8" s="50" t="s">
        <v>551</v>
      </c>
      <c r="Q8" s="50"/>
      <c r="R8" s="50" t="s">
        <v>553</v>
      </c>
      <c r="S8" s="18"/>
      <c r="V8" s="58"/>
    </row>
    <row r="9" spans="1:22" s="6" customFormat="1" ht="80.099999999999994" customHeight="1">
      <c r="B9" s="19">
        <f>B5+1</f>
        <v>2</v>
      </c>
      <c r="D9" s="39" t="s">
        <v>79</v>
      </c>
      <c r="E9" s="39" t="s">
        <v>35</v>
      </c>
      <c r="F9" s="39" t="s">
        <v>70</v>
      </c>
      <c r="G9" s="39" t="s">
        <v>23</v>
      </c>
      <c r="H9" s="39" t="s">
        <v>80</v>
      </c>
      <c r="I9" s="39" t="s">
        <v>81</v>
      </c>
      <c r="J9" s="39" t="s">
        <v>37</v>
      </c>
      <c r="K9" s="39" t="s">
        <v>29</v>
      </c>
      <c r="L9" s="39" t="s">
        <v>23</v>
      </c>
      <c r="M9" s="39" t="s">
        <v>82</v>
      </c>
      <c r="N9" s="39" t="s">
        <v>83</v>
      </c>
      <c r="O9" s="39" t="s">
        <v>84</v>
      </c>
      <c r="P9" s="39" t="s">
        <v>85</v>
      </c>
      <c r="Q9" s="39" t="s">
        <v>23</v>
      </c>
      <c r="R9" s="39" t="s">
        <v>86</v>
      </c>
      <c r="S9" s="20"/>
      <c r="T9" s="16"/>
      <c r="V9" s="58"/>
    </row>
    <row r="10" spans="1:22" s="6" customFormat="1" ht="36" customHeight="1">
      <c r="B10" s="21"/>
      <c r="D10" s="51" t="s">
        <v>534</v>
      </c>
      <c r="E10" s="51" t="s">
        <v>536</v>
      </c>
      <c r="F10" s="51" t="s">
        <v>514</v>
      </c>
      <c r="G10" s="51"/>
      <c r="H10" s="51" t="s">
        <v>538</v>
      </c>
      <c r="I10" s="51" t="s">
        <v>540</v>
      </c>
      <c r="J10" s="51" t="s">
        <v>542</v>
      </c>
      <c r="K10" s="51" t="s">
        <v>544</v>
      </c>
      <c r="L10" s="51"/>
      <c r="M10" s="51" t="s">
        <v>546</v>
      </c>
      <c r="N10" s="51" t="s">
        <v>548</v>
      </c>
      <c r="O10" s="51" t="s">
        <v>550</v>
      </c>
      <c r="P10" s="51" t="s">
        <v>552</v>
      </c>
      <c r="Q10" s="51"/>
      <c r="R10" s="51" t="s">
        <v>554</v>
      </c>
      <c r="S10" s="29"/>
      <c r="V10" s="58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8"/>
    </row>
    <row r="12" spans="1:22" s="6" customFormat="1" ht="36" customHeight="1">
      <c r="B12" s="17"/>
      <c r="D12" s="50" t="s">
        <v>555</v>
      </c>
      <c r="E12" s="50" t="s">
        <v>557</v>
      </c>
      <c r="F12" s="50" t="s">
        <v>559</v>
      </c>
      <c r="G12" s="50" t="s">
        <v>561</v>
      </c>
      <c r="H12" s="50" t="s">
        <v>563</v>
      </c>
      <c r="I12" s="50"/>
      <c r="J12" s="50" t="s">
        <v>565</v>
      </c>
      <c r="K12" s="50" t="s">
        <v>567</v>
      </c>
      <c r="L12" s="50" t="s">
        <v>569</v>
      </c>
      <c r="M12" s="50" t="s">
        <v>571</v>
      </c>
      <c r="N12" s="50"/>
      <c r="O12" s="50" t="s">
        <v>573</v>
      </c>
      <c r="P12" s="50" t="s">
        <v>575</v>
      </c>
      <c r="Q12" s="50" t="s">
        <v>577</v>
      </c>
      <c r="R12" s="50" t="s">
        <v>579</v>
      </c>
      <c r="S12" s="18"/>
      <c r="V12" s="58"/>
    </row>
    <row r="13" spans="1:22" s="6" customFormat="1" ht="80.099999999999994" customHeight="1">
      <c r="B13" s="19">
        <f>B9+1</f>
        <v>3</v>
      </c>
      <c r="D13" s="39" t="s">
        <v>87</v>
      </c>
      <c r="E13" s="39" t="s">
        <v>88</v>
      </c>
      <c r="F13" s="39" t="s">
        <v>89</v>
      </c>
      <c r="G13" s="39" t="s">
        <v>90</v>
      </c>
      <c r="H13" s="39" t="s">
        <v>91</v>
      </c>
      <c r="I13" s="39" t="s">
        <v>23</v>
      </c>
      <c r="J13" s="39" t="s">
        <v>92</v>
      </c>
      <c r="K13" s="39" t="s">
        <v>93</v>
      </c>
      <c r="L13" s="39" t="s">
        <v>94</v>
      </c>
      <c r="M13" s="39" t="s">
        <v>95</v>
      </c>
      <c r="N13" s="39" t="s">
        <v>23</v>
      </c>
      <c r="O13" s="39" t="s">
        <v>96</v>
      </c>
      <c r="P13" s="39" t="s">
        <v>97</v>
      </c>
      <c r="Q13" s="39" t="s">
        <v>98</v>
      </c>
      <c r="R13" s="39" t="s">
        <v>99</v>
      </c>
      <c r="S13" s="20"/>
      <c r="V13" s="58"/>
    </row>
    <row r="14" spans="1:22" s="6" customFormat="1" ht="36" customHeight="1">
      <c r="B14" s="21"/>
      <c r="D14" s="51" t="s">
        <v>556</v>
      </c>
      <c r="E14" s="51" t="s">
        <v>558</v>
      </c>
      <c r="F14" s="51" t="s">
        <v>560</v>
      </c>
      <c r="G14" s="51" t="s">
        <v>562</v>
      </c>
      <c r="H14" s="51" t="s">
        <v>564</v>
      </c>
      <c r="I14" s="51"/>
      <c r="J14" s="51" t="s">
        <v>566</v>
      </c>
      <c r="K14" s="51" t="s">
        <v>568</v>
      </c>
      <c r="L14" s="51" t="s">
        <v>570</v>
      </c>
      <c r="M14" s="51" t="s">
        <v>572</v>
      </c>
      <c r="N14" s="51"/>
      <c r="O14" s="51" t="s">
        <v>574</v>
      </c>
      <c r="P14" s="51" t="s">
        <v>576</v>
      </c>
      <c r="Q14" s="51" t="s">
        <v>578</v>
      </c>
      <c r="R14" s="51" t="s">
        <v>580</v>
      </c>
      <c r="S14" s="29"/>
      <c r="V14" s="58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8"/>
    </row>
    <row r="16" spans="1:22" s="6" customFormat="1" ht="36" customHeight="1">
      <c r="B16" s="17"/>
      <c r="D16" s="50" t="s">
        <v>541</v>
      </c>
      <c r="E16" s="50" t="s">
        <v>581</v>
      </c>
      <c r="F16" s="50" t="s">
        <v>583</v>
      </c>
      <c r="G16" s="50" t="s">
        <v>585</v>
      </c>
      <c r="H16" s="50" t="s">
        <v>567</v>
      </c>
      <c r="I16" s="50" t="s">
        <v>587</v>
      </c>
      <c r="J16" s="50"/>
      <c r="K16" s="50" t="s">
        <v>589</v>
      </c>
      <c r="L16" s="50" t="s">
        <v>591</v>
      </c>
      <c r="M16" s="50" t="s">
        <v>593</v>
      </c>
      <c r="N16" s="50" t="s">
        <v>595</v>
      </c>
      <c r="O16" s="50" t="s">
        <v>597</v>
      </c>
      <c r="P16" s="50" t="s">
        <v>599</v>
      </c>
      <c r="Q16" s="50" t="s">
        <v>601</v>
      </c>
      <c r="R16" s="50"/>
      <c r="S16" s="18"/>
      <c r="V16" s="58"/>
    </row>
    <row r="17" spans="2:22" s="6" customFormat="1" ht="80.099999999999994" customHeight="1">
      <c r="B17" s="19">
        <f>B13+1</f>
        <v>4</v>
      </c>
      <c r="D17" s="39" t="s">
        <v>37</v>
      </c>
      <c r="E17" s="39" t="s">
        <v>100</v>
      </c>
      <c r="F17" s="39" t="s">
        <v>101</v>
      </c>
      <c r="G17" s="39" t="s">
        <v>102</v>
      </c>
      <c r="H17" s="39" t="s">
        <v>93</v>
      </c>
      <c r="I17" s="39" t="s">
        <v>18</v>
      </c>
      <c r="J17" s="39" t="s">
        <v>103</v>
      </c>
      <c r="K17" s="39" t="s">
        <v>104</v>
      </c>
      <c r="L17" s="39" t="s">
        <v>36</v>
      </c>
      <c r="M17" s="39" t="s">
        <v>105</v>
      </c>
      <c r="N17" s="39" t="s">
        <v>21</v>
      </c>
      <c r="O17" s="39" t="s">
        <v>106</v>
      </c>
      <c r="P17" s="39" t="s">
        <v>107</v>
      </c>
      <c r="Q17" s="39" t="s">
        <v>108</v>
      </c>
      <c r="R17" s="39" t="s">
        <v>30</v>
      </c>
      <c r="S17" s="20"/>
      <c r="V17" s="58"/>
    </row>
    <row r="18" spans="2:22" s="6" customFormat="1" ht="36" customHeight="1">
      <c r="B18" s="21"/>
      <c r="D18" s="51" t="s">
        <v>542</v>
      </c>
      <c r="E18" s="51" t="s">
        <v>582</v>
      </c>
      <c r="F18" s="51" t="s">
        <v>584</v>
      </c>
      <c r="G18" s="51" t="s">
        <v>586</v>
      </c>
      <c r="H18" s="51" t="s">
        <v>568</v>
      </c>
      <c r="I18" s="51" t="s">
        <v>588</v>
      </c>
      <c r="J18" s="51"/>
      <c r="K18" s="51" t="s">
        <v>590</v>
      </c>
      <c r="L18" s="51" t="s">
        <v>592</v>
      </c>
      <c r="M18" s="51" t="s">
        <v>594</v>
      </c>
      <c r="N18" s="51" t="s">
        <v>596</v>
      </c>
      <c r="O18" s="51" t="s">
        <v>598</v>
      </c>
      <c r="P18" s="51" t="s">
        <v>600</v>
      </c>
      <c r="Q18" s="51" t="s">
        <v>602</v>
      </c>
      <c r="R18" s="51"/>
      <c r="S18" s="29"/>
      <c r="V18" s="58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58"/>
    </row>
    <row r="20" spans="2:22" s="6" customFormat="1" ht="36" customHeight="1">
      <c r="B20" s="17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18"/>
      <c r="V20" s="58"/>
    </row>
    <row r="21" spans="2:22" s="6" customFormat="1" ht="80.099999999999994" customHeight="1">
      <c r="B21" s="19">
        <f>B17+1</f>
        <v>5</v>
      </c>
      <c r="D21" s="39" t="str">
        <f>CHAR(10)</f>
        <v xml:space="preserve">
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20"/>
      <c r="V21" s="58"/>
    </row>
    <row r="22" spans="2:22" s="6" customFormat="1" ht="36" customHeight="1">
      <c r="B22" s="2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29"/>
      <c r="V22" s="59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34"/>
    </row>
    <row r="24" spans="2:22" s="6" customFormat="1" ht="36" customHeight="1">
      <c r="B24" s="17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18"/>
      <c r="V24" s="7"/>
    </row>
    <row r="25" spans="2:22" s="6" customFormat="1" ht="80.099999999999994" customHeight="1">
      <c r="B25" s="19">
        <f>B21+1</f>
        <v>6</v>
      </c>
      <c r="D25" s="39" t="str">
        <f>CHAR(10)</f>
        <v xml:space="preserve">
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7"/>
    </row>
    <row r="26" spans="2:22" s="6" customFormat="1" ht="36" customHeight="1">
      <c r="B26" s="2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29"/>
      <c r="U26" s="6" t="str">
        <f xml:space="preserve"> MID($N$26,3,1)</f>
        <v/>
      </c>
      <c r="V26" s="7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33" t="str">
        <f t="shared" ref="U27:U32" si="1" xml:space="preserve"> MID($N$26,4,1)</f>
        <v/>
      </c>
      <c r="V27" s="34"/>
    </row>
    <row r="28" spans="2:22" s="6" customFormat="1" ht="36" customHeight="1">
      <c r="B28" s="17"/>
      <c r="D28" s="50" t="s">
        <v>591</v>
      </c>
      <c r="E28" s="50" t="s">
        <v>603</v>
      </c>
      <c r="F28" s="50" t="s">
        <v>605</v>
      </c>
      <c r="G28" s="50" t="s">
        <v>527</v>
      </c>
      <c r="H28" s="50" t="s">
        <v>529</v>
      </c>
      <c r="I28" s="50" t="s">
        <v>607</v>
      </c>
      <c r="J28" s="50" t="s">
        <v>609</v>
      </c>
      <c r="K28" s="50"/>
      <c r="L28" s="50" t="s">
        <v>611</v>
      </c>
      <c r="M28" s="50" t="s">
        <v>613</v>
      </c>
      <c r="N28" s="50" t="s">
        <v>615</v>
      </c>
      <c r="O28" s="50" t="s">
        <v>617</v>
      </c>
      <c r="P28" s="50" t="s">
        <v>619</v>
      </c>
      <c r="Q28" s="50"/>
      <c r="R28" s="50"/>
      <c r="S28" s="18"/>
      <c r="U28" s="33" t="str">
        <f t="shared" si="1"/>
        <v/>
      </c>
      <c r="V28" s="7"/>
    </row>
    <row r="29" spans="2:22" s="6" customFormat="1" ht="80.099999999999994" customHeight="1">
      <c r="B29" s="19">
        <f>B25+1</f>
        <v>7</v>
      </c>
      <c r="D29" s="39" t="s">
        <v>36</v>
      </c>
      <c r="E29" s="39" t="s">
        <v>109</v>
      </c>
      <c r="F29" s="39" t="s">
        <v>110</v>
      </c>
      <c r="G29" s="39" t="s">
        <v>76</v>
      </c>
      <c r="H29" s="39" t="s">
        <v>77</v>
      </c>
      <c r="I29" s="39" t="s">
        <v>111</v>
      </c>
      <c r="J29" s="39" t="s">
        <v>112</v>
      </c>
      <c r="K29" s="39" t="s">
        <v>23</v>
      </c>
      <c r="L29" s="39" t="s">
        <v>113</v>
      </c>
      <c r="M29" s="39" t="s">
        <v>114</v>
      </c>
      <c r="N29" s="39" t="s">
        <v>115</v>
      </c>
      <c r="O29" s="39" t="s">
        <v>31</v>
      </c>
      <c r="P29" s="39" t="s">
        <v>116</v>
      </c>
      <c r="Q29" s="39" t="s">
        <v>30</v>
      </c>
      <c r="R29" s="39" t="s">
        <v>1155</v>
      </c>
      <c r="S29" s="20"/>
      <c r="U29" s="33" t="str">
        <f t="shared" si="1"/>
        <v/>
      </c>
      <c r="V29" s="7"/>
    </row>
    <row r="30" spans="2:22" s="6" customFormat="1" ht="36" customHeight="1">
      <c r="B30" s="21"/>
      <c r="D30" s="51" t="s">
        <v>592</v>
      </c>
      <c r="E30" s="51" t="s">
        <v>604</v>
      </c>
      <c r="F30" s="51" t="s">
        <v>606</v>
      </c>
      <c r="G30" s="51" t="s">
        <v>528</v>
      </c>
      <c r="H30" s="51" t="s">
        <v>530</v>
      </c>
      <c r="I30" s="51" t="s">
        <v>608</v>
      </c>
      <c r="J30" s="51" t="s">
        <v>610</v>
      </c>
      <c r="K30" s="51"/>
      <c r="L30" s="51" t="s">
        <v>612</v>
      </c>
      <c r="M30" s="51" t="s">
        <v>614</v>
      </c>
      <c r="N30" s="51" t="s">
        <v>616</v>
      </c>
      <c r="O30" s="51" t="s">
        <v>618</v>
      </c>
      <c r="P30" s="51" t="s">
        <v>620</v>
      </c>
      <c r="Q30" s="51"/>
      <c r="R30" s="51"/>
      <c r="S30" s="29"/>
      <c r="U30" s="33" t="str">
        <f t="shared" si="1"/>
        <v/>
      </c>
      <c r="V30" s="7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33" t="str">
        <f t="shared" si="1"/>
        <v/>
      </c>
      <c r="V31" s="34"/>
    </row>
    <row r="32" spans="2:22" s="6" customFormat="1" ht="36" customHeight="1">
      <c r="B32" s="17"/>
      <c r="D32" s="50" t="s">
        <v>621</v>
      </c>
      <c r="E32" s="50" t="s">
        <v>623</v>
      </c>
      <c r="F32" s="50"/>
      <c r="G32" s="50" t="s">
        <v>625</v>
      </c>
      <c r="H32" s="50" t="s">
        <v>627</v>
      </c>
      <c r="I32" s="50" t="s">
        <v>629</v>
      </c>
      <c r="J32" s="50"/>
      <c r="K32" s="50" t="s">
        <v>631</v>
      </c>
      <c r="L32" s="50" t="s">
        <v>631</v>
      </c>
      <c r="M32" s="50" t="s">
        <v>539</v>
      </c>
      <c r="N32" s="50" t="s">
        <v>539</v>
      </c>
      <c r="O32" s="50"/>
      <c r="P32" s="50" t="s">
        <v>633</v>
      </c>
      <c r="Q32" s="50" t="s">
        <v>635</v>
      </c>
      <c r="R32" s="50" t="s">
        <v>571</v>
      </c>
      <c r="S32" s="18"/>
      <c r="U32" s="33" t="str">
        <f t="shared" si="1"/>
        <v/>
      </c>
      <c r="V32" s="7"/>
    </row>
    <row r="33" spans="2:18" s="6" customFormat="1" ht="80.099999999999994" customHeight="1">
      <c r="B33" s="19">
        <f>B29+1</f>
        <v>8</v>
      </c>
      <c r="D33" s="39" t="s">
        <v>118</v>
      </c>
      <c r="E33" s="39" t="s">
        <v>119</v>
      </c>
      <c r="F33" s="39" t="s">
        <v>23</v>
      </c>
      <c r="G33" s="39" t="s">
        <v>120</v>
      </c>
      <c r="H33" s="39" t="s">
        <v>121</v>
      </c>
      <c r="I33" s="39" t="s">
        <v>122</v>
      </c>
      <c r="J33" s="39" t="s">
        <v>23</v>
      </c>
      <c r="K33" s="39" t="s">
        <v>123</v>
      </c>
      <c r="L33" s="39" t="s">
        <v>123</v>
      </c>
      <c r="M33" s="39" t="s">
        <v>124</v>
      </c>
      <c r="N33" s="39" t="s">
        <v>124</v>
      </c>
      <c r="O33" s="39" t="s">
        <v>23</v>
      </c>
      <c r="P33" s="39" t="s">
        <v>125</v>
      </c>
      <c r="Q33" s="39" t="s">
        <v>26</v>
      </c>
      <c r="R33" s="39" t="s">
        <v>126</v>
      </c>
    </row>
    <row r="34" spans="2:18" s="6" customFormat="1" ht="36" customHeight="1">
      <c r="B34" s="21"/>
      <c r="D34" s="51" t="s">
        <v>622</v>
      </c>
      <c r="E34" s="51" t="s">
        <v>624</v>
      </c>
      <c r="F34" s="51"/>
      <c r="G34" s="51" t="s">
        <v>626</v>
      </c>
      <c r="H34" s="51" t="s">
        <v>628</v>
      </c>
      <c r="I34" s="51" t="s">
        <v>630</v>
      </c>
      <c r="J34" s="51"/>
      <c r="K34" s="51" t="s">
        <v>632</v>
      </c>
      <c r="L34" s="51" t="s">
        <v>632</v>
      </c>
      <c r="M34" s="51" t="s">
        <v>540</v>
      </c>
      <c r="N34" s="51" t="s">
        <v>540</v>
      </c>
      <c r="O34" s="51"/>
      <c r="P34" s="51" t="s">
        <v>634</v>
      </c>
      <c r="Q34" s="51" t="s">
        <v>636</v>
      </c>
      <c r="R34" s="51" t="s">
        <v>572</v>
      </c>
    </row>
    <row r="35" spans="2:18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spans="2:18" s="6" customFormat="1" ht="36" customHeight="1">
      <c r="B36" s="17"/>
      <c r="D36" s="50" t="s">
        <v>637</v>
      </c>
      <c r="E36" s="50"/>
      <c r="F36" s="50" t="s">
        <v>639</v>
      </c>
      <c r="G36" s="50" t="s">
        <v>484</v>
      </c>
      <c r="H36" s="50" t="s">
        <v>641</v>
      </c>
      <c r="I36" s="50" t="s">
        <v>643</v>
      </c>
      <c r="J36" s="50"/>
      <c r="K36" s="50" t="s">
        <v>645</v>
      </c>
      <c r="L36" s="50" t="s">
        <v>587</v>
      </c>
      <c r="M36" s="50" t="s">
        <v>647</v>
      </c>
      <c r="N36" s="50" t="s">
        <v>649</v>
      </c>
      <c r="O36" s="50"/>
      <c r="P36" s="50" t="s">
        <v>651</v>
      </c>
      <c r="Q36" s="50" t="s">
        <v>653</v>
      </c>
      <c r="R36" s="50" t="s">
        <v>559</v>
      </c>
    </row>
    <row r="37" spans="2:18" s="6" customFormat="1" ht="80.099999999999994" customHeight="1">
      <c r="B37" s="19">
        <f>B33+1</f>
        <v>9</v>
      </c>
      <c r="D37" s="39" t="s">
        <v>127</v>
      </c>
      <c r="E37" s="39" t="s">
        <v>103</v>
      </c>
      <c r="F37" s="39" t="s">
        <v>128</v>
      </c>
      <c r="G37" s="39" t="s">
        <v>129</v>
      </c>
      <c r="H37" s="39" t="s">
        <v>130</v>
      </c>
      <c r="I37" s="39" t="s">
        <v>131</v>
      </c>
      <c r="J37" s="39" t="s">
        <v>23</v>
      </c>
      <c r="K37" s="39" t="s">
        <v>132</v>
      </c>
      <c r="L37" s="39" t="s">
        <v>133</v>
      </c>
      <c r="M37" s="39" t="s">
        <v>134</v>
      </c>
      <c r="N37" s="39" t="s">
        <v>135</v>
      </c>
      <c r="O37" s="39" t="s">
        <v>103</v>
      </c>
      <c r="P37" s="39" t="s">
        <v>136</v>
      </c>
      <c r="Q37" s="39" t="s">
        <v>137</v>
      </c>
      <c r="R37" s="39" t="s">
        <v>89</v>
      </c>
    </row>
    <row r="38" spans="2:18" s="6" customFormat="1" ht="36" customHeight="1">
      <c r="B38" s="21"/>
      <c r="D38" s="51" t="s">
        <v>638</v>
      </c>
      <c r="E38" s="51"/>
      <c r="F38" s="51" t="s">
        <v>640</v>
      </c>
      <c r="G38" s="51"/>
      <c r="H38" s="51" t="s">
        <v>642</v>
      </c>
      <c r="I38" s="51" t="s">
        <v>644</v>
      </c>
      <c r="J38" s="51"/>
      <c r="K38" s="51" t="s">
        <v>646</v>
      </c>
      <c r="L38" s="51" t="s">
        <v>588</v>
      </c>
      <c r="M38" s="51" t="s">
        <v>648</v>
      </c>
      <c r="N38" s="51" t="s">
        <v>650</v>
      </c>
      <c r="O38" s="51"/>
      <c r="P38" s="51" t="s">
        <v>652</v>
      </c>
      <c r="Q38" s="51" t="s">
        <v>654</v>
      </c>
      <c r="R38" s="51" t="s">
        <v>560</v>
      </c>
    </row>
    <row r="39" spans="2:18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spans="2:18" s="6" customFormat="1" ht="36" customHeight="1">
      <c r="B40" s="17"/>
      <c r="D40" s="50" t="s">
        <v>561</v>
      </c>
      <c r="E40" s="50" t="s">
        <v>563</v>
      </c>
      <c r="F40" s="50" t="s">
        <v>601</v>
      </c>
      <c r="G40" s="50" t="s">
        <v>655</v>
      </c>
      <c r="H40" s="50" t="s">
        <v>603</v>
      </c>
      <c r="I40" s="50" t="s">
        <v>657</v>
      </c>
      <c r="J40" s="50"/>
      <c r="K40" s="50" t="s">
        <v>659</v>
      </c>
      <c r="L40" s="50" t="s">
        <v>541</v>
      </c>
      <c r="M40" s="50" t="s">
        <v>601</v>
      </c>
      <c r="N40" s="50" t="s">
        <v>661</v>
      </c>
      <c r="O40" s="50" t="s">
        <v>663</v>
      </c>
      <c r="P40" s="50" t="s">
        <v>597</v>
      </c>
      <c r="Q40" s="50"/>
      <c r="R40" s="50" t="s">
        <v>665</v>
      </c>
    </row>
    <row r="41" spans="2:18" s="6" customFormat="1" ht="80.099999999999994" customHeight="1">
      <c r="B41" s="19">
        <f>B37+1</f>
        <v>10</v>
      </c>
      <c r="D41" s="39" t="s">
        <v>90</v>
      </c>
      <c r="E41" s="39" t="s">
        <v>91</v>
      </c>
      <c r="F41" s="39" t="s">
        <v>108</v>
      </c>
      <c r="G41" s="39" t="s">
        <v>27</v>
      </c>
      <c r="H41" s="39" t="s">
        <v>109</v>
      </c>
      <c r="I41" s="39" t="s">
        <v>138</v>
      </c>
      <c r="J41" s="39" t="s">
        <v>23</v>
      </c>
      <c r="K41" s="39" t="s">
        <v>139</v>
      </c>
      <c r="L41" s="39" t="s">
        <v>37</v>
      </c>
      <c r="M41" s="39" t="s">
        <v>108</v>
      </c>
      <c r="N41" s="39" t="s">
        <v>140</v>
      </c>
      <c r="O41" s="39" t="s">
        <v>141</v>
      </c>
      <c r="P41" s="39" t="s">
        <v>142</v>
      </c>
      <c r="Q41" s="39" t="s">
        <v>30</v>
      </c>
      <c r="R41" s="39" t="s">
        <v>143</v>
      </c>
    </row>
    <row r="42" spans="2:18" s="6" customFormat="1" ht="36" customHeight="1">
      <c r="B42" s="21"/>
      <c r="D42" s="51" t="s">
        <v>562</v>
      </c>
      <c r="E42" s="51" t="s">
        <v>564</v>
      </c>
      <c r="F42" s="51" t="s">
        <v>602</v>
      </c>
      <c r="G42" s="51" t="s">
        <v>656</v>
      </c>
      <c r="H42" s="51" t="s">
        <v>604</v>
      </c>
      <c r="I42" s="51" t="s">
        <v>658</v>
      </c>
      <c r="J42" s="51"/>
      <c r="K42" s="51" t="s">
        <v>660</v>
      </c>
      <c r="L42" s="51" t="s">
        <v>542</v>
      </c>
      <c r="M42" s="51" t="s">
        <v>602</v>
      </c>
      <c r="N42" s="51" t="s">
        <v>662</v>
      </c>
      <c r="O42" s="51" t="s">
        <v>664</v>
      </c>
      <c r="P42" s="51" t="s">
        <v>598</v>
      </c>
      <c r="Q42" s="51"/>
      <c r="R42" s="51" t="s">
        <v>666</v>
      </c>
    </row>
    <row r="43" spans="2:18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spans="2:18" s="6" customFormat="1" ht="36" customHeight="1">
      <c r="B44" s="17"/>
      <c r="D44" s="50" t="s">
        <v>653</v>
      </c>
      <c r="E44" s="50" t="s">
        <v>667</v>
      </c>
      <c r="F44" s="50" t="s">
        <v>539</v>
      </c>
      <c r="G44" s="50" t="s">
        <v>635</v>
      </c>
      <c r="H44" s="50" t="s">
        <v>669</v>
      </c>
      <c r="I44" s="50"/>
      <c r="J44" s="50" t="s">
        <v>671</v>
      </c>
      <c r="K44" s="50" t="s">
        <v>673</v>
      </c>
      <c r="L44" s="50" t="s">
        <v>675</v>
      </c>
      <c r="M44" s="50" t="s">
        <v>677</v>
      </c>
      <c r="N44" s="50"/>
      <c r="O44" s="50" t="s">
        <v>649</v>
      </c>
      <c r="P44" s="50" t="s">
        <v>679</v>
      </c>
      <c r="Q44" s="50" t="s">
        <v>681</v>
      </c>
      <c r="R44" s="50" t="s">
        <v>541</v>
      </c>
    </row>
    <row r="45" spans="2:18" s="6" customFormat="1" ht="80.099999999999994" customHeight="1">
      <c r="B45" s="19">
        <f>B41+1</f>
        <v>11</v>
      </c>
      <c r="D45" s="39" t="s">
        <v>137</v>
      </c>
      <c r="E45" s="39" t="s">
        <v>144</v>
      </c>
      <c r="F45" s="39" t="s">
        <v>81</v>
      </c>
      <c r="G45" s="39" t="s">
        <v>145</v>
      </c>
      <c r="H45" s="39" t="s">
        <v>146</v>
      </c>
      <c r="I45" s="39" t="s">
        <v>23</v>
      </c>
      <c r="J45" s="39" t="s">
        <v>147</v>
      </c>
      <c r="K45" s="39" t="s">
        <v>34</v>
      </c>
      <c r="L45" s="39" t="s">
        <v>148</v>
      </c>
      <c r="M45" s="39" t="s">
        <v>149</v>
      </c>
      <c r="N45" s="39" t="s">
        <v>23</v>
      </c>
      <c r="O45" s="39" t="s">
        <v>150</v>
      </c>
      <c r="P45" s="39" t="s">
        <v>151</v>
      </c>
      <c r="Q45" s="39" t="s">
        <v>152</v>
      </c>
      <c r="R45" s="39" t="s">
        <v>37</v>
      </c>
    </row>
    <row r="46" spans="2:18" s="6" customFormat="1" ht="36" customHeight="1">
      <c r="B46" s="21"/>
      <c r="D46" s="51" t="s">
        <v>654</v>
      </c>
      <c r="E46" s="51" t="s">
        <v>668</v>
      </c>
      <c r="F46" s="51" t="s">
        <v>540</v>
      </c>
      <c r="G46" s="51" t="s">
        <v>636</v>
      </c>
      <c r="H46" s="51" t="s">
        <v>670</v>
      </c>
      <c r="I46" s="51"/>
      <c r="J46" s="51" t="s">
        <v>672</v>
      </c>
      <c r="K46" s="51" t="s">
        <v>674</v>
      </c>
      <c r="L46" s="51" t="s">
        <v>676</v>
      </c>
      <c r="M46" s="51" t="s">
        <v>678</v>
      </c>
      <c r="N46" s="51"/>
      <c r="O46" s="51" t="s">
        <v>650</v>
      </c>
      <c r="P46" s="51" t="s">
        <v>680</v>
      </c>
      <c r="Q46" s="51" t="s">
        <v>682</v>
      </c>
      <c r="R46" s="51" t="s">
        <v>542</v>
      </c>
    </row>
    <row r="47" spans="2:18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spans="2:18" s="6" customFormat="1" ht="36" customHeight="1">
      <c r="B48" s="17"/>
      <c r="D48" s="50"/>
      <c r="E48" s="50" t="s">
        <v>683</v>
      </c>
      <c r="F48" s="50" t="s">
        <v>685</v>
      </c>
      <c r="G48" s="50" t="s">
        <v>585</v>
      </c>
      <c r="H48" s="50" t="s">
        <v>651</v>
      </c>
      <c r="I48" s="50"/>
      <c r="J48" s="50" t="s">
        <v>687</v>
      </c>
      <c r="K48" s="50" t="s">
        <v>689</v>
      </c>
      <c r="L48" s="50" t="s">
        <v>601</v>
      </c>
      <c r="M48" s="50" t="s">
        <v>691</v>
      </c>
      <c r="N48" s="50"/>
      <c r="O48" s="50" t="s">
        <v>523</v>
      </c>
      <c r="P48" s="50" t="s">
        <v>635</v>
      </c>
      <c r="Q48" s="50" t="s">
        <v>693</v>
      </c>
      <c r="R48" s="50" t="s">
        <v>695</v>
      </c>
    </row>
    <row r="49" spans="2:18" s="6" customFormat="1" ht="80.099999999999994" customHeight="1">
      <c r="B49" s="19">
        <f>B45+1</f>
        <v>12</v>
      </c>
      <c r="D49" s="39" t="s">
        <v>23</v>
      </c>
      <c r="E49" s="39" t="s">
        <v>153</v>
      </c>
      <c r="F49" s="39" t="s">
        <v>154</v>
      </c>
      <c r="G49" s="39" t="s">
        <v>102</v>
      </c>
      <c r="H49" s="39" t="s">
        <v>136</v>
      </c>
      <c r="I49" s="39" t="s">
        <v>23</v>
      </c>
      <c r="J49" s="39" t="s">
        <v>155</v>
      </c>
      <c r="K49" s="39" t="s">
        <v>156</v>
      </c>
      <c r="L49" s="39" t="s">
        <v>108</v>
      </c>
      <c r="M49" s="39" t="s">
        <v>157</v>
      </c>
      <c r="N49" s="39" t="s">
        <v>23</v>
      </c>
      <c r="O49" s="39" t="s">
        <v>158</v>
      </c>
      <c r="P49" s="39" t="s">
        <v>26</v>
      </c>
      <c r="Q49" s="39" t="s">
        <v>159</v>
      </c>
      <c r="R49" s="39" t="s">
        <v>160</v>
      </c>
    </row>
    <row r="50" spans="2:18" s="6" customFormat="1" ht="36" customHeight="1">
      <c r="B50" s="21"/>
      <c r="D50" s="51"/>
      <c r="E50" s="51" t="s">
        <v>684</v>
      </c>
      <c r="F50" s="51" t="s">
        <v>686</v>
      </c>
      <c r="G50" s="51" t="s">
        <v>586</v>
      </c>
      <c r="H50" s="51" t="s">
        <v>652</v>
      </c>
      <c r="I50" s="51"/>
      <c r="J50" s="51" t="s">
        <v>688</v>
      </c>
      <c r="K50" s="51" t="s">
        <v>690</v>
      </c>
      <c r="L50" s="51" t="s">
        <v>602</v>
      </c>
      <c r="M50" s="51" t="s">
        <v>692</v>
      </c>
      <c r="N50" s="51"/>
      <c r="O50" s="51" t="s">
        <v>524</v>
      </c>
      <c r="P50" s="51" t="s">
        <v>636</v>
      </c>
      <c r="Q50" s="51" t="s">
        <v>694</v>
      </c>
      <c r="R50" s="51" t="s">
        <v>696</v>
      </c>
    </row>
    <row r="51" spans="2:18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spans="2:18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</row>
    <row r="53" spans="2:18" s="6" customFormat="1" ht="80.099999999999994" customHeight="1">
      <c r="B53" s="19">
        <f>B49+1</f>
        <v>13</v>
      </c>
      <c r="D53" s="39" t="s">
        <v>161</v>
      </c>
      <c r="E53" s="39" t="str">
        <f>CHAR(10)</f>
        <v xml:space="preserve">
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spans="2:18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 spans="2:18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spans="2:18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2:18" s="6" customFormat="1" ht="80.099999999999994" customHeight="1">
      <c r="B57" s="19">
        <f>B53+1</f>
        <v>14</v>
      </c>
      <c r="D57" s="39" t="str">
        <f>CHAR(10)</f>
        <v xml:space="preserve">
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</row>
    <row r="58" spans="2:18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 spans="2:18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spans="2:18" s="6" customFormat="1" ht="36" customHeight="1">
      <c r="B60" s="17"/>
      <c r="D60" s="50" t="s">
        <v>697</v>
      </c>
      <c r="E60" s="50" t="s">
        <v>605</v>
      </c>
      <c r="F60" s="50" t="s">
        <v>487</v>
      </c>
      <c r="G60" s="50" t="s">
        <v>591</v>
      </c>
      <c r="H60" s="50" t="s">
        <v>484</v>
      </c>
      <c r="I60" s="50" t="s">
        <v>484</v>
      </c>
      <c r="J60" s="50"/>
      <c r="K60" s="50" t="s">
        <v>700</v>
      </c>
      <c r="L60" s="50" t="s">
        <v>702</v>
      </c>
      <c r="M60" s="50" t="s">
        <v>704</v>
      </c>
      <c r="N60" s="50" t="s">
        <v>706</v>
      </c>
      <c r="O60" s="50"/>
      <c r="P60" s="50" t="s">
        <v>643</v>
      </c>
      <c r="Q60" s="50" t="s">
        <v>708</v>
      </c>
      <c r="R60" s="50" t="s">
        <v>710</v>
      </c>
    </row>
    <row r="61" spans="2:18" s="6" customFormat="1" ht="80.099999999999994" customHeight="1">
      <c r="B61" s="19">
        <f>B57+1</f>
        <v>15</v>
      </c>
      <c r="D61" s="39" t="s">
        <v>162</v>
      </c>
      <c r="E61" s="39" t="s">
        <v>110</v>
      </c>
      <c r="F61" s="39" t="s">
        <v>163</v>
      </c>
      <c r="G61" s="39" t="s">
        <v>164</v>
      </c>
      <c r="H61" s="39" t="s">
        <v>165</v>
      </c>
      <c r="I61" s="39" t="s">
        <v>165</v>
      </c>
      <c r="J61" s="39" t="s">
        <v>23</v>
      </c>
      <c r="K61" s="39" t="s">
        <v>166</v>
      </c>
      <c r="L61" s="39" t="s">
        <v>167</v>
      </c>
      <c r="M61" s="39" t="s">
        <v>168</v>
      </c>
      <c r="N61" s="39" t="s">
        <v>169</v>
      </c>
      <c r="O61" s="39" t="s">
        <v>103</v>
      </c>
      <c r="P61" s="39" t="s">
        <v>131</v>
      </c>
      <c r="Q61" s="39" t="s">
        <v>170</v>
      </c>
      <c r="R61" s="39" t="s">
        <v>171</v>
      </c>
    </row>
    <row r="62" spans="2:18" s="6" customFormat="1" ht="36" customHeight="1">
      <c r="B62" s="21"/>
      <c r="D62" s="51" t="s">
        <v>698</v>
      </c>
      <c r="E62" s="51" t="s">
        <v>606</v>
      </c>
      <c r="F62" s="51"/>
      <c r="G62" s="51" t="s">
        <v>592</v>
      </c>
      <c r="H62" s="51" t="s">
        <v>699</v>
      </c>
      <c r="I62" s="51" t="s">
        <v>699</v>
      </c>
      <c r="J62" s="51"/>
      <c r="K62" s="51" t="s">
        <v>701</v>
      </c>
      <c r="L62" s="51" t="s">
        <v>703</v>
      </c>
      <c r="M62" s="51" t="s">
        <v>705</v>
      </c>
      <c r="N62" s="51" t="s">
        <v>707</v>
      </c>
      <c r="O62" s="51"/>
      <c r="P62" s="51" t="s">
        <v>644</v>
      </c>
      <c r="Q62" s="51" t="s">
        <v>709</v>
      </c>
      <c r="R62" s="51" t="s">
        <v>711</v>
      </c>
    </row>
    <row r="63" spans="2:18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spans="2:18" s="6" customFormat="1" ht="36" customHeight="1">
      <c r="B64" s="17"/>
      <c r="D64" s="50" t="s">
        <v>631</v>
      </c>
      <c r="E64" s="50"/>
      <c r="F64" s="50" t="s">
        <v>712</v>
      </c>
      <c r="G64" s="50" t="s">
        <v>714</v>
      </c>
      <c r="H64" s="50" t="s">
        <v>716</v>
      </c>
      <c r="I64" s="50" t="s">
        <v>718</v>
      </c>
      <c r="J64" s="50"/>
      <c r="K64" s="50" t="s">
        <v>720</v>
      </c>
      <c r="L64" s="50" t="s">
        <v>722</v>
      </c>
      <c r="M64" s="50" t="s">
        <v>724</v>
      </c>
      <c r="N64" s="50" t="s">
        <v>726</v>
      </c>
      <c r="O64" s="50"/>
      <c r="P64" s="50" t="s">
        <v>623</v>
      </c>
      <c r="Q64" s="50" t="s">
        <v>559</v>
      </c>
      <c r="R64" s="50" t="s">
        <v>728</v>
      </c>
    </row>
    <row r="65" spans="2:18" s="6" customFormat="1" ht="80.099999999999994" customHeight="1">
      <c r="B65" s="19">
        <f>B61+1</f>
        <v>16</v>
      </c>
      <c r="D65" s="39" t="s">
        <v>172</v>
      </c>
      <c r="E65" s="39" t="s">
        <v>23</v>
      </c>
      <c r="F65" s="39" t="s">
        <v>173</v>
      </c>
      <c r="G65" s="39" t="s">
        <v>174</v>
      </c>
      <c r="H65" s="39" t="s">
        <v>175</v>
      </c>
      <c r="I65" s="39" t="s">
        <v>176</v>
      </c>
      <c r="J65" s="39" t="s">
        <v>103</v>
      </c>
      <c r="K65" s="39" t="s">
        <v>20</v>
      </c>
      <c r="L65" s="39" t="s">
        <v>177</v>
      </c>
      <c r="M65" s="39" t="s">
        <v>178</v>
      </c>
      <c r="N65" s="39" t="s">
        <v>179</v>
      </c>
      <c r="O65" s="39" t="s">
        <v>23</v>
      </c>
      <c r="P65" s="39" t="s">
        <v>119</v>
      </c>
      <c r="Q65" s="39" t="s">
        <v>180</v>
      </c>
      <c r="R65" s="39" t="s">
        <v>181</v>
      </c>
    </row>
    <row r="66" spans="2:18" s="6" customFormat="1" ht="36" customHeight="1">
      <c r="B66" s="21"/>
      <c r="D66" s="51" t="s">
        <v>632</v>
      </c>
      <c r="E66" s="51"/>
      <c r="F66" s="51" t="s">
        <v>713</v>
      </c>
      <c r="G66" s="51" t="s">
        <v>715</v>
      </c>
      <c r="H66" s="51" t="s">
        <v>717</v>
      </c>
      <c r="I66" s="51" t="s">
        <v>719</v>
      </c>
      <c r="J66" s="51"/>
      <c r="K66" s="51" t="s">
        <v>721</v>
      </c>
      <c r="L66" s="51" t="s">
        <v>723</v>
      </c>
      <c r="M66" s="51" t="s">
        <v>725</v>
      </c>
      <c r="N66" s="51" t="s">
        <v>727</v>
      </c>
      <c r="O66" s="51"/>
      <c r="P66" s="51" t="s">
        <v>624</v>
      </c>
      <c r="Q66" s="51" t="s">
        <v>560</v>
      </c>
      <c r="R66" s="51" t="s">
        <v>729</v>
      </c>
    </row>
    <row r="67" spans="2:18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spans="2:18" s="6" customFormat="1" ht="36" customHeight="1">
      <c r="B68" s="17"/>
      <c r="D68" s="50" t="s">
        <v>633</v>
      </c>
      <c r="E68" s="50"/>
      <c r="F68" s="50" t="s">
        <v>677</v>
      </c>
      <c r="G68" s="50" t="s">
        <v>730</v>
      </c>
      <c r="H68" s="50" t="s">
        <v>704</v>
      </c>
      <c r="I68" s="50" t="s">
        <v>732</v>
      </c>
      <c r="J68" s="50"/>
      <c r="K68" s="50" t="s">
        <v>489</v>
      </c>
      <c r="L68" s="50" t="s">
        <v>734</v>
      </c>
      <c r="M68" s="50" t="s">
        <v>736</v>
      </c>
      <c r="N68" s="50" t="s">
        <v>738</v>
      </c>
      <c r="O68" s="50"/>
      <c r="P68" s="50" t="s">
        <v>740</v>
      </c>
      <c r="Q68" s="50" t="s">
        <v>742</v>
      </c>
      <c r="R68" s="50" t="s">
        <v>535</v>
      </c>
    </row>
    <row r="69" spans="2:18" s="6" customFormat="1" ht="80.099999999999994" customHeight="1">
      <c r="B69" s="19">
        <f>B65+1</f>
        <v>17</v>
      </c>
      <c r="D69" s="39" t="s">
        <v>182</v>
      </c>
      <c r="E69" s="39" t="s">
        <v>103</v>
      </c>
      <c r="F69" s="39" t="s">
        <v>183</v>
      </c>
      <c r="G69" s="39" t="s">
        <v>184</v>
      </c>
      <c r="H69" s="39" t="s">
        <v>168</v>
      </c>
      <c r="I69" s="39" t="s">
        <v>185</v>
      </c>
      <c r="J69" s="39" t="s">
        <v>23</v>
      </c>
      <c r="K69" s="39" t="s">
        <v>186</v>
      </c>
      <c r="L69" s="39" t="s">
        <v>187</v>
      </c>
      <c r="M69" s="39" t="s">
        <v>188</v>
      </c>
      <c r="N69" s="39" t="s">
        <v>189</v>
      </c>
      <c r="O69" s="39" t="s">
        <v>103</v>
      </c>
      <c r="P69" s="39" t="s">
        <v>190</v>
      </c>
      <c r="Q69" s="39" t="s">
        <v>191</v>
      </c>
      <c r="R69" s="39" t="s">
        <v>192</v>
      </c>
    </row>
    <row r="70" spans="2:18" s="6" customFormat="1" ht="36" customHeight="1">
      <c r="B70" s="21"/>
      <c r="D70" s="51" t="s">
        <v>634</v>
      </c>
      <c r="E70" s="51"/>
      <c r="F70" s="51" t="s">
        <v>678</v>
      </c>
      <c r="G70" s="51" t="s">
        <v>731</v>
      </c>
      <c r="H70" s="51" t="s">
        <v>705</v>
      </c>
      <c r="I70" s="51" t="s">
        <v>733</v>
      </c>
      <c r="J70" s="51"/>
      <c r="K70" s="51"/>
      <c r="L70" s="51" t="s">
        <v>735</v>
      </c>
      <c r="M70" s="51" t="s">
        <v>737</v>
      </c>
      <c r="N70" s="51" t="s">
        <v>739</v>
      </c>
      <c r="O70" s="51"/>
      <c r="P70" s="51" t="s">
        <v>741</v>
      </c>
      <c r="Q70" s="51" t="s">
        <v>743</v>
      </c>
      <c r="R70" s="51" t="s">
        <v>536</v>
      </c>
    </row>
    <row r="71" spans="2:18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spans="2:18" s="6" customFormat="1" ht="36" customHeight="1">
      <c r="B72" s="17"/>
      <c r="D72" s="50" t="s">
        <v>535</v>
      </c>
      <c r="E72" s="50"/>
      <c r="F72" s="50" t="s">
        <v>744</v>
      </c>
      <c r="G72" s="50" t="s">
        <v>746</v>
      </c>
      <c r="H72" s="50" t="s">
        <v>748</v>
      </c>
      <c r="I72" s="50" t="s">
        <v>750</v>
      </c>
      <c r="J72" s="50"/>
      <c r="K72" s="50" t="s">
        <v>752</v>
      </c>
      <c r="L72" s="50" t="s">
        <v>754</v>
      </c>
      <c r="M72" s="50" t="s">
        <v>563</v>
      </c>
      <c r="N72" s="50" t="s">
        <v>657</v>
      </c>
      <c r="O72" s="50"/>
      <c r="P72" s="50" t="s">
        <v>653</v>
      </c>
      <c r="Q72" s="50" t="s">
        <v>756</v>
      </c>
      <c r="R72" s="50" t="s">
        <v>758</v>
      </c>
    </row>
    <row r="73" spans="2:18" s="6" customFormat="1" ht="80.099999999999994" customHeight="1">
      <c r="B73" s="19">
        <f>B69+1</f>
        <v>18</v>
      </c>
      <c r="D73" s="39" t="s">
        <v>192</v>
      </c>
      <c r="E73" s="39" t="s">
        <v>23</v>
      </c>
      <c r="F73" s="39" t="s">
        <v>193</v>
      </c>
      <c r="G73" s="39" t="s">
        <v>194</v>
      </c>
      <c r="H73" s="39" t="s">
        <v>195</v>
      </c>
      <c r="I73" s="39" t="s">
        <v>196</v>
      </c>
      <c r="J73" s="39" t="s">
        <v>30</v>
      </c>
      <c r="K73" s="39" t="s">
        <v>197</v>
      </c>
      <c r="L73" s="39" t="s">
        <v>198</v>
      </c>
      <c r="M73" s="39" t="s">
        <v>91</v>
      </c>
      <c r="N73" s="39" t="s">
        <v>138</v>
      </c>
      <c r="O73" s="39" t="s">
        <v>23</v>
      </c>
      <c r="P73" s="39" t="s">
        <v>137</v>
      </c>
      <c r="Q73" s="39" t="s">
        <v>19</v>
      </c>
      <c r="R73" s="39" t="s">
        <v>199</v>
      </c>
    </row>
    <row r="74" spans="2:18" s="6" customFormat="1" ht="36" customHeight="1">
      <c r="B74" s="21"/>
      <c r="D74" s="51" t="s">
        <v>536</v>
      </c>
      <c r="E74" s="51"/>
      <c r="F74" s="51" t="s">
        <v>745</v>
      </c>
      <c r="G74" s="51" t="s">
        <v>747</v>
      </c>
      <c r="H74" s="51" t="s">
        <v>749</v>
      </c>
      <c r="I74" s="51" t="s">
        <v>751</v>
      </c>
      <c r="J74" s="51"/>
      <c r="K74" s="51" t="s">
        <v>753</v>
      </c>
      <c r="L74" s="51" t="s">
        <v>755</v>
      </c>
      <c r="M74" s="51" t="s">
        <v>564</v>
      </c>
      <c r="N74" s="51" t="s">
        <v>658</v>
      </c>
      <c r="O74" s="51"/>
      <c r="P74" s="51" t="s">
        <v>654</v>
      </c>
      <c r="Q74" s="51" t="s">
        <v>757</v>
      </c>
      <c r="R74" s="51" t="s">
        <v>759</v>
      </c>
    </row>
    <row r="75" spans="2:18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spans="2:18" s="6" customFormat="1" ht="36" customHeight="1">
      <c r="B76" s="17"/>
      <c r="D76" s="50" t="s">
        <v>760</v>
      </c>
      <c r="E76" s="50" t="s">
        <v>762</v>
      </c>
      <c r="F76" s="50" t="s">
        <v>764</v>
      </c>
      <c r="G76" s="50"/>
      <c r="H76" s="50" t="s">
        <v>766</v>
      </c>
      <c r="I76" s="50" t="s">
        <v>491</v>
      </c>
      <c r="J76" s="50" t="s">
        <v>768</v>
      </c>
      <c r="K76" s="50" t="s">
        <v>770</v>
      </c>
      <c r="L76" s="50"/>
      <c r="M76" s="50" t="s">
        <v>772</v>
      </c>
      <c r="N76" s="50" t="s">
        <v>774</v>
      </c>
      <c r="O76" s="50" t="s">
        <v>675</v>
      </c>
      <c r="P76" s="50" t="s">
        <v>665</v>
      </c>
      <c r="Q76" s="50"/>
      <c r="R76" s="50" t="s">
        <v>776</v>
      </c>
    </row>
    <row r="77" spans="2:18" s="6" customFormat="1" ht="80.099999999999994" customHeight="1">
      <c r="B77" s="19">
        <f>B73+1</f>
        <v>19</v>
      </c>
      <c r="D77" s="39" t="s">
        <v>200</v>
      </c>
      <c r="E77" s="39" t="s">
        <v>201</v>
      </c>
      <c r="F77" s="39" t="s">
        <v>202</v>
      </c>
      <c r="G77" s="39" t="s">
        <v>23</v>
      </c>
      <c r="H77" s="39" t="s">
        <v>203</v>
      </c>
      <c r="I77" s="39" t="s">
        <v>204</v>
      </c>
      <c r="J77" s="39" t="s">
        <v>205</v>
      </c>
      <c r="K77" s="39" t="s">
        <v>206</v>
      </c>
      <c r="L77" s="39" t="s">
        <v>23</v>
      </c>
      <c r="M77" s="39" t="s">
        <v>207</v>
      </c>
      <c r="N77" s="39" t="s">
        <v>208</v>
      </c>
      <c r="O77" s="39" t="s">
        <v>209</v>
      </c>
      <c r="P77" s="39" t="s">
        <v>143</v>
      </c>
      <c r="Q77" s="39" t="s">
        <v>23</v>
      </c>
      <c r="R77" s="39" t="s">
        <v>22</v>
      </c>
    </row>
    <row r="78" spans="2:18" s="6" customFormat="1" ht="36" customHeight="1">
      <c r="B78" s="21"/>
      <c r="D78" s="51" t="s">
        <v>761</v>
      </c>
      <c r="E78" s="51" t="s">
        <v>763</v>
      </c>
      <c r="F78" s="51" t="s">
        <v>765</v>
      </c>
      <c r="G78" s="51"/>
      <c r="H78" s="51" t="s">
        <v>767</v>
      </c>
      <c r="I78" s="51"/>
      <c r="J78" s="51" t="s">
        <v>769</v>
      </c>
      <c r="K78" s="51" t="s">
        <v>771</v>
      </c>
      <c r="L78" s="51"/>
      <c r="M78" s="51" t="s">
        <v>773</v>
      </c>
      <c r="N78" s="51" t="s">
        <v>775</v>
      </c>
      <c r="O78" s="51" t="s">
        <v>676</v>
      </c>
      <c r="P78" s="51" t="s">
        <v>666</v>
      </c>
      <c r="Q78" s="51"/>
      <c r="R78" s="51" t="s">
        <v>777</v>
      </c>
    </row>
    <row r="79" spans="2:18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spans="2:18" s="6" customFormat="1" ht="36" customHeight="1">
      <c r="B80" s="17"/>
      <c r="D80" s="50" t="s">
        <v>673</v>
      </c>
      <c r="E80" s="50" t="s">
        <v>778</v>
      </c>
      <c r="F80" s="50" t="s">
        <v>780</v>
      </c>
      <c r="G80" s="50" t="s">
        <v>782</v>
      </c>
      <c r="H80" s="50" t="s">
        <v>597</v>
      </c>
      <c r="I80" s="50"/>
      <c r="J80" s="50"/>
      <c r="K80" s="50"/>
      <c r="L80" s="50"/>
      <c r="M80" s="50"/>
      <c r="N80" s="50"/>
      <c r="O80" s="50"/>
      <c r="P80" s="50"/>
      <c r="Q80" s="50"/>
      <c r="R80" s="50"/>
    </row>
    <row r="81" spans="2:18" s="6" customFormat="1" ht="80.099999999999994" customHeight="1">
      <c r="B81" s="19">
        <f>B77+1</f>
        <v>20</v>
      </c>
      <c r="D81" s="39" t="s">
        <v>34</v>
      </c>
      <c r="E81" s="39" t="s">
        <v>210</v>
      </c>
      <c r="F81" s="39" t="s">
        <v>211</v>
      </c>
      <c r="G81" s="39" t="s">
        <v>212</v>
      </c>
      <c r="H81" s="39" t="s">
        <v>142</v>
      </c>
      <c r="I81" s="39" t="s">
        <v>30</v>
      </c>
      <c r="J81" s="39" t="str">
        <f>CHAR(10)</f>
        <v xml:space="preserve">
</v>
      </c>
      <c r="K81" s="39"/>
      <c r="L81" s="39"/>
      <c r="M81" s="39"/>
      <c r="N81" s="39"/>
      <c r="O81" s="39"/>
      <c r="P81" s="39"/>
      <c r="Q81" s="39"/>
      <c r="R81" s="39"/>
    </row>
    <row r="82" spans="2:18" s="6" customFormat="1" ht="36" customHeight="1">
      <c r="B82" s="21"/>
      <c r="D82" s="51" t="s">
        <v>674</v>
      </c>
      <c r="E82" s="51" t="s">
        <v>779</v>
      </c>
      <c r="F82" s="51" t="s">
        <v>781</v>
      </c>
      <c r="G82" s="51" t="s">
        <v>783</v>
      </c>
      <c r="H82" s="51" t="s">
        <v>598</v>
      </c>
      <c r="I82" s="51"/>
      <c r="J82" s="51"/>
      <c r="K82" s="51"/>
      <c r="L82" s="51"/>
      <c r="M82" s="51"/>
      <c r="N82" s="51"/>
      <c r="O82" s="51"/>
      <c r="P82" s="51"/>
      <c r="Q82" s="51"/>
      <c r="R82" s="51"/>
    </row>
    <row r="83" spans="2:18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spans="2:18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2:18" s="6" customFormat="1" ht="80.099999999999994" customHeight="1">
      <c r="B85" s="19">
        <f>B81+1</f>
        <v>21</v>
      </c>
      <c r="D85" s="39" t="str">
        <f>CHAR(10)</f>
        <v xml:space="preserve">
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</row>
    <row r="86" spans="2:18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</row>
    <row r="87" spans="2:18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spans="2:18" s="6" customFormat="1" ht="36" customHeight="1">
      <c r="B88" s="17"/>
      <c r="D88" s="50" t="s">
        <v>784</v>
      </c>
      <c r="E88" s="50" t="s">
        <v>697</v>
      </c>
      <c r="F88" s="50" t="s">
        <v>515</v>
      </c>
      <c r="G88" s="50" t="s">
        <v>543</v>
      </c>
      <c r="H88" s="50" t="s">
        <v>786</v>
      </c>
      <c r="I88" s="50" t="s">
        <v>535</v>
      </c>
      <c r="J88" s="50"/>
      <c r="K88" s="50" t="s">
        <v>788</v>
      </c>
      <c r="L88" s="50" t="s">
        <v>790</v>
      </c>
      <c r="M88" s="50" t="s">
        <v>704</v>
      </c>
      <c r="N88" s="50" t="s">
        <v>792</v>
      </c>
      <c r="O88" s="50"/>
      <c r="P88" s="50" t="s">
        <v>587</v>
      </c>
      <c r="Q88" s="50" t="s">
        <v>794</v>
      </c>
      <c r="R88" s="50" t="s">
        <v>796</v>
      </c>
    </row>
    <row r="89" spans="2:18" s="6" customFormat="1" ht="80.099999999999994" customHeight="1">
      <c r="B89" s="19">
        <f>B85+1</f>
        <v>22</v>
      </c>
      <c r="D89" s="39" t="s">
        <v>24</v>
      </c>
      <c r="E89" s="39" t="s">
        <v>162</v>
      </c>
      <c r="F89" s="39" t="s">
        <v>71</v>
      </c>
      <c r="G89" s="39" t="s">
        <v>29</v>
      </c>
      <c r="H89" s="39" t="s">
        <v>213</v>
      </c>
      <c r="I89" s="39" t="s">
        <v>35</v>
      </c>
      <c r="J89" s="39" t="s">
        <v>23</v>
      </c>
      <c r="K89" s="39" t="s">
        <v>214</v>
      </c>
      <c r="L89" s="39" t="s">
        <v>215</v>
      </c>
      <c r="M89" s="39" t="s">
        <v>168</v>
      </c>
      <c r="N89" s="39" t="s">
        <v>216</v>
      </c>
      <c r="O89" s="39" t="s">
        <v>23</v>
      </c>
      <c r="P89" s="39" t="s">
        <v>18</v>
      </c>
      <c r="Q89" s="39" t="s">
        <v>217</v>
      </c>
      <c r="R89" s="39" t="s">
        <v>218</v>
      </c>
    </row>
    <row r="90" spans="2:18" s="6" customFormat="1" ht="36" customHeight="1">
      <c r="B90" s="21"/>
      <c r="D90" s="51" t="s">
        <v>785</v>
      </c>
      <c r="E90" s="51" t="s">
        <v>698</v>
      </c>
      <c r="F90" s="51" t="s">
        <v>516</v>
      </c>
      <c r="G90" s="51" t="s">
        <v>544</v>
      </c>
      <c r="H90" s="51" t="s">
        <v>787</v>
      </c>
      <c r="I90" s="51" t="s">
        <v>536</v>
      </c>
      <c r="J90" s="51"/>
      <c r="K90" s="51" t="s">
        <v>789</v>
      </c>
      <c r="L90" s="51" t="s">
        <v>791</v>
      </c>
      <c r="M90" s="51" t="s">
        <v>705</v>
      </c>
      <c r="N90" s="51" t="s">
        <v>793</v>
      </c>
      <c r="O90" s="51"/>
      <c r="P90" s="51" t="s">
        <v>588</v>
      </c>
      <c r="Q90" s="51" t="s">
        <v>795</v>
      </c>
      <c r="R90" s="51" t="s">
        <v>797</v>
      </c>
    </row>
    <row r="91" spans="2:18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spans="2:18" s="6" customFormat="1" ht="36" customHeight="1">
      <c r="B92" s="17"/>
      <c r="D92" s="50" t="s">
        <v>798</v>
      </c>
      <c r="E92" s="50"/>
      <c r="F92" s="50" t="s">
        <v>617</v>
      </c>
      <c r="G92" s="50" t="s">
        <v>800</v>
      </c>
      <c r="H92" s="50" t="s">
        <v>647</v>
      </c>
      <c r="I92" s="50" t="s">
        <v>802</v>
      </c>
      <c r="J92" s="50"/>
      <c r="K92" s="50" t="s">
        <v>804</v>
      </c>
      <c r="L92" s="50" t="s">
        <v>806</v>
      </c>
      <c r="M92" s="50" t="s">
        <v>808</v>
      </c>
      <c r="N92" s="50" t="s">
        <v>810</v>
      </c>
      <c r="O92" s="50"/>
      <c r="P92" s="50" t="s">
        <v>812</v>
      </c>
      <c r="Q92" s="50" t="s">
        <v>790</v>
      </c>
      <c r="R92" s="50" t="s">
        <v>814</v>
      </c>
    </row>
    <row r="93" spans="2:18" s="6" customFormat="1" ht="80.099999999999994" customHeight="1">
      <c r="B93" s="19">
        <f>B89+1</f>
        <v>23</v>
      </c>
      <c r="D93" s="39" t="s">
        <v>219</v>
      </c>
      <c r="E93" s="39" t="s">
        <v>23</v>
      </c>
      <c r="F93" s="39" t="s">
        <v>31</v>
      </c>
      <c r="G93" s="39" t="s">
        <v>220</v>
      </c>
      <c r="H93" s="39" t="s">
        <v>134</v>
      </c>
      <c r="I93" s="39" t="s">
        <v>221</v>
      </c>
      <c r="J93" s="39" t="s">
        <v>103</v>
      </c>
      <c r="K93" s="39" t="s">
        <v>222</v>
      </c>
      <c r="L93" s="39" t="s">
        <v>223</v>
      </c>
      <c r="M93" s="39" t="s">
        <v>224</v>
      </c>
      <c r="N93" s="39" t="s">
        <v>225</v>
      </c>
      <c r="O93" s="39" t="s">
        <v>23</v>
      </c>
      <c r="P93" s="39" t="s">
        <v>226</v>
      </c>
      <c r="Q93" s="39" t="s">
        <v>227</v>
      </c>
      <c r="R93" s="39" t="s">
        <v>228</v>
      </c>
    </row>
    <row r="94" spans="2:18" s="6" customFormat="1" ht="36" customHeight="1">
      <c r="B94" s="21"/>
      <c r="D94" s="51" t="s">
        <v>799</v>
      </c>
      <c r="E94" s="51"/>
      <c r="F94" s="51" t="s">
        <v>618</v>
      </c>
      <c r="G94" s="51" t="s">
        <v>801</v>
      </c>
      <c r="H94" s="51" t="s">
        <v>648</v>
      </c>
      <c r="I94" s="51" t="s">
        <v>803</v>
      </c>
      <c r="J94" s="51"/>
      <c r="K94" s="51" t="s">
        <v>805</v>
      </c>
      <c r="L94" s="51" t="s">
        <v>807</v>
      </c>
      <c r="M94" s="51" t="s">
        <v>809</v>
      </c>
      <c r="N94" s="51" t="s">
        <v>811</v>
      </c>
      <c r="O94" s="51"/>
      <c r="P94" s="51" t="s">
        <v>813</v>
      </c>
      <c r="Q94" s="51" t="s">
        <v>791</v>
      </c>
      <c r="R94" s="51" t="s">
        <v>815</v>
      </c>
    </row>
    <row r="95" spans="2:18" s="33" customFormat="1" ht="60" customHeight="1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18" s="6" customFormat="1" ht="36" customHeight="1">
      <c r="B96" s="17"/>
      <c r="D96" s="50" t="s">
        <v>816</v>
      </c>
      <c r="E96" s="50"/>
      <c r="F96" s="50" t="s">
        <v>818</v>
      </c>
      <c r="G96" s="50" t="s">
        <v>820</v>
      </c>
      <c r="H96" s="50" t="s">
        <v>493</v>
      </c>
      <c r="I96" s="50" t="s">
        <v>790</v>
      </c>
      <c r="J96" s="50"/>
      <c r="K96" s="50" t="s">
        <v>495</v>
      </c>
      <c r="L96" s="50" t="s">
        <v>495</v>
      </c>
      <c r="M96" s="50" t="s">
        <v>822</v>
      </c>
      <c r="N96" s="50" t="s">
        <v>822</v>
      </c>
      <c r="O96" s="50"/>
      <c r="P96" s="50" t="s">
        <v>778</v>
      </c>
      <c r="Q96" s="50" t="s">
        <v>824</v>
      </c>
      <c r="R96" s="50" t="s">
        <v>627</v>
      </c>
    </row>
    <row r="97" spans="2:18" s="6" customFormat="1" ht="80.099999999999994" customHeight="1">
      <c r="B97" s="19">
        <f>B93+1</f>
        <v>24</v>
      </c>
      <c r="D97" s="39" t="s">
        <v>229</v>
      </c>
      <c r="E97" s="39" t="s">
        <v>23</v>
      </c>
      <c r="F97" s="39" t="s">
        <v>230</v>
      </c>
      <c r="G97" s="39" t="s">
        <v>231</v>
      </c>
      <c r="H97" s="39" t="s">
        <v>232</v>
      </c>
      <c r="I97" s="39" t="s">
        <v>233</v>
      </c>
      <c r="J97" s="39" t="s">
        <v>23</v>
      </c>
      <c r="K97" s="39" t="s">
        <v>234</v>
      </c>
      <c r="L97" s="39" t="s">
        <v>234</v>
      </c>
      <c r="M97" s="39" t="s">
        <v>235</v>
      </c>
      <c r="N97" s="39" t="s">
        <v>235</v>
      </c>
      <c r="O97" s="39" t="s">
        <v>30</v>
      </c>
      <c r="P97" s="39" t="s">
        <v>210</v>
      </c>
      <c r="Q97" s="39" t="s">
        <v>236</v>
      </c>
      <c r="R97" s="39" t="s">
        <v>121</v>
      </c>
    </row>
    <row r="98" spans="2:18" s="6" customFormat="1" ht="36" customHeight="1">
      <c r="B98" s="21"/>
      <c r="D98" s="51" t="s">
        <v>817</v>
      </c>
      <c r="E98" s="51"/>
      <c r="F98" s="51" t="s">
        <v>819</v>
      </c>
      <c r="G98" s="51" t="s">
        <v>821</v>
      </c>
      <c r="H98" s="51"/>
      <c r="I98" s="51" t="s">
        <v>791</v>
      </c>
      <c r="J98" s="51"/>
      <c r="K98" s="51"/>
      <c r="L98" s="51"/>
      <c r="M98" s="51" t="s">
        <v>823</v>
      </c>
      <c r="N98" s="51" t="s">
        <v>823</v>
      </c>
      <c r="O98" s="51"/>
      <c r="P98" s="51" t="s">
        <v>779</v>
      </c>
      <c r="Q98" s="51" t="s">
        <v>825</v>
      </c>
      <c r="R98" s="51" t="s">
        <v>628</v>
      </c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 t="s">
        <v>826</v>
      </c>
      <c r="E100" s="50" t="s">
        <v>617</v>
      </c>
      <c r="F100" s="50" t="s">
        <v>718</v>
      </c>
      <c r="G100" s="50"/>
      <c r="H100" s="50" t="s">
        <v>631</v>
      </c>
      <c r="I100" s="50" t="s">
        <v>702</v>
      </c>
      <c r="J100" s="50" t="s">
        <v>649</v>
      </c>
      <c r="K100" s="50" t="s">
        <v>730</v>
      </c>
      <c r="L100" s="50"/>
      <c r="M100" s="50" t="s">
        <v>828</v>
      </c>
      <c r="N100" s="50" t="s">
        <v>798</v>
      </c>
      <c r="O100" s="50" t="s">
        <v>830</v>
      </c>
      <c r="P100" s="50" t="s">
        <v>579</v>
      </c>
      <c r="Q100" s="50"/>
      <c r="R100" s="50" t="s">
        <v>832</v>
      </c>
    </row>
    <row r="101" spans="2:18" s="6" customFormat="1" ht="80.099999999999994" customHeight="1">
      <c r="B101" s="19">
        <f>B97+1</f>
        <v>25</v>
      </c>
      <c r="D101" s="39" t="s">
        <v>237</v>
      </c>
      <c r="E101" s="39" t="s">
        <v>31</v>
      </c>
      <c r="F101" s="39" t="s">
        <v>176</v>
      </c>
      <c r="G101" s="39" t="s">
        <v>23</v>
      </c>
      <c r="H101" s="39" t="s">
        <v>238</v>
      </c>
      <c r="I101" s="39" t="s">
        <v>167</v>
      </c>
      <c r="J101" s="39" t="s">
        <v>135</v>
      </c>
      <c r="K101" s="39" t="s">
        <v>239</v>
      </c>
      <c r="L101" s="39" t="s">
        <v>23</v>
      </c>
      <c r="M101" s="39" t="s">
        <v>240</v>
      </c>
      <c r="N101" s="39" t="s">
        <v>219</v>
      </c>
      <c r="O101" s="39" t="s">
        <v>241</v>
      </c>
      <c r="P101" s="39" t="s">
        <v>242</v>
      </c>
      <c r="Q101" s="39" t="s">
        <v>23</v>
      </c>
      <c r="R101" s="39" t="s">
        <v>243</v>
      </c>
    </row>
    <row r="102" spans="2:18" s="6" customFormat="1" ht="36" customHeight="1">
      <c r="B102" s="21"/>
      <c r="D102" s="51" t="s">
        <v>827</v>
      </c>
      <c r="E102" s="51" t="s">
        <v>618</v>
      </c>
      <c r="F102" s="51" t="s">
        <v>719</v>
      </c>
      <c r="G102" s="51"/>
      <c r="H102" s="51" t="s">
        <v>632</v>
      </c>
      <c r="I102" s="51" t="s">
        <v>703</v>
      </c>
      <c r="J102" s="51" t="s">
        <v>650</v>
      </c>
      <c r="K102" s="51" t="s">
        <v>731</v>
      </c>
      <c r="L102" s="51"/>
      <c r="M102" s="51" t="s">
        <v>829</v>
      </c>
      <c r="N102" s="51" t="s">
        <v>799</v>
      </c>
      <c r="O102" s="51" t="s">
        <v>831</v>
      </c>
      <c r="P102" s="51" t="s">
        <v>580</v>
      </c>
      <c r="Q102" s="51"/>
      <c r="R102" s="51" t="s">
        <v>833</v>
      </c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 t="s">
        <v>816</v>
      </c>
      <c r="E104" s="50" t="s">
        <v>834</v>
      </c>
      <c r="F104" s="50" t="s">
        <v>545</v>
      </c>
      <c r="G104" s="50"/>
      <c r="H104" s="50" t="s">
        <v>836</v>
      </c>
      <c r="I104" s="50" t="s">
        <v>838</v>
      </c>
      <c r="J104" s="50" t="s">
        <v>840</v>
      </c>
      <c r="K104" s="50" t="s">
        <v>842</v>
      </c>
      <c r="L104" s="50"/>
      <c r="M104" s="50" t="s">
        <v>651</v>
      </c>
      <c r="N104" s="50" t="s">
        <v>844</v>
      </c>
      <c r="O104" s="50" t="s">
        <v>543</v>
      </c>
      <c r="P104" s="50" t="s">
        <v>673</v>
      </c>
      <c r="Q104" s="50"/>
      <c r="R104" s="50" t="s">
        <v>752</v>
      </c>
    </row>
    <row r="105" spans="2:18" s="6" customFormat="1" ht="80.099999999999994" customHeight="1">
      <c r="B105" s="19">
        <f>B101+1</f>
        <v>26</v>
      </c>
      <c r="D105" s="39" t="s">
        <v>244</v>
      </c>
      <c r="E105" s="39" t="s">
        <v>245</v>
      </c>
      <c r="F105" s="39" t="s">
        <v>246</v>
      </c>
      <c r="G105" s="39" t="s">
        <v>23</v>
      </c>
      <c r="H105" s="39" t="s">
        <v>247</v>
      </c>
      <c r="I105" s="39" t="s">
        <v>248</v>
      </c>
      <c r="J105" s="39" t="s">
        <v>249</v>
      </c>
      <c r="K105" s="39" t="s">
        <v>250</v>
      </c>
      <c r="L105" s="39" t="s">
        <v>23</v>
      </c>
      <c r="M105" s="39" t="s">
        <v>136</v>
      </c>
      <c r="N105" s="39" t="s">
        <v>251</v>
      </c>
      <c r="O105" s="39" t="s">
        <v>252</v>
      </c>
      <c r="P105" s="39" t="s">
        <v>34</v>
      </c>
      <c r="Q105" s="39" t="s">
        <v>30</v>
      </c>
      <c r="R105" s="39" t="s">
        <v>197</v>
      </c>
    </row>
    <row r="106" spans="2:18" s="6" customFormat="1" ht="36" customHeight="1">
      <c r="B106" s="21"/>
      <c r="D106" s="51" t="s">
        <v>817</v>
      </c>
      <c r="E106" s="51" t="s">
        <v>835</v>
      </c>
      <c r="F106" s="51" t="s">
        <v>546</v>
      </c>
      <c r="G106" s="51"/>
      <c r="H106" s="51" t="s">
        <v>837</v>
      </c>
      <c r="I106" s="51" t="s">
        <v>839</v>
      </c>
      <c r="J106" s="51" t="s">
        <v>841</v>
      </c>
      <c r="K106" s="51" t="s">
        <v>843</v>
      </c>
      <c r="L106" s="51"/>
      <c r="M106" s="51" t="s">
        <v>652</v>
      </c>
      <c r="N106" s="51" t="s">
        <v>845</v>
      </c>
      <c r="O106" s="51" t="s">
        <v>544</v>
      </c>
      <c r="P106" s="51" t="s">
        <v>674</v>
      </c>
      <c r="Q106" s="51"/>
      <c r="R106" s="51" t="s">
        <v>753</v>
      </c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 t="s">
        <v>754</v>
      </c>
      <c r="E108" s="50" t="s">
        <v>563</v>
      </c>
      <c r="F108" s="50" t="s">
        <v>657</v>
      </c>
      <c r="G108" s="50"/>
      <c r="H108" s="50" t="s">
        <v>653</v>
      </c>
      <c r="I108" s="50" t="s">
        <v>756</v>
      </c>
      <c r="J108" s="50" t="s">
        <v>846</v>
      </c>
      <c r="K108" s="50" t="s">
        <v>848</v>
      </c>
      <c r="L108" s="50" t="s">
        <v>850</v>
      </c>
      <c r="M108" s="50" t="s">
        <v>852</v>
      </c>
      <c r="N108" s="50"/>
      <c r="O108" s="50" t="s">
        <v>854</v>
      </c>
      <c r="P108" s="50" t="s">
        <v>697</v>
      </c>
      <c r="Q108" s="50" t="s">
        <v>856</v>
      </c>
      <c r="R108" s="50" t="s">
        <v>858</v>
      </c>
    </row>
    <row r="109" spans="2:18" s="6" customFormat="1" ht="80.099999999999994" customHeight="1">
      <c r="B109" s="19">
        <f>B105+1</f>
        <v>27</v>
      </c>
      <c r="D109" s="39" t="s">
        <v>198</v>
      </c>
      <c r="E109" s="39" t="s">
        <v>91</v>
      </c>
      <c r="F109" s="39" t="s">
        <v>138</v>
      </c>
      <c r="G109" s="39" t="s">
        <v>23</v>
      </c>
      <c r="H109" s="39" t="s">
        <v>137</v>
      </c>
      <c r="I109" s="39" t="s">
        <v>19</v>
      </c>
      <c r="J109" s="39" t="s">
        <v>253</v>
      </c>
      <c r="K109" s="39" t="s">
        <v>254</v>
      </c>
      <c r="L109" s="39" t="s">
        <v>255</v>
      </c>
      <c r="M109" s="39" t="s">
        <v>256</v>
      </c>
      <c r="N109" s="39" t="s">
        <v>23</v>
      </c>
      <c r="O109" s="39" t="s">
        <v>257</v>
      </c>
      <c r="P109" s="39" t="s">
        <v>258</v>
      </c>
      <c r="Q109" s="39" t="s">
        <v>259</v>
      </c>
      <c r="R109" s="39" t="s">
        <v>260</v>
      </c>
    </row>
    <row r="110" spans="2:18" s="6" customFormat="1" ht="36" customHeight="1">
      <c r="B110" s="21"/>
      <c r="D110" s="51" t="s">
        <v>755</v>
      </c>
      <c r="E110" s="51" t="s">
        <v>564</v>
      </c>
      <c r="F110" s="51" t="s">
        <v>658</v>
      </c>
      <c r="G110" s="51"/>
      <c r="H110" s="51" t="s">
        <v>654</v>
      </c>
      <c r="I110" s="51" t="s">
        <v>757</v>
      </c>
      <c r="J110" s="51" t="s">
        <v>847</v>
      </c>
      <c r="K110" s="51" t="s">
        <v>849</v>
      </c>
      <c r="L110" s="51" t="s">
        <v>851</v>
      </c>
      <c r="M110" s="51" t="s">
        <v>853</v>
      </c>
      <c r="N110" s="51"/>
      <c r="O110" s="51" t="s">
        <v>855</v>
      </c>
      <c r="P110" s="51" t="s">
        <v>698</v>
      </c>
      <c r="Q110" s="51" t="s">
        <v>857</v>
      </c>
      <c r="R110" s="51" t="s">
        <v>859</v>
      </c>
    </row>
    <row r="111" spans="2:18" s="33" customFormat="1" ht="60" customHeight="1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s="6" customFormat="1" ht="36" customHeight="1">
      <c r="B112" s="17"/>
      <c r="D112" s="50"/>
      <c r="E112" s="50" t="s">
        <v>860</v>
      </c>
      <c r="F112" s="50" t="s">
        <v>862</v>
      </c>
      <c r="G112" s="50" t="s">
        <v>864</v>
      </c>
      <c r="H112" s="50" t="s">
        <v>708</v>
      </c>
      <c r="I112" s="50"/>
      <c r="J112" s="50" t="s">
        <v>567</v>
      </c>
      <c r="K112" s="50" t="s">
        <v>866</v>
      </c>
      <c r="L112" s="50" t="s">
        <v>868</v>
      </c>
      <c r="M112" s="50" t="s">
        <v>868</v>
      </c>
      <c r="N112" s="50" t="s">
        <v>782</v>
      </c>
      <c r="O112" s="50" t="s">
        <v>597</v>
      </c>
      <c r="P112" s="50"/>
      <c r="Q112" s="50"/>
      <c r="R112" s="50"/>
    </row>
    <row r="113" spans="2:18" s="6" customFormat="1" ht="80.099999999999994" customHeight="1">
      <c r="B113" s="19">
        <f>B109+1</f>
        <v>28</v>
      </c>
      <c r="D113" s="49" t="s">
        <v>23</v>
      </c>
      <c r="E113" s="49" t="s">
        <v>261</v>
      </c>
      <c r="F113" s="49" t="s">
        <v>262</v>
      </c>
      <c r="G113" s="49" t="s">
        <v>263</v>
      </c>
      <c r="H113" s="49" t="s">
        <v>170</v>
      </c>
      <c r="I113" s="49" t="s">
        <v>23</v>
      </c>
      <c r="J113" s="49" t="s">
        <v>93</v>
      </c>
      <c r="K113" s="49" t="s">
        <v>264</v>
      </c>
      <c r="L113" s="49" t="s">
        <v>265</v>
      </c>
      <c r="M113" s="49" t="s">
        <v>265</v>
      </c>
      <c r="N113" s="49" t="s">
        <v>212</v>
      </c>
      <c r="O113" s="49" t="s">
        <v>142</v>
      </c>
      <c r="P113" s="49" t="s">
        <v>30</v>
      </c>
      <c r="Q113" s="49" t="str">
        <f>CHAR(10)</f>
        <v xml:space="preserve">
</v>
      </c>
      <c r="R113" s="49"/>
    </row>
    <row r="114" spans="2:18" s="6" customFormat="1" ht="36" customHeight="1">
      <c r="B114" s="21"/>
      <c r="D114" s="51"/>
      <c r="E114" s="51" t="s">
        <v>861</v>
      </c>
      <c r="F114" s="51" t="s">
        <v>863</v>
      </c>
      <c r="G114" s="51" t="s">
        <v>865</v>
      </c>
      <c r="H114" s="51" t="s">
        <v>709</v>
      </c>
      <c r="I114" s="51"/>
      <c r="J114" s="51" t="s">
        <v>568</v>
      </c>
      <c r="K114" s="51" t="s">
        <v>867</v>
      </c>
      <c r="L114" s="51" t="s">
        <v>869</v>
      </c>
      <c r="M114" s="51" t="s">
        <v>869</v>
      </c>
      <c r="N114" s="51" t="s">
        <v>783</v>
      </c>
      <c r="O114" s="51" t="s">
        <v>598</v>
      </c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>B113+1</f>
        <v>29</v>
      </c>
      <c r="D117" s="39" t="str">
        <f>CHAR(10)</f>
        <v xml:space="preserve">
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 t="s">
        <v>870</v>
      </c>
      <c r="E120" s="50" t="s">
        <v>605</v>
      </c>
      <c r="F120" s="50"/>
      <c r="G120" s="50" t="s">
        <v>591</v>
      </c>
      <c r="H120" s="50" t="s">
        <v>872</v>
      </c>
      <c r="I120" s="50" t="s">
        <v>874</v>
      </c>
      <c r="J120" s="50" t="s">
        <v>876</v>
      </c>
      <c r="K120" s="50" t="s">
        <v>541</v>
      </c>
      <c r="L120" s="50" t="s">
        <v>541</v>
      </c>
      <c r="M120" s="50" t="s">
        <v>601</v>
      </c>
      <c r="N120" s="50" t="s">
        <v>846</v>
      </c>
      <c r="O120" s="50"/>
      <c r="P120" s="50" t="s">
        <v>824</v>
      </c>
      <c r="Q120" s="50" t="s">
        <v>693</v>
      </c>
      <c r="R120" s="50" t="s">
        <v>878</v>
      </c>
    </row>
    <row r="121" spans="2:18" s="6" customFormat="1" ht="80.099999999999994" customHeight="1">
      <c r="B121" s="19">
        <f>B117+1</f>
        <v>30</v>
      </c>
      <c r="D121" s="39" t="s">
        <v>266</v>
      </c>
      <c r="E121" s="39" t="s">
        <v>110</v>
      </c>
      <c r="F121" s="39" t="s">
        <v>267</v>
      </c>
      <c r="G121" s="39" t="s">
        <v>36</v>
      </c>
      <c r="H121" s="39" t="s">
        <v>268</v>
      </c>
      <c r="I121" s="39" t="s">
        <v>269</v>
      </c>
      <c r="J121" s="39" t="s">
        <v>270</v>
      </c>
      <c r="K121" s="39" t="s">
        <v>271</v>
      </c>
      <c r="L121" s="39" t="s">
        <v>37</v>
      </c>
      <c r="M121" s="39" t="s">
        <v>108</v>
      </c>
      <c r="N121" s="39" t="s">
        <v>253</v>
      </c>
      <c r="O121" s="39" t="s">
        <v>23</v>
      </c>
      <c r="P121" s="39" t="s">
        <v>236</v>
      </c>
      <c r="Q121" s="39" t="s">
        <v>159</v>
      </c>
      <c r="R121" s="39" t="s">
        <v>272</v>
      </c>
    </row>
    <row r="122" spans="2:18" s="6" customFormat="1" ht="36" customHeight="1">
      <c r="B122" s="21"/>
      <c r="D122" s="51" t="s">
        <v>871</v>
      </c>
      <c r="E122" s="51" t="s">
        <v>606</v>
      </c>
      <c r="F122" s="51"/>
      <c r="G122" s="51" t="s">
        <v>592</v>
      </c>
      <c r="H122" s="51" t="s">
        <v>873</v>
      </c>
      <c r="I122" s="51" t="s">
        <v>875</v>
      </c>
      <c r="J122" s="51" t="s">
        <v>877</v>
      </c>
      <c r="K122" s="51" t="s">
        <v>542</v>
      </c>
      <c r="L122" s="51" t="s">
        <v>542</v>
      </c>
      <c r="M122" s="51" t="s">
        <v>602</v>
      </c>
      <c r="N122" s="51" t="s">
        <v>847</v>
      </c>
      <c r="O122" s="51"/>
      <c r="P122" s="51" t="s">
        <v>825</v>
      </c>
      <c r="Q122" s="51" t="s">
        <v>694</v>
      </c>
      <c r="R122" s="51" t="s">
        <v>879</v>
      </c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 t="s">
        <v>782</v>
      </c>
      <c r="E124" s="50" t="s">
        <v>601</v>
      </c>
      <c r="F124" s="50" t="s">
        <v>880</v>
      </c>
      <c r="G124" s="50"/>
      <c r="H124" s="50" t="s">
        <v>543</v>
      </c>
      <c r="I124" s="50" t="s">
        <v>882</v>
      </c>
      <c r="J124" s="50"/>
      <c r="K124" s="50" t="s">
        <v>704</v>
      </c>
      <c r="L124" s="50" t="s">
        <v>597</v>
      </c>
      <c r="M124" s="50" t="s">
        <v>689</v>
      </c>
      <c r="N124" s="50" t="s">
        <v>866</v>
      </c>
      <c r="O124" s="50"/>
      <c r="P124" s="50" t="s">
        <v>704</v>
      </c>
      <c r="Q124" s="50" t="s">
        <v>597</v>
      </c>
      <c r="R124" s="50" t="s">
        <v>884</v>
      </c>
    </row>
    <row r="125" spans="2:18" s="6" customFormat="1" ht="80.099999999999994" customHeight="1">
      <c r="B125" s="19">
        <f>B121+1</f>
        <v>31</v>
      </c>
      <c r="D125" s="39" t="s">
        <v>212</v>
      </c>
      <c r="E125" s="39" t="s">
        <v>108</v>
      </c>
      <c r="F125" s="39" t="s">
        <v>273</v>
      </c>
      <c r="G125" s="39" t="s">
        <v>23</v>
      </c>
      <c r="H125" s="39" t="s">
        <v>252</v>
      </c>
      <c r="I125" s="39" t="s">
        <v>274</v>
      </c>
      <c r="J125" s="39" t="s">
        <v>161</v>
      </c>
      <c r="K125" s="39" t="s">
        <v>168</v>
      </c>
      <c r="L125" s="39" t="s">
        <v>106</v>
      </c>
      <c r="M125" s="39" t="s">
        <v>156</v>
      </c>
      <c r="N125" s="39" t="s">
        <v>264</v>
      </c>
      <c r="O125" s="39" t="s">
        <v>23</v>
      </c>
      <c r="P125" s="39" t="s">
        <v>168</v>
      </c>
      <c r="Q125" s="39" t="s">
        <v>106</v>
      </c>
      <c r="R125" s="39" t="s">
        <v>275</v>
      </c>
    </row>
    <row r="126" spans="2:18" s="6" customFormat="1" ht="36" customHeight="1">
      <c r="B126" s="21"/>
      <c r="D126" s="51" t="s">
        <v>783</v>
      </c>
      <c r="E126" s="51" t="s">
        <v>602</v>
      </c>
      <c r="F126" s="51" t="s">
        <v>881</v>
      </c>
      <c r="G126" s="51"/>
      <c r="H126" s="51" t="s">
        <v>544</v>
      </c>
      <c r="I126" s="51" t="s">
        <v>883</v>
      </c>
      <c r="J126" s="51"/>
      <c r="K126" s="51" t="s">
        <v>705</v>
      </c>
      <c r="L126" s="51" t="s">
        <v>598</v>
      </c>
      <c r="M126" s="51" t="s">
        <v>690</v>
      </c>
      <c r="N126" s="51" t="s">
        <v>867</v>
      </c>
      <c r="O126" s="51"/>
      <c r="P126" s="51" t="s">
        <v>705</v>
      </c>
      <c r="Q126" s="51" t="s">
        <v>598</v>
      </c>
      <c r="R126" s="51" t="s">
        <v>885</v>
      </c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 t="s">
        <v>780</v>
      </c>
      <c r="E128" s="50"/>
      <c r="F128" s="50" t="s">
        <v>770</v>
      </c>
      <c r="G128" s="50" t="s">
        <v>886</v>
      </c>
      <c r="H128" s="50" t="s">
        <v>888</v>
      </c>
      <c r="I128" s="50" t="s">
        <v>601</v>
      </c>
      <c r="J128" s="50" t="s">
        <v>890</v>
      </c>
      <c r="K128" s="50"/>
      <c r="L128" s="50" t="s">
        <v>653</v>
      </c>
      <c r="M128" s="50" t="s">
        <v>766</v>
      </c>
      <c r="N128" s="50" t="s">
        <v>567</v>
      </c>
      <c r="O128" s="50" t="s">
        <v>892</v>
      </c>
      <c r="P128" s="50"/>
      <c r="Q128" s="50" t="s">
        <v>651</v>
      </c>
      <c r="R128" s="50" t="s">
        <v>629</v>
      </c>
    </row>
    <row r="129" spans="2:18" s="6" customFormat="1" ht="80.099999999999994" customHeight="1">
      <c r="B129" s="19">
        <f>B125+1</f>
        <v>32</v>
      </c>
      <c r="D129" s="39" t="s">
        <v>211</v>
      </c>
      <c r="E129" s="39" t="s">
        <v>30</v>
      </c>
      <c r="F129" s="39" t="s">
        <v>276</v>
      </c>
      <c r="G129" s="39" t="s">
        <v>277</v>
      </c>
      <c r="H129" s="39" t="s">
        <v>278</v>
      </c>
      <c r="I129" s="39" t="s">
        <v>108</v>
      </c>
      <c r="J129" s="39" t="s">
        <v>25</v>
      </c>
      <c r="K129" s="39" t="s">
        <v>23</v>
      </c>
      <c r="L129" s="39" t="s">
        <v>137</v>
      </c>
      <c r="M129" s="39" t="s">
        <v>203</v>
      </c>
      <c r="N129" s="39" t="s">
        <v>93</v>
      </c>
      <c r="O129" s="39" t="s">
        <v>279</v>
      </c>
      <c r="P129" s="39" t="s">
        <v>103</v>
      </c>
      <c r="Q129" s="39" t="s">
        <v>280</v>
      </c>
      <c r="R129" s="39" t="s">
        <v>122</v>
      </c>
    </row>
    <row r="130" spans="2:18" s="6" customFormat="1" ht="36" customHeight="1">
      <c r="B130" s="21"/>
      <c r="D130" s="51" t="s">
        <v>781</v>
      </c>
      <c r="E130" s="51"/>
      <c r="F130" s="51" t="s">
        <v>771</v>
      </c>
      <c r="G130" s="51" t="s">
        <v>887</v>
      </c>
      <c r="H130" s="51" t="s">
        <v>889</v>
      </c>
      <c r="I130" s="51" t="s">
        <v>602</v>
      </c>
      <c r="J130" s="51" t="s">
        <v>891</v>
      </c>
      <c r="K130" s="51"/>
      <c r="L130" s="51" t="s">
        <v>654</v>
      </c>
      <c r="M130" s="51" t="s">
        <v>767</v>
      </c>
      <c r="N130" s="51" t="s">
        <v>568</v>
      </c>
      <c r="O130" s="51" t="s">
        <v>893</v>
      </c>
      <c r="P130" s="51"/>
      <c r="Q130" s="51" t="s">
        <v>652</v>
      </c>
      <c r="R130" s="51" t="s">
        <v>630</v>
      </c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 t="s">
        <v>619</v>
      </c>
      <c r="E132" s="50" t="s">
        <v>601</v>
      </c>
      <c r="F132" s="50" t="s">
        <v>621</v>
      </c>
      <c r="G132" s="50"/>
      <c r="H132" s="50" t="s">
        <v>653</v>
      </c>
      <c r="I132" s="50" t="s">
        <v>766</v>
      </c>
      <c r="J132" s="50" t="s">
        <v>567</v>
      </c>
      <c r="K132" s="50" t="s">
        <v>894</v>
      </c>
      <c r="L132" s="50"/>
      <c r="M132" s="50" t="s">
        <v>896</v>
      </c>
      <c r="N132" s="50" t="s">
        <v>898</v>
      </c>
      <c r="O132" s="50" t="s">
        <v>900</v>
      </c>
      <c r="P132" s="50" t="s">
        <v>766</v>
      </c>
      <c r="Q132" s="50"/>
      <c r="R132" s="50" t="s">
        <v>902</v>
      </c>
    </row>
    <row r="133" spans="2:18" s="6" customFormat="1" ht="80.099999999999994" customHeight="1">
      <c r="B133" s="19">
        <f>B129+1</f>
        <v>33</v>
      </c>
      <c r="D133" s="39" t="s">
        <v>116</v>
      </c>
      <c r="E133" s="39" t="s">
        <v>108</v>
      </c>
      <c r="F133" s="39" t="s">
        <v>118</v>
      </c>
      <c r="G133" s="39" t="s">
        <v>23</v>
      </c>
      <c r="H133" s="39" t="s">
        <v>137</v>
      </c>
      <c r="I133" s="39" t="s">
        <v>203</v>
      </c>
      <c r="J133" s="39" t="s">
        <v>93</v>
      </c>
      <c r="K133" s="39" t="s">
        <v>281</v>
      </c>
      <c r="L133" s="39" t="s">
        <v>30</v>
      </c>
      <c r="M133" s="39" t="s">
        <v>33</v>
      </c>
      <c r="N133" s="39" t="s">
        <v>282</v>
      </c>
      <c r="O133" s="39" t="s">
        <v>283</v>
      </c>
      <c r="P133" s="39" t="s">
        <v>203</v>
      </c>
      <c r="Q133" s="39" t="s">
        <v>23</v>
      </c>
      <c r="R133" s="39" t="s">
        <v>284</v>
      </c>
    </row>
    <row r="134" spans="2:18" s="6" customFormat="1" ht="36" customHeight="1">
      <c r="B134" s="21"/>
      <c r="D134" s="51" t="s">
        <v>620</v>
      </c>
      <c r="E134" s="51" t="s">
        <v>602</v>
      </c>
      <c r="F134" s="51" t="s">
        <v>622</v>
      </c>
      <c r="G134" s="51"/>
      <c r="H134" s="51" t="s">
        <v>654</v>
      </c>
      <c r="I134" s="51" t="s">
        <v>767</v>
      </c>
      <c r="J134" s="51" t="s">
        <v>568</v>
      </c>
      <c r="K134" s="51" t="s">
        <v>895</v>
      </c>
      <c r="L134" s="51"/>
      <c r="M134" s="51" t="s">
        <v>897</v>
      </c>
      <c r="N134" s="51" t="s">
        <v>899</v>
      </c>
      <c r="O134" s="51" t="s">
        <v>901</v>
      </c>
      <c r="P134" s="51" t="s">
        <v>767</v>
      </c>
      <c r="Q134" s="51"/>
      <c r="R134" s="51" t="s">
        <v>903</v>
      </c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 t="s">
        <v>900</v>
      </c>
      <c r="E136" s="50" t="s">
        <v>766</v>
      </c>
      <c r="F136" s="50"/>
      <c r="G136" s="50" t="s">
        <v>665</v>
      </c>
      <c r="H136" s="50" t="s">
        <v>653</v>
      </c>
      <c r="I136" s="50" t="s">
        <v>543</v>
      </c>
      <c r="J136" s="50" t="s">
        <v>904</v>
      </c>
      <c r="K136" s="50" t="s">
        <v>778</v>
      </c>
      <c r="L136" s="50" t="s">
        <v>844</v>
      </c>
      <c r="M136" s="50" t="s">
        <v>906</v>
      </c>
      <c r="N136" s="50"/>
      <c r="O136" s="50" t="s">
        <v>567</v>
      </c>
      <c r="P136" s="50" t="s">
        <v>908</v>
      </c>
      <c r="Q136" s="50" t="s">
        <v>533</v>
      </c>
      <c r="R136" s="50"/>
    </row>
    <row r="137" spans="2:18" s="6" customFormat="1" ht="80.099999999999994" customHeight="1">
      <c r="B137" s="19">
        <f>B133+1</f>
        <v>34</v>
      </c>
      <c r="D137" s="39" t="s">
        <v>283</v>
      </c>
      <c r="E137" s="39" t="s">
        <v>203</v>
      </c>
      <c r="F137" s="39" t="s">
        <v>103</v>
      </c>
      <c r="G137" s="39" t="s">
        <v>143</v>
      </c>
      <c r="H137" s="39" t="s">
        <v>137</v>
      </c>
      <c r="I137" s="39" t="s">
        <v>252</v>
      </c>
      <c r="J137" s="39" t="s">
        <v>285</v>
      </c>
      <c r="K137" s="39" t="s">
        <v>210</v>
      </c>
      <c r="L137" s="39" t="s">
        <v>251</v>
      </c>
      <c r="M137" s="39" t="s">
        <v>286</v>
      </c>
      <c r="N137" s="39" t="s">
        <v>161</v>
      </c>
      <c r="O137" s="39" t="s">
        <v>93</v>
      </c>
      <c r="P137" s="39" t="s">
        <v>287</v>
      </c>
      <c r="Q137" s="39" t="s">
        <v>288</v>
      </c>
      <c r="R137" s="39" t="s">
        <v>289</v>
      </c>
    </row>
    <row r="138" spans="2:18" s="6" customFormat="1" ht="36" customHeight="1">
      <c r="B138" s="21"/>
      <c r="D138" s="51" t="s">
        <v>901</v>
      </c>
      <c r="E138" s="51" t="s">
        <v>767</v>
      </c>
      <c r="F138" s="51"/>
      <c r="G138" s="51" t="s">
        <v>666</v>
      </c>
      <c r="H138" s="51" t="s">
        <v>654</v>
      </c>
      <c r="I138" s="51" t="s">
        <v>544</v>
      </c>
      <c r="J138" s="51" t="s">
        <v>905</v>
      </c>
      <c r="K138" s="51" t="s">
        <v>779</v>
      </c>
      <c r="L138" s="51" t="s">
        <v>845</v>
      </c>
      <c r="M138" s="51" t="s">
        <v>907</v>
      </c>
      <c r="N138" s="51"/>
      <c r="O138" s="51" t="s">
        <v>568</v>
      </c>
      <c r="P138" s="51" t="s">
        <v>909</v>
      </c>
      <c r="Q138" s="51" t="s">
        <v>534</v>
      </c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 t="s">
        <v>910</v>
      </c>
      <c r="F140" s="50" t="s">
        <v>796</v>
      </c>
      <c r="G140" s="50" t="s">
        <v>794</v>
      </c>
      <c r="H140" s="50" t="s">
        <v>601</v>
      </c>
      <c r="I140" s="50" t="s">
        <v>766</v>
      </c>
      <c r="J140" s="50" t="s">
        <v>778</v>
      </c>
      <c r="K140" s="50" t="s">
        <v>766</v>
      </c>
      <c r="L140" s="50"/>
      <c r="M140" s="50" t="s">
        <v>840</v>
      </c>
      <c r="N140" s="50" t="s">
        <v>796</v>
      </c>
      <c r="O140" s="50" t="s">
        <v>794</v>
      </c>
      <c r="P140" s="50" t="s">
        <v>601</v>
      </c>
      <c r="Q140" s="50" t="s">
        <v>844</v>
      </c>
      <c r="R140" s="50" t="s">
        <v>778</v>
      </c>
    </row>
    <row r="141" spans="2:18" s="6" customFormat="1" ht="80.099999999999994" customHeight="1">
      <c r="B141" s="19">
        <f>B137+1</f>
        <v>35</v>
      </c>
      <c r="D141" s="39" t="s">
        <v>290</v>
      </c>
      <c r="E141" s="39" t="s">
        <v>291</v>
      </c>
      <c r="F141" s="39" t="s">
        <v>218</v>
      </c>
      <c r="G141" s="39" t="s">
        <v>217</v>
      </c>
      <c r="H141" s="39" t="s">
        <v>108</v>
      </c>
      <c r="I141" s="39" t="s">
        <v>203</v>
      </c>
      <c r="J141" s="39" t="s">
        <v>210</v>
      </c>
      <c r="K141" s="39" t="s">
        <v>203</v>
      </c>
      <c r="L141" s="39" t="s">
        <v>23</v>
      </c>
      <c r="M141" s="39" t="s">
        <v>292</v>
      </c>
      <c r="N141" s="39" t="s">
        <v>218</v>
      </c>
      <c r="O141" s="39" t="s">
        <v>217</v>
      </c>
      <c r="P141" s="39" t="s">
        <v>108</v>
      </c>
      <c r="Q141" s="39" t="s">
        <v>251</v>
      </c>
      <c r="R141" s="39" t="s">
        <v>210</v>
      </c>
    </row>
    <row r="142" spans="2:18" s="6" customFormat="1" ht="36" customHeight="1">
      <c r="B142" s="21"/>
      <c r="D142" s="51"/>
      <c r="E142" s="51" t="s">
        <v>911</v>
      </c>
      <c r="F142" s="51" t="s">
        <v>797</v>
      </c>
      <c r="G142" s="51" t="s">
        <v>795</v>
      </c>
      <c r="H142" s="51" t="s">
        <v>602</v>
      </c>
      <c r="I142" s="51" t="s">
        <v>767</v>
      </c>
      <c r="J142" s="51" t="s">
        <v>779</v>
      </c>
      <c r="K142" s="51" t="s">
        <v>767</v>
      </c>
      <c r="L142" s="51"/>
      <c r="M142" s="51" t="s">
        <v>841</v>
      </c>
      <c r="N142" s="51" t="s">
        <v>797</v>
      </c>
      <c r="O142" s="51" t="s">
        <v>795</v>
      </c>
      <c r="P142" s="51" t="s">
        <v>602</v>
      </c>
      <c r="Q142" s="51" t="s">
        <v>845</v>
      </c>
      <c r="R142" s="51" t="s">
        <v>779</v>
      </c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 t="s">
        <v>844</v>
      </c>
      <c r="E144" s="50"/>
      <c r="F144" s="50" t="s">
        <v>852</v>
      </c>
      <c r="G144" s="50"/>
      <c r="H144" s="50" t="s">
        <v>497</v>
      </c>
      <c r="I144" s="50"/>
      <c r="J144" s="50" t="s">
        <v>912</v>
      </c>
      <c r="K144" s="50" t="s">
        <v>754</v>
      </c>
      <c r="L144" s="50" t="s">
        <v>541</v>
      </c>
      <c r="M144" s="50"/>
      <c r="N144" s="50" t="s">
        <v>914</v>
      </c>
      <c r="O144" s="50" t="s">
        <v>808</v>
      </c>
      <c r="P144" s="50" t="s">
        <v>591</v>
      </c>
      <c r="Q144" s="50" t="s">
        <v>916</v>
      </c>
      <c r="R144" s="50"/>
    </row>
    <row r="145" spans="2:18" s="6" customFormat="1" ht="80.099999999999994" customHeight="1">
      <c r="B145" s="19">
        <f>B141+1</f>
        <v>36</v>
      </c>
      <c r="D145" s="39" t="s">
        <v>251</v>
      </c>
      <c r="E145" s="39" t="s">
        <v>293</v>
      </c>
      <c r="F145" s="39" t="s">
        <v>294</v>
      </c>
      <c r="G145" s="39" t="s">
        <v>267</v>
      </c>
      <c r="H145" s="39" t="s">
        <v>295</v>
      </c>
      <c r="I145" s="39" t="s">
        <v>267</v>
      </c>
      <c r="J145" s="39" t="s">
        <v>296</v>
      </c>
      <c r="K145" s="39" t="s">
        <v>198</v>
      </c>
      <c r="L145" s="39" t="s">
        <v>37</v>
      </c>
      <c r="M145" s="39" t="s">
        <v>23</v>
      </c>
      <c r="N145" s="39" t="s">
        <v>297</v>
      </c>
      <c r="O145" s="39" t="s">
        <v>298</v>
      </c>
      <c r="P145" s="39" t="s">
        <v>28</v>
      </c>
      <c r="Q145" s="39" t="s">
        <v>299</v>
      </c>
      <c r="R145" s="39" t="s">
        <v>161</v>
      </c>
    </row>
    <row r="146" spans="2:18" s="6" customFormat="1" ht="36" customHeight="1">
      <c r="B146" s="21"/>
      <c r="D146" s="51" t="s">
        <v>845</v>
      </c>
      <c r="E146" s="51"/>
      <c r="F146" s="51" t="s">
        <v>853</v>
      </c>
      <c r="G146" s="51"/>
      <c r="H146" s="51"/>
      <c r="I146" s="51"/>
      <c r="J146" s="51" t="s">
        <v>913</v>
      </c>
      <c r="K146" s="51" t="s">
        <v>755</v>
      </c>
      <c r="L146" s="51" t="s">
        <v>542</v>
      </c>
      <c r="M146" s="51"/>
      <c r="N146" s="51" t="s">
        <v>915</v>
      </c>
      <c r="O146" s="51" t="s">
        <v>809</v>
      </c>
      <c r="P146" s="51" t="s">
        <v>592</v>
      </c>
      <c r="Q146" s="51" t="s">
        <v>917</v>
      </c>
      <c r="R146" s="51"/>
    </row>
    <row r="147" spans="2:18" s="33" customFormat="1" ht="60" customHeight="1">
      <c r="B147" s="12"/>
      <c r="C147" s="32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spans="2:18" s="6" customFormat="1" ht="36" customHeight="1">
      <c r="B148" s="1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</row>
    <row r="149" spans="2:18" s="6" customFormat="1" ht="80.099999999999994" customHeight="1">
      <c r="B149" s="19">
        <f>B145+1</f>
        <v>37</v>
      </c>
      <c r="D149" s="39" t="s">
        <v>38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</row>
    <row r="151" spans="2:18" s="33" customFormat="1" ht="60" customHeight="1">
      <c r="B151" s="12"/>
      <c r="C151" s="32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spans="2:18" s="6" customFormat="1" ht="36" customHeight="1">
      <c r="B152" s="1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</row>
    <row r="153" spans="2:18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spans="2:18" s="33" customFormat="1" ht="60" customHeight="1">
      <c r="B155" s="12"/>
      <c r="C155" s="32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spans="2:18" s="6" customFormat="1" ht="36" customHeight="1">
      <c r="B156" s="1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</row>
    <row r="157" spans="2:18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61" spans="2:2" s="6" customFormat="1" ht="80.099999999999994" customHeight="1">
      <c r="B161" s="19">
        <f>B157+1</f>
        <v>40</v>
      </c>
    </row>
    <row r="162" spans="2:2" s="6" customFormat="1" ht="36" customHeight="1">
      <c r="B162" s="21"/>
    </row>
    <row r="163" spans="2:2" s="33" customFormat="1" ht="60" customHeight="1">
      <c r="B163" s="12"/>
    </row>
    <row r="164" spans="2:2" s="6" customFormat="1" ht="36" customHeight="1">
      <c r="B164" s="17"/>
    </row>
    <row r="165" spans="2:2" s="6" customFormat="1" ht="80.099999999999994" customHeight="1">
      <c r="B165" s="19">
        <f>B161+1</f>
        <v>41</v>
      </c>
    </row>
    <row r="166" spans="2:2" s="6" customFormat="1" ht="36" customHeight="1">
      <c r="B166" s="21"/>
    </row>
    <row r="167" spans="2:2">
      <c r="B167" s="12"/>
    </row>
    <row r="168" spans="2:2">
      <c r="B168" s="17"/>
    </row>
    <row r="169" spans="2:2">
      <c r="B169" s="19">
        <f>B165+1</f>
        <v>42</v>
      </c>
    </row>
    <row r="170" spans="2:2">
      <c r="B170" s="21"/>
    </row>
    <row r="171" spans="2:2">
      <c r="B171" s="12"/>
    </row>
    <row r="172" spans="2:2">
      <c r="B172" s="17"/>
    </row>
    <row r="173" spans="2:2">
      <c r="B173" s="19">
        <f>B169+1</f>
        <v>43</v>
      </c>
    </row>
    <row r="177" spans="2:2">
      <c r="B177" s="19">
        <f>B173+1</f>
        <v>44</v>
      </c>
    </row>
    <row r="178" spans="2:2">
      <c r="B178" s="21"/>
    </row>
    <row r="179" spans="2:2">
      <c r="B179" s="12"/>
    </row>
    <row r="180" spans="2:2">
      <c r="B180" s="17"/>
    </row>
    <row r="181" spans="2:2">
      <c r="B181" s="19">
        <f>B177+1</f>
        <v>45</v>
      </c>
    </row>
    <row r="182" spans="2:2">
      <c r="B182" s="21"/>
    </row>
    <row r="183" spans="2:2">
      <c r="B183" s="12"/>
    </row>
    <row r="184" spans="2:2">
      <c r="B184" s="17"/>
    </row>
    <row r="185" spans="2:2">
      <c r="B185" s="19">
        <f>B181+1</f>
        <v>46</v>
      </c>
    </row>
    <row r="186" spans="2:2">
      <c r="B186" s="21"/>
    </row>
    <row r="187" spans="2:2">
      <c r="B187" s="12"/>
    </row>
    <row r="188" spans="2:2">
      <c r="B188" s="17"/>
    </row>
    <row r="189" spans="2:2">
      <c r="B189" s="19">
        <f>B185+1</f>
        <v>47</v>
      </c>
    </row>
    <row r="193" spans="2:2">
      <c r="B193" s="19">
        <f>B189+1</f>
        <v>48</v>
      </c>
    </row>
    <row r="194" spans="2:2">
      <c r="B194" s="21"/>
    </row>
    <row r="195" spans="2:2">
      <c r="B195" s="12"/>
    </row>
    <row r="196" spans="2:2">
      <c r="B196" s="17"/>
    </row>
    <row r="197" spans="2:2">
      <c r="B197" s="19">
        <f>B193+1</f>
        <v>49</v>
      </c>
    </row>
    <row r="198" spans="2:2">
      <c r="B198" s="21"/>
    </row>
    <row r="199" spans="2:2">
      <c r="B199" s="12"/>
    </row>
    <row r="200" spans="2:2">
      <c r="B200" s="17"/>
    </row>
    <row r="201" spans="2:2">
      <c r="B201" s="19">
        <f>B197+1</f>
        <v>50</v>
      </c>
    </row>
    <row r="202" spans="2:2">
      <c r="B202" s="21"/>
    </row>
    <row r="203" spans="2:2">
      <c r="B203" s="12"/>
    </row>
    <row r="204" spans="2:2">
      <c r="B204" s="17"/>
    </row>
    <row r="205" spans="2:2">
      <c r="B205" s="19">
        <f>B201+1</f>
        <v>51</v>
      </c>
    </row>
    <row r="209" spans="2:2">
      <c r="B209" s="19">
        <f>B205+1</f>
        <v>52</v>
      </c>
    </row>
    <row r="210" spans="2:2">
      <c r="B210" s="21"/>
    </row>
    <row r="211" spans="2:2">
      <c r="B211" s="12"/>
    </row>
    <row r="212" spans="2:2">
      <c r="B212" s="17"/>
    </row>
    <row r="213" spans="2:2">
      <c r="B213" s="19">
        <f>B209+1</f>
        <v>53</v>
      </c>
    </row>
    <row r="214" spans="2:2">
      <c r="B214" s="21"/>
    </row>
    <row r="215" spans="2:2">
      <c r="B215" s="12"/>
    </row>
    <row r="216" spans="2:2">
      <c r="B216" s="17"/>
    </row>
    <row r="217" spans="2:2">
      <c r="B217" s="19">
        <f>B213+1</f>
        <v>54</v>
      </c>
    </row>
    <row r="218" spans="2:2">
      <c r="B218" s="21"/>
    </row>
    <row r="219" spans="2:2">
      <c r="B219" s="12"/>
    </row>
    <row r="220" spans="2:2">
      <c r="B220" s="17"/>
    </row>
    <row r="221" spans="2:2">
      <c r="B221" s="19">
        <f>B217+1</f>
        <v>55</v>
      </c>
    </row>
    <row r="225" spans="2:2">
      <c r="B225" s="19">
        <f>B221+1</f>
        <v>56</v>
      </c>
    </row>
    <row r="226" spans="2:2">
      <c r="B226" s="21"/>
    </row>
    <row r="227" spans="2:2">
      <c r="B227" s="12"/>
    </row>
    <row r="228" spans="2:2">
      <c r="B228" s="17"/>
    </row>
    <row r="229" spans="2:2">
      <c r="B229" s="19">
        <f>B225+1</f>
        <v>57</v>
      </c>
    </row>
    <row r="230" spans="2:2">
      <c r="B230" s="21"/>
    </row>
    <row r="231" spans="2:2">
      <c r="B231" s="12"/>
    </row>
    <row r="232" spans="2:2">
      <c r="B232" s="17"/>
    </row>
    <row r="233" spans="2:2">
      <c r="B233" s="19">
        <f>B229+1</f>
        <v>58</v>
      </c>
    </row>
    <row r="234" spans="2:2">
      <c r="B234" s="21"/>
    </row>
    <row r="235" spans="2:2">
      <c r="B235" s="12"/>
    </row>
    <row r="236" spans="2:2">
      <c r="B236" s="17"/>
    </row>
    <row r="237" spans="2:2">
      <c r="B237" s="19">
        <f>B233+1</f>
        <v>59</v>
      </c>
    </row>
    <row r="241" spans="2:2">
      <c r="B241" s="19">
        <f>B237+1</f>
        <v>60</v>
      </c>
    </row>
  </sheetData>
  <mergeCells count="1">
    <mergeCell ref="V3:V22"/>
  </mergeCells>
  <phoneticPr fontId="1" type="noConversion"/>
  <conditionalFormatting sqref="D3:R3">
    <cfRule type="expression" dxfId="69" priority="60">
      <formula>"'= TRUE(顯示注音輸入)"</formula>
    </cfRule>
    <cfRule type="expression" dxfId="68" priority="59">
      <formula>顯示注音輸入</formula>
    </cfRule>
  </conditionalFormatting>
  <conditionalFormatting sqref="D7:R7">
    <cfRule type="expression" dxfId="67" priority="57">
      <formula>顯示注音輸入</formula>
    </cfRule>
    <cfRule type="expression" dxfId="66" priority="58">
      <formula>"'= TRUE(顯示注音輸入)"</formula>
    </cfRule>
  </conditionalFormatting>
  <conditionalFormatting sqref="D11:R11">
    <cfRule type="expression" dxfId="65" priority="55">
      <formula>顯示注音輸入</formula>
    </cfRule>
    <cfRule type="expression" dxfId="64" priority="56">
      <formula>"'= TRUE(顯示注音輸入)"</formula>
    </cfRule>
  </conditionalFormatting>
  <conditionalFormatting sqref="D15:R15">
    <cfRule type="expression" dxfId="63" priority="54">
      <formula>"'= TRUE(顯示注音輸入)"</formula>
    </cfRule>
    <cfRule type="expression" dxfId="62" priority="53">
      <formula>顯示注音輸入</formula>
    </cfRule>
  </conditionalFormatting>
  <conditionalFormatting sqref="D19:R19">
    <cfRule type="expression" dxfId="61" priority="52">
      <formula>"'= TRUE(顯示注音輸入)"</formula>
    </cfRule>
    <cfRule type="expression" dxfId="60" priority="51">
      <formula>顯示注音輸入</formula>
    </cfRule>
  </conditionalFormatting>
  <conditionalFormatting sqref="D23:R23">
    <cfRule type="expression" dxfId="59" priority="49">
      <formula>顯示注音輸入</formula>
    </cfRule>
    <cfRule type="expression" dxfId="58" priority="50">
      <formula>"'= TRUE(顯示注音輸入)"</formula>
    </cfRule>
  </conditionalFormatting>
  <conditionalFormatting sqref="D27:R27">
    <cfRule type="expression" dxfId="57" priority="48">
      <formula>"'= TRUE(顯示注音輸入)"</formula>
    </cfRule>
    <cfRule type="expression" dxfId="56" priority="47">
      <formula>顯示注音輸入</formula>
    </cfRule>
  </conditionalFormatting>
  <conditionalFormatting sqref="D31:R31">
    <cfRule type="expression" dxfId="55" priority="46">
      <formula>"'= TRUE(顯示注音輸入)"</formula>
    </cfRule>
    <cfRule type="expression" dxfId="54" priority="45">
      <formula>顯示注音輸入</formula>
    </cfRule>
  </conditionalFormatting>
  <conditionalFormatting sqref="D35:R35">
    <cfRule type="expression" dxfId="53" priority="43">
      <formula>顯示注音輸入</formula>
    </cfRule>
    <cfRule type="expression" dxfId="52" priority="44">
      <formula>"'= TRUE(顯示注音輸入)"</formula>
    </cfRule>
  </conditionalFormatting>
  <conditionalFormatting sqref="D39:R39">
    <cfRule type="expression" dxfId="51" priority="42">
      <formula>"'= TRUE(顯示注音輸入)"</formula>
    </cfRule>
    <cfRule type="expression" dxfId="50" priority="41">
      <formula>顯示注音輸入</formula>
    </cfRule>
  </conditionalFormatting>
  <conditionalFormatting sqref="D43:R43">
    <cfRule type="expression" dxfId="49" priority="40">
      <formula>"'= TRUE(顯示注音輸入)"</formula>
    </cfRule>
    <cfRule type="expression" dxfId="48" priority="39">
      <formula>顯示注音輸入</formula>
    </cfRule>
  </conditionalFormatting>
  <conditionalFormatting sqref="D47:R47">
    <cfRule type="expression" dxfId="47" priority="37">
      <formula>顯示注音輸入</formula>
    </cfRule>
    <cfRule type="expression" dxfId="46" priority="38">
      <formula>"'= TRUE(顯示注音輸入)"</formula>
    </cfRule>
  </conditionalFormatting>
  <conditionalFormatting sqref="D51:R51">
    <cfRule type="expression" dxfId="45" priority="35">
      <formula>顯示注音輸入</formula>
    </cfRule>
    <cfRule type="expression" dxfId="44" priority="36">
      <formula>"'= TRUE(顯示注音輸入)"</formula>
    </cfRule>
  </conditionalFormatting>
  <conditionalFormatting sqref="D55:R55">
    <cfRule type="expression" dxfId="43" priority="34">
      <formula>"'= TRUE(顯示注音輸入)"</formula>
    </cfRule>
    <cfRule type="expression" dxfId="42" priority="33">
      <formula>顯示注音輸入</formula>
    </cfRule>
  </conditionalFormatting>
  <conditionalFormatting sqref="D59:R59">
    <cfRule type="expression" dxfId="41" priority="31">
      <formula>顯示注音輸入</formula>
    </cfRule>
    <cfRule type="expression" dxfId="40" priority="32">
      <formula>"'= TRUE(顯示注音輸入)"</formula>
    </cfRule>
  </conditionalFormatting>
  <conditionalFormatting sqref="D63:R63">
    <cfRule type="expression" dxfId="39" priority="30">
      <formula>"'= TRUE(顯示注音輸入)"</formula>
    </cfRule>
    <cfRule type="expression" dxfId="38" priority="29">
      <formula>顯示注音輸入</formula>
    </cfRule>
  </conditionalFormatting>
  <conditionalFormatting sqref="D67:R67">
    <cfRule type="expression" dxfId="37" priority="27">
      <formula>顯示注音輸入</formula>
    </cfRule>
    <cfRule type="expression" dxfId="36" priority="28">
      <formula>"'= TRUE(顯示注音輸入)"</formula>
    </cfRule>
  </conditionalFormatting>
  <conditionalFormatting sqref="D71:R71">
    <cfRule type="expression" dxfId="35" priority="25">
      <formula>顯示注音輸入</formula>
    </cfRule>
    <cfRule type="expression" dxfId="34" priority="26">
      <formula>"'= TRUE(顯示注音輸入)"</formula>
    </cfRule>
  </conditionalFormatting>
  <conditionalFormatting sqref="D75:R75">
    <cfRule type="expression" dxfId="33" priority="24">
      <formula>"'= TRUE(顯示注音輸入)"</formula>
    </cfRule>
    <cfRule type="expression" dxfId="32" priority="23">
      <formula>顯示注音輸入</formula>
    </cfRule>
  </conditionalFormatting>
  <conditionalFormatting sqref="D79:R79">
    <cfRule type="expression" dxfId="31" priority="22">
      <formula>"'= TRUE(顯示注音輸入)"</formula>
    </cfRule>
    <cfRule type="expression" dxfId="30" priority="21">
      <formula>顯示注音輸入</formula>
    </cfRule>
  </conditionalFormatting>
  <conditionalFormatting sqref="D83:R83">
    <cfRule type="expression" dxfId="29" priority="19">
      <formula>顯示注音輸入</formula>
    </cfRule>
    <cfRule type="expression" dxfId="28" priority="20">
      <formula>"'= TRUE(顯示注音輸入)"</formula>
    </cfRule>
  </conditionalFormatting>
  <conditionalFormatting sqref="D87:R87">
    <cfRule type="expression" dxfId="27" priority="17">
      <formula>顯示注音輸入</formula>
    </cfRule>
    <cfRule type="expression" dxfId="26" priority="18">
      <formula>"'= TRUE(顯示注音輸入)"</formula>
    </cfRule>
  </conditionalFormatting>
  <conditionalFormatting sqref="D91:R91">
    <cfRule type="expression" dxfId="25" priority="16">
      <formula>"'= TRUE(顯示注音輸入)"</formula>
    </cfRule>
    <cfRule type="expression" dxfId="24" priority="15">
      <formula>顯示注音輸入</formula>
    </cfRule>
  </conditionalFormatting>
  <conditionalFormatting sqref="D95:R95">
    <cfRule type="expression" dxfId="23" priority="13">
      <formula>顯示注音輸入</formula>
    </cfRule>
    <cfRule type="expression" dxfId="22" priority="14">
      <formula>"'= TRUE(顯示注音輸入)"</formula>
    </cfRule>
  </conditionalFormatting>
  <conditionalFormatting sqref="D99:R99">
    <cfRule type="expression" dxfId="21" priority="12">
      <formula>"'= TRUE(顯示注音輸入)"</formula>
    </cfRule>
    <cfRule type="expression" dxfId="20" priority="11">
      <formula>顯示注音輸入</formula>
    </cfRule>
  </conditionalFormatting>
  <conditionalFormatting sqref="D103:R103">
    <cfRule type="expression" dxfId="19" priority="10">
      <formula>"'= TRUE(顯示注音輸入)"</formula>
    </cfRule>
    <cfRule type="expression" dxfId="18" priority="9">
      <formula>顯示注音輸入</formula>
    </cfRule>
  </conditionalFormatting>
  <conditionalFormatting sqref="D107:R107">
    <cfRule type="expression" dxfId="17" priority="8">
      <formula>"'= TRUE(顯示注音輸入)"</formula>
    </cfRule>
    <cfRule type="expression" dxfId="16" priority="7">
      <formula>顯示注音輸入</formula>
    </cfRule>
  </conditionalFormatting>
  <conditionalFormatting sqref="D111:R111">
    <cfRule type="expression" dxfId="15" priority="6">
      <formula>"'= TRUE(顯示注音輸入)"</formula>
    </cfRule>
    <cfRule type="expression" dxfId="14" priority="5">
      <formula>顯示注音輸入</formula>
    </cfRule>
  </conditionalFormatting>
  <conditionalFormatting sqref="D115:R115">
    <cfRule type="expression" dxfId="13" priority="4">
      <formula>"'= TRUE(顯示注音輸入)"</formula>
    </cfRule>
    <cfRule type="expression" dxfId="12" priority="3">
      <formula>顯示注音輸入</formula>
    </cfRule>
  </conditionalFormatting>
  <conditionalFormatting sqref="D119:R119">
    <cfRule type="expression" dxfId="11" priority="1">
      <formula>顯示注音輸入</formula>
    </cfRule>
    <cfRule type="expression" dxfId="10" priority="2">
      <formula>"'= TRUE(顯示注音輸入)"</formula>
    </cfRule>
  </conditionalFormatting>
  <conditionalFormatting sqref="D123:R123 D127:R127 D131:R131 D135:R135 D139:R139 D143:R143">
    <cfRule type="expression" dxfId="9" priority="61">
      <formula>顯示注音輸入</formula>
    </cfRule>
    <cfRule type="expression" dxfId="8" priority="62">
      <formula>"'= TRUE(顯示注音輸入)"</formula>
    </cfRule>
  </conditionalFormatting>
  <conditionalFormatting sqref="D147:R147 D151:R151 D155:R155 D159:R159 D163:R163">
    <cfRule type="expression" dxfId="7" priority="109">
      <formula>顯示注音輸入</formula>
    </cfRule>
    <cfRule type="expression" dxfId="6" priority="110">
      <formula>"'= TRUE(顯示注音輸入)"</formula>
    </cfRule>
  </conditionalFormatting>
  <conditionalFormatting sqref="D167:R167 D171:R171 D175:R175 D179:R179 D183:R183 D187:R187 D191:R191 D195:R195 D199:R199">
    <cfRule type="expression" dxfId="5" priority="107">
      <formula>顯示注音輸入</formula>
    </cfRule>
    <cfRule type="expression" dxfId="4" priority="108">
      <formula>"'= TRUE(顯示注音輸入)"</formula>
    </cfRule>
  </conditionalFormatting>
  <conditionalFormatting sqref="D203:R203">
    <cfRule type="expression" dxfId="3" priority="105">
      <formula>顯示注音輸入</formula>
    </cfRule>
    <cfRule type="expression" dxfId="2" priority="106">
      <formula>"'= TRUE(顯示注音輸入)"</formula>
    </cfRule>
  </conditionalFormatting>
  <conditionalFormatting sqref="D207:R207 D211:R211 D215:R215 D219:R219 D223:R223 D227:R227 D231:R231 D235:R235 D239:R239">
    <cfRule type="expression" dxfId="1" priority="103">
      <formula>顯示注音輸入</formula>
    </cfRule>
    <cfRule type="expression" dxfId="0" priority="104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20</vt:i4>
      </vt:variant>
    </vt:vector>
  </HeadingPairs>
  <TitlesOfParts>
    <vt:vector size="28" baseType="lpstr">
      <vt:lpstr>env</vt:lpstr>
      <vt:lpstr>缺字表</vt:lpstr>
      <vt:lpstr>標音字庫</vt:lpstr>
      <vt:lpstr>人工標音字庫</vt:lpstr>
      <vt:lpstr>漢字注音</vt:lpstr>
      <vt:lpstr>缺字表 (範例)</vt:lpstr>
      <vt:lpstr>標音字庫 (範例)</vt:lpstr>
      <vt:lpstr>漢字注音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2026-06-25T11:37:55Z</dcterms:modified>
</cp:coreProperties>
</file>